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5.xml" ContentType="application/vnd.ms-excel.threaded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threadedComments/threadedComment6.xml" ContentType="application/vnd.ms-excel.threaded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ksky.sharepoint.com/sites/ark-2371-raadhusservice/Delte dokumenter/Betjent/_Rådhusvagten/Vagtplaner/"/>
    </mc:Choice>
  </mc:AlternateContent>
  <xr:revisionPtr revIDLastSave="2640" documentId="101_{BF0A1D31-89C4-42A6-BD32-7F390361A327}" xr6:coauthVersionLast="47" xr6:coauthVersionMax="47" xr10:uidLastSave="{2EFAC4B7-DF8C-4956-B071-ED84DF1BB2E0}"/>
  <bookViews>
    <workbookView xWindow="-120" yWindow="-120" windowWidth="29040" windowHeight="15840" tabRatio="815" firstSheet="5" activeTab="9" xr2:uid="{00000000-000D-0000-FFFF-FFFF00000000}"/>
  </bookViews>
  <sheets>
    <sheet name="Ark7" sheetId="140" state="hidden" r:id="rId1"/>
    <sheet name="Ark8" sheetId="141" state="hidden" r:id="rId2"/>
    <sheet name="Ark9" sheetId="142" state="hidden" r:id="rId3"/>
    <sheet name="Ark4" sheetId="137" state="hidden" r:id="rId4"/>
    <sheet name="Maj 2020" sheetId="113" r:id="rId5"/>
    <sheet name="Juni 2020" sheetId="144" r:id="rId6"/>
    <sheet name="Juli 2020" sheetId="145" r:id="rId7"/>
    <sheet name="August 2020" sheetId="146" r:id="rId8"/>
    <sheet name="September 2020" sheetId="147" r:id="rId9"/>
    <sheet name="Oktober 2020" sheetId="148" r:id="rId10"/>
    <sheet name="November 2020" sheetId="149" r:id="rId11"/>
    <sheet name="December 2020" sheetId="150" r:id="rId12"/>
    <sheet name="Januar 2021" sheetId="151" r:id="rId13"/>
    <sheet name="Februar 2021" sheetId="152" r:id="rId14"/>
    <sheet name="Marts 2021" sheetId="153" r:id="rId15"/>
    <sheet name="April 2021" sheetId="156" r:id="rId16"/>
    <sheet name="Prisliste 2021" sheetId="157" r:id="rId17"/>
    <sheet name="Prisliste 2020" sheetId="16" r:id="rId18"/>
    <sheet name="GRUSMUS 2020" sheetId="17" r:id="rId19"/>
    <sheet name="Nøgler GL" sheetId="1" r:id="rId20"/>
    <sheet name="Nøgler januar 2000" sheetId="3" r:id="rId21"/>
    <sheet name="Nøgler m. lønkode" sheetId="2" r:id="rId22"/>
    <sheet name="Balanced 2010" sheetId="22" r:id="rId23"/>
    <sheet name="_56F9DC9755BA473782653E2940F9" sheetId="122" state="veryHidden" r:id="rId24"/>
  </sheets>
  <definedNames>
    <definedName name="_56F9DC9755BA473782653E2940F9FormId">"q1iQdodEj0GLbPS0gkPt10GXD2F-bdBPpMbVolKa-XpUNzVVVUs0R1JROE5MS0IwTDFFV0pTNFVJSSQlQCN0PWcu"</definedName>
    <definedName name="_56F9DC9755BA473782653E2940F9ResponseSheet">"Form1"</definedName>
    <definedName name="_56F9DC9755BA473782653E2940F9SourceDocId">"{9cc9521c-7d83-4cb0-89f8-748dca75b3b8}"</definedName>
    <definedName name="_xlnm.Print_Area" localSheetId="20">'Nøgler januar 2000'!$A$1:$W$229</definedName>
    <definedName name="_xlnm.Print_Area" localSheetId="21">'Nøgler m. lønkode'!$A$1:$J$302</definedName>
    <definedName name="_xlnm.Print_Titles" localSheetId="15">'April 2021'!$1:$3</definedName>
    <definedName name="_xlnm.Print_Titles" localSheetId="7">'August 2020'!$1:$3</definedName>
    <definedName name="_xlnm.Print_Titles" localSheetId="22">'Balanced 2010'!$1:$1</definedName>
    <definedName name="_xlnm.Print_Titles" localSheetId="11">'December 2020'!$1:$3</definedName>
    <definedName name="_xlnm.Print_Titles" localSheetId="13">'Februar 2021'!$1:$3</definedName>
    <definedName name="_xlnm.Print_Titles" localSheetId="12">'Januar 2021'!$1:$3</definedName>
    <definedName name="_xlnm.Print_Titles" localSheetId="6">'Juli 2020'!$1:$3</definedName>
    <definedName name="_xlnm.Print_Titles" localSheetId="5">'Juni 2020'!$1:$3</definedName>
    <definedName name="_xlnm.Print_Titles" localSheetId="4">'Maj 2020'!$1:$3</definedName>
    <definedName name="_xlnm.Print_Titles" localSheetId="14">'Marts 2021'!$1:$3</definedName>
    <definedName name="_xlnm.Print_Titles" localSheetId="10">'November 2020'!$1:$3</definedName>
    <definedName name="_xlnm.Print_Titles" localSheetId="9">'Oktober 2020'!$1:$3</definedName>
    <definedName name="_xlnm.Print_Titles" localSheetId="8">'September 2020'!$1:$3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65" i="3" l="1"/>
  <c r="G265" i="3"/>
  <c r="F265" i="3"/>
  <c r="E265" i="3"/>
  <c r="D265" i="3"/>
  <c r="C265" i="3"/>
  <c r="B265" i="3"/>
  <c r="I264" i="3"/>
  <c r="I262" i="3"/>
  <c r="I260" i="3"/>
  <c r="I258" i="3"/>
  <c r="I256" i="3"/>
  <c r="I254" i="3"/>
  <c r="I252" i="3"/>
  <c r="I250" i="3"/>
  <c r="I248" i="3"/>
  <c r="I236" i="3"/>
  <c r="I238" i="3"/>
  <c r="I240" i="3"/>
  <c r="I242" i="3"/>
  <c r="I244" i="3"/>
  <c r="I246" i="3"/>
  <c r="I225" i="3"/>
  <c r="I223" i="3"/>
  <c r="I224" i="3" s="1"/>
  <c r="H214" i="3"/>
  <c r="G214" i="3"/>
  <c r="F214" i="3"/>
  <c r="E214" i="3"/>
  <c r="D214" i="3"/>
  <c r="C214" i="3"/>
  <c r="B214" i="3"/>
  <c r="I213" i="3"/>
  <c r="I211" i="3"/>
  <c r="I209" i="3"/>
  <c r="H203" i="3"/>
  <c r="G203" i="3"/>
  <c r="G25" i="3"/>
  <c r="G34" i="3"/>
  <c r="G70" i="3"/>
  <c r="G220" i="3" s="1"/>
  <c r="G221" i="3" s="1"/>
  <c r="G132" i="3"/>
  <c r="G144" i="3"/>
  <c r="G162" i="3"/>
  <c r="G182" i="3"/>
  <c r="F203" i="3"/>
  <c r="E203" i="3"/>
  <c r="D203" i="3"/>
  <c r="D25" i="3"/>
  <c r="D220" i="3" s="1"/>
  <c r="D221" i="3" s="1"/>
  <c r="D34" i="3"/>
  <c r="D70" i="3"/>
  <c r="D132" i="3"/>
  <c r="D144" i="3"/>
  <c r="D162" i="3"/>
  <c r="D182" i="3"/>
  <c r="C203" i="3"/>
  <c r="B203" i="3"/>
  <c r="B25" i="3"/>
  <c r="B34" i="3"/>
  <c r="B70" i="3"/>
  <c r="B132" i="3"/>
  <c r="B144" i="3"/>
  <c r="B162" i="3"/>
  <c r="B182" i="3"/>
  <c r="I202" i="3"/>
  <c r="I200" i="3"/>
  <c r="I198" i="3"/>
  <c r="I196" i="3"/>
  <c r="I190" i="3"/>
  <c r="N190" i="3" s="1"/>
  <c r="I192" i="3"/>
  <c r="N191" i="3" s="1"/>
  <c r="I194" i="3"/>
  <c r="N192" i="3" s="1"/>
  <c r="S187" i="3"/>
  <c r="H182" i="3"/>
  <c r="H25" i="3"/>
  <c r="H34" i="3"/>
  <c r="H70" i="3"/>
  <c r="H132" i="3"/>
  <c r="H144" i="3"/>
  <c r="H162" i="3"/>
  <c r="F182" i="3"/>
  <c r="E182" i="3"/>
  <c r="C182" i="3"/>
  <c r="I181" i="3"/>
  <c r="N173" i="3"/>
  <c r="I173" i="3"/>
  <c r="N171" i="3" s="1"/>
  <c r="S166" i="3"/>
  <c r="I171" i="3"/>
  <c r="F162" i="3"/>
  <c r="E162" i="3"/>
  <c r="C162" i="3"/>
  <c r="I161" i="3"/>
  <c r="I159" i="3"/>
  <c r="I157" i="3"/>
  <c r="I155" i="3"/>
  <c r="I153" i="3"/>
  <c r="I151" i="3"/>
  <c r="F144" i="3"/>
  <c r="E144" i="3"/>
  <c r="C144" i="3"/>
  <c r="C25" i="3"/>
  <c r="C34" i="3"/>
  <c r="C70" i="3"/>
  <c r="C132" i="3"/>
  <c r="I143" i="3"/>
  <c r="I139" i="3"/>
  <c r="I141" i="3"/>
  <c r="N142" i="3"/>
  <c r="F132" i="3"/>
  <c r="E132" i="3"/>
  <c r="E25" i="3"/>
  <c r="E34" i="3"/>
  <c r="E70" i="3"/>
  <c r="I131" i="3"/>
  <c r="N130" i="3" s="1"/>
  <c r="I129" i="3"/>
  <c r="S127" i="3"/>
  <c r="I123" i="3"/>
  <c r="G125" i="3" s="1"/>
  <c r="H125" i="3" s="1"/>
  <c r="I125" i="3" s="1"/>
  <c r="I117" i="3"/>
  <c r="I114" i="3"/>
  <c r="H107" i="3"/>
  <c r="G107" i="3"/>
  <c r="F107" i="3"/>
  <c r="E107" i="3"/>
  <c r="D107" i="3"/>
  <c r="C107" i="3"/>
  <c r="B107" i="3"/>
  <c r="I106" i="3"/>
  <c r="I104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F70" i="3"/>
  <c r="F25" i="3"/>
  <c r="F34" i="3"/>
  <c r="I69" i="3"/>
  <c r="M66" i="3"/>
  <c r="I65" i="3"/>
  <c r="I63" i="3"/>
  <c r="N54" i="3" s="1"/>
  <c r="I61" i="3"/>
  <c r="N49" i="3" s="1"/>
  <c r="I59" i="3"/>
  <c r="N44" i="3" s="1"/>
  <c r="I57" i="3"/>
  <c r="N53" i="3" s="1"/>
  <c r="I55" i="3"/>
  <c r="N48" i="3" s="1"/>
  <c r="I53" i="3"/>
  <c r="N43" i="3" s="1"/>
  <c r="I51" i="3"/>
  <c r="N52" i="3" s="1"/>
  <c r="I41" i="3"/>
  <c r="N41" i="3" s="1"/>
  <c r="I43" i="3"/>
  <c r="N46" i="3" s="1"/>
  <c r="I45" i="3"/>
  <c r="N51" i="3" s="1"/>
  <c r="I47" i="3"/>
  <c r="N42" i="3" s="1"/>
  <c r="I49" i="3"/>
  <c r="N47" i="3" s="1"/>
  <c r="M33" i="3"/>
  <c r="I33" i="3"/>
  <c r="I29" i="3"/>
  <c r="I31" i="3"/>
  <c r="I24" i="3"/>
  <c r="I14" i="3"/>
  <c r="N15" i="3" s="1"/>
  <c r="I16" i="3"/>
  <c r="N16" i="3" s="1"/>
  <c r="I20" i="3"/>
  <c r="N18" i="3" s="1"/>
  <c r="I18" i="3"/>
  <c r="I22" i="3"/>
  <c r="I8" i="3"/>
  <c r="I4" i="3"/>
  <c r="I293" i="2"/>
  <c r="I291" i="2"/>
  <c r="I292" i="2" s="1"/>
  <c r="H277" i="2"/>
  <c r="G277" i="2"/>
  <c r="F277" i="2"/>
  <c r="E277" i="2"/>
  <c r="E53" i="2"/>
  <c r="E65" i="2"/>
  <c r="E116" i="2"/>
  <c r="E163" i="2"/>
  <c r="E189" i="2"/>
  <c r="E204" i="2"/>
  <c r="E238" i="2"/>
  <c r="E247" i="2"/>
  <c r="D277" i="2"/>
  <c r="C277" i="2"/>
  <c r="B277" i="2"/>
  <c r="I275" i="2"/>
  <c r="I272" i="2"/>
  <c r="I269" i="2"/>
  <c r="I266" i="2"/>
  <c r="I263" i="2"/>
  <c r="I257" i="2"/>
  <c r="I260" i="2"/>
  <c r="G249" i="2"/>
  <c r="H249" i="2" s="1"/>
  <c r="I249" i="2" s="1"/>
  <c r="H247" i="2"/>
  <c r="G247" i="2"/>
  <c r="F247" i="2"/>
  <c r="D247" i="2"/>
  <c r="C247" i="2"/>
  <c r="B247" i="2"/>
  <c r="H238" i="2"/>
  <c r="H53" i="2"/>
  <c r="H65" i="2"/>
  <c r="H116" i="2"/>
  <c r="H189" i="2"/>
  <c r="H204" i="2"/>
  <c r="G238" i="2"/>
  <c r="F238" i="2"/>
  <c r="D238" i="2"/>
  <c r="D53" i="2"/>
  <c r="D65" i="2"/>
  <c r="D116" i="2"/>
  <c r="D163" i="2"/>
  <c r="D189" i="2"/>
  <c r="D204" i="2"/>
  <c r="C238" i="2"/>
  <c r="B238" i="2"/>
  <c r="I236" i="2"/>
  <c r="I221" i="2"/>
  <c r="I224" i="2"/>
  <c r="I227" i="2"/>
  <c r="I230" i="2"/>
  <c r="I233" i="2"/>
  <c r="G204" i="2"/>
  <c r="F204" i="2"/>
  <c r="C204" i="2"/>
  <c r="B204" i="2"/>
  <c r="I202" i="2"/>
  <c r="I196" i="2"/>
  <c r="I199" i="2"/>
  <c r="G189" i="2"/>
  <c r="F189" i="2"/>
  <c r="C189" i="2"/>
  <c r="B189" i="2"/>
  <c r="I187" i="2"/>
  <c r="I184" i="2"/>
  <c r="I169" i="2"/>
  <c r="G172" i="2" s="1"/>
  <c r="H172" i="2" s="1"/>
  <c r="I172" i="2" s="1"/>
  <c r="F163" i="2"/>
  <c r="F53" i="2"/>
  <c r="F65" i="2"/>
  <c r="F116" i="2"/>
  <c r="C163" i="2"/>
  <c r="B163" i="2"/>
  <c r="B53" i="2"/>
  <c r="B65" i="2"/>
  <c r="B116" i="2"/>
  <c r="I162" i="2"/>
  <c r="I157" i="2"/>
  <c r="G116" i="2"/>
  <c r="C116" i="2"/>
  <c r="C53" i="2"/>
  <c r="C65" i="2"/>
  <c r="I115" i="2"/>
  <c r="I112" i="2"/>
  <c r="I109" i="2"/>
  <c r="I106" i="2"/>
  <c r="I103" i="2"/>
  <c r="I100" i="2"/>
  <c r="I97" i="2"/>
  <c r="I94" i="2"/>
  <c r="I91" i="2"/>
  <c r="I88" i="2"/>
  <c r="I85" i="2"/>
  <c r="I73" i="2"/>
  <c r="I76" i="2"/>
  <c r="I79" i="2"/>
  <c r="I82" i="2"/>
  <c r="G65" i="2"/>
  <c r="G53" i="2"/>
  <c r="I63" i="2"/>
  <c r="I57" i="2"/>
  <c r="I60" i="2"/>
  <c r="I65" i="2" s="1"/>
  <c r="I36" i="2"/>
  <c r="I39" i="2"/>
  <c r="I42" i="2"/>
  <c r="I45" i="2"/>
  <c r="I48" i="2"/>
  <c r="I51" i="2"/>
  <c r="I11" i="2"/>
  <c r="G14" i="2"/>
  <c r="H14" i="2" s="1"/>
  <c r="I14" i="2" s="1"/>
  <c r="I4" i="2"/>
  <c r="G7" i="2" s="1"/>
  <c r="H7" i="2" s="1"/>
  <c r="I7" i="2" s="1"/>
  <c r="I155" i="1"/>
  <c r="I153" i="1"/>
  <c r="I154" i="1" s="1"/>
  <c r="I156" i="1" s="1"/>
  <c r="H144" i="1"/>
  <c r="G144" i="1"/>
  <c r="G20" i="1"/>
  <c r="G30" i="1"/>
  <c r="G65" i="1"/>
  <c r="G74" i="1"/>
  <c r="G89" i="1"/>
  <c r="G98" i="1"/>
  <c r="G117" i="1"/>
  <c r="F144" i="1"/>
  <c r="E144" i="1"/>
  <c r="D144" i="1"/>
  <c r="C144" i="1"/>
  <c r="B144" i="1"/>
  <c r="I143" i="1"/>
  <c r="I141" i="1"/>
  <c r="I135" i="1"/>
  <c r="I137" i="1"/>
  <c r="I139" i="1"/>
  <c r="I127" i="1"/>
  <c r="I122" i="1"/>
  <c r="H117" i="1"/>
  <c r="F117" i="1"/>
  <c r="E117" i="1"/>
  <c r="D117" i="1"/>
  <c r="C117" i="1"/>
  <c r="B117" i="1"/>
  <c r="I116" i="1"/>
  <c r="I112" i="1"/>
  <c r="I114" i="1"/>
  <c r="I107" i="1"/>
  <c r="I102" i="1"/>
  <c r="H98" i="1"/>
  <c r="F98" i="1"/>
  <c r="F20" i="1"/>
  <c r="F30" i="1"/>
  <c r="F65" i="1"/>
  <c r="F74" i="1"/>
  <c r="F89" i="1"/>
  <c r="E98" i="1"/>
  <c r="D98" i="1"/>
  <c r="C98" i="1"/>
  <c r="C20" i="1"/>
  <c r="C30" i="1"/>
  <c r="C65" i="1"/>
  <c r="C74" i="1"/>
  <c r="C89" i="1"/>
  <c r="B98" i="1"/>
  <c r="I97" i="1"/>
  <c r="I98" i="1" s="1"/>
  <c r="I93" i="1"/>
  <c r="I95" i="1"/>
  <c r="H89" i="1"/>
  <c r="E89" i="1"/>
  <c r="D89" i="1"/>
  <c r="B89" i="1"/>
  <c r="I88" i="1"/>
  <c r="I86" i="1"/>
  <c r="I84" i="1"/>
  <c r="I82" i="1"/>
  <c r="I80" i="1"/>
  <c r="I78" i="1"/>
  <c r="H74" i="1"/>
  <c r="E74" i="1"/>
  <c r="D74" i="1"/>
  <c r="B74" i="1"/>
  <c r="I73" i="1"/>
  <c r="I71" i="1"/>
  <c r="I69" i="1"/>
  <c r="H65" i="1"/>
  <c r="H20" i="1"/>
  <c r="H30" i="1"/>
  <c r="E65" i="1"/>
  <c r="E20" i="1"/>
  <c r="E30" i="1"/>
  <c r="D65" i="1"/>
  <c r="D20" i="1"/>
  <c r="D30" i="1"/>
  <c r="B65" i="1"/>
  <c r="B20" i="1"/>
  <c r="B30" i="1"/>
  <c r="I64" i="1"/>
  <c r="I62" i="1"/>
  <c r="I60" i="1"/>
  <c r="I36" i="1"/>
  <c r="I38" i="1"/>
  <c r="I40" i="1"/>
  <c r="I42" i="1"/>
  <c r="I44" i="1"/>
  <c r="I46" i="1"/>
  <c r="I48" i="1"/>
  <c r="I50" i="1"/>
  <c r="I52" i="1"/>
  <c r="I54" i="1"/>
  <c r="I56" i="1"/>
  <c r="I58" i="1"/>
  <c r="I29" i="1"/>
  <c r="I25" i="1"/>
  <c r="I27" i="1"/>
  <c r="I19" i="1"/>
  <c r="I17" i="1"/>
  <c r="I15" i="1"/>
  <c r="I9" i="1"/>
  <c r="I11" i="1"/>
  <c r="I13" i="1"/>
  <c r="I4" i="1"/>
  <c r="Q129" i="3"/>
  <c r="O131" i="3" s="1"/>
  <c r="Q131" i="3" s="1"/>
  <c r="I117" i="1" l="1"/>
  <c r="I144" i="1"/>
  <c r="G287" i="2"/>
  <c r="G288" i="2" s="1"/>
  <c r="I116" i="2"/>
  <c r="G118" i="2" s="1"/>
  <c r="H118" i="2" s="1"/>
  <c r="I118" i="2" s="1"/>
  <c r="B287" i="2"/>
  <c r="B288" i="2" s="1"/>
  <c r="F287" i="2"/>
  <c r="F288" i="2" s="1"/>
  <c r="C287" i="2"/>
  <c r="C288" i="2" s="1"/>
  <c r="H287" i="2"/>
  <c r="H288" i="2" s="1"/>
  <c r="G10" i="3"/>
  <c r="H10" i="3" s="1"/>
  <c r="I10" i="3" s="1"/>
  <c r="I144" i="3"/>
  <c r="G146" i="3" s="1"/>
  <c r="H146" i="3" s="1"/>
  <c r="I146" i="3" s="1"/>
  <c r="I34" i="3"/>
  <c r="F220" i="3"/>
  <c r="F221" i="3" s="1"/>
  <c r="I132" i="3"/>
  <c r="G134" i="3" s="1"/>
  <c r="H134" i="3" s="1"/>
  <c r="I134" i="3" s="1"/>
  <c r="I226" i="3"/>
  <c r="I265" i="3"/>
  <c r="G267" i="3" s="1"/>
  <c r="H267" i="3" s="1"/>
  <c r="I267" i="3" s="1"/>
  <c r="B148" i="1"/>
  <c r="E148" i="1"/>
  <c r="I189" i="2"/>
  <c r="G191" i="2" s="1"/>
  <c r="H191" i="2" s="1"/>
  <c r="I191" i="2" s="1"/>
  <c r="N174" i="3"/>
  <c r="Q168" i="3" s="1"/>
  <c r="O170" i="3" s="1"/>
  <c r="Q170" i="3" s="1"/>
  <c r="O172" i="3" s="1"/>
  <c r="S172" i="3" s="1"/>
  <c r="S174" i="3" s="1"/>
  <c r="S182" i="3" s="1"/>
  <c r="N195" i="3"/>
  <c r="Q189" i="3" s="1"/>
  <c r="O191" i="3" s="1"/>
  <c r="Q191" i="3" s="1"/>
  <c r="O193" i="3" s="1"/>
  <c r="S193" i="3" s="1"/>
  <c r="S195" i="3" s="1"/>
  <c r="S203" i="3" s="1"/>
  <c r="N21" i="3"/>
  <c r="H220" i="3"/>
  <c r="H221" i="3" s="1"/>
  <c r="I70" i="3"/>
  <c r="G72" i="3" s="1"/>
  <c r="H72" i="3" s="1"/>
  <c r="I72" i="3" s="1"/>
  <c r="I204" i="2"/>
  <c r="G206" i="2" s="1"/>
  <c r="H206" i="2" s="1"/>
  <c r="I206" i="2" s="1"/>
  <c r="I238" i="2"/>
  <c r="G240" i="2" s="1"/>
  <c r="H240" i="2" s="1"/>
  <c r="I240" i="2" s="1"/>
  <c r="D287" i="2"/>
  <c r="D288" i="2" s="1"/>
  <c r="E220" i="3"/>
  <c r="E221" i="3" s="1"/>
  <c r="C220" i="3"/>
  <c r="C221" i="3" s="1"/>
  <c r="I162" i="3"/>
  <c r="G164" i="3" s="1"/>
  <c r="H164" i="3" s="1"/>
  <c r="I164" i="3" s="1"/>
  <c r="I182" i="3"/>
  <c r="I203" i="3"/>
  <c r="B220" i="3"/>
  <c r="B221" i="3" s="1"/>
  <c r="I214" i="3"/>
  <c r="G216" i="3" s="1"/>
  <c r="H216" i="3" s="1"/>
  <c r="I216" i="3" s="1"/>
  <c r="I53" i="2"/>
  <c r="I74" i="1"/>
  <c r="I89" i="1"/>
  <c r="C148" i="1"/>
  <c r="F148" i="1"/>
  <c r="G148" i="1"/>
  <c r="I163" i="2"/>
  <c r="G165" i="2" s="1"/>
  <c r="H165" i="2" s="1"/>
  <c r="I165" i="2" s="1"/>
  <c r="I25" i="3"/>
  <c r="I107" i="3"/>
  <c r="G109" i="3" s="1"/>
  <c r="H109" i="3" s="1"/>
  <c r="I109" i="3" s="1"/>
  <c r="I20" i="1"/>
  <c r="I30" i="1"/>
  <c r="I148" i="1" s="1"/>
  <c r="I65" i="1"/>
  <c r="D148" i="1"/>
  <c r="H148" i="1"/>
  <c r="I277" i="2"/>
  <c r="G279" i="2" s="1"/>
  <c r="H279" i="2" s="1"/>
  <c r="I279" i="2" s="1"/>
  <c r="E287" i="2"/>
  <c r="E288" i="2" s="1"/>
  <c r="G119" i="3"/>
  <c r="H119" i="3" s="1"/>
  <c r="I119" i="3" s="1"/>
  <c r="P203" i="3"/>
  <c r="G205" i="3"/>
  <c r="H205" i="3" s="1"/>
  <c r="I205" i="3" s="1"/>
  <c r="C149" i="1"/>
  <c r="C150" i="1" s="1"/>
  <c r="F149" i="1"/>
  <c r="B149" i="1"/>
  <c r="E149" i="1"/>
  <c r="H149" i="1"/>
  <c r="H150" i="1" s="1"/>
  <c r="G149" i="1"/>
  <c r="G150" i="1" s="1"/>
  <c r="D149" i="1"/>
  <c r="E150" i="1"/>
  <c r="G36" i="3"/>
  <c r="H36" i="3" s="1"/>
  <c r="I36" i="3" s="1"/>
  <c r="M35" i="3"/>
  <c r="P27" i="3"/>
  <c r="O25" i="3"/>
  <c r="M27" i="3" s="1"/>
  <c r="N56" i="3"/>
  <c r="O60" i="3" s="1"/>
  <c r="M62" i="3" s="1"/>
  <c r="P62" i="3" s="1"/>
  <c r="I294" i="2"/>
  <c r="B150" i="1" l="1"/>
  <c r="U203" i="3"/>
  <c r="D150" i="1"/>
  <c r="I287" i="2"/>
  <c r="I288" i="2" s="1"/>
  <c r="I297" i="2" s="1"/>
  <c r="I220" i="3"/>
  <c r="I221" i="3" s="1"/>
  <c r="F150" i="1"/>
  <c r="G184" i="3"/>
  <c r="H184" i="3" s="1"/>
  <c r="I184" i="3" s="1"/>
  <c r="P182" i="3"/>
  <c r="U182" i="3" s="1"/>
  <c r="G67" i="2"/>
  <c r="H67" i="2" s="1"/>
  <c r="I67" i="2" s="1"/>
  <c r="M29" i="3"/>
  <c r="P29" i="3"/>
  <c r="P33" i="3" s="1"/>
  <c r="R33" i="3" s="1"/>
  <c r="O35" i="3" s="1"/>
  <c r="P35" i="3" s="1"/>
  <c r="I229" i="3"/>
  <c r="J222" i="3"/>
  <c r="M64" i="3"/>
  <c r="P64" i="3"/>
  <c r="P66" i="3" s="1"/>
  <c r="R66" i="3" s="1"/>
  <c r="O68" i="3" s="1"/>
  <c r="P68" i="3" s="1"/>
  <c r="I150" i="1"/>
  <c r="I159" i="1" s="1"/>
  <c r="I14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Steen Hertin</author>
    <author>Mathias Hartvig Morell Nielsen</author>
    <author>Michael Bo Pedersen</author>
    <author>Kim Holm Aabroe</author>
    <author>Marianne Rasmussen</author>
  </authors>
  <commentList>
    <comment ref="V12" authorId="0" shapeId="0" xr:uid="{E4DB56E7-7D8C-4C10-8650-0C0E5AC6806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Jubilæumsfri</t>
        </r>
      </text>
    </comment>
    <comment ref="M22" authorId="1" shapeId="0" xr:uid="{CE3109A3-A948-4FD7-83A8-3A4E5F3B55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A37" authorId="1" shapeId="0" xr:uid="{CCD50035-26EA-48D8-8330-E901258A90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igen</t>
        </r>
      </text>
    </comment>
    <comment ref="O46" authorId="1" shapeId="0" xr:uid="{C20492CC-C3D5-4660-B173-DCF5168F4A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P46" authorId="1" shapeId="0" xr:uid="{441CEE75-D31E-4120-94FF-0FFBED0DE6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M62" authorId="1" shapeId="0" xr:uid="{FD2BCE57-D168-4C36-B191-6D315D54A3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N62" authorId="1" shapeId="0" xr:uid="{796D4F6C-96AF-4793-9246-9A7473F8BDF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O62" authorId="1" shapeId="0" xr:uid="{6F95C597-21B9-4BD5-80F6-426DC3A51C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U62" authorId="1" shapeId="0" xr:uid="{E572CA43-2812-4522-98C5-21D35C8E667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V62" authorId="1" shapeId="0" xr:uid="{3077A0A1-E4E7-4AD1-880A-40B7F04868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W62" authorId="1" shapeId="0" xr:uid="{624207DD-F11E-4038-B46F-98336B940C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J63" authorId="1" shapeId="0" xr:uid="{37EA70B0-22A0-4426-BD6B-3F4AAE9C06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N64" authorId="1" shapeId="0" xr:uid="{F49744A6-4F62-421E-9563-6771C0305B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F64" authorId="1" shapeId="0" xr:uid="{A5A675BB-187A-4A5F-8DB9-59D4FE6DF1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G64" authorId="1" shapeId="0" xr:uid="{F2B00E28-0260-4DAD-9BB8-3C4A251103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V66" authorId="1" shapeId="0" xr:uid="{44647883-3E53-481B-AC4C-053D418046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W66" authorId="1" shapeId="0" xr:uid="{6A750C42-1FAA-4DAB-900C-49E14D7E9D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X66" authorId="1" shapeId="0" xr:uid="{45262483-FDD5-4F99-917F-668A3D886C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D66" authorId="1" shapeId="0" xr:uid="{5D5298DC-5FDD-4BD1-AAC0-CB3CC48400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hospitalet.</t>
        </r>
      </text>
    </comment>
    <comment ref="AE66" authorId="2" shapeId="0" xr:uid="{484F89B4-FF57-4298-AA2B-1BC386D8E8E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Ottiliavej brandvagt 01:00-10:00 OA</t>
        </r>
      </text>
    </comment>
    <comment ref="AF66" authorId="2" shapeId="0" xr:uid="{1F1688B7-29DA-4BBB-9102-5E12E657372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Ottiliavej brandvagt 01:00-10:00 OA</t>
        </r>
      </text>
    </comment>
    <comment ref="F67" authorId="1" shapeId="0" xr:uid="{C726E58D-F6AE-459A-ACA7-1279E4CC5A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G67" authorId="1" shapeId="0" xr:uid="{69365546-2FF2-408D-A898-B7AB6EB265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L67" authorId="1" shapeId="0" xr:uid="{6960120A-63D2-4FF9-A3DB-85C95549C0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S67" authorId="1" shapeId="0" xr:uid="{43B05170-A373-409A-BEBD-ADC3144BF8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Y67" authorId="1" shapeId="0" xr:uid="{31D4A6A6-678D-48DD-A67A-0AAA91BF0D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E67" authorId="1" shapeId="0" xr:uid="{8FC8F417-B4EA-4D79-9815-169010B774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F67" authorId="1" shapeId="0" xr:uid="{9918C54B-7706-4E2F-A5F9-9170007040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G67" authorId="1" shapeId="0" xr:uid="{BC1AC88E-795F-4E90-86FD-E8851AFC62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R68" authorId="1" shapeId="0" xr:uid="{11042C5B-AB7E-4219-B11F-F64A2416F7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08.45</t>
        </r>
      </text>
    </comment>
    <comment ref="X68" authorId="1" shapeId="0" xr:uid="{364F8F21-A4F9-4D05-B4DC-972CFD3EEA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på RH 09.00-14.00</t>
        </r>
      </text>
    </comment>
    <comment ref="AD68" authorId="1" shapeId="0" xr:uid="{E5D3036D-6456-46AF-96BA-ADAE731B5B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Fra kl.16 og 4-5 timer frem</t>
        </r>
      </text>
    </comment>
    <comment ref="I70" authorId="1" shapeId="0" xr:uid="{E3A1843D-1273-4E89-B5B9-FBB166607B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K70" authorId="1" shapeId="0" xr:uid="{CEDEE7EE-B25C-4BE2-BFB6-04FAD907FC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R70" authorId="1" shapeId="0" xr:uid="{F085D003-6BFD-4D5D-87C5-C4CCE39C40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S70" authorId="1" shapeId="0" xr:uid="{DC568C5E-71CE-4A62-B420-0E2D08C2D4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T70" authorId="1" shapeId="0" xr:uid="{B7CBAB49-F189-4792-B15E-1F0D1738C0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Z70" authorId="1" shapeId="0" xr:uid="{7DAEC4DE-52F4-489C-A7C0-7C1A549335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A70" authorId="1" shapeId="0" xr:uid="{8E3D59FB-7264-4A7B-9399-F1BA18810A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B70" authorId="1" shapeId="0" xr:uid="{45B6676B-97F2-4DFF-9FEE-34ECB04034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E70" authorId="2" shapeId="0" xr:uid="{EC45E14D-823C-4D90-9976-5A651260134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Ottiliavej brandvagt 15:30-01:00 OA</t>
        </r>
      </text>
    </comment>
    <comment ref="AF70" authorId="2" shapeId="0" xr:uid="{9CB7EC67-EBE7-493C-AA2F-804451EC456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Ottiliavej brandvagt 16:00-01:00</t>
        </r>
      </text>
    </comment>
    <comment ref="C71" authorId="1" shapeId="0" xr:uid="{465F3D95-B4A7-4DBD-8C12-39A1CAAFDF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D71" authorId="1" shapeId="0" xr:uid="{D40BAF07-45E3-4C14-8B5F-E39647F441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E71" authorId="1" shapeId="0" xr:uid="{1D34B7B9-0602-47EA-BA5A-65C4CC39BD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H71" authorId="1" shapeId="0" xr:uid="{79AB8FF7-638A-4E93-A830-3AACD81FDE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E73" authorId="1" shapeId="0" xr:uid="{48EA27F8-B5FE-4DAD-BD9B-D1C295BA13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K73" authorId="1" shapeId="0" xr:uid="{0FE2DBBB-36D1-4387-8364-CB7365D6FE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L73" authorId="1" shapeId="0" xr:uid="{B03AE1AF-F6F8-430E-8CB0-0DEFE3389F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Q73" authorId="1" shapeId="0" xr:uid="{52D0ADE0-8126-4B3C-815D-569AA6D55D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R73" authorId="1" shapeId="0" xr:uid="{FC74944D-E3DA-4886-8A41-8EF9F8BE04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X73" authorId="1" shapeId="0" xr:uid="{18374E31-56F8-4B49-86F5-54D205039B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Y73" authorId="1" shapeId="0" xr:uid="{D59C979D-044B-4C99-A0A5-A01B601C58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Z73" authorId="1" shapeId="0" xr:uid="{78E7918D-D0F3-488F-8F6E-1339E794AB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G73" authorId="3" shapeId="0" xr:uid="{6C4F36D6-4509-4B14-A01B-134D937B4F65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Ottiliavej brandvagt
01.00-10.00</t>
        </r>
      </text>
    </comment>
    <comment ref="U100" authorId="1" shapeId="0" xr:uid="{B3F205A7-62E9-47B2-A6FA-C66D6F55F3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Gerbrandsskolen 08.00-16.00</t>
        </r>
      </text>
    </comment>
    <comment ref="V100" authorId="1" shapeId="0" xr:uid="{7A850453-E15B-44DD-980A-A560F91DFD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Gerbrandsskolen 08.00-16.00</t>
        </r>
      </text>
    </comment>
    <comment ref="AA100" authorId="1" shapeId="0" xr:uid="{31272B67-9D62-4FFE-A714-677F47BC2C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Gerbrandsskolen 08.00-16.00</t>
        </r>
      </text>
    </comment>
    <comment ref="AB100" authorId="1" shapeId="0" xr:uid="{F6DD99BE-5FCC-475C-BAC8-FC443732BE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Gerbrandsskolen 08.00-16.00</t>
        </r>
      </text>
    </comment>
    <comment ref="AC100" authorId="1" shapeId="0" xr:uid="{24222FE8-73E2-4395-9FA8-2B12C363EF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Gerbrandsskolen 08.00-16.00</t>
        </r>
      </text>
    </comment>
    <comment ref="AD100" authorId="1" shapeId="0" xr:uid="{EA62CE05-E242-43E6-8222-7C7CAD6046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Gerbrandsskolen 08.00-16.00</t>
        </r>
      </text>
    </comment>
    <comment ref="AE100" authorId="1" shapeId="0" xr:uid="{DA63198C-5A87-4DEF-9C20-57FC8469E7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Gerbrandsskolen 08.00-16.00</t>
        </r>
      </text>
    </comment>
    <comment ref="C101" authorId="1" shapeId="0" xr:uid="{EBAE1EEB-9AF9-4273-A82D-9FF6589912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D101" authorId="1" shapeId="0" xr:uid="{7C85EEB8-AD53-486B-AD6E-0B69080C16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H101" authorId="1" shapeId="0" xr:uid="{CDA323FF-792B-4CA7-9A67-E8357D36F3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I101" authorId="1" shapeId="0" xr:uid="{349DDD92-BD79-413F-9289-17C93E7D85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J101" authorId="1" shapeId="0" xr:uid="{74C08081-480C-43BA-8E22-411998C3267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C101" authorId="1" shapeId="0" xr:uid="{2F6309BE-7D88-4BF7-AB03-45B698FB77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E101" authorId="3" shapeId="0" xr:uid="{6E309C84-90C1-49B7-ABD2-BC13C45E13A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AG101" authorId="3" shapeId="0" xr:uid="{164D6BC6-5F84-44B7-8EB9-A7534F143C7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Ottiliavej brandvagt
16.00-01.00</t>
        </r>
      </text>
    </comment>
    <comment ref="M108" authorId="1" shapeId="0" xr:uid="{C9494EA9-00AD-4275-902C-60CEAA3841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N108" authorId="1" shapeId="0" xr:uid="{63C1D162-327B-4A92-AFC0-E9F0970375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O108" authorId="1" shapeId="0" xr:uid="{0BE410BF-A1DD-46AC-B2A0-7D693044CB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Q108" authorId="1" shapeId="0" xr:uid="{B614D4E4-2B58-48EB-AC8C-829F0D6074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07.00-13.00</t>
        </r>
      </text>
    </comment>
    <comment ref="T108" authorId="1" shapeId="0" xr:uid="{FDA648BC-387D-4766-8086-12E848FE22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U108" authorId="1" shapeId="0" xr:uid="{06567650-6473-4668-9C21-D6AFB2F486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V108" authorId="1" shapeId="0" xr:uid="{66B39C35-D608-4DF1-8D00-FF19396151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X108" authorId="1" shapeId="0" xr:uid="{495752BD-7607-4A77-82C1-B571928088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07.00-13.00</t>
        </r>
      </text>
    </comment>
    <comment ref="AA108" authorId="1" shapeId="0" xr:uid="{01452653-2604-45F0-A2A5-9F5591EC80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AB108" authorId="1" shapeId="0" xr:uid="{05C32F7F-9FE8-400B-9DF6-48FD8D2DEB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AC108" authorId="1" shapeId="0" xr:uid="{F998C426-4EBF-41E6-BB89-37453430037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AD108" authorId="1" shapeId="0" xr:uid="{7BBF377C-BCBA-4B97-AFB4-4E4DE6BC72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AE108" authorId="1" shapeId="0" xr:uid="{359A3B02-EAA6-4DFA-A626-847FE63763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07.00-13.00</t>
        </r>
      </text>
    </comment>
    <comment ref="M120" authorId="1" shapeId="0" xr:uid="{F091568F-1478-4D97-BC81-3E93A115BB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N120" authorId="1" shapeId="0" xr:uid="{8CEB5B09-5322-47B0-A040-5C028C860F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O120" authorId="1" shapeId="0" xr:uid="{F7471543-62B7-456B-BFD8-480DEDBD94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P120" authorId="1" shapeId="0" xr:uid="{74A480B2-C398-4165-B08F-578D8B2B8A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Q120" authorId="1" shapeId="0" xr:uid="{39678363-09C8-42BA-89A6-17BCD04148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07.00-13.00</t>
        </r>
      </text>
    </comment>
    <comment ref="T120" authorId="1" shapeId="0" xr:uid="{3BE9F611-8443-474A-92C1-AADC3D9A22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U120" authorId="1" shapeId="0" xr:uid="{DB81B7C6-DD0E-4AF1-801E-B4286DF633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V120" authorId="1" shapeId="0" xr:uid="{33B6E547-15B2-4B2C-ACFF-70383E555C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X120" authorId="1" shapeId="0" xr:uid="{1BDE2E7B-9E3D-4D2F-9714-1FB3568797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AA120" authorId="1" shapeId="0" xr:uid="{E04C1496-0747-4B58-ACCD-07E7A9AE193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 07.00-14.45</t>
        </r>
      </text>
    </comment>
    <comment ref="AB120" authorId="1" shapeId="0" xr:uid="{B999C12C-DD20-4F0A-87D6-C331DA8B5A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AC120" authorId="1" shapeId="0" xr:uid="{73E4E183-745D-4479-B7DE-B5D2E283C9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AD120" authorId="1" shapeId="0" xr:uid="{63CDDB57-D477-4866-A0C6-9EBBB2697A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AE120" authorId="1" shapeId="0" xr:uid="{59D51BB1-4AAB-4CA1-92C6-1AB48B68B5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M122" authorId="1" shapeId="0" xr:uid="{C5DE57CC-F9FC-444A-959B-98F46F98BB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N122" authorId="1" shapeId="0" xr:uid="{CA834783-A207-4EF5-BC58-E335E45CD6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O122" authorId="1" shapeId="0" xr:uid="{E6A22D19-7D13-4928-8FD6-157F929E99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P122" authorId="1" shapeId="0" xr:uid="{3DEBFFA1-E5BB-43A2-B26D-0097F3A9BE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Q122" authorId="1" shapeId="0" xr:uid="{71EB95C6-6FB2-41F9-BB38-E605519002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09.00-15.00</t>
        </r>
      </text>
    </comment>
    <comment ref="T122" authorId="1" shapeId="0" xr:uid="{C79DCF34-B9A0-4282-849D-027F082B24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ca. 11.00-16.45
skal på hospital</t>
        </r>
      </text>
    </comment>
    <comment ref="U122" authorId="1" shapeId="0" xr:uid="{FA4B54ED-F4E1-429A-995B-E4EC077117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V122" authorId="1" shapeId="0" xr:uid="{47D33EA7-8591-4915-86B4-E147B330F1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AA122" authorId="1" shapeId="0" xr:uid="{20735894-B768-484A-A4F2-42629A2500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Møder09.00-16.45</t>
        </r>
      </text>
    </comment>
    <comment ref="AB122" authorId="1" shapeId="0" xr:uid="{38FFEA0C-CFFB-40B2-BBFD-2D86A0C582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AC122" authorId="1" shapeId="0" xr:uid="{456D56A1-7A77-49FB-BE2A-DAF600FECE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AD122" authorId="1" shapeId="0" xr:uid="{A3DEF117-3F2B-47B2-BEDB-DA437E9133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AE122" authorId="1" shapeId="0" xr:uid="{999B67BF-2325-4533-82CA-04E9A1DC2D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M124" authorId="1" shapeId="0" xr:uid="{397F84EA-2A16-438C-956E-713B1A1928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N124" authorId="1" shapeId="0" xr:uid="{3E9B281A-D3C7-4763-A6B5-F3A0F955AD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O124" authorId="1" shapeId="0" xr:uid="{87461005-E7F1-43A8-BFBE-5C104A2FAE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P124" authorId="1" shapeId="0" xr:uid="{4A77E375-469C-4A6B-A0C7-F3F741F8FC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Q124" authorId="1" shapeId="0" xr:uid="{F6B7D885-554A-4943-B1E1-1A556F1991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09.00-15.00</t>
        </r>
      </text>
    </comment>
    <comment ref="T124" authorId="1" shapeId="0" xr:uid="{D142A36E-19FA-4288-8F57-8F3B025185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U124" authorId="1" shapeId="0" xr:uid="{2DCB78BE-4D1B-428A-91A8-C7CDB406F0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V124" authorId="1" shapeId="0" xr:uid="{1894D80E-9873-4509-9132-D0ACF0904B5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07.00-14.45</t>
        </r>
      </text>
    </comment>
    <comment ref="X124" authorId="1" shapeId="0" xr:uid="{78DB9A13-7404-4057-B536-579ECF01C47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09.00-15.00</t>
        </r>
      </text>
    </comment>
    <comment ref="AA124" authorId="1" shapeId="0" xr:uid="{E726DA63-7A39-49BF-8C5D-90CB0052A2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AB124" authorId="1" shapeId="0" xr:uid="{70D60A96-9E75-48E9-83E7-871327489D0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AC124" authorId="1" shapeId="0" xr:uid="{3F054FC3-52E5-42C6-9800-A2A8027085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AD124" authorId="1" shapeId="0" xr:uid="{86CFC01B-E28B-46CF-B4DD-24EAED29C2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AE124" authorId="1" shapeId="0" xr:uid="{197DEB3D-07DE-4679-AD62-6367603DEB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09.00-15.00</t>
        </r>
      </text>
    </comment>
    <comment ref="P154" authorId="4" shapeId="0" xr:uid="{2285F194-15C5-4B98-B6D3-AB74B6FBC0C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Q154" authorId="4" shapeId="0" xr:uid="{E6D09644-8EC7-47C4-AD01-AD779FB8B4E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U154" authorId="1" shapeId="0" xr:uid="{CE46638A-1FE0-4518-9DE4-20E7A01393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B154" authorId="1" shapeId="0" xr:uid="{C400D37B-31DD-496E-AB5F-E8AAB66409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C154" authorId="1" shapeId="0" xr:uid="{F02C5F38-D7B2-47DC-88F7-150B931929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M184" authorId="1" shapeId="0" xr:uid="{08CE3E2B-1601-4114-ADE4-10F9FB885B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Starter på Lyongade igen.</t>
        </r>
      </text>
    </comment>
    <comment ref="O185" authorId="1" shapeId="0" xr:uid="{CE82264C-B790-48C6-8CB3-160160116B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Startet på arbejde igen</t>
        </r>
      </text>
    </comment>
    <comment ref="F186" authorId="1" shapeId="0" xr:uid="{D0A3A15A-8B97-4FC8-905E-2834929994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Arbejde</t>
        </r>
      </text>
    </comment>
    <comment ref="O189" authorId="1" shapeId="0" xr:uid="{7F35EC6C-4524-4AF9-BDEA-33EB3E3467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Startet på arbejde igen</t>
        </r>
      </text>
    </comment>
    <comment ref="M190" authorId="1" shapeId="0" xr:uid="{39C7BA3E-230B-4163-9BAA-A54425D60F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Flyttet fra 8 juni</t>
        </r>
      </text>
    </comment>
    <comment ref="F192" authorId="1" shapeId="0" xr:uid="{A450D2FE-F123-4720-9144-D85F6A4EBE3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Starter i Gl. Vasbygade</t>
        </r>
      </text>
    </comment>
    <comment ref="F193" authorId="1" shapeId="0" xr:uid="{049895E3-D2B8-41CB-A7E3-F92C70DF3E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Starter igen på sydbanestien.</t>
        </r>
      </text>
    </comment>
    <comment ref="X217" authorId="1" shapeId="0" xr:uid="{342D5834-03CD-48E5-9BF6-16D1FAD3A9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09.00-16.45</t>
        </r>
      </text>
    </comment>
    <comment ref="T219" authorId="1" shapeId="0" xr:uid="{9271E09B-09A2-40DC-B35C-4825ADAFFA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BaNanna Park møder 07.30 på RH.</t>
        </r>
      </text>
    </comment>
    <comment ref="U219" authorId="1" shapeId="0" xr:uid="{425A41CD-8B85-400C-ADAF-B4C2D11989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BaNanna Park møder 07.30 på RH.</t>
        </r>
      </text>
    </comment>
    <comment ref="V219" authorId="1" shapeId="0" xr:uid="{4FE1AB92-9F91-4BA3-B82F-1C206F530A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BaNanna Park møder 07.30 på RH.</t>
        </r>
      </text>
    </comment>
    <comment ref="X219" authorId="1" shapeId="0" xr:uid="{3C99EC60-DCE1-4EF8-AEB3-512522B8D3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BaNanna Park møder 07.30 på RH.</t>
        </r>
      </text>
    </comment>
    <comment ref="AA219" authorId="3" shapeId="0" xr:uid="{C86D4419-10A5-40FC-B088-0D473296724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 Park
8-15</t>
        </r>
      </text>
    </comment>
    <comment ref="AB219" authorId="3" shapeId="0" xr:uid="{51A44E6D-EF07-44C0-BAD3-326E6E684626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AC219" authorId="3" shapeId="0" xr:uid="{C0079A50-6427-4DAE-A186-4FFF0B3566E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AD219" authorId="3" shapeId="0" xr:uid="{D23A7CCB-173E-4F79-822E-9CE6C01175FE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F221" authorId="1" shapeId="0" xr:uid="{1753085A-8A89-46C9-A292-BDA5AE935C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G221" authorId="1" shapeId="0" xr:uid="{9D6D7D14-5E3C-4DE3-9A1E-A0048987FD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T256" authorId="1" shapeId="0" xr:uid="{C26A5A35-7A19-4FE8-8056-F5780B4014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D256" authorId="1" shapeId="0" xr:uid="{A2592226-81A2-4EC1-A3A4-80EDBDAF9A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F260" authorId="1" shapeId="0" xr:uid="{54C0276C-8B94-4495-961D-4229FE868A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G260" authorId="1" shapeId="0" xr:uid="{5365687F-44B3-4D67-A71F-4B627C1C54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A260" authorId="1" shapeId="0" xr:uid="{FF2B2699-675B-4229-847C-E7A6584FA50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D260" authorId="1" shapeId="0" xr:uid="{FD462789-58F1-4E6F-B873-9EA0FB7565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E262" authorId="1" shapeId="0" xr:uid="{F9D42E64-439A-43E2-A25A-7C5BCEEE54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C292" authorId="5" shapeId="0" xr:uid="{9856782B-B73C-4F9B-9DC9-B40BFBCAEF97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AFS - 5 Timer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Steen Hertin</author>
    <author>Marianne Rasmussen</author>
    <author>Michael Bo Pedersen</author>
    <author>Mathias Hartvig Morell Nielsen</author>
    <author>Rasmus Sørensen</author>
  </authors>
  <commentList>
    <comment ref="Q13" authorId="0" shapeId="0" xr:uid="{D3D4A54D-27D2-453C-B329-B477D00A718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som VH</t>
        </r>
      </text>
    </comment>
    <comment ref="R17" authorId="1" shapeId="0" xr:uid="{D8A0CD9B-DA3F-4E4B-B006-9DDD3A8FCB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W21" authorId="1" shapeId="0" xr:uid="{675E5981-32F6-47DF-B869-02EB4CF24B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7-19</t>
        </r>
      </text>
    </comment>
    <comment ref="C22" authorId="1" shapeId="0" xr:uid="{63374C24-D7B3-492A-BBF2-3E6528906F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D22" authorId="1" shapeId="0" xr:uid="{9B925F2C-D9E6-4464-B3D7-9D9E53B8D7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E22" authorId="1" shapeId="0" xr:uid="{35223186-DBAC-4BA8-8825-AC2D1B7999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R22" authorId="1" shapeId="0" xr:uid="{0E068916-165B-4B38-A8C5-79F3C4D0DD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</t>
        </r>
      </text>
    </comment>
    <comment ref="AA22" authorId="1" shapeId="0" xr:uid="{3CC2A33B-B05C-46CA-B0F1-E4C9FBDF04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AB22" authorId="1" shapeId="0" xr:uid="{82B9A5F7-071E-4035-8AA7-C6D5B8C988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AE22" authorId="1" shapeId="0" xr:uid="{0F224D13-BB3F-4D69-8B1F-ED26E884FB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AF22" authorId="1" shapeId="0" xr:uid="{E056F896-263D-4027-B774-E1968945CE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Q23" authorId="1" shapeId="0" xr:uid="{D50E9AAD-1DE0-4496-ADB7-6A9E2B766DD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R23" authorId="1" shapeId="0" xr:uid="{4FA56F7E-1F28-42D1-B533-ADF9F2F8B7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S23" authorId="1" shapeId="0" xr:uid="{E3EF0F27-04A5-484E-8C5A-577AF99C8F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T23" authorId="1" shapeId="0" xr:uid="{10B08CE4-6E48-4FB7-9905-8FAB6215F5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U23" authorId="1" shapeId="0" xr:uid="{F6AA5FFF-C895-4921-B955-A9E533AF2D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X23" authorId="1" shapeId="0" xr:uid="{89001E29-87FC-4A8E-8CA2-A67DAEC0A3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Y23" authorId="1" shapeId="0" xr:uid="{9A86CB35-E2DC-497A-AD9A-F9C6B089B58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Z23" authorId="1" shapeId="0" xr:uid="{8478ABED-4D27-43BA-B647-9E3EB5C32C4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Y26" authorId="1" shapeId="0" xr:uid="{6772DA9A-C1D3-43F7-8414-3C1BDC4AAF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nødvagt</t>
        </r>
      </text>
    </comment>
    <comment ref="S27" authorId="1" shapeId="0" xr:uid="{C483AD46-8405-4034-A0A2-4697DEE0A1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nødvagterne.</t>
        </r>
      </text>
    </comment>
    <comment ref="AA38" authorId="1" shapeId="0" xr:uid="{AB2A07B6-C747-4848-AA4D-5FAF5CC14240}">
      <text>
        <r>
          <rPr>
            <b/>
            <sz val="9"/>
            <color indexed="81"/>
            <rFont val="Tahoma"/>
            <family val="2"/>
          </rPr>
          <t>Steen Hertin:Gerbrandskolen 08.00-16.00</t>
        </r>
      </text>
    </comment>
    <comment ref="AB38" authorId="1" shapeId="0" xr:uid="{5FE76534-E91D-4010-83D3-AEF2E62E4EEC}">
      <text>
        <r>
          <rPr>
            <b/>
            <sz val="9"/>
            <color indexed="81"/>
            <rFont val="Tahoma"/>
            <family val="2"/>
          </rPr>
          <t>Steen Hertin:Gerbrandskolen 08.00-16.00</t>
        </r>
      </text>
    </comment>
    <comment ref="E43" authorId="1" shapeId="0" xr:uid="{46315705-3B4B-4872-8C02-49770555DA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Ottiliavej 01.00-10.00</t>
        </r>
      </text>
    </comment>
    <comment ref="Y43" authorId="2" shapeId="0" xr:uid="{B62F861B-0996-467E-AB5A-DC2955081695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 timer i afs</t>
        </r>
      </text>
    </comment>
    <comment ref="G47" authorId="1" shapeId="0" xr:uid="{E6472987-64AA-4AE5-8468-038B855D47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H47" authorId="1" shapeId="0" xr:uid="{D49D9E7C-82A8-46A5-9030-FB79EE460E8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I47" authorId="1" shapeId="0" xr:uid="{50196EBB-37C0-414B-8B52-57290785A0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A47" authorId="1" shapeId="0" xr:uid="{EF44CBFA-0E2F-4B8D-A47B-01B2D3D48E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B47" authorId="1" shapeId="0" xr:uid="{DB60F6A3-098F-4E88-8304-A2ADE57C7E0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G63" authorId="1" shapeId="0" xr:uid="{111B5638-6527-4FE0-901D-02305B9277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H63" authorId="1" shapeId="0" xr:uid="{82ED177F-4BF6-467B-A56D-8E204BDFD7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I63" authorId="1" shapeId="0" xr:uid="{3F17463B-776E-4719-AE81-D5525FDBBF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U63" authorId="1" shapeId="0" xr:uid="{5422EC1C-D43A-40C4-B6FB-F26550965D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V63" authorId="1" shapeId="0" xr:uid="{77F0968D-CB68-4492-B225-077BA3ED7E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W63" authorId="1" shapeId="0" xr:uid="{203B8E6C-6E8A-4602-9B0B-DF2538A2CE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X63" authorId="1" shapeId="0" xr:uid="{2093F0F8-4EEA-45E8-BA22-F7EC49B48B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A64" authorId="1" shapeId="0" xr:uid="{EBD0E4E4-58F2-44D3-A7C3-0929E2AF31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7-19</t>
        </r>
      </text>
    </comment>
    <comment ref="AB64" authorId="1" shapeId="0" xr:uid="{14BB5BF6-DF10-46CF-9AB3-04C80D775D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7-19</t>
        </r>
      </text>
    </comment>
    <comment ref="O65" authorId="1" shapeId="0" xr:uid="{1CF52AB2-3AD3-494C-84CF-8D547DBAE0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P65" authorId="1" shapeId="0" xr:uid="{B75269AE-F1F9-497B-BD24-7538570275C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S65" authorId="1" shapeId="0" xr:uid="{2DA3D604-2C99-4A0C-8A06-01CA60DFFC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N66" authorId="1" shapeId="0" xr:uid="{3E3ADA3B-F376-4963-AE52-7F5D8A6CB32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O66" authorId="1" shapeId="0" xr:uid="{B77D2CAD-CA3C-45D6-A7CC-4439221931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P66" authorId="1" shapeId="0" xr:uid="{2EEA2B5A-B2E4-475C-8BD8-17AD83CE2F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S66" authorId="1" shapeId="0" xr:uid="{42DF817B-09B9-4F5A-A86A-D0454E10860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T66" authorId="1" shapeId="0" xr:uid="{20134534-6F21-45DC-B9C5-DC77EC0545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C66" authorId="1" shapeId="0" xr:uid="{E9FFD8EB-AC1C-4825-9B64-36B93FBEDC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7-19</t>
        </r>
      </text>
    </comment>
    <comment ref="Q67" authorId="1" shapeId="0" xr:uid="{7E7059F1-A76C-415F-9DA5-3D6016C47B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R67" authorId="1" shapeId="0" xr:uid="{C41E84A9-6E74-44E5-80AD-18B429D223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T67" authorId="1" shapeId="0" xr:uid="{CD633551-64FD-44CC-875A-AE33FD55AE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U67" authorId="1" shapeId="0" xr:uid="{8E9A7F1F-5D79-4BD1-9577-921B591AE8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C68" authorId="3" shapeId="0" xr:uid="{E9A4BE91-9CC3-4928-BAFF-898F2348EDF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Ottiliavej brandvagt
01.00-10.00</t>
        </r>
      </text>
    </comment>
    <comment ref="E68" authorId="1" shapeId="0" xr:uid="{F45FAF8B-FE37-4F46-9D0A-260920590D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F68" authorId="1" shapeId="0" xr:uid="{C6D8B76B-CC4E-41CE-B2D7-65E74C33E2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L68" authorId="1" shapeId="0" xr:uid="{52BE46E6-48DC-4DC3-A51C-BE67A4F07B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M68" authorId="1" shapeId="0" xr:uid="{728D3A7B-8DFB-4B7B-B60B-D89AD1DFBD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N68" authorId="1" shapeId="0" xr:uid="{30D0AE7A-8C17-4761-8AAA-D3BD064302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J69" authorId="1" shapeId="0" xr:uid="{04AFAC5A-EB4D-48B1-9447-720B84C44B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 10.00-15.00</t>
        </r>
      </text>
    </comment>
    <comment ref="K69" authorId="1" shapeId="0" xr:uid="{0682BB36-034C-433D-B5EF-169E032752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Sygehus</t>
        </r>
      </text>
    </comment>
    <comment ref="L69" authorId="1" shapeId="0" xr:uid="{FF8C0837-F8AA-4DFF-ADB9-D1996050AC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 11.00-16.00</t>
        </r>
      </text>
    </comment>
    <comment ref="M69" authorId="1" shapeId="0" xr:uid="{D47E7819-D493-4006-A365-B25ACBE989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Sygehus</t>
        </r>
      </text>
    </comment>
    <comment ref="N69" authorId="1" shapeId="0" xr:uid="{B0C22226-6BA5-41A6-9D0D-B6BD844341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Sygehus</t>
        </r>
      </text>
    </comment>
    <comment ref="R69" authorId="1" shapeId="0" xr:uid="{92F4A354-F6D0-4939-9F44-4B2DBC6450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Sygehus</t>
        </r>
      </text>
    </comment>
    <comment ref="T69" authorId="1" shapeId="0" xr:uid="{757EE8C3-03B2-4BED-8296-7EB4B4F319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Sygehus</t>
        </r>
      </text>
    </comment>
    <comment ref="Y69" authorId="1" shapeId="0" xr:uid="{005E0D8C-CB9C-4CF6-8FC5-0EE33AB7B0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Sygehus</t>
        </r>
      </text>
    </comment>
    <comment ref="Z69" authorId="1" shapeId="0" xr:uid="{00C63BBA-CB43-496C-B2C1-023CA4A9B6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kl. 17.30-21.00</t>
        </r>
      </text>
    </comment>
    <comment ref="AA69" authorId="1" shapeId="0" xr:uid="{8C2D9DA5-AF3E-4E48-8155-0D0F5791DCB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Sygehus</t>
        </r>
      </text>
    </comment>
    <comment ref="AB69" authorId="1" shapeId="0" xr:uid="{8DC4D3BD-DB0F-42E3-9CF5-E6319D8E51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08.00-16.00</t>
        </r>
      </text>
    </comment>
    <comment ref="AF69" authorId="1" shapeId="0" xr:uid="{BCD7DECF-B6C7-4B6E-8EA6-56E32B3EAE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Sygehus</t>
        </r>
      </text>
    </comment>
    <comment ref="F72" authorId="4" shapeId="0" xr:uid="{78BC33B5-AF7F-4A13-9D42-7B5E4DD52EB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L72" authorId="1" shapeId="0" xr:uid="{6E928290-28AE-4299-9CA0-CB27F4F945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M72" authorId="1" shapeId="0" xr:uid="{CFD72FD0-DC1E-4564-A318-BCFCB82ACB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C73" authorId="3" shapeId="0" xr:uid="{A4F04EFF-EB73-49E9-834F-AFB57317F44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Ottiliavej  brandvagt
16.00-01.00
</t>
        </r>
      </text>
    </comment>
    <comment ref="D73" authorId="3" shapeId="0" xr:uid="{8F144A29-C3F7-4DC5-ABA6-79D2D633B7A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Møder kl. 17.00</t>
        </r>
      </text>
    </comment>
    <comment ref="AE73" authorId="1" shapeId="0" xr:uid="{730BCFA5-A0B4-45BF-B967-36DE14E305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FERIE ???</t>
        </r>
      </text>
    </comment>
    <comment ref="R75" authorId="1" shapeId="0" xr:uid="{2DA2E3CB-C8E9-4234-B6B1-1AA6A43E17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Genopfriske alle de bygninger han er i tvivl om. Også kreds bygninger.</t>
        </r>
      </text>
    </comment>
    <comment ref="S75" authorId="1" shapeId="0" xr:uid="{497BC441-2515-4F4C-823B-2376D940B37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Genopfriske alle de bygninger han er i tvivl om. Også kreds bygninger.</t>
        </r>
      </text>
    </comment>
    <comment ref="T75" authorId="1" shapeId="0" xr:uid="{9BB38760-CAD6-4CAA-80FF-D0D9C1831F7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Genopfriske alle de bygninger han er i tvivl om. Også kreds bygninger.</t>
        </r>
      </text>
    </comment>
    <comment ref="U75" authorId="1" shapeId="0" xr:uid="{2BF597F0-8B20-49AF-884A-6CBF733413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Genopfriske alle de bygninger han er i tvivl om. Også kreds bygninger.</t>
        </r>
      </text>
    </comment>
    <comment ref="V75" authorId="1" shapeId="0" xr:uid="{DEBB6749-F093-4426-A27B-3913BA4E28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W75" authorId="1" shapeId="0" xr:uid="{A4558A1F-A2E4-4AE4-B180-626966CCB1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C75" authorId="1" shapeId="0" xr:uid="{DCA9422F-03EC-445F-84DA-E55E462A71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D75" authorId="1" shapeId="0" xr:uid="{98A04E99-AFD8-47BA-91FC-DCA2009FA0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E75" authorId="1" shapeId="0" xr:uid="{F7E8D54B-157A-4CD7-90D0-6A90449690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D78" authorId="3" shapeId="0" xr:uid="{02E49E66-43B1-46F7-9365-45B59562734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Ottiliavej brandvagt
16.00-01.00</t>
        </r>
      </text>
    </comment>
    <comment ref="E78" authorId="3" shapeId="0" xr:uid="{B406A006-2C99-4E5F-8851-CDB2AEAAD9E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Ottiliavej brandvagt
16.00-01.00</t>
        </r>
      </text>
    </comment>
    <comment ref="V78" authorId="5" shapeId="0" xr:uid="{03052CBD-A27D-4B1D-99AE-F6CA79DCB3B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Glatbane </t>
        </r>
      </text>
    </comment>
    <comment ref="J81" authorId="1" shapeId="0" xr:uid="{41380434-0D23-4624-B95E-22954D3F77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forrest.</t>
        </r>
      </text>
    </comment>
    <comment ref="Q84" authorId="1" shapeId="0" xr:uid="{86F1634E-65BD-452E-88A1-57F2368C7D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08.30
Kim tager imed.</t>
        </r>
      </text>
    </comment>
    <comment ref="R85" authorId="1" shapeId="0" xr:uid="{E5C27DB4-C919-4F43-ACC6-D8D77B08F94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08.30
Kim tager imed.</t>
        </r>
      </text>
    </comment>
    <comment ref="AA85" authorId="1" shapeId="0" xr:uid="{3CF78EE2-23D0-4595-800E-33A62EBE7E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09-17.00</t>
        </r>
      </text>
    </comment>
    <comment ref="AB85" authorId="1" shapeId="0" xr:uid="{F3C83A41-3F89-4EE2-B9CE-768B074227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09-17.00</t>
        </r>
      </text>
    </comment>
    <comment ref="D101" authorId="4" shapeId="0" xr:uid="{968432EC-F378-4AA3-906C-BD5BC4D094B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Gerbrandskolen fra kl. 08.00 OA</t>
        </r>
      </text>
    </comment>
    <comment ref="X101" authorId="1" shapeId="0" xr:uid="{0C34644E-8699-4579-BDBE-97CC3FDB55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Y101" authorId="1" shapeId="0" xr:uid="{C0CE7831-76F5-47FC-8D9F-ECBEE7FE9B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Z101" authorId="1" shapeId="0" xr:uid="{FA17D8CF-7506-42D7-91D5-55D58477C0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C102" authorId="1" shapeId="0" xr:uid="{DC09CA57-6203-4184-856F-A5ED6B5AB2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D102" authorId="1" shapeId="0" xr:uid="{7E903A78-94EB-4332-BBC2-D3DBD971D2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
07-10 brandvagt Ottiliavej OA</t>
        </r>
      </text>
    </comment>
    <comment ref="Z102" authorId="1" shapeId="0" xr:uid="{980A7185-78A7-4E76-9B01-D84A1FF800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A102" authorId="1" shapeId="0" xr:uid="{A0D88574-0C96-4961-80C8-9BBE1A352E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AB102" authorId="1" shapeId="0" xr:uid="{B89C3D8D-1D8E-4F5E-8C56-2B5A7FE059F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D121" authorId="1" shapeId="0" xr:uid="{C98A5895-9901-485B-8824-3C563BC7FB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E121" authorId="1" shapeId="0" xr:uid="{CE3B7609-D8CE-4CA1-9567-6FD3979E92C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F121" authorId="1" shapeId="0" xr:uid="{519DFCF9-4265-4C20-AE10-AEF2ED3750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J121" authorId="1" shapeId="0" xr:uid="{83A9BB83-1AED-46BC-8270-30015A227C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K121" authorId="1" shapeId="0" xr:uid="{B8AE8B75-D250-4E7F-AA2E-3A8E799625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L121" authorId="1" shapeId="0" xr:uid="{14339858-14B5-43F5-B333-E1F80D47539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M121" authorId="1" shapeId="0" xr:uid="{27C8429C-FE5E-44AA-8BFF-D91D034EBF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N121" authorId="1" shapeId="0" xr:uid="{A14471A5-09D0-4F54-A52C-F0E76C5C71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Q121" authorId="1" shapeId="0" xr:uid="{34CE26D9-89D1-4640-A056-C2ED7AEFA5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R121" authorId="1" shapeId="0" xr:uid="{1E2C2001-D0E6-480A-BA3A-3D7EED9107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S121" authorId="1" shapeId="0" xr:uid="{327105CF-42CC-4489-9600-1B3461FE5E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T121" authorId="1" shapeId="0" xr:uid="{47C5C9DC-F6F7-4275-BF49-D162EE756F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U121" authorId="1" shapeId="0" xr:uid="{66868F7A-8C26-4805-8AD5-9C84C5DFEB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X121" authorId="1" shapeId="0" xr:uid="{EAC11D04-72BC-4871-89DE-4C540A0F53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Y121" authorId="1" shapeId="0" xr:uid="{D7B1BD98-B693-498C-BBCC-7E16EC768C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Z121" authorId="1" shapeId="0" xr:uid="{8EF266C8-F838-432E-B7B3-7929845C54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AA121" authorId="1" shapeId="0" xr:uid="{E939B261-C119-4CBC-9D4C-0FF6901708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AB121" authorId="1" shapeId="0" xr:uid="{070B6296-EAD6-4002-966D-5C8B998182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AE121" authorId="1" shapeId="0" xr:uid="{33568115-760B-4F3D-A50A-15D82BFFD7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AF121" authorId="1" shapeId="0" xr:uid="{37EE59F2-0934-4F06-A886-3A55AB5FB9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D122" authorId="1" shapeId="0" xr:uid="{14C3AE19-162C-4C60-909B-65FB3D8BFD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Hjemme</t>
        </r>
      </text>
    </comment>
    <comment ref="E122" authorId="1" shapeId="0" xr:uid="{DF3FC1F7-D47B-41A2-A5B2-A5E4555391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Hjemme</t>
        </r>
      </text>
    </comment>
    <comment ref="F122" authorId="1" shapeId="0" xr:uid="{DF010A85-9492-48ED-856C-799DAED9D5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Hjemme</t>
        </r>
      </text>
    </comment>
    <comment ref="AC122" authorId="1" shapeId="0" xr:uid="{15C6DB31-1D43-4CBE-96AF-A2E5970F1F9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Tarik møder som 89-vagt </t>
        </r>
      </text>
    </comment>
    <comment ref="D123" authorId="1" shapeId="0" xr:uid="{92340DAB-D4A0-4840-BB28-D805C76504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E123" authorId="1" shapeId="0" xr:uid="{995F37D6-A94F-4359-87C2-6B4CA70B6B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Gerbrandskolen 8-16</t>
        </r>
      </text>
    </comment>
    <comment ref="F123" authorId="0" shapeId="0" xr:uid="{D988A337-B78B-44AF-9963-3330C863601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Gerbrandskolen 8-16
</t>
        </r>
      </text>
    </comment>
    <comment ref="J123" authorId="1" shapeId="0" xr:uid="{B7E8170E-9614-4777-8647-78DB96BB5F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K123" authorId="1" shapeId="0" xr:uid="{4D149DE2-2EAB-4307-892B-23CA62CB3D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L123" authorId="1" shapeId="0" xr:uid="{BE9256C9-1260-40C5-83FD-A19E77793B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M123" authorId="1" shapeId="0" xr:uid="{E77BD177-E8F8-4EBD-A1F7-2A8D29FDE7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N123" authorId="1" shapeId="0" xr:uid="{341116ED-6C28-4360-B667-1921E552F0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Q123" authorId="1" shapeId="0" xr:uid="{DCB6C959-CA7F-44C5-B8F2-CAAABD1FFBD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R123" authorId="1" shapeId="0" xr:uid="{E0317548-671B-41A8-9B2C-89F86B1081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S123" authorId="1" shapeId="0" xr:uid="{67369519-76CA-4BE9-B05D-C9FEBBF45B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T123" authorId="1" shapeId="0" xr:uid="{2BEBDF31-07F5-4B38-B3B1-87E0DA68A5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U123" authorId="1" shapeId="0" xr:uid="{1903FD47-B69E-4DB2-BF72-545693C47D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X123" authorId="1" shapeId="0" xr:uid="{2BCF30BA-3744-4E66-9C56-C0A40DB797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Y123" authorId="1" shapeId="0" xr:uid="{B540A8B6-1383-4A2C-8790-8CB2F8F43E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hospital</t>
        </r>
      </text>
    </comment>
    <comment ref="Z123" authorId="1" shapeId="0" xr:uid="{5FE5239F-D01A-4161-B6DE-35273ECED1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AA123" authorId="1" shapeId="0" xr:uid="{F32E681F-7254-4B3A-A155-6A5AFFACC0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AB123" authorId="1" shapeId="0" xr:uid="{7F0E034B-BD22-457C-B861-737E8311BB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D125" authorId="1" shapeId="0" xr:uid="{292DCDA9-3E1C-4B53-AC97-2AD6BFD60A0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E125" authorId="1" shapeId="0" xr:uid="{557F6D37-974B-4CC6-813C-0CC72D303D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F125" authorId="1" shapeId="0" xr:uid="{5E6F9D46-E092-4ACA-9D4D-33AC91B011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09-16.45</t>
        </r>
      </text>
    </comment>
    <comment ref="J125" authorId="1" shapeId="0" xr:uid="{A60736C7-86AB-4299-8665-3D802112B1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K125" authorId="1" shapeId="0" xr:uid="{24557536-86E0-4FBD-A303-5FF7A2BADC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L125" authorId="1" shapeId="0" xr:uid="{80CA821E-8EA5-46FB-B10F-DCDC34D085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M125" authorId="1" shapeId="0" xr:uid="{3D455487-351D-4932-856E-E185AC6A76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N125" authorId="1" shapeId="0" xr:uid="{8ACB6324-5740-4DA1-AE0B-6188682C0FB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Q125" authorId="1" shapeId="0" xr:uid="{7195BC9F-9C52-4A5C-AA59-34E72018C77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R125" authorId="1" shapeId="0" xr:uid="{E95A3001-30A7-4007-93A0-1A98DE081B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S125" authorId="1" shapeId="0" xr:uid="{6C399C95-08DF-4B28-80E9-AC1E8A6A4F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T125" authorId="1" shapeId="0" xr:uid="{B63122CD-E1BB-4495-9DBD-DF26BF894ED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U125" authorId="1" shapeId="0" xr:uid="{C234EBA2-A1E2-454A-8BC3-4F47C9DD0F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X125" authorId="1" shapeId="0" xr:uid="{04C8664F-75C2-4210-98A3-CD5C42864B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Y125" authorId="1" shapeId="0" xr:uid="{582488DC-8F97-40AC-A7E1-5698158ACF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Z125" authorId="1" shapeId="0" xr:uid="{87598D1F-68A3-46FC-B03D-A291D00D65E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AA125" authorId="1" shapeId="0" xr:uid="{9F26ABFF-55F0-47EE-B375-3203FDDFD1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AB125" authorId="1" shapeId="0" xr:uid="{B1B13029-B19E-45D9-811B-68C5F4AAB7E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AE125" authorId="1" shapeId="0" xr:uid="{A1F5A3CC-ECE8-45B6-83B0-E5D21B78A8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AF125" authorId="1" shapeId="0" xr:uid="{E8EC4096-9FCE-4E5B-BBBE-1F45FBC267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V142" authorId="1" shapeId="0" xr:uid="{7AA75BF5-701C-4F56-9966-D22F11D462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W142" authorId="1" shapeId="0" xr:uid="{C1BECB19-4F72-4969-B0C4-9B31B9EC01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J156" authorId="1" shapeId="0" xr:uid="{3744C6E8-14EE-4163-971A-20567D35C2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K156" authorId="1" shapeId="0" xr:uid="{ACCEAF4B-BF87-4D90-ADE9-75E69C7A17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Q156" authorId="1" shapeId="0" xr:uid="{0F1058AA-ECCB-4967-B35F-5B539F0CD0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R156" authorId="1" shapeId="0" xr:uid="{36A5F256-8725-4DE4-8C9C-7FB6D7A88A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Y156" authorId="1" shapeId="0" xr:uid="{FCAFEE6A-5B07-4731-9539-21AA6EA2B8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G157" authorId="1" shapeId="0" xr:uid="{DBE0B9C2-D68F-49F5-9A16-569210BE28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H157" authorId="1" shapeId="0" xr:uid="{0E92C633-4858-42AC-9847-1FB5680EDB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I157" authorId="1" shapeId="0" xr:uid="{B3976077-8EB5-49D8-BF94-3996E9A3CB9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V182" authorId="1" shapeId="0" xr:uid="{D1292147-9A68-421F-A8BC-632A04A832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7-19</t>
        </r>
      </text>
    </comment>
    <comment ref="V183" authorId="1" shapeId="0" xr:uid="{0804AD67-2E48-47DF-85B6-16BEDE8FD8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7-19</t>
        </r>
      </text>
    </comment>
    <comment ref="Q185" authorId="1" shapeId="0" xr:uid="{3146956B-00A7-48B5-A379-4218BD98F3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Ferie flyttet</t>
        </r>
      </text>
    </comment>
    <comment ref="J189" authorId="1" shapeId="0" xr:uid="{3564EF1C-4C83-412C-9F09-8FA32B74738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Ferie slettet.</t>
        </r>
      </text>
    </comment>
    <comment ref="AA194" authorId="1" shapeId="0" xr:uid="{B17F17B2-83BD-48CF-9959-3BB9708820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12.00</t>
        </r>
      </text>
    </comment>
    <comment ref="AF194" authorId="1" shapeId="0" xr:uid="{EFB96391-1CEC-4A7A-8191-8AAA5D3FEB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R220" authorId="1" shapeId="0" xr:uid="{DA495680-E9AC-4424-BF0F-2535843DAC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07-19</t>
        </r>
      </text>
    </comment>
    <comment ref="S220" authorId="1" shapeId="0" xr:uid="{CEA400C9-6E1C-4511-A176-4593FA1E09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07-19</t>
        </r>
      </text>
    </comment>
    <comment ref="T220" authorId="1" shapeId="0" xr:uid="{0B8973BD-A340-4918-BC32-A206C30FB1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07-19</t>
        </r>
      </text>
    </comment>
    <comment ref="X220" authorId="1" shapeId="0" xr:uid="{C0334A63-B20A-4B17-BD8F-71055F2572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07-19</t>
        </r>
      </text>
    </comment>
    <comment ref="Z220" authorId="1" shapeId="0" xr:uid="{F5E1EE9A-77C2-47EC-9297-DC0ABA6283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07-19</t>
        </r>
      </text>
    </comment>
    <comment ref="D222" authorId="3" shapeId="0" xr:uid="{2BE6CCDA-61B2-40D4-A3C2-2C82CFF4E8E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E222" authorId="3" shapeId="0" xr:uid="{94DCCBF5-B69E-4379-AF49-C1801AC86B7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F222" authorId="3" shapeId="0" xr:uid="{EB53F703-612A-4CC2-AF62-4E463C7340E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J222" authorId="3" shapeId="0" xr:uid="{06F5522F-06F3-4EE2-B7E7-34932BB28CB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K222" authorId="3" shapeId="0" xr:uid="{46811869-C579-489E-A26C-593884B3EC0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L222" authorId="3" shapeId="0" xr:uid="{DF88C8AE-F104-4210-99C0-D14D3D7104B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M222" authorId="3" shapeId="0" xr:uid="{F5A0B20E-D52D-4D97-B1E3-8B59F03CBAC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N222" authorId="3" shapeId="0" xr:uid="{A7481684-71DB-455A-912E-E34566EE163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BanannaPark
8-15</t>
        </r>
      </text>
    </comment>
    <comment ref="R224" authorId="1" shapeId="0" xr:uid="{8DCD3073-229D-4FC5-8699-4A259998EA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07-19</t>
        </r>
      </text>
    </comment>
    <comment ref="S224" authorId="1" shapeId="0" xr:uid="{A9460C1A-AA22-4B60-9409-BB264251C5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07-19</t>
        </r>
      </text>
    </comment>
    <comment ref="T224" authorId="1" shapeId="0" xr:uid="{E85716F0-3C97-46CC-95C8-3BFB28CEFA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07-19</t>
        </r>
      </text>
    </comment>
    <comment ref="W224" authorId="1" shapeId="0" xr:uid="{0256D92C-6C87-4AEC-B150-704C016797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7-19</t>
        </r>
      </text>
    </comment>
    <comment ref="X224" authorId="1" shapeId="0" xr:uid="{FA50A577-DF7D-4613-8401-DA93C79F0C7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07-19</t>
        </r>
      </text>
    </comment>
    <comment ref="Z224" authorId="1" shapeId="0" xr:uid="{0A9D58EB-914C-4808-BD6B-75CE292CCF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Nødvagt 07-19</t>
        </r>
      </text>
    </comment>
    <comment ref="J265" authorId="1" shapeId="0" xr:uid="{FCBA7F22-DB35-4930-8B5D-670F479A68B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K265" authorId="1" shapeId="0" xr:uid="{CEF54CF4-0F97-4A3A-9BB5-FF909138B2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E295" authorId="2" shapeId="0" xr:uid="{B91D85A9-D46D-4B79-8E26-380F8210F2B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afs.</t>
        </r>
      </text>
    </comment>
    <comment ref="L295" authorId="2" shapeId="0" xr:uid="{DF025360-6AAB-4D7F-B4E7-DB864B1B68D9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- 5 timer i afs</t>
        </r>
      </text>
    </comment>
    <comment ref="Z295" authorId="2" shapeId="0" xr:uid="{4834535F-CAFF-46AB-8BB7-0E30F6300CE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-4 timer i afs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Rasmus Sørensen</author>
    <author>Michael Bo Pedersen</author>
    <author>tc={D439C904-1095-446A-95E9-7A245DFC3317}</author>
    <author>Flemming Nielsen</author>
    <author>Kim Holm Aabroe</author>
    <author>Thomas Holm</author>
    <author>Nikolaj Langtin Pamhede</author>
    <author>Marianne Rasmussen</author>
  </authors>
  <commentList>
    <comment ref="C17" authorId="0" shapeId="0" xr:uid="{EB6C4018-4198-44D4-A85A-EDAEF86660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til læge kl. 09.00</t>
        </r>
      </text>
    </comment>
    <comment ref="H21" authorId="0" shapeId="0" xr:uid="{0A2FA431-30EF-4E3A-9228-46587CE0B3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21" authorId="0" shapeId="0" xr:uid="{2086D238-D3E4-435F-A437-023A424705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V21" authorId="0" shapeId="0" xr:uid="{92DD6383-F476-4601-AE56-C918EAB1E1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21" authorId="0" shapeId="0" xr:uid="{42F6EB20-8AB8-4382-9F28-6181FB54EA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Z21" authorId="0" shapeId="0" xr:uid="{C65FE767-72AC-4220-80B0-976C763F16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C22" authorId="0" shapeId="0" xr:uid="{00CFB858-57F8-4150-B0D5-2C6FF4532B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D22" authorId="0" shapeId="0" xr:uid="{D18D202B-69E7-4150-A5F6-40B01BDDF9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</t>
        </r>
      </text>
    </comment>
    <comment ref="E22" authorId="0" shapeId="0" xr:uid="{A7199943-4CAF-4B1F-844D-46F620EE0D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ERFA</t>
        </r>
      </text>
    </comment>
    <comment ref="E23" authorId="0" shapeId="0" xr:uid="{6D505F39-C51F-44E7-939B-8EA1308052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Erfa</t>
        </r>
      </text>
    </comment>
    <comment ref="O26" authorId="0" shapeId="0" xr:uid="{E7B0FD1B-8D25-491D-AAE9-6A59978F00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posten</t>
        </r>
      </text>
    </comment>
    <comment ref="P26" authorId="0" shapeId="0" xr:uid="{2EF98A57-DDCD-42A7-A3D1-0EEB6BE062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posten</t>
        </r>
      </text>
    </comment>
    <comment ref="Q26" authorId="0" shapeId="0" xr:uid="{77AF3F95-EDAD-4F24-ACF5-921D55C825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posten</t>
        </r>
      </text>
    </comment>
    <comment ref="R26" authorId="0" shapeId="0" xr:uid="{3A115795-807B-47E7-871E-562876BFBA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posten</t>
        </r>
      </text>
    </comment>
    <comment ref="S26" authorId="0" shapeId="0" xr:uid="{521EC34E-5186-4B24-BF62-DDD33A6488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posten</t>
        </r>
      </text>
    </comment>
    <comment ref="V26" authorId="0" shapeId="0" xr:uid="{AE8BC8C8-0E1D-4075-85CB-6C322C74B84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posten</t>
        </r>
      </text>
    </comment>
    <comment ref="W26" authorId="0" shapeId="0" xr:uid="{3309949F-EEB7-49C7-BC42-9F3D640162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posten</t>
        </r>
      </text>
    </comment>
    <comment ref="X26" authorId="0" shapeId="0" xr:uid="{DE1EECFA-2463-4621-9121-9E90DBB4A3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posten</t>
        </r>
      </text>
    </comment>
    <comment ref="Y26" authorId="0" shapeId="0" xr:uid="{B0E52E3F-0D54-44E3-9C91-0851A1BB18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posten</t>
        </r>
      </text>
    </comment>
    <comment ref="AD27" authorId="0" shapeId="0" xr:uid="{C736CE23-5C4F-46DA-BFDF-60B2C102D0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Rådhusservice</t>
        </r>
      </text>
    </comment>
    <comment ref="AF27" authorId="0" shapeId="0" xr:uid="{08CE9332-014B-4AF2-9E28-95F917A324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Rådhusservice</t>
        </r>
      </text>
    </comment>
    <comment ref="C38" authorId="0" shapeId="0" xr:uid="{E886305F-4545-43B2-98DD-12DB01F5AF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 10.00 - 15.00</t>
        </r>
      </text>
    </comment>
    <comment ref="D38" authorId="0" shapeId="0" xr:uid="{421984F0-C754-4010-A5E8-658B3C1113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 10.00 - 15.00</t>
        </r>
      </text>
    </comment>
    <comment ref="E38" authorId="0" shapeId="0" xr:uid="{0E575E99-CEC9-40CB-8DE0-0DA397997EC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 10.00 - 15.00</t>
        </r>
      </text>
    </comment>
    <comment ref="AF38" authorId="1" shapeId="0" xr:uid="{F271DDE7-01DB-4F5E-BA80-266FDE359F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11-vagt på oa</t>
        </r>
      </text>
    </comment>
    <comment ref="D42" authorId="2" shapeId="0" xr:uid="{1BE30864-34BE-42FE-B872-D18671946C1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E42" authorId="0" shapeId="0" xr:uid="{7EDEF1A9-036D-4D6D-9405-45BFA49629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F42" authorId="0" shapeId="0" xr:uid="{58821471-E2B6-4C64-AAAC-ECD9B1466D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C42" authorId="0" shapeId="0" xr:uid="{11AB8AB0-77F9-4089-8837-D27F6E2C71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oa.</t>
        </r>
      </text>
    </comment>
    <comment ref="W43" authorId="3" shapeId="0" xr:uid="{D439C904-1095-446A-95E9-7A245DFC3317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ca. 1230</t>
      </text>
    </comment>
    <comment ref="R46" authorId="0" shapeId="0" xr:uid="{3D5DD64A-AFD5-49EA-8EF7-58379ABD52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E-vagt6</t>
        </r>
      </text>
    </comment>
    <comment ref="S46" authorId="0" shapeId="0" xr:uid="{9C9406FC-768F-4DEC-BE52-C913A927A1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E-vagt6</t>
        </r>
      </text>
    </comment>
    <comment ref="AG64" authorId="4" shapeId="0" xr:uid="{86C8957F-18CF-4A5D-8F8B-F1FD8E904F6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som rundviser
09.30-16.00</t>
        </r>
      </text>
    </comment>
    <comment ref="K69" authorId="0" shapeId="0" xr:uid="{95915F7A-B444-49E0-9C5D-8EA540A531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 kl. 11.00</t>
        </r>
      </text>
    </comment>
    <comment ref="O69" authorId="0" shapeId="0" xr:uid="{FB6A4041-7CBF-4B6C-A38C-DDD5E18A39CB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Q69" authorId="0" shapeId="0" xr:uid="{1029C86E-B977-4EE8-90ED-E424F44C8884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S69" authorId="0" shapeId="0" xr:uid="{966563C7-1011-4CE6-A369-190E1AC4BDF2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V69" authorId="0" shapeId="0" xr:uid="{54F8DE19-6038-4BDE-A6BE-3A71F4C1F6FF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X69" authorId="0" shapeId="0" xr:uid="{D2E67AC8-1AA0-4A9C-85DD-FA8A13632896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Z69" authorId="0" shapeId="0" xr:uid="{14C06C33-8728-44A1-913E-106225CB45EB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AC69" authorId="0" shapeId="0" xr:uid="{EC98A48C-0117-41C6-84E2-CA058EC78586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AE69" authorId="0" shapeId="0" xr:uid="{58C8B446-53E3-4B20-AEAF-1E04963DEB23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AG69" authorId="0" shapeId="0" xr:uid="{EFB24529-38DF-42C5-80D3-B23E89565980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AC70" authorId="0" shapeId="0" xr:uid="{BA8E3E44-75E5-4050-A12B-D2FC323B4E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D70" authorId="0" shapeId="0" xr:uid="{61C48351-C274-4C32-89FE-630E5F8407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E70" authorId="0" shapeId="0" xr:uid="{1E48CCB4-FAC5-481B-BBD8-CF70B99D7C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
Møder på Rådhuset kl. 10.00 og disp for hjrmløse enheden.</t>
        </r>
      </text>
    </comment>
    <comment ref="AF70" authorId="0" shapeId="0" xr:uid="{50E1DE77-E1B6-423A-991C-BB26E0BF41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
</t>
        </r>
      </text>
    </comment>
    <comment ref="AG70" authorId="0" shapeId="0" xr:uid="{D0D1422F-1623-419C-B692-093C907A562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
Møderi hjemløseenheden kl. 09.00</t>
        </r>
      </text>
    </comment>
    <comment ref="AG72" authorId="1" shapeId="0" xr:uid="{BB6EAF67-1759-4984-A4CE-E3942201B52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AG74" authorId="1" shapeId="0" xr:uid="{14C636FE-EC47-4565-AB48-508FA131C6F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11-vagt på oa</t>
        </r>
      </text>
    </comment>
    <comment ref="C79" authorId="0" shapeId="0" xr:uid="{90F319BF-D70B-4A43-B315-27AB7957BE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D79" authorId="0" shapeId="0" xr:uid="{A9030C1A-BA24-4D31-9C09-7264AC787F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E79" authorId="0" shapeId="0" xr:uid="{AB7AD05C-C3E5-4BAF-891C-5994ABAA89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L82" authorId="0" shapeId="0" xr:uid="{5E0BEA1B-AD44-4988-BC9E-2735A86DAC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Civid-19 disp 10.00-20.00</t>
        </r>
      </text>
    </comment>
    <comment ref="M82" authorId="0" shapeId="0" xr:uid="{2E5D94F0-E594-4D68-BA25-86D450D744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Civid-19 disp 10.00-20.00</t>
        </r>
      </text>
    </comment>
    <comment ref="N82" authorId="0" shapeId="0" xr:uid="{9886FE18-0B49-4324-ABA8-AAC74A7DE0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Civid-19 disp 10.00-20.00</t>
        </r>
      </text>
    </comment>
    <comment ref="E84" authorId="0" shapeId="0" xr:uid="{98B151B5-4DFD-40FD-A1F6-013E7C22CA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Stopper.</t>
        </r>
      </text>
    </comment>
    <comment ref="AD86" authorId="5" shapeId="0" xr:uid="{6733CEE0-AA6B-4E72-BCF4-B53732A0411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går kl. 15.00</t>
        </r>
      </text>
    </comment>
    <comment ref="D102" authorId="0" shapeId="0" xr:uid="{7F05E312-6572-424E-B75E-C094AF32090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E102" authorId="6" shapeId="0" xr:uid="{1B3C578D-77F1-4784-9C27-A5680BD5CBC1}">
      <text>
        <r>
          <rPr>
            <b/>
            <sz val="9"/>
            <color indexed="81"/>
            <rFont val="Tahoma"/>
            <family val="2"/>
          </rPr>
          <t>Thomas Holm:
GKL.08.00-15.00</t>
        </r>
      </text>
    </comment>
    <comment ref="F102" authorId="0" shapeId="0" xr:uid="{9EC917B5-33C7-4DB6-A44A-509EC3C60B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10-20</t>
        </r>
      </text>
    </comment>
    <comment ref="G102" authorId="0" shapeId="0" xr:uid="{9BD8A7FB-51FB-41EC-9D49-F479C0DD3D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10-20</t>
        </r>
      </text>
    </comment>
    <comment ref="H102" authorId="0" shapeId="0" xr:uid="{3FE8592C-A6E8-4FBD-B41B-74E43BD604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kl. 10.00 - 20.00</t>
        </r>
      </text>
    </comment>
    <comment ref="I102" authorId="0" shapeId="0" xr:uid="{CB8F0675-A6DA-4F3F-B564-FAF4FD66CC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kl. 10.00 - 20.00</t>
        </r>
      </text>
    </comment>
    <comment ref="J102" authorId="0" shapeId="0" xr:uid="{FA9B8357-0DD0-40CA-BCB7-55FA15292C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kl. 10.00 - 20.00</t>
        </r>
      </text>
    </comment>
    <comment ref="K102" authorId="0" shapeId="0" xr:uid="{C5728DB9-2F96-427E-8E65-608069AFF8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kl. 10.00 - 20.00</t>
        </r>
      </text>
    </comment>
    <comment ref="O102" authorId="0" shapeId="0" xr:uid="{AE2906CF-7147-4425-B47A-C2154D81E0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P102" authorId="0" shapeId="0" xr:uid="{EC26F9AA-B833-419D-BE39-CFDF621C4F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Q102" authorId="0" shapeId="0" xr:uid="{0AA1706F-11D1-42D6-BEB8-977D76FB08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R102" authorId="0" shapeId="0" xr:uid="{801DABB9-EF1D-48CD-BF36-0061E739C2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S102" authorId="0" shapeId="0" xr:uid="{6A81AD2F-A995-482A-9551-BF5B6E75DA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T102" authorId="0" shapeId="0" xr:uid="{25EB03F0-633B-4351-A99F-AE6149B99C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U102" authorId="0" shapeId="0" xr:uid="{D22A4B8A-8B98-4C70-A163-25A17911A24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C121" authorId="0" shapeId="0" xr:uid="{36D6BBA7-F99C-48FD-BA92-316E281301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D121" authorId="0" shapeId="0" xr:uid="{CAE821D2-68BF-4B35-9D9C-F688D52A21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E121" authorId="0" shapeId="0" xr:uid="{A949423D-50CB-4DA6-849B-FA5A96E4C4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09-16.00</t>
        </r>
      </text>
    </comment>
    <comment ref="L123" authorId="7" shapeId="0" xr:uid="{98CD1109-9FFC-49D8-9675-75F8B268168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vagthavdne 2 på oa.</t>
        </r>
      </text>
    </comment>
    <comment ref="C125" authorId="0" shapeId="0" xr:uid="{9F6BD5ED-8111-4D83-AB0B-A333B8085C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D125" authorId="0" shapeId="0" xr:uid="{C9404AA6-F79E-44AB-B65C-F0329BE83D8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E125" authorId="0" shapeId="0" xr:uid="{A7E6D94D-CF99-4B88-AE78-80CBD494F1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07-14.45</t>
        </r>
      </text>
    </comment>
    <comment ref="F125" authorId="2" shapeId="0" xr:uid="{821BE4E4-621B-41CE-9DB7-86B48EE271C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89-vagt på OA</t>
        </r>
      </text>
    </comment>
    <comment ref="AG138" authorId="1" shapeId="0" xr:uid="{A6BC5D28-DC73-4821-A3F8-9DF395739B2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23-vagt på oa</t>
        </r>
      </text>
    </comment>
    <comment ref="E155" authorId="8" shapeId="0" xr:uid="{FC137046-B54C-415B-8ACF-55FB1431DEC1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H155" authorId="8" shapeId="0" xr:uid="{FF542266-7835-460B-A1F6-17494143AE7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L155" authorId="8" shapeId="0" xr:uid="{F372A91B-71B4-4E68-B056-D3670DB833A5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O155" authorId="8" shapeId="0" xr:uid="{0E81F262-CA00-4D1B-8B3A-E00A3A34381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V155" authorId="8" shapeId="0" xr:uid="{78AF5F38-8F27-4A02-9DA7-16E481B9E98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155" authorId="8" shapeId="0" xr:uid="{3087ADA9-34DF-44C1-8419-04E154A4F84A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Y155" authorId="8" shapeId="0" xr:uid="{B8476804-B408-4557-8BDA-2C1A7770B1A8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Z155" authorId="8" shapeId="0" xr:uid="{3C3123A2-F4E1-4889-9AD2-DA197744427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G182" authorId="8" shapeId="0" xr:uid="{B4DF7BE6-D78B-44C4-AB9A-2EA9306B6876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V184" authorId="0" shapeId="0" xr:uid="{93426DC0-6D2B-4004-8DB4-8DB1A71EC6D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</t>
        </r>
      </text>
    </comment>
    <comment ref="W184" authorId="0" shapeId="0" xr:uid="{C1C38C73-3634-48F1-BF50-B791CE0DBC0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</t>
        </r>
      </text>
    </comment>
    <comment ref="X184" authorId="0" shapeId="0" xr:uid="{4912B4BA-54F5-4DDE-A29A-3E8FE21751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</t>
        </r>
      </text>
    </comment>
    <comment ref="Y184" authorId="0" shapeId="0" xr:uid="{57431E9E-8FCC-432F-9278-B893D1DAFD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</t>
        </r>
      </text>
    </comment>
    <comment ref="Z184" authorId="0" shapeId="0" xr:uid="{C0824A0D-74C5-4C98-A7C8-F5C002B47D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</t>
        </r>
      </text>
    </comment>
    <comment ref="AA184" authorId="0" shapeId="0" xr:uid="{D738FCA3-03CD-41B9-9B6D-B71CEE8325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</t>
        </r>
      </text>
    </comment>
    <comment ref="AB184" authorId="0" shapeId="0" xr:uid="{7679CB90-BB31-4DCB-8B00-620DD3BB66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</t>
        </r>
      </text>
    </comment>
    <comment ref="C191" authorId="0" shapeId="0" xr:uid="{8DD87DB5-3973-4EBA-85A1-1607605CD5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K295" authorId="8" shapeId="0" xr:uid="{753F827A-00FB-4103-8E8C-D4897E5D43F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marasm</author>
    <author>Kim Holm Aabroe</author>
    <author>Steen Hertin</author>
    <author>Rasmus Sørensen</author>
    <author>tc={903BC3B7-85B1-4559-BE44-4E0EBE3497D6}</author>
    <author>Thomas Holm</author>
    <author>Michael Bo Pedersen</author>
    <author>tc={42CA7FF0-AE79-46E7-9E4E-C55D44E162CB}</author>
    <author>tc={2897E8E2-D861-4A1A-84DC-BA46A841BB65}</author>
    <author>Mathias Hartvig Morell Nielsen</author>
    <author>Marianne Rasmussen</author>
  </authors>
  <commentList>
    <comment ref="G12" authorId="0" shapeId="0" xr:uid="{05A5E24C-94BB-4F46-B64E-F3245BE7072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H12" authorId="0" shapeId="0" xr:uid="{AB115DBA-82D0-4167-99D3-5F5713F0968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12" authorId="0" shapeId="0" xr:uid="{FA043D8D-FC12-46B9-A366-C2048C0D169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V12" authorId="1" shapeId="0" xr:uid="{75DE167E-67D0-49A7-B711-A94082144EF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12" authorId="1" shapeId="0" xr:uid="{D53F2DCA-2EC0-46C4-AFA4-0B335B537B2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T15" authorId="2" shapeId="0" xr:uid="{F6B0C23F-0B7E-47EF-A30C-38A7FBBC9F9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i1 OA</t>
        </r>
      </text>
    </comment>
    <comment ref="T17" authorId="3" shapeId="0" xr:uid="{606FDDDB-449D-4681-AFCB-E80B6761A8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Griffenfeldsgade 10.00 - 14.00 oa.</t>
        </r>
      </text>
    </comment>
    <comment ref="E20" authorId="3" shapeId="0" xr:uid="{CF694A85-61D4-42C8-822E-550C4FD2F18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Balderrsgade 3</t>
        </r>
      </text>
    </comment>
    <comment ref="I20" authorId="3" shapeId="0" xr:uid="{43EF815B-DE03-47E5-9639-9B8573E788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O20" authorId="3" shapeId="0" xr:uid="{5323D01C-57A8-483E-908D-A3DB59D249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P20" authorId="3" shapeId="0" xr:uid="{425C0271-D387-4B93-988D-9D66ED4261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T20" authorId="3" shapeId="0" xr:uid="{B7527C91-A08A-4EA9-BA37-D8B3A42152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AHF. Vagtplaner, Sikker By.</t>
        </r>
      </text>
    </comment>
    <comment ref="E21" authorId="3" shapeId="0" xr:uid="{358FB3E9-379D-4385-BBAF-5FB4556C6AB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Covid-19 vagt.</t>
        </r>
      </text>
    </comment>
    <comment ref="AG21" authorId="3" shapeId="0" xr:uid="{68022863-D2DF-4AB8-A8C9-DAFB4DFE26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Baldersgade 3B</t>
        </r>
      </text>
    </comment>
    <comment ref="L25" authorId="3" shapeId="0" xr:uid="{5BAA4DCC-C422-417D-B3A2-D80597A2C1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dækkes kl. 13.00 - 14.00</t>
        </r>
      </text>
    </comment>
    <comment ref="E26" authorId="3" shapeId="0" xr:uid="{E52B7D36-AB35-4009-941B-E2A0875394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 service.</t>
        </r>
      </text>
    </comment>
    <comment ref="F26" authorId="3" shapeId="0" xr:uid="{38B68E4D-D4B7-4E14-A7A9-B9A6E69599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 service.</t>
        </r>
      </text>
    </comment>
    <comment ref="G26" authorId="3" shapeId="0" xr:uid="{50D0D42C-D5AA-4A04-AA8F-4719414E37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 service.</t>
        </r>
      </text>
    </comment>
    <comment ref="H26" authorId="3" shapeId="0" xr:uid="{D828824F-511C-4B2A-84E4-821AB7B689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 service.</t>
        </r>
      </text>
    </comment>
    <comment ref="I26" authorId="3" shapeId="0" xr:uid="{DEBF9859-4B25-4027-97D0-258BCA53DE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 service.</t>
        </r>
      </text>
    </comment>
    <comment ref="F27" authorId="3" shapeId="0" xr:uid="{F7919291-4550-4806-A858-E283BFEB113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Rådhusservice</t>
        </r>
      </text>
    </comment>
    <comment ref="G27" authorId="3" shapeId="0" xr:uid="{131EBBCB-AD5D-4E5E-8072-7EF97FA5F3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Rådhusservice</t>
        </r>
      </text>
    </comment>
    <comment ref="H27" authorId="3" shapeId="0" xr:uid="{44BD4BE6-AC71-41EE-9E24-5BEA37E3F82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Rådhusservice</t>
        </r>
      </text>
    </comment>
    <comment ref="I27" authorId="3" shapeId="0" xr:uid="{9085144C-4677-476A-828A-6E3659D6E9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Rådhusservice</t>
        </r>
      </text>
    </comment>
    <comment ref="C39" authorId="4" shapeId="0" xr:uid="{82FE781A-C54E-4DEB-BD4C-D668A195B44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B3 på oa</t>
        </r>
      </text>
    </comment>
    <comment ref="AG39" authorId="5" shapeId="0" xr:uid="{903BC3B7-85B1-4559-BE44-4E0EBE3497D6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1-vagt på o/a</t>
      </text>
    </comment>
    <comment ref="D41" authorId="4" shapeId="0" xr:uid="{A2E5E07F-5153-4A09-B4FE-AE84FBEEE9B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B3 på oa </t>
        </r>
      </text>
    </comment>
    <comment ref="M51" authorId="6" shapeId="0" xr:uid="{65879FB7-9EB1-4960-9EE8-E6725501C9A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Gået kl. 13.00</t>
        </r>
      </text>
    </comment>
    <comment ref="S61" authorId="6" shapeId="0" xr:uid="{4258ECF2-5264-4827-AB6A-C1A5D0423D4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79-vagt fra 12.30-16.00</t>
        </r>
      </text>
    </comment>
    <comment ref="T62" authorId="3" shapeId="0" xr:uid="{29C602A5-B3F2-4116-A28D-85392F2D43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R-vagt på OA.</t>
        </r>
      </text>
    </comment>
    <comment ref="U62" authorId="3" shapeId="0" xr:uid="{2C9C96A4-710C-4B52-9165-73D80AA7F49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på OA.</t>
        </r>
      </text>
    </comment>
    <comment ref="E63" authorId="3" shapeId="0" xr:uid="{D7E8D33E-1BE9-452D-8932-92B791C672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Kører 5-vagten</t>
        </r>
      </text>
    </comment>
    <comment ref="F63" authorId="3" shapeId="0" xr:uid="{97DA170A-E6EF-4FF6-9D74-16BD348577E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Kører 5-vagten
89-vagt på OA</t>
        </r>
      </text>
    </comment>
    <comment ref="G63" authorId="3" shapeId="0" xr:uid="{7C5B2439-9F85-43CB-8E00-7439B8ABFD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Kører 5-vagten</t>
        </r>
      </text>
    </comment>
    <comment ref="H63" authorId="3" shapeId="0" xr:uid="{A5C09AC8-DC82-4AFF-AD80-70743BC10E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Kører 5-vagten</t>
        </r>
      </text>
    </comment>
    <comment ref="I63" authorId="3" shapeId="0" xr:uid="{4FED5CA9-A0FF-4618-8B34-1CA431161D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Kører 5-vagten</t>
        </r>
      </text>
    </comment>
    <comment ref="L64" authorId="3" shapeId="0" xr:uid="{E3BAF58C-CF63-41EE-BC43-A5207D2395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12 og hjælper.</t>
        </r>
      </text>
    </comment>
    <comment ref="T64" authorId="3" shapeId="0" xr:uid="{22898623-BE26-4E5C-8DF8-166676E242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79-vagt OA</t>
        </r>
      </text>
    </comment>
    <comment ref="Z64" authorId="6" shapeId="0" xr:uid="{1B668AE4-B0FD-49CB-95AE-348FAA66A1F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Z65" authorId="3" shapeId="0" xr:uid="{AE6C5643-2DA5-47C9-B09F-4AD41DFBCF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Baldersgade 3B</t>
        </r>
      </text>
    </comment>
    <comment ref="AA66" authorId="2" shapeId="0" xr:uid="{F7995236-DB96-4159-A599-7E0159F24BE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hjemløseenheden kl. 10.30 OA</t>
        </r>
      </text>
    </comment>
    <comment ref="AG66" authorId="7" shapeId="0" xr:uid="{30899263-4468-4945-88D8-F5B6AB7AAB9E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8-vagt på OA+g-vagt OA</t>
        </r>
      </text>
    </comment>
    <comment ref="Z67" authorId="3" shapeId="0" xr:uid="{94D37021-2A9C-44C7-88FF-56F5FBAADA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AA67" authorId="3" shapeId="0" xr:uid="{30E2235A-7A78-4F38-BD9D-E31B8E8D24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AB67" authorId="3" shapeId="0" xr:uid="{620FA0BE-2773-448A-AC62-40798110E4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AC67" authorId="3" shapeId="0" xr:uid="{3B3E9CCE-3319-4389-BAF9-AF4F64C814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AD67" authorId="3" shapeId="0" xr:uid="{868AD13D-70E8-4943-9195-38A316ABEC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AG67" authorId="8" shapeId="0" xr:uid="{42CA7FF0-AE79-46E7-9E4E-C55D44E162C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GKL</t>
      </text>
    </comment>
    <comment ref="E68" authorId="3" shapeId="0" xr:uid="{18C8D7B0-98DC-4BCC-A741-DB3859F94F6A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G68" authorId="3" shapeId="0" xr:uid="{902F263F-EC3D-458C-957B-102C28A70A26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I68" authorId="3" shapeId="0" xr:uid="{1A565853-DE05-447A-9E68-1A7C2AB247FB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L68" authorId="3" shapeId="0" xr:uid="{E529AA13-C31C-44AF-A123-4BE1AEDB5695}">
      <text>
        <r>
          <rPr>
            <b/>
            <sz val="9"/>
            <color indexed="81"/>
            <rFont val="Tahoma"/>
            <family val="2"/>
          </rPr>
          <t>Steen Hertin:
Baldersgade 3 B
Det gamle Mjølnerparken...</t>
        </r>
      </text>
    </comment>
    <comment ref="N68" authorId="3" shapeId="0" xr:uid="{0B79BF6C-6A39-42A8-9D74-6A5E0C0AFB26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P68" authorId="3" shapeId="0" xr:uid="{CE16EC18-60EF-49CF-A160-8AFEE195151D}">
      <text>
        <r>
          <rPr>
            <b/>
            <sz val="9"/>
            <color indexed="81"/>
            <rFont val="Tahoma"/>
            <family val="2"/>
          </rPr>
          <t>Steen Hertin:
Disp 08.15 - 16.00
Laver APV når der ikke er andre opgaver</t>
        </r>
      </text>
    </comment>
    <comment ref="C69" authorId="3" shapeId="0" xr:uid="{DED575F1-58BB-42A3-B0BB-BA06B06A14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D69" authorId="3" shapeId="0" xr:uid="{8012B390-AD3E-4573-8643-5FD44D5832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F69" authorId="3" shapeId="0" xr:uid="{037272CD-9AAA-4163-B9C7-B02C0E29D2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
</t>
        </r>
      </text>
    </comment>
    <comment ref="G69" authorId="3" shapeId="0" xr:uid="{DC05DA3F-D312-47C3-8253-8EE3F318AD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
Møder på Rådhuset kl. 10.00 og disp for hjrmløse enheden.</t>
        </r>
      </text>
    </comment>
    <comment ref="H69" authorId="3" shapeId="0" xr:uid="{F47E02A8-2281-4A9D-A883-C4EE85EE09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10.00 - 18.00
Møder på Rådhuset kl. 10.00 og disp for hjrmløse enheden.</t>
        </r>
      </text>
    </comment>
    <comment ref="I69" authorId="3" shapeId="0" xr:uid="{1B2747BC-7AD4-4308-824A-3E330A94F5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
Møder på Rådhuset kl. 10.00 og disp for hjrmløse enheden.</t>
        </r>
      </text>
    </comment>
    <comment ref="J69" authorId="3" shapeId="0" xr:uid="{0F2E2D26-18DD-4CF7-8A84-01D2F4F499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</t>
        </r>
      </text>
    </comment>
    <comment ref="K69" authorId="3" shapeId="0" xr:uid="{49403E44-3418-41A8-B964-8F61DF4E4E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10.00 - 20.00</t>
        </r>
      </text>
    </comment>
    <comment ref="P69" authorId="3" shapeId="0" xr:uid="{02915D06-E0CE-47E0-8ED5-C9E3898D40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R-vagt på OA.</t>
        </r>
      </text>
    </comment>
    <comment ref="S69" authorId="3" shapeId="0" xr:uid="{5ABE8952-DFB9-4C3B-819A-EE0718EE80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10.00-20.00
R-vagt oa</t>
        </r>
      </text>
    </comment>
    <comment ref="T69" authorId="3" shapeId="0" xr:uid="{4AF750C1-5FB3-4006-AF35-224B5FA564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U69" authorId="3" shapeId="0" xr:uid="{D2C56C01-0AC8-4C10-82C3-7264CD70B2D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V69" authorId="3" shapeId="0" xr:uid="{624AC47E-8DE6-4C51-B5DE-9A7DFFB104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W69" authorId="3" shapeId="0" xr:uid="{E2B5CF17-22E8-4AD6-B24B-1BB7FEE575B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X69" authorId="3" shapeId="0" xr:uid="{2F256987-16F3-444D-9DB6-6D05A6A2EA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Y69" authorId="3" shapeId="0" xr:uid="{1978797A-FCF0-47CF-9828-6089F96585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AG69" authorId="3" shapeId="0" xr:uid="{F3B22B89-A84D-4B0E-BB1F-CA4BD8A8889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AB72" authorId="7" shapeId="0" xr:uid="{3C878AB1-7427-44CB-BE3E-F2A10F96D52C}">
      <text>
        <r>
          <rPr>
            <b/>
            <sz val="9"/>
            <color indexed="81"/>
            <rFont val="Tahoma"/>
            <family val="2"/>
          </rPr>
          <t>Michael Bo Pedersen
Fri Begravelse</t>
        </r>
      </text>
    </comment>
    <comment ref="AC72" authorId="7" shapeId="0" xr:uid="{9F92FA2B-B3B5-4347-AD18-CC3EBC9CD45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Begravelse</t>
        </r>
      </text>
    </comment>
    <comment ref="E73" authorId="3" shapeId="0" xr:uid="{43B5D3E1-3469-4707-8B5A-FDB20B7E6F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26-vagt på OA.</t>
        </r>
      </text>
    </comment>
    <comment ref="S73" authorId="3" shapeId="0" xr:uid="{C08E0200-FBAD-404A-BA47-05CD54572E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T73" authorId="3" shapeId="0" xr:uid="{A38B2AF9-0D04-470C-9D83-A28AF3DE03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U73" authorId="3" shapeId="0" xr:uid="{64BBC525-B0AF-46A4-922E-72E5AA5F68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V73" authorId="3" shapeId="0" xr:uid="{983FF6A7-D4CF-41C4-92A9-39CDCBA697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W73" authorId="3" shapeId="0" xr:uid="{745398F2-0363-4B81-94F5-CE70CF5E20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AD73" authorId="2" shapeId="0" xr:uid="{EFE48C4E-57A0-43E4-BA2D-598B55AAAF0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gerbrand skolen 
07.45-16.00 OA</t>
        </r>
      </text>
    </comment>
    <comment ref="AG77" authorId="3" shapeId="0" xr:uid="{5C72EDA5-C636-4173-A8BC-29FA9008D3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AG78" authorId="2" shapeId="0" xr:uid="{2EDE5581-5410-4A8B-B82B-B3B7C51B616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gerbrands skolen 
07.45-16.00</t>
        </r>
      </text>
    </comment>
    <comment ref="M79" authorId="3" shapeId="0" xr:uid="{FA95AF59-8E35-438E-8887-69829E2A9F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ingen vagt</t>
        </r>
      </text>
    </comment>
    <comment ref="P79" authorId="3" shapeId="0" xr:uid="{1CBBCD98-5DF5-42BA-BE20-F41CF23026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ingen vagt</t>
        </r>
      </text>
    </comment>
    <comment ref="S79" authorId="3" shapeId="0" xr:uid="{0CA1B497-3C9B-4CA4-868E-EE7217627F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14.00 på OA.</t>
        </r>
      </text>
    </comment>
    <comment ref="T79" authorId="3" shapeId="0" xr:uid="{31FBE5B7-E9A2-4531-B80B-AF3CA12EDF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89-vagt på oa.</t>
        </r>
      </text>
    </comment>
    <comment ref="L82" authorId="3" shapeId="0" xr:uid="{D3D4DC0D-1CFE-4BF1-BB1F-7B4FDA9030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12</t>
        </r>
      </text>
    </comment>
    <comment ref="M82" authorId="3" shapeId="0" xr:uid="{AE91500B-71E5-4556-8802-71D7782EA4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15</t>
        </r>
      </text>
    </comment>
    <comment ref="W82" authorId="9" shapeId="0" xr:uid="{2897E8E2-D861-4A1A-84DC-BA46A841BB6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går kl. 12, køretime</t>
      </text>
    </comment>
    <comment ref="E84" authorId="3" shapeId="0" xr:uid="{80620995-6991-45B4-B454-F2F548BB0F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6-vagten</t>
        </r>
      </text>
    </comment>
    <comment ref="F84" authorId="3" shapeId="0" xr:uid="{9EC933AB-AD2A-4D3E-B978-7383952AF4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6-vagten</t>
        </r>
      </text>
    </comment>
    <comment ref="G84" authorId="3" shapeId="0" xr:uid="{45FACE34-DAC3-49C6-B068-73CB289552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6-vagten</t>
        </r>
      </text>
    </comment>
    <comment ref="H84" authorId="3" shapeId="0" xr:uid="{082B67EA-1B6D-430C-AA4C-7F3A1EA18C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6-vagten</t>
        </r>
      </text>
    </comment>
    <comment ref="I84" authorId="3" shapeId="0" xr:uid="{C15A82FE-B580-4C30-8E4A-58E0D34D22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6-vagten</t>
        </r>
      </text>
    </comment>
    <comment ref="C100" authorId="10" shapeId="0" xr:uid="{4B47CECF-D448-46F0-A82B-631EBCAA4A0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kl. 12.00 som OA</t>
        </r>
      </text>
    </comment>
    <comment ref="L101" authorId="3" shapeId="0" xr:uid="{C4C18861-74D8-4681-998B-B03ED6BC73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M101" authorId="3" shapeId="0" xr:uid="{C1667101-E827-4A57-B3CB-C403B6D6C4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N101" authorId="3" shapeId="0" xr:uid="{687D2C2F-CD35-48F0-B316-675E7F48CD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O101" authorId="3" shapeId="0" xr:uid="{5DC92A81-0120-441B-8B97-980DE489AC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 G-vagt fra kl. 16.00</t>
        </r>
      </text>
    </comment>
    <comment ref="P101" authorId="3" shapeId="0" xr:uid="{EF687172-6B3E-46CA-95F0-9D87640E84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Coronavagt 10.00 - 20.00</t>
        </r>
      </text>
    </comment>
    <comment ref="Q101" authorId="3" shapeId="0" xr:uid="{CFE1306C-849D-4222-90C4-DDD0623260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+7.00 - 11.00 + coronavagt</t>
        </r>
      </text>
    </comment>
    <comment ref="R101" authorId="3" shapeId="0" xr:uid="{95B2D146-0D4D-46EE-8821-45D060706C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+7.00 - 15.30 + coronavagt</t>
        </r>
      </text>
    </comment>
    <comment ref="S101" authorId="3" shapeId="0" xr:uid="{95D70E8A-6A7B-4172-8E98-8C06A9EBB1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T101" authorId="3" shapeId="0" xr:uid="{64DCF1EE-4171-488C-82CB-552A8485C7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U101" authorId="3" shapeId="0" xr:uid="{7160F80E-EE97-4586-B1C9-D0BB6A918C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V101" authorId="3" shapeId="0" xr:uid="{EBC4CA00-CAF4-4F87-8926-AA674B6384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W101" authorId="3" shapeId="0" xr:uid="{89C7928F-4983-454E-A33E-9590455C56E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S122" authorId="3" shapeId="0" xr:uid="{C4C17D54-5A5F-4DCB-99CB-2E2E4578B9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i Baldersgade 3B</t>
        </r>
      </text>
    </comment>
    <comment ref="AG122" authorId="0" shapeId="0" xr:uid="{65EE879D-9B58-4C93-A958-85D3AAFA2C2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05.45</t>
        </r>
      </text>
    </comment>
    <comment ref="D137" authorId="4" shapeId="0" xr:uid="{9A974954-AB93-4BC3-B8F4-DACCE05C290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23-vagt på oa</t>
        </r>
      </text>
    </comment>
    <comment ref="V153" authorId="1" shapeId="0" xr:uid="{8C603244-9F91-4801-BB39-F5B84187BE5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153" authorId="11" shapeId="0" xr:uid="{4C874589-F26B-451F-81ED-04EB92F1341C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Z153" authorId="1" shapeId="0" xr:uid="{A8E395D6-33F6-4B7D-913B-C0FBB1FA08C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A153" authorId="11" shapeId="0" xr:uid="{A13B42A9-8C76-4111-BC04-B1299345EAC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G153" authorId="1" shapeId="0" xr:uid="{109E2F25-2B08-4370-80EE-D1EE92D1CCF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180" authorId="3" shapeId="0" xr:uid="{BA5293E3-AC11-4671-8817-3E8AA562C8F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Gået sug hjem</t>
        </r>
      </text>
    </comment>
    <comment ref="AG181" authorId="7" shapeId="0" xr:uid="{D14E7836-F015-490B-9259-FF054A4C8AE3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R-vagt</t>
        </r>
      </text>
    </comment>
    <comment ref="O184" authorId="3" shapeId="0" xr:uid="{06630EC9-2E43-47B1-B693-82CE486DE1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Afspadsering fra kl. 16</t>
        </r>
      </text>
    </comment>
    <comment ref="I190" authorId="3" shapeId="0" xr:uid="{2AC49B4C-C4AD-4F85-B555-88728585D6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ikke afløses.</t>
        </r>
      </text>
    </comment>
    <comment ref="L191" authorId="3" shapeId="0" xr:uid="{77FE5E44-4790-463E-81B1-3B9D18E092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L221" authorId="4" shapeId="0" xr:uid="{C8173435-2DC2-4491-B791-B3FAD9EC3FC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M221" authorId="4" shapeId="0" xr:uid="{E863C1DA-8865-4B60-8392-CF3DD70DC83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N221" authorId="4" shapeId="0" xr:uid="{D1E86D9B-4AD4-461C-8E0B-A23D4920F8E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O221" authorId="4" shapeId="0" xr:uid="{BD15216F-AC5C-4E81-AB94-84F036593A7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P221" authorId="4" shapeId="0" xr:uid="{202599EE-B3B4-4F44-B11C-83E3BD7226B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G289" authorId="11" shapeId="0" xr:uid="{01D58E2F-0219-4802-97F0-DAFD8E64E74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 afs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Rasmus Sørensen</author>
    <author>Steen Hertin</author>
    <author>marasm</author>
    <author>Michael Bo Pedersen</author>
    <author>Kim Holm Aabroe</author>
    <author>tc={ECC2D64C-A53B-430E-9CEF-303082EFCE93}</author>
    <author>tc={27BB9464-7A4A-48DA-AAE2-2E8C6DBC13F5}</author>
    <author>tc={D30FAC70-1721-48CD-BBFF-0972916B10FA}</author>
    <author>tc={9B53A16A-5CB1-4BB4-9A55-451039C71C77}</author>
    <author>Nikolaj Langtin Pamhede</author>
    <author>tc={8494FEF0-7189-4B0F-89D7-6B4F24F79168}</author>
    <author>tc={BAFE407B-C51F-45C4-83DE-6EF6404721BF}</author>
    <author>Marianne Rasmussen</author>
    <author>Thomas Holm</author>
    <author>tc={DA833643-0E7D-47D9-83A7-C5EBC2EF704B}</author>
    <author>tc={76F875AB-7C6F-4982-A273-3B2FED9CD66B}</author>
    <author>tc={DA3C4BC6-75CB-4109-987E-ED5319B73444}</author>
    <author>tc={2BD79DC1-DDC4-4FE7-BBA7-1789F38B5B6C}</author>
  </authors>
  <commentList>
    <comment ref="L12" authorId="0" shapeId="0" xr:uid="{0BFFAC4B-8EF4-4DA1-A8C4-B7BD8883455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2" authorId="0" shapeId="0" xr:uid="{7281414A-6E31-4498-A609-C3668165FFF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17" authorId="1" shapeId="0" xr:uid="{C30EAEC9-6B0E-4820-B841-28D97C9B1BE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lyongade på oa kl.08.00-15:00</t>
        </r>
      </text>
    </comment>
    <comment ref="L17" authorId="1" shapeId="0" xr:uid="{524BF1CC-0FDC-454E-B117-599A4F071A3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lyongade på oa 08.00-15.00</t>
        </r>
      </text>
    </comment>
    <comment ref="M17" authorId="1" shapeId="0" xr:uid="{E5564571-2F8B-4500-8276-7D015B00867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lyongade på oa kl.8:00-13:00</t>
        </r>
      </text>
    </comment>
    <comment ref="AD17" authorId="1" shapeId="0" xr:uid="{093F9B67-4783-4B37-A894-795FF69E401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E-vagt oa </t>
        </r>
      </text>
    </comment>
    <comment ref="I20" authorId="2" shapeId="0" xr:uid="{69C41087-5E6C-4648-B942-6C807295869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J20" authorId="2" shapeId="0" xr:uid="{9174CFC2-46F5-4228-AC6B-A8CA72353F9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K20" authorId="2" shapeId="0" xr:uid="{43BEFDEA-C1DE-4BAD-9D7F-EB24663759D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L20" authorId="2" shapeId="0" xr:uid="{1CDE0187-9E4C-4778-B8B6-5A32AD982FA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M20" authorId="2" shapeId="0" xr:uid="{A4A436E5-FA37-4826-AA7F-115BB034838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I21" authorId="1" shapeId="0" xr:uid="{131D3167-1C09-4BC3-A9EF-D407BAA213C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8.45-15.00</t>
        </r>
      </text>
    </comment>
    <comment ref="J21" authorId="1" shapeId="0" xr:uid="{E742A151-1290-40B7-85BE-B15805CAF97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9.00-16.00</t>
        </r>
      </text>
    </comment>
    <comment ref="K21" authorId="1" shapeId="0" xr:uid="{05103A14-4131-4BF7-93F0-0FCA81FA20F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9.00-16.00</t>
        </r>
      </text>
    </comment>
    <comment ref="L21" authorId="1" shapeId="0" xr:uid="{A6DF164A-CC1C-49CD-B3F5-8BA6ADC14E6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09.00-18.00</t>
        </r>
      </text>
    </comment>
    <comment ref="M21" authorId="1" shapeId="0" xr:uid="{0AB8F9DB-DF41-4DEA-8EC8-0C01D75A79B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09.00-14.00</t>
        </r>
      </text>
    </comment>
    <comment ref="P21" authorId="1" shapeId="0" xr:uid="{D3287805-FA4B-4EAD-AB1F-95BBB477508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8.00-15.00</t>
        </r>
      </text>
    </comment>
    <comment ref="Q21" authorId="1" shapeId="0" xr:uid="{10A6D39B-0615-40D9-B52B-5F4C1F9F317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8.00-15.00</t>
        </r>
      </text>
    </comment>
    <comment ref="R21" authorId="3" shapeId="0" xr:uid="{B6D15FCD-0593-4A57-9858-5CE35ADA945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Grundlovsceremoni hele dag</t>
        </r>
      </text>
    </comment>
    <comment ref="S21" authorId="1" shapeId="0" xr:uid="{F3E5A751-478B-4A7F-80C3-14A6E00D870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09.00-19.00</t>
        </r>
      </text>
    </comment>
    <comment ref="T21" authorId="1" shapeId="0" xr:uid="{D4872F2C-9CD9-4A91-AF97-08C40E120DE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09.00-14.00</t>
        </r>
      </text>
    </comment>
    <comment ref="W21" authorId="1" shapeId="0" xr:uid="{88F7C17C-75DF-43F8-948B-E7DC15BAB89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8.00-15.00</t>
        </r>
      </text>
    </comment>
    <comment ref="X21" authorId="1" shapeId="0" xr:uid="{8D1A0E6A-FF4A-4D9A-AC45-1F15EE2DD89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8.00-15.00</t>
        </r>
      </text>
    </comment>
    <comment ref="Y21" authorId="1" shapeId="0" xr:uid="{2134AA95-98F7-48FB-AB26-997A3356425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8.00-15.00</t>
        </r>
      </text>
    </comment>
    <comment ref="Z21" authorId="1" shapeId="0" xr:uid="{29743C42-0A82-47C2-A1D6-243B1380DCA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09.00-19.00</t>
        </r>
      </text>
    </comment>
    <comment ref="AA21" authorId="1" shapeId="0" xr:uid="{8DC681A0-F337-485E-8228-8D68780EF6A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09.00-14.00</t>
        </r>
      </text>
    </comment>
    <comment ref="AD21" authorId="1" shapeId="0" xr:uid="{5ABF9E87-306A-4230-A1D1-FC1BFB24B80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8.00-15.00</t>
        </r>
      </text>
    </comment>
    <comment ref="AE21" authorId="1" shapeId="0" xr:uid="{80CE5C7D-9542-4DBF-AADC-BECAAEA4480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8.00-15.00</t>
        </r>
      </text>
    </comment>
    <comment ref="AF21" authorId="1" shapeId="0" xr:uid="{2EBEC7E5-DB47-48A2-BC6A-534336DFD2E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8.00-15.00</t>
        </r>
      </text>
    </comment>
    <comment ref="I22" authorId="4" shapeId="0" xr:uid="{FEFE501B-9AEB-4EEA-B3A5-04ADCAE3CF75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Gerbrandtskolen
7:45:-16</t>
        </r>
      </text>
    </comment>
    <comment ref="J22" authorId="1" shapeId="0" xr:uid="{3E989E68-53B2-435E-BCAC-68EC1E75543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lyongade  oa kl.08.00-1500</t>
        </r>
      </text>
    </comment>
    <comment ref="L22" authorId="1" shapeId="0" xr:uid="{A69A87F7-91F8-4411-8278-4FED228CAF3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lyongade på oa 15.00-19.00</t>
        </r>
      </text>
    </comment>
    <comment ref="P22" authorId="1" shapeId="0" xr:uid="{28193B87-4280-4391-A3FC-A6CCCD01984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kl.09.00-16.00</t>
        </r>
      </text>
    </comment>
    <comment ref="Q22" authorId="1" shapeId="0" xr:uid="{EA89A645-8225-4976-A52F-7E0B5B5E771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kl.09.00-16.00</t>
        </r>
      </text>
    </comment>
    <comment ref="R22" authorId="1" shapeId="0" xr:uid="{05D43C86-E09A-4413-A434-EB909764AA8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kl.08.00-16.00</t>
        </r>
      </text>
    </comment>
    <comment ref="S22" authorId="1" shapeId="0" xr:uid="{91402411-EE09-4D74-A4FF-E03ED41421F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08.00-18.00</t>
        </r>
      </text>
    </comment>
    <comment ref="T22" authorId="1" shapeId="0" xr:uid="{7767D37F-919A-4261-99D4-0667880425F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kl. 08.00-13.00</t>
        </r>
      </text>
    </comment>
    <comment ref="W22" authorId="1" shapeId="0" xr:uid="{DE0EF468-0658-4ACE-AA11-99AFFD04FD9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kl.09.00-16.00</t>
        </r>
      </text>
    </comment>
    <comment ref="X22" authorId="1" shapeId="0" xr:uid="{E23BA31D-DC2A-4C7A-B53C-D62189D9BB2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kl.09.00-16.00</t>
        </r>
      </text>
    </comment>
    <comment ref="Y22" authorId="1" shapeId="0" xr:uid="{06A40CE1-6E65-4CAD-83E9-F8D4135160B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kl.09.00-16.00</t>
        </r>
      </text>
    </comment>
    <comment ref="Z22" authorId="1" shapeId="0" xr:uid="{7A94C3B2-B671-46EA-BE85-0B761C94E82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08.00-18.00</t>
        </r>
      </text>
    </comment>
    <comment ref="AA22" authorId="1" shapeId="0" xr:uid="{5CBFEA96-3B89-49D9-AFBE-53B46CFAA59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08.00-13.00</t>
        </r>
      </text>
    </comment>
    <comment ref="AD22" authorId="1" shapeId="0" xr:uid="{89A49CDD-44A7-4FFF-AEED-FA0D197DC52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kl.09.00-16.00 
</t>
        </r>
      </text>
    </comment>
    <comment ref="AE22" authorId="1" shapeId="0" xr:uid="{5D94F8C6-3EA5-4151-8217-3FBE63E636F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kl.09.00-16.00</t>
        </r>
      </text>
    </comment>
    <comment ref="AF22" authorId="1" shapeId="0" xr:uid="{D3D61CE8-C16A-428E-8113-95951448716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kl.09.00-16.00</t>
        </r>
      </text>
    </comment>
    <comment ref="I25" authorId="5" shapeId="0" xr:uid="{B492C881-569A-49A8-A407-02350F636990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dækkes af vh.</t>
        </r>
      </text>
    </comment>
    <comment ref="AF25" authorId="2" shapeId="0" xr:uid="{4305E428-B2B0-43AC-B7A9-641EF6996C8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P26" authorId="2" shapeId="0" xr:uid="{36437DEA-E416-414B-89C2-BE4915DF19A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Dækkes af Arragement service</t>
        </r>
      </text>
    </comment>
    <comment ref="Q26" authorId="2" shapeId="0" xr:uid="{3643B996-AB6A-40A8-AAED-E3BFD6BD0F1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Dækkes af Arragement service</t>
        </r>
      </text>
    </comment>
    <comment ref="R26" authorId="2" shapeId="0" xr:uid="{F409F312-C902-4616-83F8-21439A820CE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Dækkes af Arragement service</t>
        </r>
      </text>
    </comment>
    <comment ref="S26" authorId="2" shapeId="0" xr:uid="{A6DF6D70-9C50-4E80-AC0E-541B856A2C1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Dækkes af Arragement service</t>
        </r>
      </text>
    </comment>
    <comment ref="T26" authorId="2" shapeId="0" xr:uid="{5632CE96-8D81-4F2B-85F8-FB308A4B407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Dækkes af Arragement service</t>
        </r>
      </text>
    </comment>
    <comment ref="K36" authorId="2" shapeId="0" xr:uid="{DF212FCC-BEE3-43E9-83F2-05A8190CB3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12 i Griffen OA</t>
        </r>
      </text>
    </comment>
    <comment ref="L36" authorId="2" shapeId="0" xr:uid="{1655F0C7-3C62-496D-9D9B-E737B8FE977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R-vagt OA</t>
        </r>
      </text>
    </comment>
    <comment ref="C38" authorId="4" shapeId="0" xr:uid="{756F81C8-3172-4930-B3F7-4FCBAE7AE3C6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1-vagt på OA</t>
        </r>
      </text>
    </comment>
    <comment ref="L38" authorId="4" shapeId="0" xr:uid="{5A4FA88A-BD18-48E6-8595-9D7E88AB32D6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S-vagt</t>
        </r>
      </text>
    </comment>
    <comment ref="M38" authorId="4" shapeId="0" xr:uid="{6A3CBC8D-7236-472E-9361-399C1D32C9C9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Kun dagvagt til kl. 14.00</t>
        </r>
      </text>
    </comment>
    <comment ref="W42" authorId="6" shapeId="0" xr:uid="{ECC2D64C-A53B-430E-9CEF-303082EFCE93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Gerbrandskolen 07.45 - 16.00</t>
      </text>
    </comment>
    <comment ref="X42" authorId="7" shapeId="0" xr:uid="{27BB9464-7A4A-48DA-AAE2-2E8C6DBC13F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Gerbrandskolen 07.45 - 16.00</t>
      </text>
    </comment>
    <comment ref="Y42" authorId="8" shapeId="0" xr:uid="{D30FAC70-1721-48CD-BBFF-0972916B10FA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Gerbrandskolen 07.45 - 16.00</t>
      </text>
    </comment>
    <comment ref="AA42" authorId="9" shapeId="0" xr:uid="{9B53A16A-5CB1-4BB4-9A55-451039C71C77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Gerbrandskolen 07.45 - 16.00</t>
      </text>
    </comment>
    <comment ref="AD42" authorId="2" shapeId="0" xr:uid="{BBEAD791-AB75-4534-90F2-43928A0171F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Hjemme… Afventer svar på corona test.</t>
        </r>
      </text>
    </comment>
    <comment ref="AE42" authorId="2" shapeId="0" xr:uid="{D954E3E5-AB2E-412B-B01C-613F0067A21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Hjemme… Afventer svar på corona test.</t>
        </r>
      </text>
    </comment>
    <comment ref="AF42" authorId="2" shapeId="0" xr:uid="{CF208D5C-DFB2-4A02-B224-90D7281A2AD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Hjemme… Afventer svar på corona test.</t>
        </r>
      </text>
    </comment>
    <comment ref="P45" authorId="2" shapeId="0" xr:uid="{F1B2643B-CB69-495B-9515-065D4A6929D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Baldersgade 3B kl. 09.00 - 15.00</t>
        </r>
      </text>
    </comment>
    <comment ref="R45" authorId="3" shapeId="0" xr:uid="{655951D2-2E20-41C7-984E-3A3D86FF395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Grundlovsceremoni hele dag</t>
        </r>
      </text>
    </comment>
    <comment ref="S45" authorId="2" shapeId="0" xr:uid="{0A412049-0633-4733-87CE-048A04AF30A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T45" authorId="2" shapeId="0" xr:uid="{4BB49F50-AFD6-4A92-9A74-2CD1F2EED7E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W45" authorId="2" shapeId="0" xr:uid="{DDF3A139-C987-4146-89A6-9515EFB023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X45" authorId="2" shapeId="0" xr:uid="{90BC8D46-6640-4163-A270-80756B807EC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Z45" authorId="2" shapeId="0" xr:uid="{3A9FAD29-0978-44A6-B43C-1E4E0966843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08-16</t>
        </r>
      </text>
    </comment>
    <comment ref="W46" authorId="2" shapeId="0" xr:uid="{9F1580C9-35B4-4C89-BF04-F128E090A35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Kan tilkaldes hjemmefra.</t>
        </r>
      </text>
    </comment>
    <comment ref="X46" authorId="2" shapeId="0" xr:uid="{F75A6303-2C8B-47D2-9DBC-1CE6ECFEBC7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Kan tilkaldes hjemmefra.</t>
        </r>
      </text>
    </comment>
    <comment ref="Z46" authorId="2" shapeId="0" xr:uid="{BB19212C-15CB-4D95-B498-129FBBAEDD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Kan tilkaldes hjemmefra.</t>
        </r>
      </text>
    </comment>
    <comment ref="D47" authorId="4" shapeId="0" xr:uid="{D6DF6690-E361-4CC1-AC2E-DD263266E79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Bellahøjhallen 19.30- 23.30</t>
        </r>
      </text>
    </comment>
    <comment ref="E47" authorId="4" shapeId="0" xr:uid="{19D7FA5D-13FE-49BF-B887-AA6CC85FDD9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Bellahøjhallen 15.30- 23.30</t>
        </r>
      </text>
    </comment>
    <comment ref="I47" authorId="5" shapeId="0" xr:uid="{E1E5D14E-20B9-416D-B150-F844AFC0127D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79-vagt</t>
        </r>
      </text>
    </comment>
    <comment ref="L47" authorId="5" shapeId="0" xr:uid="{280B3D97-45B7-4C77-91B2-1BF1DE5C65CE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gerbrandskolen
07.45-16.00</t>
        </r>
      </text>
    </comment>
    <comment ref="W47" authorId="1" shapeId="0" xr:uid="{2A272DC9-CB4B-410D-A6E4-D852CDA2635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6-vagt
</t>
        </r>
      </text>
    </comment>
    <comment ref="X47" authorId="1" shapeId="0" xr:uid="{8622078F-C270-4CE8-8F87-05FEB608C6C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6-vagt
</t>
        </r>
      </text>
    </comment>
    <comment ref="Y47" authorId="1" shapeId="0" xr:uid="{C38FACE4-7A2A-4D61-B1B3-B0723D621BA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6-vagt
</t>
        </r>
      </text>
    </comment>
    <comment ref="Z47" authorId="1" shapeId="0" xr:uid="{5E29229B-61C4-4B63-93CF-85C75C5581E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6-vagt
</t>
        </r>
      </text>
    </comment>
    <comment ref="AA47" authorId="1" shapeId="0" xr:uid="{B1A01F22-A728-4715-ADF8-79B732B25CD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6-vagt
</t>
        </r>
      </text>
    </comment>
    <comment ref="J61" authorId="10" shapeId="0" xr:uid="{8C4287B6-80D0-4B17-8E32-FE89935339C7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fuglebakken 23:45-6:00</t>
        </r>
      </text>
    </comment>
    <comment ref="K61" authorId="4" shapeId="0" xr:uid="{9F224913-AD4E-4751-80B5-4BDDE8B0DF98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Fuglebakken fra 24.00-06.00</t>
        </r>
      </text>
    </comment>
    <comment ref="L61" authorId="4" shapeId="0" xr:uid="{D9E0F717-1A56-410E-A130-D2B1F092EC0C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Fuglebakken fra kl. 24.00-06.00 på OA</t>
        </r>
      </text>
    </comment>
    <comment ref="S61" authorId="4" shapeId="0" xr:uid="{22AAF465-2949-4923-ADE3-EA1110553A1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T61" authorId="4" shapeId="0" xr:uid="{6FBEA980-E0F2-4B2F-9E12-48031835240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AE61" authorId="1" shapeId="0" xr:uid="{A1A6FEB1-CD86-4277-8E28-067792F13FE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AF61" authorId="1" shapeId="0" xr:uid="{F7EE5F94-35C1-43A8-BA89-DBB9A1D955D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R62" authorId="2" shapeId="0" xr:uid="{381C18F0-4B3F-4A3B-9CD6-02EC14F3265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Gerbrandskolen 07.45-16.00</t>
        </r>
      </text>
    </comment>
    <comment ref="S62" authorId="2" shapeId="0" xr:uid="{731990FA-1C45-4B23-971D-017990DFCC3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Gerbrandskolen 07.45-16.00</t>
        </r>
      </text>
    </comment>
    <comment ref="T62" authorId="2" shapeId="0" xr:uid="{EB1254FA-4366-4ADC-A5BA-3F68D7BC5D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L-vagt på OA</t>
        </r>
      </text>
    </comment>
    <comment ref="C63" authorId="5" shapeId="0" xr:uid="{0DF38484-636D-4AF6-81BB-4869E138570C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hjemløse enheden 
14.00-16.00 OA</t>
        </r>
      </text>
    </comment>
    <comment ref="E63" authorId="10" shapeId="0" xr:uid="{551C22CC-140D-464C-A58E-20BD27CEB329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Brønshøjvej fra 12.30 på oa
</t>
        </r>
      </text>
    </comment>
    <comment ref="G63" authorId="5" shapeId="0" xr:uid="{845EE501-2F14-456B-B547-2EB31E1A96DA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A3 OA</t>
        </r>
      </text>
    </comment>
    <comment ref="AD63" authorId="1" shapeId="0" xr:uid="{46B85731-BAC1-46F1-945F-F8C9657CD9B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0900-16.00</t>
        </r>
      </text>
    </comment>
    <comment ref="AE63" authorId="1" shapeId="0" xr:uid="{3D241AB0-596D-45D8-B609-B83E546269E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0900-16.00</t>
        </r>
      </text>
    </comment>
    <comment ref="AF63" authorId="1" shapeId="0" xr:uid="{6EF41D27-6B7C-4A9A-8C90-82A3C6B19E9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0900-16.00</t>
        </r>
      </text>
    </comment>
    <comment ref="F65" authorId="1" shapeId="0" xr:uid="{C27F98C2-21E5-4816-811F-0A9456CB677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8-vagt oa</t>
        </r>
      </text>
    </comment>
    <comment ref="J65" authorId="1" shapeId="0" xr:uid="{4D27A423-3648-4586-B3C9-DDCE3829352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K65" authorId="1" shapeId="0" xr:uid="{EBD4FB40-9524-4D27-BAF9-21B514F7483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M65" authorId="1" shapeId="0" xr:uid="{6898DCE6-8C7E-4E47-A419-38D2C7CF8AD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R65" authorId="4" shapeId="0" xr:uid="{EB210427-EB02-4320-83AE-1E927DA6EF2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 oa</t>
        </r>
      </text>
    </comment>
    <comment ref="S65" authorId="11" shapeId="0" xr:uid="{8494FEF0-7189-4B0F-89D7-6B4F24F79168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Matthæugade fra kl. 13.00 på OA</t>
      </text>
    </comment>
    <comment ref="T65" authorId="4" shapeId="0" xr:uid="{B8D5C97E-7BD3-40ED-B932-557F5332061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 oa</t>
        </r>
      </text>
    </comment>
    <comment ref="Z65" authorId="1" shapeId="0" xr:uid="{1B917CD8-AA17-4E59-A8E1-3D8D200BAA6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AD65" authorId="2" shapeId="0" xr:uid="{84242655-21CF-47BC-BD80-0AF2B7AAE22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Gerbrandskolen 07.45-16.00 OA</t>
        </r>
      </text>
    </comment>
    <comment ref="E66" authorId="1" shapeId="0" xr:uid="{C7B97BA0-70B5-4E20-80B4-1E1DAADE8D2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lyongade fra kl. 13</t>
        </r>
      </text>
    </comment>
    <comment ref="F66" authorId="1" shapeId="0" xr:uid="{56846992-9665-4E22-95F0-7173814898C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Lyongade </t>
        </r>
      </text>
    </comment>
    <comment ref="I66" authorId="5" shapeId="0" xr:uid="{4348421C-C600-4C27-A64B-0D4CC024BA71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GKL OA</t>
        </r>
      </text>
    </comment>
    <comment ref="J66" authorId="5" shapeId="0" xr:uid="{40C95442-2CC9-42C8-8449-1F4E737D5CCF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GKL OA</t>
        </r>
      </text>
    </comment>
    <comment ref="K66" authorId="5" shapeId="0" xr:uid="{50B0F11F-5C6E-4D55-BD5F-CF50642C7C67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GKL OA</t>
        </r>
      </text>
    </comment>
    <comment ref="Q66" authorId="12" shapeId="0" xr:uid="{BAFE407B-C51F-45C4-83DE-6EF6404721B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R på OA Gl. Vasbygade</t>
      </text>
    </comment>
    <comment ref="R66" authorId="13" shapeId="0" xr:uid="{77110346-0DD4-4756-B38C-F1432C677D0A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Møde kl 9 til Arrangement   iHallen</t>
        </r>
      </text>
    </comment>
    <comment ref="S66" authorId="2" shapeId="0" xr:uid="{6F4EAC92-038B-4C10-A720-6F4DEA78C8A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GKL OA</t>
        </r>
      </text>
    </comment>
    <comment ref="W66" authorId="1" shapeId="0" xr:uid="{A2D59F4F-76F2-4ECE-82E4-58039397715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X66" authorId="1" shapeId="0" xr:uid="{E35BBA11-5343-4DD8-9889-606EE918A1D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Y66" authorId="1" shapeId="0" xr:uid="{027D2D23-B783-49E9-9BF8-A5054688B99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Z66" authorId="1" shapeId="0" xr:uid="{9AB11BF3-5EB8-418D-9186-AFDD8F1003C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AA66" authorId="1" shapeId="0" xr:uid="{15D9EEF3-0A63-4E90-9D0C-8A8C60CA594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 Sendt hjen kl. 10.. Pga kontakt til Corona smittet.</t>
        </r>
      </text>
    </comment>
    <comment ref="AD66" authorId="2" shapeId="0" xr:uid="{18024879-5BCA-44F6-BB0B-4E0FC7D033A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Hjemme… Afventer svar på corona test.</t>
        </r>
      </text>
    </comment>
    <comment ref="AE66" authorId="2" shapeId="0" xr:uid="{369D2A09-E36A-498E-9400-FA4A94A41E8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Hjemme… Afventer svar på corona test.</t>
        </r>
      </text>
    </comment>
    <comment ref="AF66" authorId="2" shapeId="0" xr:uid="{8B74312D-590E-454A-BFC7-BF2E65CF475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Hjemme… Afventer svar på corona test.</t>
        </r>
      </text>
    </comment>
    <comment ref="J67" authorId="4" shapeId="0" xr:uid="{8E4C51A2-9904-42D0-AA98-0A5193B7A24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Til læge
møder kl. 10.30
</t>
        </r>
      </text>
    </comment>
    <comment ref="K67" authorId="4" shapeId="0" xr:uid="{3D9E32D3-D388-461A-A884-9D551D28739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L67" authorId="1" shapeId="0" xr:uid="{01BD8AD7-E47C-408D-910D-8D49471D900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genoptræning</t>
        </r>
      </text>
    </comment>
    <comment ref="M67" authorId="1" shapeId="0" xr:uid="{6FCE5217-F830-411B-8E1B-B270334C78C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P67" authorId="4" shapeId="0" xr:uid="{75BB896C-2A54-4DC0-B3F8-A755086BC08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Q67" authorId="4" shapeId="0" xr:uid="{57CE557C-1CD5-4C7B-AE4E-632946EBE61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R67" authorId="4" shapeId="0" xr:uid="{67047287-7404-45E7-AB73-ECE5878BBBF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S67" authorId="4" shapeId="0" xr:uid="{AFC9F2AD-C732-4B18-8164-D1B2B791CCC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T67" authorId="1" shapeId="0" xr:uid="{F4DC2FF8-7067-4CAB-BC74-D6792C0FE1E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genoptræning</t>
        </r>
      </text>
    </comment>
    <comment ref="W67" authorId="1" shapeId="0" xr:uid="{C8E3EB91-DC9A-4F52-A813-6D0245D0D72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X67" authorId="1" shapeId="0" xr:uid="{00589773-2A0B-4D7B-A38B-BC63937E710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Y67" authorId="1" shapeId="0" xr:uid="{2AECFCDB-37AE-477B-91F6-E1858C81022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Z67" authorId="1" shapeId="0" xr:uid="{7F8BD5D9-DD7F-48F1-A786-2710DD20E34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AA67" authorId="1" shapeId="0" xr:uid="{FB227410-D29A-4D93-A038-263DFA8ED7E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genoptræning</t>
        </r>
      </text>
    </comment>
    <comment ref="AD67" authorId="2" shapeId="0" xr:uid="{1CF6C925-72F3-467F-8326-49346D7EDF1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Hjemme… Afventer svar på corona test.</t>
        </r>
      </text>
    </comment>
    <comment ref="AE67" authorId="2" shapeId="0" xr:uid="{2BE5832C-A5E6-488C-97B5-BEC84F7673A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Hjemme… Afventer svar på corona test.</t>
        </r>
      </text>
    </comment>
    <comment ref="AF67" authorId="2" shapeId="0" xr:uid="{F74DF7DF-07DF-4257-BADA-424FF14C8EA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Hjemme… Afventer svar på corona test.</t>
        </r>
      </text>
    </comment>
    <comment ref="C68" authorId="2" shapeId="0" xr:uid="{35D4D3C5-F554-4E87-A90F-C1ECACCB451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D68" authorId="2" shapeId="0" xr:uid="{96D40DA4-522D-449C-8047-002A2A7FE32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
1-vagt + 8-vagt oa</t>
        </r>
      </text>
    </comment>
    <comment ref="E68" authorId="2" shapeId="0" xr:uid="{82B83C74-ADAA-4120-BC61-92580F96AA3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
1-vagt oa</t>
        </r>
      </text>
    </comment>
    <comment ref="F68" authorId="2" shapeId="0" xr:uid="{612B7E38-7B2E-4D15-B574-0BA541364C9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
1-vagt oa</t>
        </r>
      </text>
    </comment>
    <comment ref="G68" authorId="2" shapeId="0" xr:uid="{061E94BF-4101-44B9-B086-D8C97894D55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H68" authorId="2" shapeId="0" xr:uid="{57644DE5-FCF1-4352-806A-22206B7089A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J69" authorId="4" shapeId="0" xr:uid="{53B4E4E9-88BC-4161-8A5F-86FC014BFDE6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69-vagt på OA</t>
        </r>
      </text>
    </comment>
    <comment ref="K69" authorId="4" shapeId="0" xr:uid="{06D6C474-65BF-417D-B796-2D9F653FC14D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69-vagt på OA</t>
        </r>
      </text>
    </comment>
    <comment ref="P69" authorId="4" shapeId="0" xr:uid="{59267911-A336-48B0-A056-965E7401F1A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Q69" authorId="4" shapeId="0" xr:uid="{9171C7D5-233D-44D4-B59A-DC68D855B12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R69" authorId="1" shapeId="0" xr:uid="{876372A5-4357-42A9-9BDF-0A4761052CB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8.45-15.00</t>
        </r>
      </text>
    </comment>
    <comment ref="T69" authorId="4" shapeId="0" xr:uid="{9A1356A3-8AE3-4016-8A9E-DF9570BE7E8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AD69" authorId="1" shapeId="0" xr:uid="{9875FD55-2477-41F0-B5EA-4CC4848722E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L-vagt oa</t>
        </r>
      </text>
    </comment>
    <comment ref="AF70" authorId="2" shapeId="0" xr:uid="{277CED40-C554-473B-BFB1-21EA036A568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07.00 - 14.00 tager GKL. 09.00 - 16.30..
=7-09 er OA</t>
        </r>
      </text>
    </comment>
    <comment ref="C71" authorId="1" shapeId="0" xr:uid="{B5C65FB9-E647-41CE-B2F5-04B1DCDC86B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8-vagt oa</t>
        </r>
      </text>
    </comment>
    <comment ref="E71" authorId="5" shapeId="0" xr:uid="{22DA3269-00E5-45E7-83AA-A085478ADAFD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8-vagt OA</t>
        </r>
      </text>
    </comment>
    <comment ref="J71" authorId="14" shapeId="0" xr:uid="{DE26F2CE-33E7-404E-82DE-832320F486F3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Gerbrandskolen 7.45-16.00</t>
        </r>
      </text>
    </comment>
    <comment ref="K71" authorId="14" shapeId="0" xr:uid="{0FA95098-71F9-4FB5-9789-B063D8AE8516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Gerbrandskolen 7.45-16.00</t>
        </r>
      </text>
    </comment>
    <comment ref="L71" authorId="4" shapeId="0" xr:uid="{BEBAC109-831C-40F3-92A0-25CBB5ECCF1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M71" authorId="4" shapeId="0" xr:uid="{91A9F868-2297-4C86-976B-6D81397BB6D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Y71" authorId="2" shapeId="0" xr:uid="{04DEDE71-83F1-4424-8855-045E184362E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08.00 - 16.00</t>
        </r>
      </text>
    </comment>
    <comment ref="Z71" authorId="1" shapeId="0" xr:uid="{2F6C6B80-F3FA-4074-A010-97321CB0EB2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AA71" authorId="1" shapeId="0" xr:uid="{A5D234EA-278C-447E-94FE-3F8A061251A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AD71" authorId="1" shapeId="0" xr:uid="{439D4C9C-B418-40BC-9F9F-0AF06262638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AE71" authorId="1" shapeId="0" xr:uid="{BE7AD631-33FB-46C7-8DB7-E921BD63941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AF71" authorId="1" shapeId="0" xr:uid="{AC5EF087-0CCF-4234-8C0D-FCEE5BAC49A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C72" authorId="4" shapeId="0" xr:uid="{3743E9AF-BBE8-4BCD-B3E8-A131D64E210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GL.Køgelandevej 43-45</t>
        </r>
      </text>
    </comment>
    <comment ref="D72" authorId="4" shapeId="0" xr:uid="{742750B3-E145-4D1D-B7E1-4D831F24BA82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GL.Køgelandevej 43-45</t>
        </r>
      </text>
    </comment>
    <comment ref="F72" authorId="1" shapeId="0" xr:uid="{2A811BA2-8F18-4364-874B-F8E3BBED4E8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E-vagt oa og hjælper på RH efter</t>
        </r>
      </text>
    </comment>
    <comment ref="J72" authorId="1" shapeId="0" xr:uid="{326CB859-F0AD-4A34-B55D-8F46F9CFD7D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OA</t>
        </r>
      </text>
    </comment>
    <comment ref="L72" authorId="1" shapeId="0" xr:uid="{AC7E69AF-A4E0-4C50-8E2C-88B20332769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OA</t>
        </r>
      </text>
    </comment>
    <comment ref="P72" authorId="4" shapeId="0" xr:uid="{DF09EBDB-7F77-49EB-8202-0EFC0B1A9C7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Q72" authorId="4" shapeId="0" xr:uid="{CB7C28EB-643F-4906-953D-9381B16D520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Gerbrandtskolen
7:45-16</t>
        </r>
      </text>
    </comment>
    <comment ref="C76" authorId="2" shapeId="0" xr:uid="{8BB978BC-61A6-4A42-804A-6CAC6CA6A8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D76" authorId="2" shapeId="0" xr:uid="{20087796-2B0D-4C3D-8DC1-13BF8302E0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Gl. Køge landevej 43-45</t>
        </r>
      </text>
    </comment>
    <comment ref="W76" authorId="15" shapeId="0" xr:uid="{DA833643-0E7D-47D9-83A7-C5EBC2EF704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Matthæugade</t>
      </text>
    </comment>
    <comment ref="X76" authorId="16" shapeId="0" xr:uid="{76F875AB-7C6F-4982-A273-3B2FED9CD66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Matthæugade</t>
      </text>
    </comment>
    <comment ref="AE76" authorId="1" shapeId="0" xr:uid="{737BC6F6-F9B5-4E6C-848C-4B4827E553D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L-vagt oa</t>
        </r>
      </text>
    </comment>
    <comment ref="AF76" authorId="1" shapeId="0" xr:uid="{FFC14DD4-73EE-431A-880A-D1D578CE816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L-vagt oa</t>
        </r>
      </text>
    </comment>
    <comment ref="C77" authorId="5" shapeId="0" xr:uid="{6BF17002-8B0D-4A2E-9449-C8B20B40D1A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gerbrands skolen
07.45-16.00</t>
        </r>
      </text>
    </comment>
    <comment ref="D77" authorId="5" shapeId="0" xr:uid="{E5ED73C5-E4C3-4F25-9631-4CFA1C256F8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gerbrands skolen
07.45-16.00</t>
        </r>
      </text>
    </comment>
    <comment ref="E77" authorId="5" shapeId="0" xr:uid="{53145CF5-CD3C-4D2F-98B8-6DC0BD0711F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gerbrands skolen
07.45-16.00
Lyongade 16-18 oa</t>
        </r>
      </text>
    </comment>
    <comment ref="F77" authorId="5" shapeId="0" xr:uid="{E34D9182-B8E6-4D90-88AB-70F7A56BD17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gerbrands skolen
07.45-16.00</t>
        </r>
      </text>
    </comment>
    <comment ref="L77" authorId="17" shapeId="0" xr:uid="{DA3C4BC6-75CB-4109-987E-ED5319B73444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ca. 21.30, efter teori</t>
      </text>
    </comment>
    <comment ref="W77" authorId="18" shapeId="0" xr:uid="{2BD79DC1-DDC4-4FE7-BBA7-1789F38B5B6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ca. 21.30, efter teori</t>
      </text>
    </comment>
    <comment ref="L78" authorId="2" shapeId="0" xr:uid="{77730C5B-4C08-42ED-A576-3D5CFB091EA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</t>
        </r>
      </text>
    </comment>
    <comment ref="E80" authorId="5" shapeId="0" xr:uid="{72A34D6E-859C-4B97-8E9B-ADE86AAE7A4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GL.køgelandevej 43-45</t>
        </r>
      </text>
    </comment>
    <comment ref="F80" authorId="5" shapeId="0" xr:uid="{A6C65042-A9E6-42CA-8C8F-5057AA75A28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GL.køgelandevej 43-45</t>
        </r>
      </text>
    </comment>
    <comment ref="I80" authorId="2" shapeId="0" xr:uid="{BA180B87-3FB2-44CA-A817-8100700BDA8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J80" authorId="2" shapeId="0" xr:uid="{8BBBEB20-597B-4786-9162-C93B815E185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K80" authorId="2" shapeId="0" xr:uid="{48BE13E2-21E4-4E8B-826B-C034C9AD466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
N på oa</t>
        </r>
      </text>
    </comment>
    <comment ref="L80" authorId="2" shapeId="0" xr:uid="{A1B09823-EE57-4D67-8B5C-D83B0F29DD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
N på oa
</t>
        </r>
      </text>
    </comment>
    <comment ref="M80" authorId="10" shapeId="0" xr:uid="{4FBE4EE3-380A-40F7-A77F-452536FC1FAB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Glk på oa
</t>
        </r>
      </text>
    </comment>
    <comment ref="N80" authorId="2" shapeId="0" xr:uid="{E96669D8-01EB-4081-8CF6-19C3AE8A846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O80" authorId="2" shapeId="0" xr:uid="{8C4C5FE4-ECA8-4736-8D4F-120E66E1FA4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Coronavagt 10.00-20.00</t>
        </r>
      </text>
    </comment>
    <comment ref="AD80" authorId="1" shapeId="0" xr:uid="{4EFFCFD8-51A3-4C70-A35F-5E9E372065F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AE80" authorId="1" shapeId="0" xr:uid="{D8843288-9873-4F30-B28C-942B4E65FD7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AF80" authorId="1" shapeId="0" xr:uid="{7886A6E4-A2AF-4181-A414-4D280177BB4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E81" authorId="5" shapeId="0" xr:uid="{937DE761-FC0A-4075-B4AC-2BC96FCA8579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16.00-17.00 OA</t>
        </r>
      </text>
    </comment>
    <comment ref="I81" authorId="5" shapeId="0" xr:uid="{99E5253D-9553-4BB0-88DD-97A7EF5A7D5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L81" authorId="5" shapeId="0" xr:uid="{9F1B7156-63C2-4818-A311-8F8670D3ABDD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fri begravelse</t>
        </r>
      </text>
    </comment>
    <comment ref="M81" authorId="2" shapeId="0" xr:uid="{2D09DF27-B4E4-42CD-BEE9-3018D9E989A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8-16</t>
        </r>
      </text>
    </comment>
    <comment ref="P81" authorId="4" shapeId="0" xr:uid="{4D7A8EBA-D48A-42BC-AC7F-C300F39325A0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Møder fra 08.00-15.30</t>
        </r>
      </text>
    </comment>
    <comment ref="Q81" authorId="4" shapeId="0" xr:uid="{FA18CE44-BC86-44C7-8AAD-64511E5ACF53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Møder fra 08.00-15.30</t>
        </r>
      </text>
    </comment>
    <comment ref="R81" authorId="13" shapeId="0" xr:uid="{1215897C-38AA-46F1-8518-CCEF74386F66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Tivoliporten</t>
        </r>
      </text>
    </comment>
    <comment ref="S81" authorId="14" shapeId="0" xr:uid="{6060C7B0-D541-4C57-A44B-4C363C031B42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10.00-17.00</t>
        </r>
      </text>
    </comment>
    <comment ref="T81" authorId="2" shapeId="0" xr:uid="{8D5B922F-7DE4-4E2B-894D-065D912E25D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AD81" authorId="2" shapeId="0" xr:uid="{024D81FD-5911-456F-A4A9-05A4C24E1DA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AE81" authorId="2" shapeId="0" xr:uid="{60BBF118-44D2-4AC8-8A33-275C2A93907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AF81" authorId="2" shapeId="0" xr:uid="{C5F13C38-CFD7-40AB-A903-91E7BE387EB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L84" authorId="2" shapeId="0" xr:uid="{C3482559-6E5B-40C4-BBF6-1C5A6CAE77E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09.30-17.00</t>
        </r>
      </text>
    </comment>
    <comment ref="M84" authorId="2" shapeId="0" xr:uid="{C55FD880-5C9E-48D7-84CA-95B20C87213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09.30-17.00</t>
        </r>
      </text>
    </comment>
    <comment ref="C87" authorId="0" shapeId="0" xr:uid="{B476C05A-935F-4B1E-AA8D-9CF891D6969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D87" authorId="0" shapeId="0" xr:uid="{526579F3-3FC3-47F2-A9C0-27BA27E0451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E87" authorId="0" shapeId="0" xr:uid="{B406C8BC-EFA8-471B-84E3-958F2D3792F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F87" authorId="0" shapeId="0" xr:uid="{B33A35CB-930B-4714-ADC9-787D765CFD4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I87" authorId="0" shapeId="0" xr:uid="{057325CC-C368-4416-A472-3E42050DB32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J87" authorId="0" shapeId="0" xr:uid="{0395BDC6-E413-44DD-BB5E-F1E78A07762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K87" authorId="0" shapeId="0" xr:uid="{E578006A-37EF-45BA-8768-C48EDC1EEC0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L87" authorId="0" shapeId="0" xr:uid="{6564A08A-9D45-423F-9937-710E387DD3B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M87" authorId="0" shapeId="0" xr:uid="{E53EB698-7884-4D35-BC5F-09AC160654C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P87" authorId="0" shapeId="0" xr:uid="{40963BAE-47AB-4727-A0DE-F1B9BA5BBD5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Q87" authorId="0" shapeId="0" xr:uid="{4C1F759A-1298-49A0-9F0B-4B3E9383695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R87" authorId="0" shapeId="0" xr:uid="{B5A9F72F-7F87-40BD-A791-522A68C80E8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S87" authorId="0" shapeId="0" xr:uid="{6CB86BC3-C140-4D73-9113-C5323C99A01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T87" authorId="0" shapeId="0" xr:uid="{A41AF637-7B6A-4F88-B736-F835EB0BBAA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W87" authorId="0" shapeId="0" xr:uid="{0A63CD62-3283-4CE8-9BE5-796C9FDDE55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X87" authorId="0" shapeId="0" xr:uid="{4218911B-819E-48C6-97C8-A8A89AA46A6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Y87" authorId="0" shapeId="0" xr:uid="{782F21A2-275D-476D-9751-E02D71E175E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Z87" authorId="0" shapeId="0" xr:uid="{330384D0-6905-4A23-B199-1CC9393D019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AA87" authorId="0" shapeId="0" xr:uid="{D3B2DFDB-C9BD-4FC0-B6E7-66EF645D6AA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AD87" authorId="0" shapeId="0" xr:uid="{5561BEDD-045F-4169-89AC-6FD42723F42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AE87" authorId="0" shapeId="0" xr:uid="{85B82447-7F19-4D30-AAD5-ABFCBD7C030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AF87" authorId="0" shapeId="0" xr:uid="{E8624736-343C-47EE-92EB-6EF1D1EEBCB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C88" authorId="0" shapeId="0" xr:uid="{6B347F05-7013-4E5E-9811-0136B5A2B7E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D88" authorId="0" shapeId="0" xr:uid="{728C6466-32DC-46E1-A9DB-2645778710E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E88" authorId="0" shapeId="0" xr:uid="{F9F8035C-1BFD-496B-A2A4-3F57E722DA2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F88" authorId="0" shapeId="0" xr:uid="{9526A0CF-478A-4AD8-9148-E13DCFA5110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I88" authorId="0" shapeId="0" xr:uid="{89369232-6085-4B7B-88CB-F3F5EBBD26E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frem</t>
        </r>
      </text>
    </comment>
    <comment ref="J88" authorId="0" shapeId="0" xr:uid="{33E7286C-DF47-429C-AEE8-04E286B950B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frem</t>
        </r>
      </text>
    </comment>
    <comment ref="K88" authorId="0" shapeId="0" xr:uid="{D90171A5-0526-4892-9B54-904EB9B0357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frem</t>
        </r>
      </text>
    </comment>
    <comment ref="L88" authorId="0" shapeId="0" xr:uid="{E05D52C4-BA1B-4EE1-AAD2-2F21462DBCD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frem</t>
        </r>
      </text>
    </comment>
    <comment ref="M88" authorId="0" shapeId="0" xr:uid="{CE0D0714-178B-4B5E-82F6-DFF19286DB5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frem</t>
        </r>
      </text>
    </comment>
    <comment ref="P88" authorId="0" shapeId="0" xr:uid="{2D472BF3-47A8-4E05-B312-A34424015BA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Q88" authorId="0" shapeId="0" xr:uid="{C34CDE8C-80CF-4249-A53D-FCCD5749123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R88" authorId="0" shapeId="0" xr:uid="{E514DE62-95DA-49AC-BD1E-F3A648AC26D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S88" authorId="0" shapeId="0" xr:uid="{49300412-27AE-4937-81B1-9D474075491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T88" authorId="0" shapeId="0" xr:uid="{8D0E455B-0E0A-4347-B5A1-5468286C017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W88" authorId="0" shapeId="0" xr:uid="{D1D3E6A4-041C-4B5F-B1A9-CD66287D364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X88" authorId="0" shapeId="0" xr:uid="{FB45D6AB-6D04-485C-94FE-8079096BEF5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Y88" authorId="0" shapeId="0" xr:uid="{2EE30A9B-3063-4E82-AF88-FA9125A2D6E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Z88" authorId="0" shapeId="0" xr:uid="{C03131F9-92C2-4101-9FA4-7085F79F039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AA88" authorId="0" shapeId="0" xr:uid="{B7C3F66B-0132-43E8-913B-B5828F450BC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AD88" authorId="0" shapeId="0" xr:uid="{600140A7-9BA0-43F8-B3DC-E5D195D2A33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AE88" authorId="0" shapeId="0" xr:uid="{376F7D29-8D51-4032-AC44-D5C682998F0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AF88" authorId="0" shapeId="0" xr:uid="{94458D1F-CD30-462A-A0F2-E0154092C1E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11 og fire timer frem</t>
        </r>
      </text>
    </comment>
    <comment ref="AA99" authorId="2" shapeId="0" xr:uid="{8C9A997C-0B5F-4D62-AB22-86304D9DD8C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M-vagt på OA.</t>
        </r>
      </text>
    </comment>
    <comment ref="I100" authorId="1" shapeId="0" xr:uid="{DDDBDD91-152A-4AC3-A6C3-7863CF402BA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L-vagt oa</t>
        </r>
      </text>
    </comment>
    <comment ref="J100" authorId="1" shapeId="0" xr:uid="{CEA9B1C3-CA5F-4661-A049-0B8FFED35D2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L-vagt oa</t>
        </r>
      </text>
    </comment>
    <comment ref="L100" authorId="1" shapeId="0" xr:uid="{99F1EFFF-7222-425E-8F56-AA916F018E2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GKL OA</t>
        </r>
      </text>
    </comment>
    <comment ref="M100" authorId="1" shapeId="0" xr:uid="{0768E7A3-5F63-4551-B351-C9CBBC16842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L-vagt oa</t>
        </r>
      </text>
    </comment>
    <comment ref="R100" authorId="2" shapeId="0" xr:uid="{AD344316-8BC2-4AC5-B9A9-76D6C6343A5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tandlæge</t>
        </r>
      </text>
    </comment>
    <comment ref="S100" authorId="2" shapeId="0" xr:uid="{5D7D163F-9C6F-46F9-88A2-EAEDAF40E2F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T100" authorId="2" shapeId="0" xr:uid="{E5940258-F8E9-4154-9FE5-5DFEC5FFA0C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08.00-13.15
Skal til lægen</t>
        </r>
      </text>
    </comment>
    <comment ref="AD100" authorId="2" shapeId="0" xr:uid="{F0242192-700E-4642-97B0-9716D2FE0A9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C-vagt på OA.</t>
        </r>
      </text>
    </comment>
    <comment ref="AE100" authorId="2" shapeId="0" xr:uid="{031824C8-358F-409A-9426-12768E3A61A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C-vagt på OA.</t>
        </r>
      </text>
    </comment>
    <comment ref="AF100" authorId="2" shapeId="0" xr:uid="{1A59AA0D-4F2C-47DE-89D1-82778246843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C-vagt på OA.</t>
        </r>
      </text>
    </comment>
    <comment ref="L119" authorId="2" shapeId="0" xr:uid="{FC63BCCC-82B5-4C0F-B558-CCA0C36FD99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8-16</t>
        </r>
      </text>
    </comment>
    <comment ref="P119" authorId="2" shapeId="0" xr:uid="{3757CFF9-4AC0-41DC-BD28-B3D775257BE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Q119" authorId="2" shapeId="0" xr:uid="{17138484-5A9B-43D6-A830-9A71F5AECE8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R119" authorId="2" shapeId="0" xr:uid="{5A108616-5510-4E9C-A3C3-AA67FB537C8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S119" authorId="2" shapeId="0" xr:uid="{B1F1DEFE-836D-430E-9E81-28F24E0A746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T119" authorId="2" shapeId="0" xr:uid="{ECD7E7C6-6001-4DAF-AA98-D7C60F97284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W119" authorId="2" shapeId="0" xr:uid="{D610311D-45AA-40A0-9898-8ADB1D247AB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X119" authorId="2" shapeId="0" xr:uid="{4EBF229E-8B78-46E5-89FC-856EFBA75E5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Y119" authorId="2" shapeId="0" xr:uid="{DF77DEA8-AAEC-49DC-A7F0-83594AC8DB6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Z119" authorId="2" shapeId="0" xr:uid="{D261B0E6-4230-4429-A8EB-1FC9B8BADBC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AA119" authorId="2" shapeId="0" xr:uid="{2578ECBE-95AC-4FD0-A277-C883DE941C4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AD119" authorId="2" shapeId="0" xr:uid="{B656D1BF-1E5D-4605-8A41-FD2C5ABC3F0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AE119" authorId="2" shapeId="0" xr:uid="{0A3A4B93-A2D5-4F4F-B529-5D4C257A957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AF119" authorId="2" shapeId="0" xr:uid="{B9624881-504E-46C8-BCE3-856D3BC8259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L120" authorId="2" shapeId="0" xr:uid="{63CE40FB-CE95-4CA8-B100-E1285703AF9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8-16</t>
        </r>
      </text>
    </comment>
    <comment ref="M120" authorId="2" shapeId="0" xr:uid="{4BCCDAC2-2840-41AD-8E3A-8FABF0B2858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8-16</t>
        </r>
      </text>
    </comment>
    <comment ref="P120" authorId="2" shapeId="0" xr:uid="{5BC665ED-AAB7-403C-851E-3D156D68A58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Q120" authorId="2" shapeId="0" xr:uid="{7F080282-4685-47BE-A2BA-13FE76DF101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R120" authorId="2" shapeId="0" xr:uid="{885F1C1E-CFCB-4E77-9994-6C6427A0D44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S120" authorId="2" shapeId="0" xr:uid="{87B63091-B12A-4055-B732-BA1B5F7CA5B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T120" authorId="2" shapeId="0" xr:uid="{6F58AEBC-260E-40B7-B67C-6AB80A3FFF1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W120" authorId="2" shapeId="0" xr:uid="{67CA3E45-1B88-49A0-B14A-AB6AB079A3B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X120" authorId="2" shapeId="0" xr:uid="{247EB9D8-6B2B-426B-BBE2-9E3B803BE8D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Y120" authorId="2" shapeId="0" xr:uid="{BDE9D5C1-45C6-4813-9B41-293A8666228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Z120" authorId="2" shapeId="0" xr:uid="{AF387B94-946E-44BE-94EC-F717B7B30BF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AA120" authorId="2" shapeId="0" xr:uid="{AE939BC7-FF7C-46DB-B95F-67159F71C28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AD120" authorId="2" shapeId="0" xr:uid="{4120FDBD-245B-4DDA-94BA-FA60DA34B70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AE120" authorId="2" shapeId="0" xr:uid="{4209BFAF-6B92-4A4B-83D7-2D1FB55E417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AF120" authorId="2" shapeId="0" xr:uid="{9FD615C7-4B08-455A-AFB0-56490BDC947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C121" authorId="0" shapeId="0" xr:uid="{5B2AE171-345A-495B-A727-AD49307B97A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05.45</t>
        </r>
      </text>
    </comment>
    <comment ref="D121" authorId="0" shapeId="0" xr:uid="{B3BD2ADE-45CE-4866-90A1-2724476A04C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Møder kl. 05.45</t>
        </r>
      </text>
    </comment>
    <comment ref="E121" authorId="0" shapeId="0" xr:uid="{F657AB87-7C73-4842-ACB2-048CB328A85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F121" authorId="0" shapeId="0" xr:uid="{1932231E-DAA5-4909-8204-17BD4D95728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K121" authorId="4" shapeId="0" xr:uid="{76BAA819-3D59-419E-8DA0-4F51CB317A7B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Møder som VH til kl. 09.30</t>
        </r>
      </text>
    </comment>
    <comment ref="L121" authorId="2" shapeId="0" xr:uid="{89DB0620-8B2D-4D6A-9E4C-1F073362DA7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Vagthavende</t>
        </r>
      </text>
    </comment>
    <comment ref="M121" authorId="2" shapeId="0" xr:uid="{052E9FFC-981F-4010-970B-ACD092A9B15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Vagthavende</t>
        </r>
      </text>
    </comment>
    <comment ref="S121" authorId="2" shapeId="0" xr:uid="{AB304049-F81A-4973-A110-EA5586C62954}">
      <text>
        <r>
          <rPr>
            <b/>
            <sz val="9"/>
            <color indexed="81"/>
            <rFont val="Tahoma"/>
            <charset val="1"/>
          </rPr>
          <t>Steen Hertin:
Til Læge</t>
        </r>
      </text>
    </comment>
    <comment ref="W121" authorId="2" shapeId="0" xr:uid="{09890B83-489E-4643-A2B4-EBF420131DF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08.00 - 16.00</t>
        </r>
      </text>
    </comment>
    <comment ref="X121" authorId="2" shapeId="0" xr:uid="{B0DFB6FC-D711-4EF5-9502-362CCFD3A6B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08.00 - 16.00</t>
        </r>
      </text>
    </comment>
    <comment ref="Z121" authorId="2" shapeId="0" xr:uid="{7BC7DDC9-EF01-4196-B7DF-41620A55DCF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tilkald hjemme</t>
        </r>
      </text>
    </comment>
    <comment ref="AA121" authorId="2" shapeId="0" xr:uid="{A73C9B4B-104D-45EE-9FB3-AA9CA1580A5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
OA GKL til kl.18.30</t>
        </r>
      </text>
    </comment>
    <comment ref="AD121" authorId="2" shapeId="0" xr:uid="{86F8D9FA-3F59-4ED3-96DF-DB622E1B36C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FRI pga vagthavende ons-fredag</t>
        </r>
      </text>
    </comment>
    <comment ref="AE121" authorId="2" shapeId="0" xr:uid="{8D32009E-BC1E-46A6-910B-A185860BF78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FRI pga vagthavende ons-fredag</t>
        </r>
      </text>
    </comment>
    <comment ref="AF121" authorId="2" shapeId="0" xr:uid="{793BCDA2-0EEF-4310-B2D0-E7EA9E53547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>Vagthavende</t>
        </r>
      </text>
    </comment>
    <comment ref="L123" authorId="2" shapeId="0" xr:uid="{BFD422C1-20C1-4BBE-9D2D-0A700069C09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7-14.00</t>
        </r>
      </text>
    </comment>
    <comment ref="M123" authorId="2" shapeId="0" xr:uid="{09958FC1-5610-4288-91E9-68BF5363521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7-14.00</t>
        </r>
      </text>
    </comment>
    <comment ref="P123" authorId="2" shapeId="0" xr:uid="{8B86C04A-4CBB-442A-B65D-D6B069849DF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Q123" authorId="2" shapeId="0" xr:uid="{81D5C0E3-C405-4717-9A8B-9157DAF5E8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R123" authorId="2" shapeId="0" xr:uid="{75D406C6-FF3C-4F07-9555-89EEB600FA0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W123" authorId="2" shapeId="0" xr:uid="{B371ED34-276B-4717-8CB3-3E0D5E8EA56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X123" authorId="2" shapeId="0" xr:uid="{00013B15-058E-40F0-85FC-1D6F0E6C303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Y123" authorId="2" shapeId="0" xr:uid="{AA99B9F9-0812-490B-8B51-21FA0421EBF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Z123" authorId="2" shapeId="0" xr:uid="{1133992F-6F9F-4B86-B8DD-CF2EF16134B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AA123" authorId="2" shapeId="0" xr:uid="{BC46A4F2-85BA-4A2C-9A47-0B5060E13FB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AD123" authorId="2" shapeId="0" xr:uid="{B63E15D8-F211-459C-82F0-1B020FD992A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AE123" authorId="2" shapeId="0" xr:uid="{1F7D553A-2336-4B2F-83C7-05E653860E9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AF123" authorId="2" shapeId="0" xr:uid="{E4A06E02-E930-4F00-A744-8524AF672EA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M136" authorId="4" shapeId="0" xr:uid="{3F080448-046C-481D-8341-DA54A11329AB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Fuglebakken fra kl. 24.00-06.00</t>
        </r>
      </text>
    </comment>
    <comment ref="N136" authorId="4" shapeId="0" xr:uid="{95C70EF9-F911-4974-AB6F-2AC1BF0C8EA3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Fuglebakken fra kl. 20.00-06.00</t>
        </r>
      </text>
    </comment>
    <comment ref="O136" authorId="4" shapeId="0" xr:uid="{5F138A7F-D598-4B4A-8178-1789558D4F19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Fuglebakken fra kl. 20.00-06.00</t>
        </r>
      </text>
    </comment>
    <comment ref="AD136" authorId="4" shapeId="0" xr:uid="{9D5470F0-1B62-46E6-99A6-82D85A1A9EAE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D-vagt på OA</t>
        </r>
      </text>
    </comment>
    <comment ref="E152" authorId="3" shapeId="0" xr:uid="{1F16F621-445C-49A4-B288-5980CB637946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går kl 13,30</t>
        </r>
      </text>
    </comment>
    <comment ref="I152" authorId="3" shapeId="0" xr:uid="{A50EABA9-F9D9-40E8-B2BA-D21E3A4D147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L152" authorId="3" shapeId="0" xr:uid="{F7A9EEF3-937A-40C4-96AB-FA45F05523D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52" authorId="3" shapeId="0" xr:uid="{2408BDAE-C718-4C3F-82D1-5D6F34A6C14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P152" authorId="3" shapeId="0" xr:uid="{86574CFB-30A2-4D0C-83A3-CE1BD1756C6E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Q152" authorId="3" shapeId="0" xr:uid="{90C59BBF-4B7C-479C-A09B-AC219F2E88F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R152" authorId="3" shapeId="0" xr:uid="{D15E9882-6C44-405C-B46E-27AB6D3B82F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152" authorId="3" shapeId="0" xr:uid="{52F427D5-F71F-4252-B669-B46B1AAB9AC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T152" authorId="3" shapeId="0" xr:uid="{AF89F2CB-2E33-4312-943C-498469243F4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152" authorId="3" shapeId="0" xr:uid="{76B092F3-B662-4B4D-994C-19A7C35B44C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152" authorId="3" shapeId="0" xr:uid="{F1C76FCC-FD82-4B9C-A053-17D7667F737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Y152" authorId="3" shapeId="0" xr:uid="{2C8FAC24-2259-4EB7-A51F-88B8EC2DD33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Z152" authorId="3" shapeId="0" xr:uid="{0374CA10-07B5-4D25-90E3-C98BE6968BA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A152" authorId="3" shapeId="0" xr:uid="{6769D7F7-7F03-4D0F-8541-ADF5EE572816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152" authorId="3" shapeId="0" xr:uid="{D8273C93-E974-4E9C-96B1-5CF28B6665FA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E152" authorId="3" shapeId="0" xr:uid="{27C35F5E-EB73-490E-92D0-ECF74A7E364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F152" authorId="3" shapeId="0" xr:uid="{85E5A8C0-CC0A-49E2-B1AB-2814F6572B6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G153" authorId="3" shapeId="0" xr:uid="{F0D6385C-407A-4178-B335-DD1F1074760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R3 på OA</t>
        </r>
      </text>
    </comment>
    <comment ref="I158" authorId="13" shapeId="0" xr:uid="{06594D90-FCD1-4E65-887C-8D56C27EA4BC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+ 4 timer rundvisning</t>
        </r>
      </text>
    </comment>
    <comment ref="L186" authorId="2" shapeId="0" xr:uid="{44493CBB-E947-4D1C-AFFB-1084D8F2E41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Gået syg hjem.</t>
        </r>
      </text>
    </comment>
    <comment ref="L192" authorId="2" shapeId="0" xr:uid="{584735F4-69F6-4D09-A8CC-D4A0F7224EC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læge.</t>
        </r>
      </text>
    </comment>
    <comment ref="E220" authorId="3" shapeId="0" xr:uid="{748F0D48-4195-47C1-8BF8-A77D3ECD5C4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Afs fra kl 9-13,45</t>
        </r>
      </text>
    </comment>
    <comment ref="F220" authorId="10" shapeId="0" xr:uid="{0B77979C-6D68-4D2F-A962-910534FB2596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fejemand kl. 5.30 til 7
</t>
        </r>
      </text>
    </comment>
    <comment ref="I220" authorId="3" shapeId="0" xr:uid="{6DA92AAD-493A-4AB0-A1D6-68B79CB4A6F3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J220" authorId="3" shapeId="0" xr:uid="{9BB7443C-D242-43C1-B7BC-04957801FDEA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K220" authorId="3" shapeId="0" xr:uid="{279D1E41-0D25-471E-94C8-00944AED680D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L220" authorId="3" shapeId="0" xr:uid="{814E1A23-EB67-40B1-8463-5FF9D0BD5F14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M220" authorId="3" shapeId="0" xr:uid="{53BE65BD-FD7D-449A-9686-22C28FBA9943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P220" authorId="3" shapeId="0" xr:uid="{8F9048FD-0A32-4F7F-BA4B-7F46E169DE2D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Q220" authorId="3" shapeId="0" xr:uid="{55DC5E35-2BF3-42FA-8B8A-3D07175DD700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R220" authorId="3" shapeId="0" xr:uid="{DD77B4A5-C04C-4575-A5D1-18C1A3CC7AE2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S220" authorId="3" shapeId="0" xr:uid="{68C4B2DD-2797-4B02-97DE-0531B42CD7A0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T220" authorId="3" shapeId="0" xr:uid="{F529BC0F-2602-4DC2-9C3C-F07C7165FA56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AE288" authorId="13" shapeId="0" xr:uid="{C6F43E4A-6638-423B-B8CA-6AA13B811BAD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- 2 timer afs</t>
        </r>
      </text>
    </comment>
    <comment ref="I289" authorId="3" shapeId="0" xr:uid="{F4D7D297-BAB0-439C-BE8B-A5BA6AF54E9B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- 4 timer ferie</t>
        </r>
      </text>
    </comment>
    <comment ref="C291" authorId="3" shapeId="0" xr:uid="{14CCDAD7-0A5B-4FB3-9645-A7185DE95265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- 5 timer i afs</t>
        </r>
      </text>
    </comment>
    <comment ref="K291" authorId="3" shapeId="0" xr:uid="{C45C41D0-176E-4B19-A123-23EF3183171B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- 5 timer afs</t>
        </r>
      </text>
    </comment>
    <comment ref="AA291" authorId="13" shapeId="0" xr:uid="{3B780EC4-A4A6-474D-A2D8-E02FAD3E4839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- 2,5 time afs</t>
        </r>
      </text>
    </comment>
    <comment ref="T292" authorId="13" shapeId="0" xr:uid="{EDA9EF43-DE10-4FD2-8786-2F476D32AD78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- 2 timer afs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Steen Hertin</author>
    <author>Mathias Hartvig Morell Nielsen</author>
    <author>Rasmus Sørensen</author>
    <author>Marianne Rasmussen</author>
    <author>tc={A8C65914-8946-4A2F-8F9D-0DE25A7F470C}</author>
    <author>Michael Bo Pedersen</author>
    <author>Thomas Holm</author>
    <author>Kim Holm Aabroe</author>
    <author>marasm</author>
  </authors>
  <commentList>
    <comment ref="I12" authorId="0" shapeId="0" xr:uid="{04D2B00A-4CA8-4B3B-BD9D-F583C3AAD2B2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J12" authorId="0" shapeId="0" xr:uid="{14A3A123-9D56-4244-9EE3-02BBF9AB72FD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K12" authorId="0" shapeId="0" xr:uid="{9CA19C6E-5123-407F-BB2E-EF461FB7FD3E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O12" authorId="0" shapeId="0" xr:uid="{28A6FDDC-63AC-442E-9950-67E414208790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P12" authorId="0" shapeId="0" xr:uid="{106E94B0-5AF2-4BD7-B6AD-E830BA12731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U12" authorId="0" shapeId="0" xr:uid="{1DDD66D1-6566-4A67-B311-F8086C50EBD7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W12" authorId="0" shapeId="0" xr:uid="{AE7E74DE-D0E5-471A-8927-416038185EA0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X12" authorId="0" shapeId="0" xr:uid="{0AB9497A-D4A0-498E-8E79-AFC9B7B142D4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12" authorId="1" shapeId="0" xr:uid="{55C0AFBA-E802-41D7-B290-67DEFB0CAA3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Vagthavende 06-10</t>
        </r>
      </text>
    </comment>
    <comment ref="AB20" authorId="1" shapeId="0" xr:uid="{E0678171-C94F-40F7-898A-29EE8F65E58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Baldersgade 3B</t>
        </r>
      </text>
    </comment>
    <comment ref="AD20" authorId="1" shapeId="0" xr:uid="{08AA1800-C7F1-495C-9C7B-08AD5CF196F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Vagthavende 10-14</t>
        </r>
      </text>
    </comment>
    <comment ref="C21" authorId="2" shapeId="0" xr:uid="{D94CDF9F-25BC-4ACE-A2B8-28463B5376BD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ekstravagt 08.30-18.00</t>
        </r>
      </text>
    </comment>
    <comment ref="D21" authorId="3" shapeId="0" xr:uid="{FC7E1747-C316-4371-BD3F-0EB89A0A409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08.45-13.00</t>
        </r>
      </text>
    </comment>
    <comment ref="I21" authorId="3" shapeId="0" xr:uid="{C10A3522-996E-4A56-9627-A77E61608E6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møde RH</t>
        </r>
      </text>
    </comment>
    <comment ref="O21" authorId="3" shapeId="0" xr:uid="{2E6E946B-CF2F-4370-83E2-3C3A8AE4E7C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RH</t>
        </r>
      </text>
    </comment>
    <comment ref="P21" authorId="3" shapeId="0" xr:uid="{F55435B4-520D-4D2B-963D-99B2A0D6233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RH</t>
        </r>
      </text>
    </comment>
    <comment ref="R21" authorId="3" shapeId="0" xr:uid="{7089FCA7-86D6-4CAF-A04D-5341D6DC3D0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W21" authorId="3" shapeId="0" xr:uid="{F3C9B506-264C-4A31-8BF8-EC8D7FB2E09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arrangement RH + grus</t>
        </r>
      </text>
    </comment>
    <comment ref="C22" authorId="3" shapeId="0" xr:uid="{4D7DF826-61B4-494D-AED2-B57C58A7A10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08.30-18.00</t>
        </r>
      </text>
    </comment>
    <comment ref="D22" authorId="3" shapeId="0" xr:uid="{60C0F4AC-B9FD-4A2E-8F12-2C5F7FEE0D1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08.45-13.00</t>
        </r>
      </text>
    </comment>
    <comment ref="G22" authorId="3" shapeId="0" xr:uid="{F7E69E2B-2560-4FE8-9F85-DA5B3638277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H22" authorId="3" shapeId="0" xr:uid="{2D995035-EB58-4F7F-94AB-D7F7AF65BD9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I22" authorId="3" shapeId="0" xr:uid="{653ACC1A-BCEB-4EDC-B36F-5900AF82FBC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J22" authorId="3" shapeId="0" xr:uid="{74D9F73A-DEE5-4DAD-978A-3EB997FDB5F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09.00-18.00</t>
        </r>
      </text>
    </comment>
    <comment ref="K22" authorId="3" shapeId="0" xr:uid="{21D5EE3A-4EEF-4F88-BDAE-3E3AB3EA40F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08.45-13.00</t>
        </r>
      </text>
    </comment>
    <comment ref="N22" authorId="3" shapeId="0" xr:uid="{BC1F884D-C5F7-45E7-BA6D-A00C00F1B97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O22" authorId="3" shapeId="0" xr:uid="{7A1CDB1D-4F4D-4671-8139-318394C059D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P22" authorId="3" shapeId="0" xr:uid="{4D9DD7E6-2273-40EE-BF06-8E0CF5915CD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Q22" authorId="3" shapeId="0" xr:uid="{C288A7BE-3F29-498C-AD77-54923C2D4FC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09.00-18.00</t>
        </r>
      </text>
    </comment>
    <comment ref="R22" authorId="3" shapeId="0" xr:uid="{B70A334E-B36F-4810-AC57-359C528A454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08.45-13.00</t>
        </r>
      </text>
    </comment>
    <comment ref="U22" authorId="3" shapeId="0" xr:uid="{A1C9A7CD-174E-4F82-8985-68BA7D948AD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V22" authorId="3" shapeId="0" xr:uid="{D65067E4-FECC-4B46-84A8-48843CB7AEB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W22" authorId="3" shapeId="0" xr:uid="{B57ADEAB-CEA9-41CF-A371-5B8CC501490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X22" authorId="3" shapeId="0" xr:uid="{AB3C1DAC-4541-4CC3-A76E-18D90828430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09.00-18.00</t>
        </r>
      </text>
    </comment>
    <comment ref="Y22" authorId="3" shapeId="0" xr:uid="{27A0AD30-DE8C-4FCA-86EC-F94826FA077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08.45-13.00</t>
        </r>
      </text>
    </comment>
    <comment ref="AB22" authorId="3" shapeId="0" xr:uid="{C7F40445-BC57-467D-9B5F-5A26DE3F047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AC22" authorId="3" shapeId="0" xr:uid="{608D8816-D820-4C5D-979D-8236ACC7854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AD22" authorId="3" shapeId="0" xr:uid="{082C391D-302B-4BD0-A739-8330FFF0AD0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08.45-15.00</t>
        </r>
      </text>
    </comment>
    <comment ref="AE22" authorId="3" shapeId="0" xr:uid="{86CDC945-D159-46DF-9FE9-F8E765FD64D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09.00-18.00</t>
        </r>
      </text>
    </comment>
    <comment ref="AF22" authorId="3" shapeId="0" xr:uid="{2794AAD9-D5A3-45E4-A0F6-1FDCD4B4522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ekstravagt 08.45-13.00</t>
        </r>
      </text>
    </comment>
    <comment ref="U24" authorId="4" shapeId="0" xr:uid="{21EAF3E5-3708-4C5C-9BE3-0490F000649D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Husk at det er afs der skal trækkes i hele ugen</t>
        </r>
      </text>
    </comment>
    <comment ref="G37" authorId="3" shapeId="0" xr:uid="{93EA4AE0-2D63-4990-80AA-7494D3A8369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08.15-15.45</t>
        </r>
      </text>
    </comment>
    <comment ref="H37" authorId="3" shapeId="0" xr:uid="{B4C3D023-7EF3-461C-BD1E-8486E1804BE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08.15-15.45</t>
        </r>
      </text>
    </comment>
    <comment ref="I37" authorId="3" shapeId="0" xr:uid="{0A631DF9-3F2B-4FCA-8B2F-CCA830899C2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J37" authorId="3" shapeId="0" xr:uid="{EA7A426E-1E8B-45FC-9503-EC2BBB8B129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K37" authorId="3" shapeId="0" xr:uid="{DFAE79E5-3E9A-4296-8E9C-556A234D200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N37" authorId="1" shapeId="0" xr:uid="{5843F73D-D383-4D9F-9022-37B9894F343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i Baldersgade 3B 09-15 på OA</t>
        </r>
      </text>
    </comment>
    <comment ref="AB37" authorId="5" shapeId="0" xr:uid="{A8C65914-8946-4A2F-8F9D-0DE25A7F470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Baldersgade 3B, 09.00 - 15.00</t>
      </text>
    </comment>
    <comment ref="D43" authorId="1" shapeId="0" xr:uid="{519B4AE9-417C-447B-8AA9-8C16A8C77B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N51" authorId="1" shapeId="0" xr:uid="{EEF939CF-862D-45B3-AFA2-A3FD367A1D2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
afsp. fra kl. 13.00</t>
        </r>
      </text>
    </comment>
    <comment ref="O51" authorId="1" shapeId="0" xr:uid="{3FF905D7-93F0-4749-A6BD-DFEA311B809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
afsp. fra kl.10-12</t>
        </r>
      </text>
    </comment>
    <comment ref="P51" authorId="1" shapeId="0" xr:uid="{7F50979C-C5EE-49D2-9383-F8E9DD3BF90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
afsp. fra kl.10-12</t>
        </r>
      </text>
    </comment>
    <comment ref="Q51" authorId="1" shapeId="0" xr:uid="{2E18947D-CF7D-4634-B0B8-FB52C11B98C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
afsp. fra kl.10-12</t>
        </r>
      </text>
    </comment>
    <comment ref="R51" authorId="1" shapeId="0" xr:uid="{B21AFB5B-94C4-49E4-BABC-A99D42D884C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
afsp. fra kl.10-12</t>
        </r>
      </text>
    </comment>
    <comment ref="C62" authorId="3" shapeId="0" xr:uid="{A75E39F7-AC1F-49FA-AFD2-AB58497ABF9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D62" authorId="3" shapeId="0" xr:uid="{0BC5DA5C-F056-4C56-BB55-AF55B5BA14F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G62" authorId="6" shapeId="0" xr:uid="{11A29AEC-A63B-4DF2-AFA8-2D9C4F5CB1D0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Må gerne kontaktes ved behov, gælder hele ugen</t>
        </r>
      </text>
    </comment>
    <comment ref="R63" authorId="1" shapeId="0" xr:uid="{969DAEC9-0F9F-4743-83C1-D468CBA6798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08.30-15.30</t>
        </r>
      </text>
    </comment>
    <comment ref="S63" authorId="1" shapeId="0" xr:uid="{F935CEC2-DC40-45FD-B665-3AE2DE0A5CC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08.30-15.30</t>
        </r>
      </text>
    </comment>
    <comment ref="T63" authorId="1" shapeId="0" xr:uid="{AAAA9A0E-2B42-434A-B4C1-9C839700843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08.30-15.30</t>
        </r>
      </text>
    </comment>
    <comment ref="U63" authorId="1" shapeId="0" xr:uid="{5BE9AC18-4BE0-4821-851F-6AEC035A1707}">
      <text>
        <r>
          <rPr>
            <b/>
            <sz val="9"/>
            <color indexed="81"/>
            <rFont val="Tahoma"/>
            <charset val="1"/>
          </rPr>
          <t>Steen Hertin:
Testcenter på Sundholm 09.30 - 16.30</t>
        </r>
      </text>
    </comment>
    <comment ref="C64" authorId="3" shapeId="0" xr:uid="{F6842846-F6F1-417D-A6B4-4808B72F3CD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10.00- 17.30</t>
        </r>
      </text>
    </comment>
    <comment ref="D64" authorId="3" shapeId="0" xr:uid="{E3B656D6-1DB6-438F-8563-C850857E80B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07.30-14.30 </t>
        </r>
      </text>
    </comment>
    <comment ref="U64" authorId="1" shapeId="0" xr:uid="{98047CC9-A54A-49EB-9055-3C334C649812}">
      <text>
        <r>
          <rPr>
            <b/>
            <sz val="9"/>
            <color indexed="81"/>
            <rFont val="Tahoma"/>
            <charset val="1"/>
          </rPr>
          <t>Steen Hertin:
Testcenter på Sundholm 09.30 - 16.30</t>
        </r>
      </text>
    </comment>
    <comment ref="V64" authorId="1" shapeId="0" xr:uid="{7F6748BB-0C03-4577-9B0A-F2E8BAD16195}">
      <text>
        <r>
          <rPr>
            <b/>
            <sz val="9"/>
            <color indexed="81"/>
            <rFont val="Tahoma"/>
            <charset val="1"/>
          </rPr>
          <t>Steen Hertin:
Testcenter på Sundholm 09.30 - 16.30</t>
        </r>
      </text>
    </comment>
    <comment ref="W64" authorId="1" shapeId="0" xr:uid="{0D2FCA26-A002-4434-A093-140DD70E784A}">
      <text>
        <r>
          <rPr>
            <b/>
            <sz val="9"/>
            <color indexed="81"/>
            <rFont val="Tahoma"/>
            <charset val="1"/>
          </rPr>
          <t>Steen Hertin:
Testcenter på Sundholm 09.30 - 16.30</t>
        </r>
      </text>
    </comment>
    <comment ref="AB64" authorId="3" shapeId="0" xr:uid="{0FB2C134-5189-4023-95C9-FDFD0C21D47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09:00-16:30</t>
        </r>
      </text>
    </comment>
    <comment ref="AC64" authorId="3" shapeId="0" xr:uid="{11B7403E-0D25-4CB4-B787-704F0D156B8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09:00-16:30</t>
        </r>
      </text>
    </comment>
    <comment ref="AD64" authorId="3" shapeId="0" xr:uid="{F0D4850B-24AA-4B12-B895-6C9F558395F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09:00-16:30</t>
        </r>
      </text>
    </comment>
    <comment ref="AE64" authorId="3" shapeId="0" xr:uid="{FF0BB8C5-A8EC-48E6-95B0-E6C03E9615D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10:00-17:30</t>
        </r>
      </text>
    </comment>
    <comment ref="AF64" authorId="3" shapeId="0" xr:uid="{C17DC648-4CD6-4070-A4CC-7F7483BB03D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07:30-14:30</t>
        </r>
      </text>
    </comment>
    <comment ref="AF66" authorId="7" shapeId="0" xr:uid="{4A2C7E8F-2BE4-4C78-A3A4-882E1481558F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Møder ca. 15.30</t>
        </r>
      </text>
    </comment>
    <comment ref="D67" authorId="1" shapeId="0" xr:uid="{6E15FB50-4CB0-48FE-A7FA-D6518F4BF02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07-14.30</t>
        </r>
      </text>
    </comment>
    <comment ref="G67" authorId="3" shapeId="0" xr:uid="{EB85BD8C-FC4F-41D4-91F8-5710D3FE9A8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H67" authorId="3" shapeId="0" xr:uid="{65A51670-060A-4671-B0B4-875B2F61624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I67" authorId="3" shapeId="0" xr:uid="{9E65A5E2-F99F-4157-825F-C49004B51D1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08.15-15.45</t>
        </r>
      </text>
    </comment>
    <comment ref="J67" authorId="3" shapeId="0" xr:uid="{FA22359C-4AFE-446E-A847-A0912D0FBFD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08.15-16.45</t>
        </r>
      </text>
    </comment>
    <comment ref="K67" authorId="3" shapeId="0" xr:uid="{4FC0A713-590D-4B5D-B8B6-BB6ED1C44DC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07.30-13:30</t>
        </r>
      </text>
    </comment>
    <comment ref="C68" authorId="1" shapeId="0" xr:uid="{66C305A2-1F1D-4722-AFBD-E5812FE693A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07-14.00</t>
        </r>
      </text>
    </comment>
    <comment ref="D68" authorId="1" shapeId="0" xr:uid="{3B05DA8D-4690-47C0-8763-BEEECC0F36EE}">
      <text>
        <r>
          <rPr>
            <b/>
            <sz val="9"/>
            <color indexed="81"/>
            <rFont val="Tahoma"/>
            <family val="2"/>
          </rPr>
          <t>Steen Hertin:Genortræning</t>
        </r>
      </text>
    </comment>
    <comment ref="J68" authorId="1" shapeId="0" xr:uid="{40F5D4FF-4FED-422A-81BC-BA5061FB5C5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Forskning</t>
        </r>
      </text>
    </comment>
    <comment ref="K68" authorId="1" shapeId="0" xr:uid="{5785898D-06A1-4BC9-AFDC-BBE77828262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Genoptræning</t>
        </r>
      </text>
    </comment>
    <comment ref="Q68" authorId="1" shapeId="0" xr:uid="{87B3DBBA-BB4A-40CE-8B82-1C3919529DC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Forskning</t>
        </r>
      </text>
    </comment>
    <comment ref="R68" authorId="1" shapeId="0" xr:uid="{240C4F7A-25FA-4A7F-8F15-E7102BF503E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Genoptræning</t>
        </r>
      </text>
    </comment>
    <comment ref="U68" authorId="1" shapeId="0" xr:uid="{2C441B04-DCE9-4B88-A84C-4305A5EB32C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V68" authorId="1" shapeId="0" xr:uid="{81FB0D06-EC2A-47DC-997A-69A4FDD9842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W68" authorId="1" shapeId="0" xr:uid="{D4AC501C-D104-466B-BB59-BBF4EB0BBE5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X68" authorId="1" shapeId="0" xr:uid="{71AFB794-77B0-489D-A33C-7308F6D1C5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</t>
        </r>
      </text>
    </comment>
    <comment ref="Y68" authorId="1" shapeId="0" xr:uid="{C2EF335D-10B1-4DBC-BC0C-241B3829262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Genoptræning</t>
        </r>
      </text>
    </comment>
    <comment ref="AE68" authorId="1" shapeId="0" xr:uid="{A9CDF12F-3563-4B16-A4D9-60DF5D0E705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Forskning</t>
        </r>
      </text>
    </comment>
    <comment ref="AF68" authorId="1" shapeId="0" xr:uid="{28EFBE7B-ADEB-44D7-81D9-2A0B39A23D2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Genoptræning</t>
        </r>
      </text>
    </comment>
    <comment ref="J70" authorId="1" shapeId="0" xr:uid="{2636AD5F-04E6-4F39-8FEE-56B9C222513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tilkald hjemme</t>
        </r>
      </text>
    </comment>
    <comment ref="K70" authorId="1" shapeId="0" xr:uid="{FAB91498-1A90-4BD0-AC80-320B06F2EB8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tilkald hjemme</t>
        </r>
      </text>
    </comment>
    <comment ref="N70" authorId="3" shapeId="0" xr:uid="{53379854-7BF4-47CE-9833-4D232114213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07:45-15:15</t>
        </r>
      </text>
    </comment>
    <comment ref="O70" authorId="3" shapeId="0" xr:uid="{84F00A8A-97E9-4C42-8F52-A1DB0263779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07:45-15:15</t>
        </r>
      </text>
    </comment>
    <comment ref="P70" authorId="3" shapeId="0" xr:uid="{673F996D-BB12-407C-BF74-5814918FF62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07:45-15:15</t>
        </r>
      </text>
    </comment>
    <comment ref="Q70" authorId="3" shapeId="0" xr:uid="{9D8A5012-4FCC-431C-A99D-5267B9FEA67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07:45-16:15</t>
        </r>
      </text>
    </comment>
    <comment ref="R70" authorId="3" shapeId="0" xr:uid="{89052DC4-DDF3-4C8D-9366-C7749712A1F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07:30-13:30</t>
        </r>
      </text>
    </comment>
    <comment ref="W70" authorId="3" shapeId="0" xr:uid="{01B4DEB0-678E-4EDE-9596-504CA4A2F71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grus</t>
        </r>
      </text>
    </comment>
    <comment ref="X70" authorId="1" shapeId="0" xr:uid="{F06FB9F2-CFD3-4A81-9D2A-4E2793E89A85}">
      <text>
        <r>
          <rPr>
            <b/>
            <sz val="9"/>
            <color indexed="81"/>
            <rFont val="Tahoma"/>
            <charset val="1"/>
          </rPr>
          <t>Steen Hertin:
Testcenter på Sundholm 09.30 - 16.30</t>
        </r>
      </text>
    </comment>
    <comment ref="AB70" authorId="1" shapeId="0" xr:uid="{91970161-359E-4660-B81B-691E50D96C4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</t>
        </r>
      </text>
    </comment>
    <comment ref="AC70" authorId="1" shapeId="0" xr:uid="{33880D02-43A6-4F6D-9213-2875B409C2E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</t>
        </r>
      </text>
    </comment>
    <comment ref="AD70" authorId="1" shapeId="0" xr:uid="{AB529707-B7C2-4B9C-A92B-93208A725F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</t>
        </r>
      </text>
    </comment>
    <comment ref="AE70" authorId="1" shapeId="0" xr:uid="{09FC9B8E-D545-43B7-9BE4-A87BB7E271D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</t>
        </r>
      </text>
    </comment>
    <comment ref="AF70" authorId="1" shapeId="0" xr:uid="{CD773448-83A8-49BC-B6F7-FE7C7A03DF3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07-14</t>
        </r>
      </text>
    </comment>
    <comment ref="C71" authorId="3" shapeId="0" xr:uid="{648463CE-9E33-49B1-964A-A39636A1B63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0900-16.00</t>
        </r>
      </text>
    </comment>
    <comment ref="D71" authorId="3" shapeId="0" xr:uid="{A53EB13F-7634-4F0B-88E2-E1321296D93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0900-16.00</t>
        </r>
      </text>
    </comment>
    <comment ref="G71" authorId="1" shapeId="0" xr:uid="{523773BA-A00E-413F-B729-62D8DC8B46A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tilkald hjemme</t>
        </r>
      </text>
    </comment>
    <comment ref="V71" authorId="1" shapeId="0" xr:uid="{B0723169-5D64-4F1C-BB73-21C604B1F45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Rentemestervej 18-21 på OA</t>
        </r>
      </text>
    </comment>
    <comment ref="W71" authorId="1" shapeId="0" xr:uid="{D981DFE0-5AC2-4A4B-8375-CB24F0C5D53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Rentemestervej 18-21 på OA</t>
        </r>
      </text>
    </comment>
    <comment ref="AC71" authorId="1" shapeId="0" xr:uid="{A5640114-7922-445C-8F1A-DAC7F67B326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71" authorId="1" shapeId="0" xr:uid="{2E98335C-1E2F-4594-828C-66527A55AEE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F71" authorId="1" shapeId="0" xr:uid="{9982A219-5153-4147-9A5B-5A43C723F6E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C72" authorId="3" shapeId="0" xr:uid="{C0E907F5-060A-41FD-A6A8-20298A66FD3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D72" authorId="3" shapeId="0" xr:uid="{FA7C0B57-1818-4788-9141-2838188C147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G72" authorId="1" shapeId="0" xr:uid="{AF5FB58B-1D7A-4A9D-AFFD-3F532B24EB7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08.30 - 15.30 på Rådhsuet</t>
        </r>
      </text>
    </comment>
    <comment ref="H72" authorId="1" shapeId="0" xr:uid="{3136DAAE-4838-4CF1-852F-3FAC3787772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08.30 - 15.30 på Rådhsuet</t>
        </r>
      </text>
    </comment>
    <comment ref="I72" authorId="1" shapeId="0" xr:uid="{CA02531A-E5C0-451F-BF25-B003DB4CE07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08.30 - 15.30 på Rådhsuet</t>
        </r>
      </text>
    </comment>
    <comment ref="J72" authorId="1" shapeId="0" xr:uid="{C4056A5A-8DF2-437C-9C52-19E92767EFF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08.30 - 15.30 på Rådhsuet</t>
        </r>
      </text>
    </comment>
    <comment ref="K72" authorId="1" shapeId="0" xr:uid="{8CB4DB78-A353-4021-A757-0101EAE50BE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08.30 - 15.30 på Rådhsuet</t>
        </r>
      </text>
    </comment>
    <comment ref="U72" authorId="6" shapeId="0" xr:uid="{10E4F72C-AC1E-4B13-991B-45364AC49938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8-vagt på OA</t>
        </r>
      </text>
    </comment>
    <comment ref="S73" authorId="1" shapeId="0" xr:uid="{C6707CE4-8B41-4940-846D-77B5EFC1D17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08.30-15.30</t>
        </r>
      </text>
    </comment>
    <comment ref="T73" authorId="1" shapeId="0" xr:uid="{CA733C2B-B442-4A8D-B425-B57CDB55F43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08.30-15.30</t>
        </r>
      </text>
    </comment>
    <comment ref="U73" authorId="3" shapeId="0" xr:uid="{33CA4B1C-438B-4513-B85A-E1835751617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10:00-17:00</t>
        </r>
      </text>
    </comment>
    <comment ref="V73" authorId="3" shapeId="0" xr:uid="{536601B8-B1EE-4164-99CE-261122B9419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10:00-17:00</t>
        </r>
      </text>
    </comment>
    <comment ref="W73" authorId="3" shapeId="0" xr:uid="{86211F0C-2331-4E9A-BF25-EF5FDCF243E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10:00-17:00</t>
        </r>
      </text>
    </comment>
    <comment ref="X73" authorId="3" shapeId="0" xr:uid="{AE11AF36-414F-4467-B9A2-3CDF6C98D6C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12:20-20:30</t>
        </r>
      </text>
    </comment>
    <comment ref="Y73" authorId="3" shapeId="0" xr:uid="{DE56E44D-3BFE-4DEE-B075-2BCB12B82BB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07:30-15:00</t>
        </r>
      </text>
    </comment>
    <comment ref="AB73" authorId="1" shapeId="0" xr:uid="{531A9100-FA24-458F-85FB-BD22E1CD4F4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Rentemestervej 18-22</t>
        </r>
      </text>
    </comment>
    <comment ref="C74" authorId="3" shapeId="0" xr:uid="{2ECDB693-632E-4416-BD3A-431416F1A78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D74" authorId="3" shapeId="0" xr:uid="{386FC674-B793-4E1D-95D1-03303B6962A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Gerbrandskole 7:45-16:00 </t>
        </r>
      </text>
    </comment>
    <comment ref="R74" authorId="1" shapeId="0" xr:uid="{7E816558-9948-4E52-9FC4-C19326653A6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 på Rådhuset.</t>
        </r>
      </text>
    </comment>
    <comment ref="U74" authorId="1" shapeId="0" xr:uid="{A27764E4-D71F-429F-81FC-FE7371A4F6A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Baldersgade 3B</t>
        </r>
      </text>
    </comment>
    <comment ref="X74" authorId="1" shapeId="0" xr:uid="{6B4A3425-1F95-4F3D-AF6F-DFAF311667B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Skal dække Rentemestervej kl. 18.00-21.00</t>
        </r>
      </text>
    </comment>
    <comment ref="I77" authorId="1" shapeId="0" xr:uid="{E14E9134-6CA9-4259-9951-D11D762B522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Kører på Ørnevej fra kl. 19.00 til håndværkerene er færdige.</t>
        </r>
      </text>
    </comment>
    <comment ref="K77" authorId="1" shapeId="0" xr:uid="{A5656AE4-BFE0-477D-AC1B-AF888E286AA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Skal dække Rentemestervej 18.00-22.00</t>
        </r>
      </text>
    </comment>
    <comment ref="N77" authorId="1" shapeId="0" xr:uid="{7444160D-A822-418C-A54E-0AEDEEEFB7C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Rentemestervej 18.00-22.00</t>
        </r>
      </text>
    </comment>
    <comment ref="AD77" authorId="1" shapeId="0" xr:uid="{CF057DAE-036E-4B75-B8C7-BC0E2E93700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Hjemløseenheden til borger samtale kl. 13.00 - 14.00</t>
        </r>
      </text>
    </comment>
    <comment ref="C86" authorId="0" shapeId="0" xr:uid="{5C088E43-E972-469D-80D4-22DDA2D91F2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D86" authorId="0" shapeId="0" xr:uid="{12F27F52-19A9-4A84-859E-D6FA1604558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Arrangemenservice</t>
        </r>
      </text>
    </comment>
    <comment ref="N88" authorId="3" shapeId="0" xr:uid="{6B40EAA9-A09A-4D80-B214-F66C85B68A0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Modtages af Vagthavende </t>
        </r>
      </text>
    </comment>
    <comment ref="W98" authorId="1" shapeId="0" xr:uid="{88B4EC65-F8C0-4F3A-9EF2-568792AA6C4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Sydbanestien på OA</t>
        </r>
      </text>
    </comment>
    <comment ref="AB98" authorId="8" shapeId="0" xr:uid="{BDFD6708-BD95-4CB2-ABDB-580A1BA4B1BC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o-vagt OA</t>
        </r>
      </text>
    </comment>
    <comment ref="R99" authorId="1" shapeId="0" xr:uid="{6FEF7B94-440A-465A-95BF-73FF6CC6E37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Tingbjerg skole 08.30-15.30</t>
        </r>
      </text>
    </comment>
    <comment ref="U99" authorId="1" shapeId="0" xr:uid="{17F98A37-A783-4022-A3C9-F446E01B385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 for Johnny</t>
        </r>
      </text>
    </comment>
    <comment ref="V99" authorId="1" shapeId="0" xr:uid="{856BA312-8710-43CF-BC8B-24ADC817566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 for Johnny</t>
        </r>
      </text>
    </comment>
    <comment ref="W99" authorId="1" shapeId="0" xr:uid="{36C1FC52-191E-45C5-8872-F6572FF793A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 for Johnny</t>
        </r>
      </text>
    </comment>
    <comment ref="X99" authorId="1" shapeId="0" xr:uid="{7E10A58E-994B-46C8-A3C9-D9E590E8168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 for Johnny
S-vagt fra kl. 08.15-16.00</t>
        </r>
      </text>
    </comment>
    <comment ref="Y99" authorId="1" shapeId="0" xr:uid="{9DD32966-C116-42CE-9294-39069D6C8F3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Fejemand for Johnny
S-vagt fra kl. 08.15-16.00</t>
        </r>
      </text>
    </comment>
    <comment ref="W106" authorId="3" shapeId="0" xr:uid="{0216E2C4-0402-4A83-B7A7-4F1B79FD935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grus</t>
        </r>
      </text>
    </comment>
    <comment ref="C118" authorId="1" shapeId="0" xr:uid="{E1FD2709-FC7A-47DC-BB65-3E676D75FBF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D118" authorId="1" shapeId="0" xr:uid="{C6E5672D-1F45-4ED0-807A-D54F26984B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N118" authorId="1" shapeId="0" xr:uid="{7FCD4D38-158F-4133-938F-32F76509AC4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O118" authorId="1" shapeId="0" xr:uid="{691FF09B-FF60-4D84-83E4-F5552E30B44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P118" authorId="1" shapeId="0" xr:uid="{6BE8C197-0A2D-4F6E-BF64-6B663B3280B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U118" authorId="1" shapeId="0" xr:uid="{5DFA9080-13BE-4789-932B-3C6117090E3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V118" authorId="1" shapeId="0" xr:uid="{979D4EE6-223A-4CB8-8A45-7A43B488652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W118" authorId="1" shapeId="0" xr:uid="{58A85927-6B93-46A7-955F-48B9688D420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 + GRUS</t>
        </r>
      </text>
    </comment>
    <comment ref="X118" authorId="1" shapeId="0" xr:uid="{DB177BE7-2734-4A0F-8514-A10E81E975C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Y118" authorId="1" shapeId="0" xr:uid="{F2F589C8-AE2D-4618-A365-7E67AB6CD2C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AB118" authorId="1" shapeId="0" xr:uid="{8EDFF6FB-5F76-4E91-BAAF-4365A55582D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AC118" authorId="1" shapeId="0" xr:uid="{626F3499-BD7C-43CB-9002-59D5824BE82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AD118" authorId="1" shapeId="0" xr:uid="{F908B4BE-E01B-4F62-B824-6FA9CB309AD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AE118" authorId="1" shapeId="0" xr:uid="{A0FA21EE-3F6F-4AB7-8B71-C342BD5149C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
Møder efter lægen.</t>
        </r>
      </text>
    </comment>
    <comment ref="AF118" authorId="1" shapeId="0" xr:uid="{11411CAF-0D4B-4509-86D6-EE0BB9F9370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C119" authorId="1" shapeId="0" xr:uid="{9C169B73-55D3-4B5D-9E13-BF3B31D1768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D119" authorId="1" shapeId="0" xr:uid="{74D20540-2D1A-45D5-9EBD-76F8769ADF1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G119" authorId="1" shapeId="0" xr:uid="{7414E244-AA69-4352-A368-E98516E8370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H119" authorId="1" shapeId="0" xr:uid="{DA9DD9E6-F4C5-42DF-A30B-DBDCD98D8CB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I119" authorId="1" shapeId="0" xr:uid="{F0277686-2B21-487D-94AA-AFAFE8DE2CD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J119" authorId="1" shapeId="0" xr:uid="{6C10A79B-5F72-44EF-956E-F02FB161064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N119" authorId="1" shapeId="0" xr:uid="{3B87C15D-62E6-471F-BB2A-9441DAAA6F9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O119" authorId="1" shapeId="0" xr:uid="{722AB1B4-896C-487F-A518-01E3D203E9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08.00-15.00</t>
        </r>
      </text>
    </comment>
    <comment ref="P119" authorId="1" shapeId="0" xr:uid="{62BA1800-CEB1-432B-B98F-F98B2CCA5B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08.00-15.00</t>
        </r>
      </text>
    </comment>
    <comment ref="Q119" authorId="1" shapeId="0" xr:uid="{686F5E99-57F7-4AE4-9593-511ED6515C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08.00-15.00</t>
        </r>
      </text>
    </comment>
    <comment ref="R119" authorId="1" shapeId="0" xr:uid="{41D8CE76-FFC2-4E44-ABF8-9B4C7F73A3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08.00-15.00</t>
        </r>
      </text>
    </comment>
    <comment ref="U119" authorId="1" shapeId="0" xr:uid="{D69C13AF-CD44-4D40-886F-C371C309FA0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V119" authorId="1" shapeId="0" xr:uid="{03FF1A17-DE06-49A3-A53B-EB5A80CFDB9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W119" authorId="1" shapeId="0" xr:uid="{785B470E-5632-420B-A274-BC6A9EF7FA6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 + grus</t>
        </r>
      </text>
    </comment>
    <comment ref="X119" authorId="1" shapeId="0" xr:uid="{21DE5B9C-1819-40F9-BD03-3841FF392C4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Y119" authorId="1" shapeId="0" xr:uid="{6F7F370F-F42B-4B30-BC51-D45486C7979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AB119" authorId="1" shapeId="0" xr:uid="{B7FAB492-B338-430D-B067-35546D54B2E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AC119" authorId="1" shapeId="0" xr:uid="{6B50900F-8FA8-42E6-89C5-B7926E37161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AD119" authorId="1" shapeId="0" xr:uid="{324173E2-F331-4117-AD3F-7F34631ADFE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AE119" authorId="1" shapeId="0" xr:uid="{5348C890-7CC9-4C1D-AE57-9A884A91209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AF119" authorId="1" shapeId="0" xr:uid="{4AAC587F-C50E-4B22-8320-6C3039B32D5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C120" authorId="1" shapeId="0" xr:uid="{6038C324-879E-40A5-969B-84379642476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>Vagthavende</t>
        </r>
      </text>
    </comment>
    <comment ref="D120" authorId="1" shapeId="0" xr:uid="{EB9CF96C-DED2-4BA3-A678-D6FCF4C134C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>Vagthavende</t>
        </r>
      </text>
    </comment>
    <comment ref="G120" authorId="1" shapeId="0" xr:uid="{C9148EB4-6131-486F-B4B1-3CB34EE6962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H120" authorId="1" shapeId="0" xr:uid="{B8211DF9-A9D0-49D1-977C-2FA886CA0E5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I120" authorId="1" shapeId="0" xr:uid="{5F61B50C-87E5-42D3-AAF9-C3C47F7B12B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J120" authorId="1" shapeId="0" xr:uid="{E8F15EA5-4BD2-4CF3-99AA-B689838636F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K120" authorId="1" shapeId="0" xr:uid="{26DDA01C-4BCB-4B86-9FD5-D9BDD87C7B7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07.00 - 14.00</t>
        </r>
      </text>
    </comment>
    <comment ref="N120" authorId="1" shapeId="0" xr:uid="{2839D17C-9ED0-4609-AD81-D8416A4B4D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08.00-15.00</t>
        </r>
      </text>
    </comment>
    <comment ref="O120" authorId="1" shapeId="0" xr:uid="{2004830F-50A5-4EAC-926A-73059493F9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08.00-15.00</t>
        </r>
      </text>
    </comment>
    <comment ref="P120" authorId="1" shapeId="0" xr:uid="{01C372BB-0AAB-420A-8D40-8253933E79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08.00-15.00</t>
        </r>
      </text>
    </comment>
    <comment ref="Q120" authorId="1" shapeId="0" xr:uid="{3E9481BF-3462-4619-8CF5-83162273F8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08.00-15.00</t>
        </r>
      </text>
    </comment>
    <comment ref="R120" authorId="1" shapeId="0" xr:uid="{31468DAA-7330-4890-B862-8ADB6EA43E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08.00-15.00</t>
        </r>
      </text>
    </comment>
    <comment ref="U120" authorId="1" shapeId="0" xr:uid="{AE9639B5-748C-46D9-903E-2A3931A005F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V120" authorId="1" shapeId="0" xr:uid="{0ABB9B83-D903-4440-BB69-7AC108F33F4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W120" authorId="1" shapeId="0" xr:uid="{E1CBA792-4FF1-453E-88D0-5B187515B20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X120" authorId="1" shapeId="0" xr:uid="{D2DB8A7E-337F-495E-80BA-1BFFCD9B6A2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Y120" authorId="1" shapeId="0" xr:uid="{91AD637A-A512-410D-BF69-EED73F42828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AE120" authorId="1" shapeId="0" xr:uid="{89DB2FAA-E088-48A3-A040-439D4D40A90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Vagthavende</t>
        </r>
      </text>
    </comment>
    <comment ref="AF120" authorId="1" shapeId="0" xr:uid="{B5AA9EA1-F0FD-4D10-803A-56D49E122FD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Vagthavende</t>
        </r>
      </text>
    </comment>
    <comment ref="C122" authorId="1" shapeId="0" xr:uid="{24295C6E-C0A1-4183-81C7-FF6FE9A6D1E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D122" authorId="1" shapeId="0" xr:uid="{8DFD333F-408B-4304-A0A3-68487BF533B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G122" authorId="1" shapeId="0" xr:uid="{DE5CD5F4-A6B9-497D-BE5A-8CD0EE9C22C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H122" authorId="1" shapeId="0" xr:uid="{CEBDEA3B-588E-4234-85BD-7DA24DB2DA1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I122" authorId="1" shapeId="0" xr:uid="{BE18ECE9-1C97-42C3-A114-ECBFD7D190C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J122" authorId="1" shapeId="0" xr:uid="{13F484E8-497F-43A9-B065-1522B5B4AF8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K122" authorId="1" shapeId="0" xr:uid="{97297426-A5EE-4EC5-B0EC-03C2160CCFC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10.00 - 17.00</t>
        </r>
      </text>
    </comment>
    <comment ref="U122" authorId="1" shapeId="0" xr:uid="{FF77D124-A297-464B-8425-68D97860C2D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07.00-14.00</t>
        </r>
      </text>
    </comment>
    <comment ref="V122" authorId="1" shapeId="0" xr:uid="{973931F2-3480-438B-B299-D692684252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07.00-14.00</t>
        </r>
      </text>
    </comment>
    <comment ref="W122" authorId="1" shapeId="0" xr:uid="{9E3C3B44-CFD7-4A07-AD6D-2D0F35CF922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07.00-14.00 + GRUS</t>
        </r>
      </text>
    </comment>
    <comment ref="X122" authorId="1" shapeId="0" xr:uid="{B269D64F-CA98-473F-8826-82378E5C5BC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07.00-14.00</t>
        </r>
      </text>
    </comment>
    <comment ref="AB122" authorId="1" shapeId="0" xr:uid="{2CCA96B3-09FD-4F5D-B8FF-20EE29977E5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AC122" authorId="1" shapeId="0" xr:uid="{BEB98D49-6ACA-4AE0-84EE-DACE9C4B2B2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AD122" authorId="1" shapeId="0" xr:uid="{5E393081-C8BE-4AB6-9164-39DA97ADA95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AE122" authorId="1" shapeId="0" xr:uid="{2378E70F-F2B5-42B2-BCF1-090410A655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AF122" authorId="1" shapeId="0" xr:uid="{F535B073-EBDC-4E48-BB07-F75196FE62C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C151" authorId="9" shapeId="0" xr:uid="{4D4C7B14-ADEF-43F6-AAF6-CD74BD34083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D151" authorId="9" shapeId="0" xr:uid="{590BE0CC-455F-4500-8763-84199B92285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G151" authorId="9" shapeId="0" xr:uid="{D1490867-BC98-4727-845C-1121714C1DD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H151" authorId="9" shapeId="0" xr:uid="{8599EA72-6ACB-45B0-8893-14DD51157E3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151" authorId="9" shapeId="0" xr:uid="{558C4004-3E9C-4008-9119-7CBD596F45B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J151" authorId="9" shapeId="0" xr:uid="{09030F88-3A96-42EF-B1CD-4E9FA931E61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151" authorId="9" shapeId="0" xr:uid="{D5FA044A-C8DF-43A4-9F2D-65C5326C68D6}">
      <text>
        <r>
          <rPr>
            <b/>
            <sz val="9"/>
            <color indexed="81"/>
            <rFont val="Tahoma"/>
            <charset val="1"/>
          </rPr>
          <t>marasm: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N151" authorId="9" shapeId="0" xr:uid="{523DE218-44AA-41D3-954C-01D24CECB98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O151" authorId="9" shapeId="0" xr:uid="{9DD47025-584B-4E26-AD09-2B503CF16B0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P151" authorId="9" shapeId="0" xr:uid="{8402CBFD-D365-4E23-B43E-830BBDF377E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U151" authorId="9" shapeId="0" xr:uid="{DE9A94B5-55CD-45CB-BFB6-31E2AA0F5EE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V151" authorId="9" shapeId="0" xr:uid="{474FCE8F-6A84-46D9-894D-A31E35A583F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151" authorId="9" shapeId="0" xr:uid="{092E066D-66FE-4C18-9C9A-ED08E5C1ADA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151" authorId="9" shapeId="0" xr:uid="{2F8A29DC-DF10-4ACE-AB0A-335064203DC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Y151" authorId="9" shapeId="0" xr:uid="{3F91DA8F-717D-4669-91A4-9EA6F25BCA2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C151" authorId="9" shapeId="0" xr:uid="{774D1BAF-B82D-49E2-B841-AEC0A10B7DE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D151" authorId="9" shapeId="0" xr:uid="{E57A45CF-4A7E-48F9-A2AD-464E5BD7623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151" authorId="9" shapeId="0" xr:uid="{DFA5F37B-28D7-42D5-9E0D-ED6CC9E9BB5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F151" authorId="9" shapeId="0" xr:uid="{C8A124F0-F047-46BE-8231-3AB772F4F14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152" authorId="1" shapeId="0" xr:uid="{5B9300AC-2069-4615-B7CE-C04C5D48F08F}">
      <text>
        <r>
          <rPr>
            <b/>
            <sz val="9"/>
            <color indexed="81"/>
            <rFont val="Tahoma"/>
            <charset val="1"/>
          </rPr>
          <t>Steen Hertin:
Testcenter på Sundholm 09.30 - 16.30</t>
        </r>
      </text>
    </comment>
    <comment ref="Y152" authorId="1" shapeId="0" xr:uid="{3194002D-925B-4D65-BDAC-643836AA4DF8}">
      <text>
        <r>
          <rPr>
            <b/>
            <sz val="9"/>
            <color indexed="81"/>
            <rFont val="Tahoma"/>
            <charset val="1"/>
          </rPr>
          <t>Steen Hertin:
Testcenter på Sundholm 09.30 - 16.30</t>
        </r>
      </text>
    </comment>
    <comment ref="AB178" authorId="1" shapeId="0" xr:uid="{38FBFF82-325D-4000-9341-EC4D38F1E30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Islands Brygge 37 møder kl. 09.00</t>
        </r>
      </text>
    </comment>
    <comment ref="AC178" authorId="1" shapeId="0" xr:uid="{2A7FD07E-FDF7-416A-8382-B844F68CE3B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Islands Brygge 37 møder kl. 09.00</t>
        </r>
      </text>
    </comment>
    <comment ref="V179" authorId="1" shapeId="0" xr:uid="{0DDBD52B-0530-4A9A-9F8F-1934C42A3D07}">
      <text>
        <r>
          <rPr>
            <b/>
            <sz val="9"/>
            <color indexed="81"/>
            <rFont val="Tahoma"/>
            <charset val="1"/>
          </rPr>
          <t>Steen Hertin:FOA</t>
        </r>
      </text>
    </comment>
    <comment ref="W179" authorId="1" shapeId="0" xr:uid="{22E9FB64-2613-472A-B141-9376580D189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Afløses hele dagen</t>
        </r>
      </text>
    </comment>
    <comment ref="Y179" authorId="1" shapeId="0" xr:uid="{1B5E3E64-FFA4-4154-B92A-55D036E9A42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Lønforhandlinger</t>
        </r>
      </text>
    </comment>
    <comment ref="AE180" authorId="1" shapeId="0" xr:uid="{29F058DD-4447-4DCD-B066-538867C1EC9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</t>
        </r>
      </text>
    </comment>
    <comment ref="X187" authorId="1" shapeId="0" xr:uid="{E1C9F3A8-7ACF-4DF8-BBEB-E1920B7C660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Gået syg hjem.</t>
        </r>
      </text>
    </comment>
    <comment ref="C189" authorId="1" shapeId="0" xr:uid="{319BE709-D47C-4F7A-9A69-90C16AA8C19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5 timer</t>
        </r>
      </text>
    </comment>
    <comment ref="D189" authorId="1" shapeId="0" xr:uid="{31EB13D8-7A34-4684-B100-81435187456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5 timer</t>
        </r>
      </text>
    </comment>
    <comment ref="G189" authorId="1" shapeId="0" xr:uid="{D5F5B1B4-0867-444F-991D-329B882D10A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Fuldtid</t>
        </r>
      </text>
    </comment>
    <comment ref="AC192" authorId="1" shapeId="0" xr:uid="{CD86274D-C673-490B-8349-F7D56DA22C1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intern flex</t>
        </r>
      </text>
    </comment>
    <comment ref="U215" authorId="4" shapeId="0" xr:uid="{DA59FA0C-D1CF-4466-939C-4A9A80AB6DB2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Husk at det er afs der skal trækkes i hele ugen</t>
        </r>
      </text>
    </comment>
    <comment ref="D290" authorId="4" shapeId="0" xr:uid="{C76F6818-6F09-457E-89AA-8C653B74217F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-- 3,5 time afs</t>
        </r>
      </text>
    </comment>
    <comment ref="P290" authorId="4" shapeId="0" xr:uid="{9E9C9F1F-A9ED-4154-8698-FCDFAB03FB99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- 4 timer i afs</t>
        </r>
      </text>
    </comment>
    <comment ref="X290" authorId="4" shapeId="0" xr:uid="{D04D9261-6FDE-48EA-90C3-CB2A1025EE11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- 4 timer afs </t>
        </r>
      </text>
    </comment>
    <comment ref="AF290" authorId="4" shapeId="0" xr:uid="{D07D7399-F71A-4717-9991-291E3B4E4E11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- 3,5 time i afs.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Michael Bo Pedersen</author>
    <author>Rasmus Sørensen</author>
    <author>Mathias Hartvig Morell Nielsen</author>
    <author>Steen Hertin</author>
    <author>Thomas Holm</author>
    <author>Nikolaj Langtin Pamhede</author>
    <author>Kim Holm Aabroe</author>
    <author>marasm</author>
    <author>Marianne Rasmussen</author>
  </authors>
  <commentList>
    <comment ref="D12" authorId="0" shapeId="0" xr:uid="{66F47A8B-3DFA-4E12-AA1B-A5F5EC25276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H12" authorId="0" shapeId="0" xr:uid="{118606CF-842E-41BB-9359-5C3A7EF6CEE0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N12" authorId="0" shapeId="0" xr:uid="{8EE152EB-1ECD-485B-B188-92924D9858DA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O12" authorId="0" shapeId="0" xr:uid="{C826C065-7C24-43B0-9FBF-AB9F248605FB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R12" authorId="0" shapeId="0" xr:uid="{9A537004-93AD-4828-A571-0846343110F0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T12" authorId="0" shapeId="0" xr:uid="{3E50F9B6-83C7-4D3C-A4D1-55D1B55FC36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Y12" authorId="0" shapeId="0" xr:uid="{46AD4349-EEC5-4CE7-BD98-1AC5E807A0D3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B12" authorId="0" shapeId="0" xr:uid="{D7C87CC8-098B-46C8-BDEB-68E890C2F74B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F12" authorId="0" shapeId="0" xr:uid="{07791D16-042B-4774-8C9C-FA71954CB4F3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O18" authorId="1" shapeId="0" xr:uid="{01095A4D-2C6B-48D8-BB28-900692779F51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Grus
</t>
        </r>
      </text>
    </comment>
    <comment ref="G21" authorId="2" shapeId="0" xr:uid="{ABB84565-4FFB-49E2-86B4-94B8782AB47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arrangement</t>
        </r>
      </text>
    </comment>
    <comment ref="K21" authorId="2" shapeId="0" xr:uid="{ABD092C7-136E-41E5-A82A-661012076EC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modtager praktikanter fra KP</t>
        </r>
      </text>
    </comment>
    <comment ref="L21" authorId="2" shapeId="0" xr:uid="{9AC78329-BE64-4C90-99B6-141D7028C14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KP praktikanter 
2'er på OA</t>
        </r>
      </text>
    </comment>
    <comment ref="M21" authorId="2" shapeId="0" xr:uid="{323F492D-222F-43E0-9877-BF5BAED9086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KP praktikanter </t>
        </r>
      </text>
    </comment>
    <comment ref="N21" authorId="3" shapeId="0" xr:uid="{1CA15B8E-7E70-4C80-8E7B-94E9AED94E63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O21" authorId="3" shapeId="0" xr:uid="{8A166C7D-628A-435F-B2A1-0D60BE539726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T21" authorId="4" shapeId="0" xr:uid="{3D1388E6-681F-41DC-8B3B-6DA9E83E967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Kursus 08.00-13.00</t>
        </r>
      </text>
    </comment>
    <comment ref="Z21" authorId="4" shapeId="0" xr:uid="{42401DDB-17EC-48A8-AF23-0F8D9B455FA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L-vagt fra kl. 12.00</t>
        </r>
      </text>
    </comment>
    <comment ref="AA21" authorId="2" shapeId="0" xr:uid="{35DC73C5-CB82-44DF-A35A-0DDABC5F121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Møde RH 12:00-15:00</t>
        </r>
      </text>
    </comment>
    <comment ref="AE21" authorId="4" shapeId="0" xr:uid="{62354038-BDA6-4F02-85EA-2523FE308BB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08.00 - 20.00</t>
        </r>
      </text>
    </comment>
    <comment ref="F22" authorId="3" shapeId="0" xr:uid="{F9D4E7D5-E2CE-4B57-B998-9D51342BBF8F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RH</t>
        </r>
      </text>
    </comment>
    <comment ref="H22" authorId="3" shapeId="0" xr:uid="{A32A985B-8AFF-49B2-9353-CC83FD4F228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F22" authorId="4" shapeId="0" xr:uid="{B9CEA760-DF7D-412A-88E7-B7873CC708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POP-up center Ruten 20.
Kl. 10-30 - 17.00</t>
        </r>
      </text>
    </comment>
    <comment ref="R37" authorId="4" shapeId="0" xr:uid="{F23AFD01-C022-4199-9890-A97198C6333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1-vagt</t>
        </r>
      </text>
    </comment>
    <comment ref="S37" authorId="4" shapeId="0" xr:uid="{BEB03C2B-CB1D-44A5-90FC-4A661708333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1-vagt</t>
        </r>
      </text>
    </comment>
    <comment ref="T37" authorId="4" shapeId="0" xr:uid="{3B846ABF-4976-4EF6-93A1-DE2C026639E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1-vagt</t>
        </r>
      </text>
    </comment>
    <comment ref="U37" authorId="4" shapeId="0" xr:uid="{AF005CC4-0786-40EB-8484-805676AF9C1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1-vagt</t>
        </r>
      </text>
    </comment>
    <comment ref="V37" authorId="4" shapeId="0" xr:uid="{81F08476-60FF-4B02-B61E-54DDF71AC8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1-vagt</t>
        </r>
      </text>
    </comment>
    <comment ref="R39" authorId="4" shapeId="0" xr:uid="{75C9B512-CB5F-4EDA-B162-5FBA7A8931B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fri</t>
        </r>
      </text>
    </comment>
    <comment ref="S39" authorId="4" shapeId="0" xr:uid="{7C6F0047-86C5-4D1B-9ABD-DF27A8B87B4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fri</t>
        </r>
      </text>
    </comment>
    <comment ref="T39" authorId="4" shapeId="0" xr:uid="{DAE92833-3118-49CB-B24A-CBB36769986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fri</t>
        </r>
      </text>
    </comment>
    <comment ref="U39" authorId="4" shapeId="0" xr:uid="{CBAF1BA9-CE56-46FC-AEDA-10198655368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fri</t>
        </r>
      </text>
    </comment>
    <comment ref="V39" authorId="4" shapeId="0" xr:uid="{6243872D-7B07-44D4-A119-31666D73A7A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 fri</t>
        </r>
      </text>
    </comment>
    <comment ref="K40" authorId="4" shapeId="0" xr:uid="{4F666FE1-89B0-4E67-9AC8-983BCFE9E68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L40" authorId="4" shapeId="0" xr:uid="{38382194-A573-46C6-A841-D259CE8909F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M40" authorId="4" shapeId="0" xr:uid="{25A543AA-283A-4F93-B9FB-8A7B9B15DCD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N40" authorId="4" shapeId="0" xr:uid="{6D1F37F9-0B64-4AC8-AFBC-5B93B2C16DC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O40" authorId="4" shapeId="0" xr:uid="{5418604F-6EF7-4C92-8DFD-4B41E746BB3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D42" authorId="4" shapeId="0" xr:uid="{532EF290-7B7B-4A21-8950-85FFB54C796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08.00 - 15.00</t>
        </r>
      </text>
    </comment>
    <comment ref="E42" authorId="4" shapeId="0" xr:uid="{AFCA6878-C4DF-4706-BDAF-1C5AFF713F9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08.00 - 15.00</t>
        </r>
      </text>
    </comment>
    <comment ref="F42" authorId="4" shapeId="0" xr:uid="{1B0A08E9-CE43-4D38-88B7-B44466E1F84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G42" authorId="4" shapeId="0" xr:uid="{DA550350-ABA4-4999-8F74-EE5A7F09E7E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08.00 - 15.00</t>
        </r>
      </text>
    </comment>
    <comment ref="K42" authorId="4" shapeId="0" xr:uid="{1E672075-E22D-4B04-AFC8-08FE801A5A4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07-14</t>
        </r>
      </text>
    </comment>
    <comment ref="L42" authorId="4" shapeId="0" xr:uid="{FA7F69F5-3712-4644-8357-5867146B7FF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07-14</t>
        </r>
      </text>
    </comment>
    <comment ref="M42" authorId="4" shapeId="0" xr:uid="{56E6FE1B-CB5A-4A42-A0A6-7DD372C7A6C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07-14</t>
        </r>
      </text>
    </comment>
    <comment ref="N42" authorId="4" shapeId="0" xr:uid="{717F3DD0-7641-4A0F-A949-ABC52556276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07-14</t>
        </r>
      </text>
    </comment>
    <comment ref="O42" authorId="4" shapeId="0" xr:uid="{8F2331E5-56A7-44B9-A7E8-6B1F6EAFFF3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07-14</t>
        </r>
      </text>
    </comment>
    <comment ref="AF44" authorId="4" shapeId="0" xr:uid="{220C83BB-F17E-4AB7-AEF3-FFC65493BAE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D45" authorId="4" shapeId="0" xr:uid="{307BE7FE-0896-49E7-9DFB-D40C508B9EC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99-vagt</t>
        </r>
      </text>
    </comment>
    <comment ref="E45" authorId="4" shapeId="0" xr:uid="{465BD0A1-79AC-46E7-8081-F1852EE698B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99-vagt</t>
        </r>
      </text>
    </comment>
    <comment ref="AF46" authorId="0" shapeId="0" xr:uid="{638CFF1E-12A0-4B44-9DEF-85077C0DF85A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Martin er på som omviser og Flemming er i turnus</t>
        </r>
      </text>
    </comment>
    <comment ref="Y47" authorId="4" shapeId="0" xr:uid="{17F91E3D-CB50-4048-98C9-21ACFF06DE0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Z47" authorId="4" shapeId="0" xr:uid="{7A200CF0-BA86-443D-B150-5DD5C93AE44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AA47" authorId="4" shapeId="0" xr:uid="{C99351DE-F7B4-4034-8CD8-61865068008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AB47" authorId="4" shapeId="0" xr:uid="{17E756C1-9934-47CA-ABB9-40D23836D4E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AC47" authorId="4" shapeId="0" xr:uid="{68A16CDD-B58F-4F54-9013-51D0D146ED4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08-15.30</t>
        </r>
      </text>
    </comment>
    <comment ref="AF47" authorId="4" shapeId="0" xr:uid="{71A03719-10FF-4AF7-9C05-F21F275FAFE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Vagthavende 14.30-22.30 på OA.
Bytter evt. med Kim BT.</t>
        </r>
      </text>
    </comment>
    <comment ref="O49" authorId="2" shapeId="0" xr:uid="{545D061E-740D-4D26-97F6-F70B00421AA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Grus</t>
        </r>
      </text>
    </comment>
    <comment ref="O50" authorId="2" shapeId="0" xr:uid="{B3381C6D-F348-4823-9500-401C0F9B204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Grus</t>
        </r>
      </text>
    </comment>
    <comment ref="O51" authorId="2" shapeId="0" xr:uid="{712AD99F-9139-4A39-A79F-4AE4C66AA69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Grus</t>
        </r>
      </text>
    </comment>
    <comment ref="N61" authorId="4" shapeId="0" xr:uid="{5E528581-C40C-48D6-95A1-3732CF44257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O61" authorId="4" shapeId="0" xr:uid="{7F25F06C-89FB-4DDF-93D7-72C980AA2F1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N63" authorId="4" shapeId="0" xr:uid="{ABC22C7F-F38F-4608-974C-E8E890FDA2F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Sundholmsvej 22 09.30-16.30</t>
        </r>
      </text>
    </comment>
    <comment ref="O63" authorId="4" shapeId="0" xr:uid="{E7C7600F-E4DE-4B10-97C1-F33E6D1D2ED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R63" authorId="4" shapeId="0" xr:uid="{16733428-A1DA-46DC-8950-9884240EBA7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Baldersgade 3B</t>
        </r>
      </text>
    </comment>
    <comment ref="U63" authorId="4" shapeId="0" xr:uid="{6AD24627-B5C0-4868-BEF5-94814F52C4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Y63" authorId="4" shapeId="0" xr:uid="{FA668448-C568-4721-8F9D-9DA74AFA45C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Baldersgade 3B</t>
        </r>
      </text>
    </comment>
    <comment ref="Z63" authorId="4" shapeId="0" xr:uid="{B74F5994-3F26-4AB2-A5AC-A3AEDF3867A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16.00 - 24.00</t>
        </r>
      </text>
    </comment>
    <comment ref="AA63" authorId="4" shapeId="0" xr:uid="{05D4789C-E767-441A-B7A9-09E95216C1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16.00 - 24.00</t>
        </r>
      </text>
    </comment>
    <comment ref="AB63" authorId="4" shapeId="0" xr:uid="{26A62F69-F194-45E7-9ED4-16B01B2FCC9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16.00 - 24.00</t>
        </r>
      </text>
    </comment>
    <comment ref="AC63" authorId="4" shapeId="0" xr:uid="{CC3A7868-81DF-4756-BFB3-1F1D815F873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15.00 - 24.00</t>
        </r>
      </text>
    </comment>
    <comment ref="N64" authorId="4" shapeId="0" xr:uid="{E4E066B9-40A4-40CD-8A4B-CCE7C2B0003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Y64" authorId="4" shapeId="0" xr:uid="{09BA879E-624F-4B62-A5B4-C3DCA0EDDAB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24.00-08.00</t>
        </r>
      </text>
    </comment>
    <comment ref="Z64" authorId="4" shapeId="0" xr:uid="{61392269-E7BB-4267-A755-E1ED88215E9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24.00-08.00</t>
        </r>
      </text>
    </comment>
    <comment ref="AA64" authorId="4" shapeId="0" xr:uid="{C45D2DA0-D05F-4995-81E3-69D02D16472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24.00-08.00</t>
        </r>
      </text>
    </comment>
    <comment ref="AB64" authorId="4" shapeId="0" xr:uid="{CFDA0C86-DDA8-4D83-B3DE-69E5D5D7F20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24.00-08.00</t>
        </r>
      </text>
    </comment>
    <comment ref="AC64" authorId="4" shapeId="0" xr:uid="{68E31C90-6E80-4B73-A105-9D8244AA95D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24.00-08.00</t>
        </r>
      </text>
    </comment>
    <comment ref="AF64" authorId="4" shapeId="0" xr:uid="{4062101B-C64D-4CEA-B14B-20FE310AA3B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16.00 - 24.00</t>
        </r>
      </text>
    </comment>
    <comment ref="Y65" authorId="4" shapeId="0" xr:uid="{6E4FD0A9-1923-4198-AB6F-C7C033075BE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08.00-15.45</t>
        </r>
      </text>
    </comment>
    <comment ref="Z65" authorId="4" shapeId="0" xr:uid="{EF7C7173-8469-4876-8AB6-2E5AA1B5F89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AA65" authorId="4" shapeId="0" xr:uid="{BB67569D-F38D-4D2D-BBF3-BDC5A92AE8D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AB65" authorId="4" shapeId="0" xr:uid="{CAB54435-6114-4C4F-8297-6E7B1E4CA08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AC65" authorId="4" shapeId="0" xr:uid="{D65E6955-C2A0-462C-B976-C30C2FB1418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vagt.
Normal tjeneste 10.00 - 16.00</t>
        </r>
      </text>
    </comment>
    <comment ref="AF65" authorId="4" shapeId="0" xr:uid="{A5470306-EB1F-4B95-B66C-F10F3760A7F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G66" authorId="4" shapeId="0" xr:uid="{158CC50E-B581-4155-A0F1-028FE64BA3E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N66" authorId="3" shapeId="0" xr:uid="{C59844CB-78FB-4098-A76A-3EC51E6C1B99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O66" authorId="3" shapeId="0" xr:uid="{09466612-0943-4917-959A-5760195A8EBB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S66" authorId="4" shapeId="0" xr:uid="{E83FDA0F-7C8E-4A18-B01A-E1C2D366828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T66" authorId="1" shapeId="0" xr:uid="{0341B8C7-420B-4F72-AD18-ED214CA5759C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Gl.køge landevej 3
fra kl. 11.00-15.00</t>
        </r>
      </text>
    </comment>
    <comment ref="U66" authorId="4" shapeId="0" xr:uid="{DD4EB79F-A2CE-4905-A351-108486E531F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V66" authorId="4" shapeId="0" xr:uid="{737DFFA7-5FCA-4785-9E46-D7C1380ABFB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AD66" authorId="5" shapeId="0" xr:uid="{9C27A560-5B16-484F-BCD6-D64B8EAF5E96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Rentemestervej 14.00-17.00 på oa</t>
        </r>
      </text>
    </comment>
    <comment ref="D67" authorId="4" shapeId="0" xr:uid="{A1B1A8D3-5350-493D-B64E-6B0C8CB7674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Baldersgade 3B</t>
        </r>
      </text>
    </comment>
    <comment ref="E67" authorId="6" shapeId="0" xr:uid="{E726E082-50F2-4145-879E-BDB249BA2AC8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AFH</t>
        </r>
      </text>
    </comment>
    <comment ref="F67" authorId="6" shapeId="0" xr:uid="{4C148CC5-173B-430E-AD38-2FF8122E72F1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AFH</t>
        </r>
      </text>
    </comment>
    <comment ref="G67" authorId="6" shapeId="0" xr:uid="{97065D51-BFAE-4A8D-8C5C-6572F6EA0B16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AFH</t>
        </r>
      </text>
    </comment>
    <comment ref="H67" authorId="6" shapeId="0" xr:uid="{9FF1590F-8F7C-4C8B-AFCA-25D2835BDDC1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AFH</t>
        </r>
      </text>
    </comment>
    <comment ref="K67" authorId="4" shapeId="0" xr:uid="{6B81E597-A2FA-41F3-AD72-BEA8889ADA3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Baldersgade 3B</t>
        </r>
      </text>
    </comment>
    <comment ref="M67" authorId="4" shapeId="0" xr:uid="{15973F51-F22E-402F-B78C-95A05E3453E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N67" authorId="1" shapeId="0" xr:uid="{9299A076-A6A1-4CB1-B072-16F5BC5BCA41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Til læge kl 13.00</t>
        </r>
      </text>
    </comment>
    <comment ref="R67" authorId="7" shapeId="0" xr:uid="{2C706A04-DF0C-4D83-8AE9-89951288961F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10.00-17.00</t>
        </r>
      </text>
    </comment>
    <comment ref="S67" authorId="7" shapeId="0" xr:uid="{C0D89793-42A5-4B70-A5FD-9FA6E629BEC9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10.00-17.00</t>
        </r>
      </text>
    </comment>
    <comment ref="T67" authorId="4" shapeId="0" xr:uid="{3C6570A7-EAFF-493A-A549-C9CCB4A165C4}">
      <text>
        <r>
          <rPr>
            <b/>
            <sz val="9"/>
            <color indexed="81"/>
            <rFont val="Tahoma"/>
            <charset val="1"/>
          </rPr>
          <t>Steen Hertin:
10.00-17.00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Y67" authorId="2" shapeId="0" xr:uid="{2C8FD877-A19F-407B-9DEA-A82831A2944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09:00-16:30</t>
        </r>
      </text>
    </comment>
    <comment ref="Z67" authorId="2" shapeId="0" xr:uid="{09107CA4-3C48-4CED-BBD5-66C5A118E04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09:00-16:30</t>
        </r>
      </text>
    </comment>
    <comment ref="AA67" authorId="2" shapeId="0" xr:uid="{31F6B231-B65B-4277-87E6-D7B7DED8A69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09:00-16:30</t>
        </r>
      </text>
    </comment>
    <comment ref="AB67" authorId="2" shapeId="0" xr:uid="{D00F9B28-9C3B-445B-9809-D9381984AB2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10:00-17:30</t>
        </r>
      </text>
    </comment>
    <comment ref="AC67" authorId="2" shapeId="0" xr:uid="{63AD66EA-6F5B-4182-85E9-886510A340C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07:30-14:30</t>
        </r>
      </text>
    </comment>
    <comment ref="D69" authorId="6" shapeId="0" xr:uid="{E8211DC4-66A0-49D8-A2E2-83C5227D2DE6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AFH</t>
        </r>
      </text>
    </comment>
    <comment ref="G69" authorId="6" shapeId="0" xr:uid="{32834B40-205B-4B33-87CC-5A76A21843C6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AFH</t>
        </r>
      </text>
    </comment>
    <comment ref="R69" authorId="2" shapeId="0" xr:uid="{AD5D48A2-6B1D-4D28-96EB-8CF1C5C6E59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10:00-17:30</t>
        </r>
      </text>
    </comment>
    <comment ref="S69" authorId="2" shapeId="0" xr:uid="{DDECE3B6-1972-499C-AAD1-828FCA0ED7F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10:00-17:30</t>
        </r>
      </text>
    </comment>
    <comment ref="T69" authorId="2" shapeId="0" xr:uid="{99201B3C-07C0-4863-AE80-D032F51DFAB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10:00-17:30</t>
        </r>
      </text>
    </comment>
    <comment ref="U69" authorId="2" shapeId="0" xr:uid="{DCB955DE-3C68-4390-9E65-12121CA2EF6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12:20-20:30</t>
        </r>
      </text>
    </comment>
    <comment ref="V69" authorId="2" shapeId="0" xr:uid="{5FE230B9-4245-4095-AB27-503E685561E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07:30-15:00</t>
        </r>
      </text>
    </comment>
    <comment ref="R70" authorId="4" shapeId="0" xr:uid="{7BA3CA07-21F4-41DC-8629-25B25C94D6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Skal dække Rentemestervej 18.00-19.00</t>
        </r>
      </text>
    </comment>
    <comment ref="Y70" authorId="1" shapeId="0" xr:uid="{9ADABA12-8CBE-40C1-A464-28A386271B67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16-24 Fuglebakken</t>
        </r>
      </text>
    </comment>
    <comment ref="AD70" authorId="4" shapeId="0" xr:uid="{DF48EA15-0547-4364-8500-8CE51A042E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08.00 - 20.00</t>
        </r>
      </text>
    </comment>
    <comment ref="K71" authorId="2" shapeId="0" xr:uid="{DEF7BF46-D939-4ADF-ADD2-D2AF85735A1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07:45-15:15</t>
        </r>
      </text>
    </comment>
    <comment ref="L71" authorId="2" shapeId="0" xr:uid="{8CEDDD6B-4C67-476E-A826-DF69D34CA40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07:45-15:15</t>
        </r>
      </text>
    </comment>
    <comment ref="M71" authorId="2" shapeId="0" xr:uid="{E8F8773F-2F5E-4AA6-9673-6943175ABE0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07:45-15:15</t>
        </r>
      </text>
    </comment>
    <comment ref="N71" authorId="2" shapeId="0" xr:uid="{71029FF7-7BC0-4A02-8E47-76D54A2B719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hospital</t>
        </r>
      </text>
    </comment>
    <comment ref="O71" authorId="2" shapeId="0" xr:uid="{F0F276F8-BCB3-4EFC-A040-CB1E85069A5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07:30-13:30</t>
        </r>
      </text>
    </comment>
    <comment ref="S71" authorId="4" shapeId="0" xr:uid="{E90BE5C1-5920-446A-8F82-E0FEDE3E711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09.00 - 15.00</t>
        </r>
      </text>
    </comment>
    <comment ref="T71" authorId="4" shapeId="0" xr:uid="{4F4C4CC8-25C2-4651-8EEA-335C5FF12D8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09.00 - 15.00</t>
        </r>
      </text>
    </comment>
    <comment ref="U71" authorId="4" shapeId="0" xr:uid="{E7E1B1A5-DAC2-4AB8-994B-BD9D9C27144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13.00-18.00</t>
        </r>
      </text>
    </comment>
    <comment ref="K72" authorId="4" shapeId="0" xr:uid="{20107479-3150-4742-B7E8-CC197912421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L72" authorId="4" shapeId="0" xr:uid="{4DE7F360-B02F-40E2-A774-C4AA0E3C7E1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N73" authorId="4" shapeId="0" xr:uid="{7F8C8C28-7985-4F71-8B2E-D0FFE95D621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O73" authorId="4" shapeId="0" xr:uid="{D4AAB158-2BBD-4EA6-9A38-09268D44F1B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R73" authorId="4" shapeId="0" xr:uid="{F12C5875-82A4-40DC-A86D-A9600ECED3C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E73" authorId="4" shapeId="0" xr:uid="{0852566E-6E4D-45F6-8BD4-B28CD2C6BCA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20.00 - 08.00</t>
        </r>
      </text>
    </comment>
    <comment ref="AF73" authorId="4" shapeId="0" xr:uid="{F85409FB-1CDF-4282-8E35-5A9AF7F5E36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24.00-08.00</t>
        </r>
      </text>
    </comment>
    <comment ref="D74" authorId="6" shapeId="0" xr:uid="{F369F020-584B-4B1A-8123-47BA59FE0874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AFH</t>
        </r>
      </text>
    </comment>
    <comment ref="E74" authorId="6" shapeId="0" xr:uid="{EEFD7D77-1DD0-4610-8C13-67565B85A5AC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AFH</t>
        </r>
      </text>
    </comment>
    <comment ref="F74" authorId="6" shapeId="0" xr:uid="{15EA7AF5-D215-42E0-B21A-A88EFB52AB86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AFH</t>
        </r>
      </text>
    </comment>
    <comment ref="P74" authorId="7" shapeId="0" xr:uid="{28155988-AD0F-428B-8295-01FC7BC76BC7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rentemestervej
14.00-17.00 OA</t>
        </r>
      </text>
    </comment>
    <comment ref="AF74" authorId="2" shapeId="0" xr:uid="{E54AF606-C069-41A3-975F-74D3EF7EBC5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08:15-15:45</t>
        </r>
      </text>
    </comment>
    <comment ref="D75" authorId="2" shapeId="0" xr:uid="{7EBDADCF-9B1A-400F-8EC3-121BCD3317A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08:15-15:45</t>
        </r>
      </text>
    </comment>
    <comment ref="E75" authorId="2" shapeId="0" xr:uid="{A379C9B9-0A6F-4756-B7CF-711429EA363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08:15-15:45</t>
        </r>
      </text>
    </comment>
    <comment ref="F75" authorId="2" shapeId="0" xr:uid="{7C70A64B-679E-498A-B526-6D763D8C1DA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08:15-15:45</t>
        </r>
      </text>
    </comment>
    <comment ref="G75" authorId="2" shapeId="0" xr:uid="{B088C27E-6BF2-45CE-B553-EB88082A1AF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 08:15-16:45</t>
        </r>
      </text>
    </comment>
    <comment ref="H75" authorId="2" shapeId="0" xr:uid="{9A47608A-A03A-495B-BF58-DB17B747B34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07:30-13:30</t>
        </r>
      </text>
    </comment>
    <comment ref="AD75" authorId="4" shapeId="0" xr:uid="{49E8A673-5157-4B73-8BA4-4F672EDEB55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20.00 - 08.00</t>
        </r>
      </text>
    </comment>
    <comment ref="D82" authorId="0" shapeId="0" xr:uid="{225492F0-70F0-48D3-871C-5BD835CE3F43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Møder kl.08.00</t>
        </r>
      </text>
    </comment>
    <comment ref="E86" authorId="0" shapeId="0" xr:uid="{12AB1E37-6CDF-4DD1-A37B-34DA8FEDA1D3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Post og Scanning
Mødetid kl. 08.00</t>
        </r>
      </text>
    </comment>
    <comment ref="F86" authorId="0" shapeId="0" xr:uid="{44A46D1A-8BDF-4412-98FA-29141465DEE3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Post og Scanning</t>
        </r>
      </text>
    </comment>
    <comment ref="G86" authorId="0" shapeId="0" xr:uid="{DBCA8685-55CF-44D0-A6E0-AC97E7A3689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Post og Scanning</t>
        </r>
      </text>
    </comment>
    <comment ref="H86" authorId="0" shapeId="0" xr:uid="{2ED2AD8D-191F-48F0-965F-399E46242CD8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Post og Scanning</t>
        </r>
      </text>
    </comment>
    <comment ref="K86" authorId="0" shapeId="0" xr:uid="{029CC9DF-77D7-4C29-868C-78F46F278DCA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Post og Scanning</t>
        </r>
      </text>
    </comment>
    <comment ref="L86" authorId="0" shapeId="0" xr:uid="{58B0B62A-F1D0-43FF-96AF-6F73FD5E964D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Post og Scanning</t>
        </r>
      </text>
    </comment>
    <comment ref="M86" authorId="0" shapeId="0" xr:uid="{902DD13D-A06B-40E9-8399-9DFF9A73F6BD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Post og Scanning</t>
        </r>
      </text>
    </comment>
    <comment ref="N86" authorId="0" shapeId="0" xr:uid="{86883E5F-61AC-40B1-B627-383AE6EB6621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Post og Scanning</t>
        </r>
      </text>
    </comment>
    <comment ref="O86" authorId="0" shapeId="0" xr:uid="{797C937A-3DBF-4DFF-A221-A8848FD21F35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Post og Scanning</t>
        </r>
      </text>
    </comment>
    <comment ref="D100" authorId="5" shapeId="0" xr:uid="{4C692E09-64B3-4A85-8E5C-975E58F52F97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E100" authorId="5" shapeId="0" xr:uid="{F7C80502-A776-4E6A-B7A7-212725627C95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F100" authorId="5" shapeId="0" xr:uid="{8F5524D2-6306-4AF9-AE12-86B060E76A8B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G100" authorId="5" shapeId="0" xr:uid="{BDDF1745-9323-4D30-A62F-7F837237392E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H100" authorId="5" shapeId="0" xr:uid="{1EBBC349-E93C-4F8A-98C5-D5953F9993F5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K100" authorId="4" shapeId="0" xr:uid="{5901C329-A4F5-455A-B2B3-66BE62099BB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Sundholmsvaj 22 09.30-16.00
Pop-up testcenter.</t>
        </r>
      </text>
    </comment>
    <comment ref="L100" authorId="4" shapeId="0" xr:uid="{78D2F21A-4541-4F4C-8BAB-0BFD2C45034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M100" authorId="4" shapeId="0" xr:uid="{89B0BCB4-77B2-4113-8A64-07C4C0A5353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8.30-15.30</t>
        </r>
      </text>
    </comment>
    <comment ref="N100" authorId="7" shapeId="0" xr:uid="{DFCF43D1-E6A0-4581-9347-04B7012F4C76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07.45-16.15</t>
        </r>
      </text>
    </comment>
    <comment ref="O100" authorId="4" shapeId="0" xr:uid="{481B63C8-301B-43A8-AFA1-43DA3AF2493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K101" authorId="3" shapeId="0" xr:uid="{00E852F1-FB8A-4339-BAC6-7DA03E1D65B3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Hospitalet</t>
        </r>
      </text>
    </comment>
    <comment ref="L101" authorId="4" shapeId="0" xr:uid="{CF4E48B7-BADE-4B90-A55D-62913525E94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8.15.30</t>
        </r>
      </text>
    </comment>
    <comment ref="M101" authorId="4" shapeId="0" xr:uid="{D7583244-885C-43F0-9BB1-0022EC6290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8.15.30</t>
        </r>
      </text>
    </comment>
    <comment ref="N101" authorId="4" shapeId="0" xr:uid="{66F256F8-EB91-42D5-8C33-5B0101AA985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8.15.30</t>
        </r>
      </text>
    </comment>
    <comment ref="O101" authorId="4" shapeId="0" xr:uid="{1C828F72-ACAC-4D2A-9BEA-893E015CE50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8.15.30</t>
        </r>
      </text>
    </comment>
    <comment ref="Q101" authorId="7" shapeId="0" xr:uid="{5769F1A3-45B3-43EB-9362-0D5FE5725698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A2 OA</t>
        </r>
      </text>
    </comment>
    <comment ref="Z101" authorId="4" shapeId="0" xr:uid="{E66E1603-00FA-46C5-9E86-F88794CC8D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S-vagt på overarbejde</t>
        </r>
      </text>
    </comment>
    <comment ref="D120" authorId="4" shapeId="0" xr:uid="{50D251FB-93DC-43E4-8C16-CDA615620C1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7-14,00</t>
        </r>
      </text>
    </comment>
    <comment ref="E120" authorId="4" shapeId="0" xr:uid="{FCD2D079-8A26-416E-AB00-1510F7AD2CA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7-14,00</t>
        </r>
      </text>
    </comment>
    <comment ref="F120" authorId="4" shapeId="0" xr:uid="{581775A1-CAED-4B5F-B146-9ED7AD82242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7-14,00</t>
        </r>
      </text>
    </comment>
    <comment ref="G120" authorId="4" shapeId="0" xr:uid="{70403068-11CC-419F-8DD1-44D64FE5FA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7-14,00</t>
        </r>
      </text>
    </comment>
    <comment ref="H120" authorId="4" shapeId="0" xr:uid="{4CFFA38B-B633-488C-A028-295FECD7A57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7-14,00</t>
        </r>
      </text>
    </comment>
    <comment ref="K120" authorId="4" shapeId="0" xr:uid="{94C5DB15-9D0B-46D3-B068-9A89D799357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8.30-15.30</t>
        </r>
      </text>
    </comment>
    <comment ref="L120" authorId="4" shapeId="0" xr:uid="{D92CEFFA-7DC9-47A3-8880-445A554FDDE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8.30-15.30</t>
        </r>
      </text>
    </comment>
    <comment ref="M120" authorId="4" shapeId="0" xr:uid="{AE6875A7-F1A9-49D9-AB55-F643D625B8F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8.30-15.30</t>
        </r>
      </text>
    </comment>
    <comment ref="N120" authorId="4" shapeId="0" xr:uid="{062D297D-E9FB-49DE-A490-FCD9D3BF529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8.30-15.30</t>
        </r>
      </text>
    </comment>
    <comment ref="O120" authorId="4" shapeId="0" xr:uid="{3BA3245A-292E-48CF-8EF5-B556C3B2ADB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8.30-15.30</t>
        </r>
      </text>
    </comment>
    <comment ref="R120" authorId="4" shapeId="0" xr:uid="{06A3525C-BE6B-45FC-8FFD-0867056704D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S120" authorId="4" shapeId="0" xr:uid="{D0639DBD-0A09-4C00-98B2-68F35A40572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T120" authorId="4" shapeId="0" xr:uid="{1D24C1E2-495A-4A19-8AD3-15CD7704DFF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U120" authorId="4" shapeId="0" xr:uid="{C901F62F-64AC-40E9-A82B-6E3F54B2BB0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Y120" authorId="4" shapeId="0" xr:uid="{0A594CB2-C95E-4403-A449-8B99F7506EE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Z120" authorId="4" shapeId="0" xr:uid="{ED0F1C9E-8903-4D17-A1C2-4078101E032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A120" authorId="4" shapeId="0" xr:uid="{1091B460-F54A-4D34-82DD-2BB5BF26ADA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B120" authorId="4" shapeId="0" xr:uid="{8D67FEA0-B9E7-4763-BB19-1609D42B7F7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C120" authorId="4" shapeId="0" xr:uid="{3A34DF9B-A75A-4398-9446-CC25C3ADC8D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F120" authorId="4" shapeId="0" xr:uid="{CA4575A3-0D18-4680-876F-75BC3F1157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07-14</t>
        </r>
      </text>
    </comment>
    <comment ref="D121" authorId="4" shapeId="0" xr:uid="{57981B69-B498-4CFA-A070-C4067B446BF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08.30 - 15.30</t>
        </r>
      </text>
    </comment>
    <comment ref="E121" authorId="4" shapeId="0" xr:uid="{032EAED5-396C-45E2-AF6A-C29AB0C7B25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08.30 - 15.30</t>
        </r>
      </text>
    </comment>
    <comment ref="F121" authorId="4" shapeId="0" xr:uid="{E7504F75-D5B1-4B89-B961-1644D7D548F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08.30 - 15.30</t>
        </r>
      </text>
    </comment>
    <comment ref="G121" authorId="4" shapeId="0" xr:uid="{B0CFBC95-A7E8-41BC-B616-0ECA6391A5C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08.30 - 15.30</t>
        </r>
      </text>
    </comment>
    <comment ref="H121" authorId="4" shapeId="0" xr:uid="{C73AE5C3-4377-4B37-8835-6B38A3CD3BF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08.30 - 15.30</t>
        </r>
      </text>
    </comment>
    <comment ref="K121" authorId="4" shapeId="0" xr:uid="{DE15F9E5-D0E2-4F03-949D-FDB4E352927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8-15</t>
        </r>
      </text>
    </comment>
    <comment ref="L121" authorId="4" shapeId="0" xr:uid="{D783E5A9-B7D1-4206-BF6A-B94D8030879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8-15</t>
        </r>
      </text>
    </comment>
    <comment ref="M121" authorId="4" shapeId="0" xr:uid="{956D2902-62EB-485B-9AC4-0193FB477A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8-15</t>
        </r>
      </text>
    </comment>
    <comment ref="N121" authorId="4" shapeId="0" xr:uid="{8F43B041-FEC4-4B92-9043-2B68B65A797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8-15</t>
        </r>
      </text>
    </comment>
    <comment ref="R121" authorId="4" shapeId="0" xr:uid="{AB8FADA7-D380-4043-8735-D1895236FD6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S121" authorId="4" shapeId="0" xr:uid="{179EBF67-7E87-4F4F-9022-BF5C62DF474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T121" authorId="4" shapeId="0" xr:uid="{75797FD5-56C2-42CF-B9CB-E53B14D4DC2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U121" authorId="4" shapeId="0" xr:uid="{FEE00B1D-7C66-4BE4-A03E-843841D23C0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V121" authorId="4" shapeId="0" xr:uid="{F352CA9C-F244-4CBE-AA87-FF815C2A537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Y121" authorId="4" shapeId="0" xr:uid="{7E22D19E-ED8A-4A7F-BAE5-2C4CF8D812C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</t>
        </r>
      </text>
    </comment>
    <comment ref="Z121" authorId="4" shapeId="0" xr:uid="{269EDBCB-F75A-4EED-90B4-DC4F2228863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</t>
        </r>
      </text>
    </comment>
    <comment ref="AA121" authorId="4" shapeId="0" xr:uid="{4921CEAB-F75F-466A-B6F5-6137E8B9871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</t>
        </r>
      </text>
    </comment>
    <comment ref="AB121" authorId="4" shapeId="0" xr:uid="{19BE5F59-FD47-4A18-B3CF-BA09C059A58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</t>
        </r>
      </text>
    </comment>
    <comment ref="AC121" authorId="4" shapeId="0" xr:uid="{B5A3D884-673A-4B5F-BF4F-0D216AB2781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</t>
        </r>
      </text>
    </comment>
    <comment ref="AF121" authorId="4" shapeId="0" xr:uid="{AC1A90EE-A9FD-4AB4-B956-0E87AE4823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08-15.30</t>
        </r>
      </text>
    </comment>
    <comment ref="F122" authorId="4" shapeId="0" xr:uid="{BE08C9C0-8C2F-408B-A8CD-8B3C9579DAB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08.00 - 15.00</t>
        </r>
      </text>
    </comment>
    <comment ref="G122" authorId="4" shapeId="0" xr:uid="{A0008339-D0A7-42BD-AE5F-29B55C5C5D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08.00 - 15.00 + arrangement</t>
        </r>
      </text>
    </comment>
    <comment ref="K122" authorId="4" shapeId="0" xr:uid="{A1F10011-6C51-4045-8AAF-A74A87F36BF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10 -17</t>
        </r>
      </text>
    </comment>
    <comment ref="L122" authorId="4" shapeId="0" xr:uid="{9D372142-EF0F-4D1F-A4BA-52A81E13934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10 -17</t>
        </r>
      </text>
    </comment>
    <comment ref="M122" authorId="4" shapeId="0" xr:uid="{580D309A-F7FA-4027-B048-26F114D6F54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10 -17</t>
        </r>
      </text>
    </comment>
    <comment ref="N122" authorId="4" shapeId="0" xr:uid="{B68A7EB5-D1DC-48EF-9118-EE5967F2609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10 -17</t>
        </r>
      </text>
    </comment>
    <comment ref="O122" authorId="4" shapeId="0" xr:uid="{FECC6990-2FD6-4739-BD73-1B0F69D0414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10 -17</t>
        </r>
      </text>
    </comment>
    <comment ref="R122" authorId="4" shapeId="0" xr:uid="{05FFDE5D-EE50-4090-83C3-BB293353CB8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</t>
        </r>
      </text>
    </comment>
    <comment ref="S122" authorId="4" shapeId="0" xr:uid="{E9C9E2C5-9BF9-4A8E-B924-C5F04CA49F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</t>
        </r>
      </text>
    </comment>
    <comment ref="T122" authorId="4" shapeId="0" xr:uid="{278F4D38-BDB7-419B-9D46-925D2A4640B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</t>
        </r>
      </text>
    </comment>
    <comment ref="U122" authorId="4" shapeId="0" xr:uid="{F14DF086-493C-4D3F-A174-BF0D885EE7F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</t>
        </r>
      </text>
    </comment>
    <comment ref="V122" authorId="4" shapeId="0" xr:uid="{45F03333-C26F-496F-A304-7C48959CD7F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08-15</t>
        </r>
      </text>
    </comment>
    <comment ref="Y122" authorId="4" shapeId="0" xr:uid="{F6E79A61-D66B-4DAF-A381-762A58069F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Møderr 7-14</t>
        </r>
      </text>
    </comment>
    <comment ref="Z122" authorId="4" shapeId="0" xr:uid="{3A6DE4C8-E64C-4441-B48C-779F3B9B58C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Møderr 7-14</t>
        </r>
      </text>
    </comment>
    <comment ref="AA122" authorId="4" shapeId="0" xr:uid="{57595BA1-3B8F-4238-9E6C-061A6E53B8F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Møderr 7-14</t>
        </r>
      </text>
    </comment>
    <comment ref="AB122" authorId="4" shapeId="0" xr:uid="{EB68FB85-F4BF-467F-AD49-5E0C5B22997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Møderr 7-14</t>
        </r>
      </text>
    </comment>
    <comment ref="AC122" authorId="4" shapeId="0" xr:uid="{FE86AB16-FC3E-43AF-8C38-1ACB8C1D9B8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Møderr 7-14</t>
        </r>
      </text>
    </comment>
    <comment ref="D124" authorId="4" shapeId="0" xr:uid="{E945DAFC-6234-4E31-A875-82423AAC886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10.00 - 17.00</t>
        </r>
      </text>
    </comment>
    <comment ref="E124" authorId="4" shapeId="0" xr:uid="{5F2A5040-6362-4593-BAE3-8CDE5DEB8EE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10.00 - 17.00</t>
        </r>
      </text>
    </comment>
    <comment ref="F124" authorId="4" shapeId="0" xr:uid="{B8D670B6-B30C-4F4E-869F-B94463ACBF2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10.00 - 17.00</t>
        </r>
      </text>
    </comment>
    <comment ref="G124" authorId="4" shapeId="0" xr:uid="{F0AA468E-4C47-46AD-9F64-01321048303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10.00 - 17.00</t>
        </r>
      </text>
    </comment>
    <comment ref="K124" authorId="4" shapeId="0" xr:uid="{6525A34D-8DC7-4847-B823-D9415D98B5FA}">
      <text>
        <r>
          <rPr>
            <b/>
            <sz val="9"/>
            <color indexed="81"/>
            <rFont val="Tahoma"/>
            <charset val="1"/>
          </rPr>
          <t>Steen Hertin:AHF</t>
        </r>
      </text>
    </comment>
    <comment ref="L124" authorId="4" shapeId="0" xr:uid="{79F89486-7DBE-46CF-8A5E-6F22066FE967}">
      <text>
        <r>
          <rPr>
            <b/>
            <sz val="9"/>
            <color indexed="81"/>
            <rFont val="Tahoma"/>
            <charset val="1"/>
          </rPr>
          <t>Steen Hertin:AHF</t>
        </r>
      </text>
    </comment>
    <comment ref="M124" authorId="4" shapeId="0" xr:uid="{62BA2CBF-07F7-490E-A71D-3CA8B99DDA0F}">
      <text>
        <r>
          <rPr>
            <b/>
            <sz val="9"/>
            <color indexed="81"/>
            <rFont val="Tahoma"/>
            <charset val="1"/>
          </rPr>
          <t>Steen Hertin:AHF</t>
        </r>
      </text>
    </comment>
    <comment ref="N124" authorId="4" shapeId="0" xr:uid="{857EC968-8C94-456E-9C68-C142D31DF610}">
      <text>
        <r>
          <rPr>
            <b/>
            <sz val="9"/>
            <color indexed="81"/>
            <rFont val="Tahoma"/>
            <charset val="1"/>
          </rPr>
          <t>Steen Hertin:AHF</t>
        </r>
      </text>
    </comment>
    <comment ref="O124" authorId="4" shapeId="0" xr:uid="{02E6FB0C-9AC5-4C8B-A75D-C38B8D00CD27}">
      <text>
        <r>
          <rPr>
            <b/>
            <sz val="9"/>
            <color indexed="81"/>
            <rFont val="Tahoma"/>
            <charset val="1"/>
          </rPr>
          <t>Steen Hertin:AHF</t>
        </r>
      </text>
    </comment>
    <comment ref="R124" authorId="4" shapeId="0" xr:uid="{381D4DAE-1E53-482A-A5EF-2F6DC74CBBC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S124" authorId="4" shapeId="0" xr:uid="{7C410DEC-35E4-4970-B0BB-563A8D981B5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T124" authorId="4" shapeId="0" xr:uid="{E9EE575B-F88B-478E-B660-98DBD08ECD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U124" authorId="4" shapeId="0" xr:uid="{AF095DC5-B201-4099-90A8-2F11E2860D5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V124" authorId="4" shapeId="0" xr:uid="{54194F17-BDB2-442E-B7C1-F14C4E12A47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Y124" authorId="4" shapeId="0" xr:uid="{03BAC5CC-E891-443A-8D42-2957F1EA639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Z124" authorId="4" shapeId="0" xr:uid="{B23A2750-CC25-4422-8630-A88D5516656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AA124" authorId="4" shapeId="0" xr:uid="{EA561DA0-546B-4AFE-844D-C25DF0AC281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AB124" authorId="4" shapeId="0" xr:uid="{6F0677D6-DEB2-4D0D-97AC-D678DDA041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AF124" authorId="4" shapeId="0" xr:uid="{604483D6-5D6F-4EBA-898B-7A6AEFBB54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07-14.45 + Baldersgade 3B 09.00-15.00</t>
        </r>
      </text>
    </comment>
    <comment ref="S140" authorId="4" shapeId="0" xr:uid="{916A88DF-6431-487B-B8E3-ABF9B452E9E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</t>
        </r>
      </text>
    </comment>
    <comment ref="S141" authorId="4" shapeId="0" xr:uid="{8E628B13-34AD-4023-A212-21AE135F1A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</t>
        </r>
      </text>
    </comment>
    <comment ref="S142" authorId="4" shapeId="0" xr:uid="{832FD6B7-2B63-4CC9-B48E-4199B6F5BA3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omlagt tjeneste</t>
        </r>
      </text>
    </comment>
    <comment ref="D153" authorId="8" shapeId="0" xr:uid="{612FB31F-F87C-43D2-B5CE-A474D3F66E6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E153" authorId="8" shapeId="0" xr:uid="{8CAC898D-2463-4836-9D6E-502BC189E72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F153" authorId="8" shapeId="0" xr:uid="{5DE7E614-2215-414F-A528-1CE386C5592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153" authorId="8" shapeId="0" xr:uid="{10B6C502-8433-4001-8903-ECC8559F716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L153" authorId="8" shapeId="0" xr:uid="{AFD223B4-BD48-4356-AD3A-07FD60C4A75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53" authorId="8" shapeId="0" xr:uid="{DBD0EFF4-D1B7-42F1-AB87-B889E1828E2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N153" authorId="8" shapeId="0" xr:uid="{C782235B-051B-4927-894F-703A170D37E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O153" authorId="8" shapeId="0" xr:uid="{8BE9C1C6-30D5-4664-BBE9-BC522C97E48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R153" authorId="8" shapeId="0" xr:uid="{8B0EB0AE-AA4D-47E9-979E-E32BE805E20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153" authorId="8" shapeId="0" xr:uid="{B893B77E-BEDB-4F20-89F3-EBCD39E6259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T153" authorId="8" shapeId="0" xr:uid="{D3B05C19-F0A0-4921-87A9-A3E3E14B7C4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U153" authorId="8" shapeId="0" xr:uid="{CACBF2F3-EFD4-456C-BF32-4A8D93BFC82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Y153" authorId="8" shapeId="0" xr:uid="{38FAB8D2-114B-4BCF-9419-E20BA07EEB3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Z153" authorId="8" shapeId="0" xr:uid="{64B9F211-27AA-4D06-8E58-6A9E2CAC255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A153" authorId="8" shapeId="0" xr:uid="{5528B75C-E474-49EB-AABA-47F5ED7FE97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B153" authorId="8" shapeId="0" xr:uid="{A5436F55-685C-4379-9357-FD8520D74D0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C153" authorId="8" shapeId="0" xr:uid="{5ABCACD7-4515-4CC7-9FD4-F4592752711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F153" authorId="8" shapeId="0" xr:uid="{F4DDEC6F-D7EF-47C2-A9FE-0581DC66561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87" authorId="4" shapeId="0" xr:uid="{53C5011B-D1E9-4B8D-AA03-C6A8A786A31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</t>
        </r>
      </text>
    </comment>
    <comment ref="Z187" authorId="4" shapeId="0" xr:uid="{437E5BB5-FD8D-43C4-A172-E8998984F1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Læge kl. 12</t>
        </r>
      </text>
    </comment>
    <comment ref="AA189" authorId="2" shapeId="0" xr:uid="{C3C63EB2-3F9F-4811-B731-CCA2EABBFEA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på hospital hele dagen</t>
        </r>
      </text>
    </comment>
    <comment ref="R191" authorId="3" shapeId="0" xr:uid="{88643F9E-F722-4DEB-A902-E0A2E40F5E8B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Til læge</t>
        </r>
      </text>
    </comment>
    <comment ref="D292" authorId="9" shapeId="0" xr:uid="{3D36A5D3-6F26-4EAB-985D-2762610EBACA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- 5,5 time i afs.</t>
        </r>
      </text>
    </comment>
    <comment ref="G292" authorId="9" shapeId="0" xr:uid="{FE1FBE1C-562C-43B4-8F83-53103D545885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- 4,5 time i afs</t>
        </r>
      </text>
    </comment>
    <comment ref="L292" authorId="9" shapeId="0" xr:uid="{471E3874-2EAC-4323-963E-E5718028574D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- 2,5 time i afs</t>
        </r>
      </text>
    </comment>
    <comment ref="M292" authorId="9" shapeId="0" xr:uid="{A5DDB425-2BEB-4AF6-A53C-557674AFDC12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- 4,5 time afs</t>
        </r>
      </text>
    </comment>
    <comment ref="V293" authorId="9" shapeId="0" xr:uid="{3031DC80-A616-408B-81E9-3A84A76D6329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- 2 timer i afs</t>
        </r>
      </text>
    </comment>
    <comment ref="Y294" authorId="9" shapeId="0" xr:uid="{4421C7DB-9043-4E73-9C73-9C2333388B1A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- 3 timer i afs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Marianne Rasmussen</author>
    <author>Rasmus Sørensen</author>
    <author>Steen Hertin</author>
    <author>Thomas Holm</author>
    <author>Kim Holm Aabroe</author>
    <author>tc={B4769AC4-E598-4EC6-994D-AB4D0F200019}</author>
    <author>Michael Bo Pedersen</author>
    <author>tc={1D62952D-4614-4236-AA08-0C1EBECB2FA4}</author>
    <author>Mathias Hartvig Morell Nielsen</author>
    <author>tc={FAECB78D-AB95-4FEC-ABA0-63C563C3FCB4}</author>
    <author>marasm</author>
  </authors>
  <commentList>
    <comment ref="D12" authorId="0" shapeId="0" xr:uid="{744162A6-A2C4-478C-AA40-36F58120F405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E12" authorId="0" shapeId="0" xr:uid="{86E47C0D-53C7-468B-A92D-602B7E72FBF8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I12" authorId="0" shapeId="0" xr:uid="{2AF707C4-D1D9-46C1-9508-C2A4F0B5A3F5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J12" authorId="0" shapeId="0" xr:uid="{894D8B15-385C-46CA-9AC6-1FFC3EA39275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K12" authorId="0" shapeId="0" xr:uid="{D46494C6-8D99-4700-832A-B830F3A78BC6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P12" authorId="0" shapeId="0" xr:uid="{EF9C9DD2-278F-4839-9839-677849EAA6EF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Q12" authorId="0" shapeId="0" xr:uid="{B2338158-DE2C-4D22-8C74-FACBF740C98E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W16" authorId="1" shapeId="0" xr:uid="{6C420F52-8789-4515-9A5C-1C3BE108411B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Trukket 0,5 time i FE</t>
        </r>
      </text>
    </comment>
    <comment ref="O17" authorId="2" shapeId="0" xr:uid="{C7F98B68-9441-43C5-8C27-1CE0957E68A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Krudttønden kl. 9.30-16:30</t>
        </r>
      </text>
    </comment>
    <comment ref="D21" authorId="2" shapeId="0" xr:uid="{E154CFF8-FA7E-4F95-90C0-CECBD79C2AD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HBR Frederikssundsvej  Kl. 10.00 </t>
        </r>
      </text>
    </comment>
    <comment ref="E21" authorId="2" shapeId="0" xr:uid="{040BB3D6-95D1-4396-9DEA-C16E185D2E8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HBR</t>
        </r>
      </text>
    </comment>
    <comment ref="U21" authorId="3" shapeId="0" xr:uid="{94A21475-E90F-4495-8A3C-9515D40167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09.30-16.30</t>
        </r>
      </text>
    </comment>
    <comment ref="V21" authorId="3" shapeId="0" xr:uid="{36D29FFC-91E6-4DEF-9C9A-D91818DB4DF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09.30-16.30</t>
        </r>
      </text>
    </comment>
    <comment ref="W21" authorId="3" shapeId="0" xr:uid="{EC49EA51-CADB-49A0-AAF9-44FF28B0510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09.30-16.30</t>
        </r>
      </text>
    </comment>
    <comment ref="AD21" authorId="2" shapeId="0" xr:uid="{3E6A3712-2320-41B4-A52F-313911C01D5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Den sociale døgnvagt</t>
        </r>
      </text>
    </comment>
    <comment ref="AE21" authorId="2" shapeId="0" xr:uid="{4D4C296A-ED29-4DCC-9DDC-412D6483F2E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Den sociale døgnvagt</t>
        </r>
      </text>
    </comment>
    <comment ref="AF21" authorId="2" shapeId="0" xr:uid="{F72815DD-4E3C-4709-B019-08C60D589FC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Den sociale døgnvagt</t>
        </r>
      </text>
    </comment>
    <comment ref="AG21" authorId="2" shapeId="0" xr:uid="{5A3AB0D7-E420-4A91-B6F7-45C1C183ED9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Den sociale døgnvagt</t>
        </r>
      </text>
    </comment>
    <comment ref="C22" authorId="3" shapeId="0" xr:uid="{46FA35A6-BE8F-4E7B-87F2-CC86E632A74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Vagtplaner krdesvagt.+ Vagthavende 14.30-22.30</t>
        </r>
      </text>
    </comment>
    <comment ref="E22" authorId="2" shapeId="0" xr:uid="{A2EFB9C5-A55D-489E-9E96-6F164C4297D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08:15-16:45</t>
        </r>
      </text>
    </comment>
    <comment ref="I22" authorId="3" shapeId="0" xr:uid="{6A95C095-69D5-4DB8-9982-7688C9515FC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8"/>
            <color indexed="81"/>
            <rFont val="Tahoma"/>
            <family val="2"/>
          </rPr>
          <t>Københavns Professionshøjskole – Humletorvet 3, (indgang fra Vesterfælledvej) 09.00-16.30</t>
        </r>
      </text>
    </comment>
    <comment ref="J22" authorId="3" shapeId="0" xr:uid="{B6655B02-8E39-4A32-BD5A-03B957A7CAE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8"/>
            <color indexed="81"/>
            <rFont val="Tahoma"/>
            <family val="2"/>
          </rPr>
          <t>Københavns Professionshøjskole – Humletorvet 3, (indgang fra Vesterfælledvej) 09.00-16.30</t>
        </r>
      </text>
    </comment>
    <comment ref="K22" authorId="3" shapeId="0" xr:uid="{4F75F129-0F95-4207-A630-EBE268AD3A5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8"/>
            <color indexed="81"/>
            <rFont val="Tahoma"/>
            <family val="2"/>
          </rPr>
          <t>Københavns Professionshøjskole – Humletorvet 3, (indgang fra Vesterfælledvej) 09.00-16.30</t>
        </r>
      </text>
    </comment>
    <comment ref="L22" authorId="3" shapeId="0" xr:uid="{88BA21D1-CEBF-4E8C-87FD-CC32ABDAD6A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8"/>
            <color indexed="81"/>
            <rFont val="Tahoma"/>
            <family val="2"/>
          </rPr>
          <t>Københavns Professionshøjskole – Humletorvet 3, (indgang fra Vesterfælledvej) 09.00-16.30</t>
        </r>
      </text>
    </comment>
    <comment ref="M22" authorId="3" shapeId="0" xr:uid="{5F4BFC70-CA92-480E-BF9B-5F43AFC1EDB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8"/>
            <color indexed="81"/>
            <rFont val="Tahoma"/>
            <family val="2"/>
          </rPr>
          <t>Københavns Professionshøjskole – Humletorvet 3, (indgang fra Vesterfælledvej) 09.00-16.30</t>
        </r>
      </text>
    </comment>
    <comment ref="I24" authorId="3" shapeId="0" xr:uid="{776A2B1D-32C4-4B76-B190-FE52753E6CC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J24" authorId="3" shapeId="0" xr:uid="{8AE08723-7194-43AB-BD5F-3585A6A8E6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K24" authorId="3" shapeId="0" xr:uid="{7103CCAD-41B6-45F0-B5F4-18241AA7E2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L24" authorId="3" shapeId="0" xr:uid="{D08FAA59-91C4-4E51-8896-9E26FC9AE5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M24" authorId="3" shapeId="0" xr:uid="{993857F2-3D0E-443B-B7AF-26C030FA7B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P24" authorId="3" shapeId="0" xr:uid="{EE823FAC-EAF3-49AA-A52E-838A535A1DB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Q24" authorId="3" shapeId="0" xr:uid="{D78C9416-5937-4201-B152-02D0EB1FBD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R24" authorId="3" shapeId="0" xr:uid="{E4CB4E73-3ACC-4649-8BCE-C7D64F3D5F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S24" authorId="3" shapeId="0" xr:uid="{68FDECFB-63C9-4041-946A-5D03CE0D8F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T24" authorId="3" shapeId="0" xr:uid="{62E70A72-C302-406A-8230-5BDE4A6A75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P38" authorId="3" shapeId="0" xr:uid="{98D35DF7-B0EC-4313-A762-7F6DFD16169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09.00 - 16.30</t>
        </r>
      </text>
    </comment>
    <comment ref="Q38" authorId="3" shapeId="0" xr:uid="{8F4210C6-E301-40F1-BE91-FE6215C73C9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R38" authorId="3" shapeId="0" xr:uid="{8F65F8FD-92F2-4D00-8DC1-E42EA16B4F4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S38" authorId="3" shapeId="0" xr:uid="{C480ADD8-8C26-4B92-8C8A-03E9FA25E84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T38" authorId="3" shapeId="0" xr:uid="{3FBF83D8-BBDF-4937-ACE0-B6A1C2F1798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W38" authorId="3" shapeId="0" xr:uid="{EE4CBF49-7CD5-470B-99F5-9C3E56050D9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Øksnehallen 09.30-16.30</t>
        </r>
      </text>
    </comment>
    <comment ref="Y38" authorId="3" shapeId="0" xr:uid="{6E284B96-959A-40DB-9DDD-8360C1526FB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fejemand</t>
        </r>
      </text>
    </comment>
    <comment ref="W39" authorId="3" shapeId="0" xr:uid="{6CF41789-5F03-4E38-8C69-CE66B6F3285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1-vag på huset.
P-vagt på OA fra kl. 14:00</t>
        </r>
      </text>
    </comment>
    <comment ref="X39" authorId="3" shapeId="0" xr:uid="{34982072-F075-43A4-9164-C118325B397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P-vagt</t>
        </r>
      </text>
    </comment>
    <comment ref="Y39" authorId="3" shapeId="0" xr:uid="{FB624ABC-EFBB-4589-AD72-1C479183198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1-vag på huset.</t>
        </r>
      </text>
    </comment>
    <comment ref="P42" authorId="3" shapeId="0" xr:uid="{C0893600-7828-431C-86DC-88E6FAF1CD7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i2</t>
        </r>
      </text>
    </comment>
    <comment ref="Q42" authorId="3" shapeId="0" xr:uid="{B632E862-D5E2-4153-A3F4-889286182BC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i2</t>
        </r>
      </text>
    </comment>
    <comment ref="R42" authorId="3" shapeId="0" xr:uid="{B8CBBF00-734C-4F76-B403-F40C487BE1E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i2</t>
        </r>
      </text>
    </comment>
    <comment ref="S42" authorId="3" shapeId="0" xr:uid="{0338E8EB-F74F-49ED-AB52-0D7D3CB561D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i2</t>
        </r>
      </text>
    </comment>
    <comment ref="T42" authorId="3" shapeId="0" xr:uid="{5AE3B21A-F0E6-4133-88B4-3E1841136B1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i2</t>
        </r>
      </text>
    </comment>
    <comment ref="C44" authorId="3" shapeId="0" xr:uid="{5FF9F547-5D63-4379-A74D-BDB5B18C22C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D44" authorId="3" shapeId="0" xr:uid="{661C3875-EF5C-460A-A200-8634305483D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E44" authorId="3" shapeId="0" xr:uid="{316F86F3-DFBC-4EE6-B780-036D7ED8FFE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F44" authorId="3" shapeId="0" xr:uid="{FDCF0EA8-4BB3-48D5-B410-A06952C1E31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10-17</t>
        </r>
      </text>
    </comment>
    <comment ref="O44" authorId="3" shapeId="0" xr:uid="{2A37BD81-C3D0-4602-A2C2-AAC8BA347FF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76 09.00-16.30</t>
        </r>
      </text>
    </comment>
    <comment ref="C46" authorId="0" shapeId="0" xr:uid="{EBAFFFC0-EBF2-4EC3-9768-2D1E2926ECF3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Martin er på som omviser og Flemming er i turnus</t>
        </r>
      </text>
    </comment>
    <comment ref="I46" authorId="4" shapeId="0" xr:uid="{6EDF600A-2AD0-48BA-AFAA-8F105DD5BA18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09.30-16.30</t>
        </r>
      </text>
    </comment>
    <comment ref="J46" authorId="4" shapeId="0" xr:uid="{EB137361-4D15-409E-9892-53246672911C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09.30-16.30</t>
        </r>
      </text>
    </comment>
    <comment ref="K46" authorId="4" shapeId="0" xr:uid="{D2183C49-6B2B-4B08-A5F3-02F12C215258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09.30-16.30</t>
        </r>
      </text>
    </comment>
    <comment ref="L46" authorId="4" shapeId="0" xr:uid="{CD3AB62A-FA25-42CE-BC82-E21C45567683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09.30-16.30</t>
        </r>
      </text>
    </comment>
    <comment ref="M46" authorId="4" shapeId="0" xr:uid="{B95CBB4F-D2C9-4758-9E35-7BE55A7C25C9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09.30-16.30</t>
        </r>
      </text>
    </comment>
    <comment ref="P46" authorId="3" shapeId="0" xr:uid="{BC15F24C-E11A-4151-AC73-0E5371FFD18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Krudttønden 09.30-16.30</t>
        </r>
      </text>
    </comment>
    <comment ref="Q46" authorId="3" shapeId="0" xr:uid="{A57A9F1F-FC44-49EA-944E-9087E83C628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Krudttønden 09.30-16.30</t>
        </r>
      </text>
    </comment>
    <comment ref="R46" authorId="3" shapeId="0" xr:uid="{B3FD11EC-837F-4F53-A262-FCCA8BB97DF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Krudttønden 09.30-16.30</t>
        </r>
      </text>
    </comment>
    <comment ref="S46" authorId="3" shapeId="0" xr:uid="{DD62000E-23E5-4B0B-8BEF-898627AB18E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Krudttønden 09.30-16.30</t>
        </r>
      </text>
    </comment>
    <comment ref="T46" authorId="3" shapeId="0" xr:uid="{75EEA984-21CA-4892-81DE-0494CB7F903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Krudttønden 09.30-16.30</t>
        </r>
      </text>
    </comment>
    <comment ref="W46" authorId="3" shapeId="0" xr:uid="{E6D9F8DD-A5F0-4BCC-B9C0-23A12C2F9E9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Øksnehallen 09.30-16.30</t>
        </r>
      </text>
    </comment>
    <comment ref="X46" authorId="3" shapeId="0" xr:uid="{7F58A1F6-ABD3-45C8-A3A4-8992A7499FB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Øksnehallen 09.30-16.30</t>
        </r>
      </text>
    </comment>
    <comment ref="Y46" authorId="3" shapeId="0" xr:uid="{E7B86EBA-E331-4F87-AC2F-5617192B958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O-vagt</t>
        </r>
      </text>
    </comment>
    <comment ref="AD46" authorId="3" shapeId="0" xr:uid="{AAFE3FC2-9B60-4A07-AF12-20D0CBD73A7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E46" authorId="3" shapeId="0" xr:uid="{A8FE1E4E-3BF6-4A4C-ACFC-CBDB14767E2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F46" authorId="3" shapeId="0" xr:uid="{8CBACF18-CEF1-4BA4-BB7C-756BB181227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C47" authorId="3" shapeId="0" xr:uid="{7BA941F2-DC0E-4AEE-A780-890F3001168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D47" authorId="3" shapeId="0" xr:uid="{64D415D0-2F9C-447B-8F24-2B1564BC73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E47" authorId="3" shapeId="0" xr:uid="{B3246A55-530B-4328-AD21-5244626B5B9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F47" authorId="3" shapeId="0" xr:uid="{D9B449EC-11FE-464F-AA20-B648EED8AB2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K48" authorId="5" shapeId="0" xr:uid="{C5C0FB86-0494-455D-A7F5-43BD31CF72F9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fejemand OA</t>
        </r>
      </text>
    </comment>
    <comment ref="L48" authorId="5" shapeId="0" xr:uid="{06300494-448E-4152-A10F-FDBF8AA5A8EF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fejemand OA</t>
        </r>
      </text>
    </comment>
    <comment ref="M48" authorId="5" shapeId="0" xr:uid="{E5180DAF-58E1-42F9-81C0-F8F8786B1B6E}">
      <text>
        <r>
          <rPr>
            <b/>
            <sz val="9"/>
            <color indexed="81"/>
            <rFont val="Tahoma"/>
            <charset val="1"/>
          </rPr>
          <t>Kim Holm Aabroe:</t>
        </r>
        <r>
          <rPr>
            <sz val="9"/>
            <color indexed="81"/>
            <rFont val="Tahoma"/>
            <charset val="1"/>
          </rPr>
          <t xml:space="preserve">
fejemand OA</t>
        </r>
      </text>
    </comment>
    <comment ref="W49" authorId="3" shapeId="0" xr:uid="{A6AF191B-CE35-480E-8DD7-22D23787F73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Øksnehallen 09.30-16.30</t>
        </r>
      </text>
    </comment>
    <comment ref="X49" authorId="3" shapeId="0" xr:uid="{C73D891B-61C1-49A7-8616-1BA9F00FB1D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Øksnehallen 09.30-16.30</t>
        </r>
      </text>
    </comment>
    <comment ref="Y49" authorId="3" shapeId="0" xr:uid="{1A4827F2-12A7-475E-843F-EFE044774F5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H-vagt</t>
        </r>
      </text>
    </comment>
    <comment ref="AD49" authorId="3" shapeId="0" xr:uid="{5EC8A45A-38E8-413D-877A-6ADBA691DC8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Rådhuset</t>
        </r>
      </text>
    </comment>
    <comment ref="AE49" authorId="3" shapeId="0" xr:uid="{7948C720-988F-49D8-8022-A5B4996013B1}">
      <text>
        <r>
          <rPr>
            <b/>
            <sz val="9"/>
            <color indexed="81"/>
            <rFont val="Tahoma"/>
            <charset val="1"/>
          </rPr>
          <t>Steen Hertin:
AHF</t>
        </r>
      </text>
    </comment>
    <comment ref="AF49" authorId="3" shapeId="0" xr:uid="{4338F7E0-4875-4B90-9F02-7DC9A02B8A4C}">
      <text>
        <r>
          <rPr>
            <b/>
            <sz val="9"/>
            <color indexed="81"/>
            <rFont val="Tahoma"/>
            <charset val="1"/>
          </rPr>
          <t>Steen Hertin:
AHF</t>
        </r>
      </text>
    </comment>
    <comment ref="AD50" authorId="3" shapeId="0" xr:uid="{2945A590-07D6-4B13-8311-8298851728F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Rådhuset</t>
        </r>
      </text>
    </comment>
    <comment ref="AE50" authorId="3" shapeId="0" xr:uid="{C1937B48-566A-48E5-9DA8-A9872B4B1FF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F50" authorId="3" shapeId="0" xr:uid="{2573ED77-C253-4F15-A84B-302E2DA36DF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C61" authorId="3" shapeId="0" xr:uid="{889F4B5F-C6CE-4BAC-8941-2F02DCCCEE4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D61" authorId="3" shapeId="0" xr:uid="{AC9AD467-D0F1-441A-AF09-9E88DDE1AB7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E61" authorId="3" shapeId="0" xr:uid="{BA6CA465-68C9-400F-939A-404DC77EAB3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F61" authorId="3" shapeId="0" xr:uid="{9A33C666-0799-4E00-8EEA-0572375F359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K61" authorId="2" shapeId="0" xr:uid="{9E89EA25-ECD8-40C9-A740-1D7943DDEC2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L61" authorId="2" shapeId="0" xr:uid="{297B97B8-DC10-4857-85A3-00BDF62A911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AD61" authorId="3" shapeId="0" xr:uid="{242FCF35-6DA1-41E0-AF86-2D040044524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09.00-16.00</t>
        </r>
      </text>
    </comment>
    <comment ref="AE61" authorId="3" shapeId="0" xr:uid="{70B5059F-07A4-4419-A555-5FC73C1C508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09.00-16.00</t>
        </r>
      </text>
    </comment>
    <comment ref="AF61" authorId="3" shapeId="0" xr:uid="{1C29AFAE-0D19-4718-BB17-60F4B67D6FB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09.00-16.00</t>
        </r>
      </text>
    </comment>
    <comment ref="Q62" authorId="3" shapeId="0" xr:uid="{05F256B0-E64E-43B3-B9C0-9EC19B9A21C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 på RH</t>
        </r>
      </text>
    </comment>
    <comment ref="R62" authorId="3" shapeId="0" xr:uid="{ADC89EA5-C552-4C14-A5AF-086267394E8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matthæusgade</t>
        </r>
      </text>
    </comment>
    <comment ref="AD62" authorId="3" shapeId="0" xr:uid="{FA34D81C-2240-4F87-975B-442D61029CD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08.00-16.00</t>
        </r>
      </text>
    </comment>
    <comment ref="AE62" authorId="3" shapeId="0" xr:uid="{0B12AD3B-3AC6-48FF-A809-5C1D35C613A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08.00-16.00</t>
        </r>
      </text>
    </comment>
    <comment ref="AF62" authorId="3" shapeId="0" xr:uid="{D8D761EF-A545-4CAF-973F-430E8F337D3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08.00-16.00</t>
        </r>
      </text>
    </comment>
    <comment ref="C63" authorId="3" shapeId="0" xr:uid="{7A2D5679-5CCF-4AD4-A9E7-96353E8D333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16.00 - 24.00</t>
        </r>
      </text>
    </comment>
    <comment ref="D63" authorId="3" shapeId="0" xr:uid="{582790A3-2C40-487B-A94E-CEF773B99D8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16.00 - 24.00</t>
        </r>
      </text>
    </comment>
    <comment ref="F63" authorId="2" shapeId="0" xr:uid="{FACE3885-E5DD-48B3-9AA2-592B5E07BD8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07:30-13:30</t>
        </r>
      </text>
    </comment>
    <comment ref="P63" authorId="3" shapeId="0" xr:uid="{DA3C2E11-9C4C-410E-BF23-C144E32FCF5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R63" authorId="3" shapeId="0" xr:uid="{679B3F7B-731B-4272-8B0B-73AA31FB44F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S63" authorId="3" shapeId="0" xr:uid="{36F1B0FB-1873-49E9-8CB1-F1DBEEF60FC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T63" authorId="3" shapeId="0" xr:uid="{85322B4D-C7F2-4CE8-B2A2-7E1375A3A20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AD63" authorId="3" shapeId="0" xr:uid="{799F28C8-AA6C-44BD-AEA0-8D2D7E611FD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07.00-15.00 på Rådhuset.</t>
        </r>
      </text>
    </comment>
    <comment ref="AE63" authorId="3" shapeId="0" xr:uid="{0C68C842-D1AC-42A7-8265-AF978ACE776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07.00-15.00 på Rådhuset.</t>
        </r>
      </text>
    </comment>
    <comment ref="AF63" authorId="3" shapeId="0" xr:uid="{AEC94419-CAD9-4359-9A8A-160D41AA39D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07.00-15.00 på Rådhuset.</t>
        </r>
      </text>
    </comment>
    <comment ref="K64" authorId="3" shapeId="0" xr:uid="{6DDC5AA7-BDB0-4281-AD90-B614BC00C3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L64" authorId="3" shapeId="0" xr:uid="{E41E2895-B448-4CAA-B492-87832E3F068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M64" authorId="3" shapeId="0" xr:uid="{8FC257CD-736D-425E-8F72-8DA352B0019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Q64" authorId="3" shapeId="0" xr:uid="{334BDFEF-CE96-4A76-A1C1-DB1849AE4A5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R64" authorId="2" shapeId="0" xr:uid="{87831D2E-5FAC-4BB8-9260-FC939CA7C4B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Coronavagt kl. 15-21 oa</t>
        </r>
      </text>
    </comment>
    <comment ref="X64" authorId="3" shapeId="0" xr:uid="{D25B2037-D020-485B-9743-1E74C58D4ED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09.30-16.30</t>
        </r>
      </text>
    </comment>
    <comment ref="AA64" authorId="3" shapeId="0" xr:uid="{499AB05F-1338-4C9E-8023-B698B3378F0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Coronavagt 10.00-23.00</t>
        </r>
      </text>
    </comment>
    <comment ref="AB64" authorId="3" shapeId="0" xr:uid="{E964A21D-0BF3-45BE-B380-1A2F3AC2868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Coronavagt 10.00-23.00</t>
        </r>
      </text>
    </comment>
    <comment ref="AC64" authorId="3" shapeId="0" xr:uid="{7ADEBBC3-C13F-4743-9B3B-32558D6F45F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Coronavagt 10.00-23.00</t>
        </r>
      </text>
    </comment>
    <comment ref="AF64" authorId="6" shapeId="0" xr:uid="{B4769AC4-E598-4EC6-994D-AB4D0F20001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10-vagt på OA</t>
      </text>
    </comment>
    <comment ref="G65" authorId="4" shapeId="0" xr:uid="{58D97334-E0EE-4C6F-B28C-0070A48DA86B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09.30-16.30</t>
        </r>
      </text>
    </comment>
    <comment ref="H65" authorId="4" shapeId="0" xr:uid="{5F41647C-A1B0-4841-A6E7-C730856AA0FF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09.30-16.30</t>
        </r>
      </text>
    </comment>
    <comment ref="I65" authorId="3" shapeId="0" xr:uid="{78CE5482-70CA-49A1-85FA-809DC8BDDB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Birkedommervej 09.00-16.30</t>
        </r>
      </text>
    </comment>
    <comment ref="J65" authorId="3" shapeId="0" xr:uid="{681FCF8A-1DA8-4E21-977E-1D0E444072F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Birkedommervej 09.00-16.30</t>
        </r>
      </text>
    </comment>
    <comment ref="K65" authorId="3" shapeId="0" xr:uid="{443C9AAD-23FD-4C87-B116-1AA4B1C84E8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Birkedommervej 09.00-16.30</t>
        </r>
      </text>
    </comment>
    <comment ref="L65" authorId="3" shapeId="0" xr:uid="{87AF5F47-2B63-41DC-814A-0502C09C1F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Birkedommervej 09.00-16.30</t>
        </r>
      </text>
    </comment>
    <comment ref="M65" authorId="3" shapeId="0" xr:uid="{22AA8660-973B-432E-AAAB-EA8A5941ED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Birkedommervej 09.00-16.30</t>
        </r>
      </text>
    </comment>
    <comment ref="P65" authorId="3" shapeId="0" xr:uid="{D98D1648-0976-4A19-B319-461882AE406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09.30-16.30 OA.</t>
        </r>
      </text>
    </comment>
    <comment ref="Q65" authorId="3" shapeId="0" xr:uid="{25D422A7-E796-4F84-AE33-02AA2558C3B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09.30-16.30 OA.</t>
        </r>
      </text>
    </comment>
    <comment ref="R65" authorId="3" shapeId="0" xr:uid="{AC48BC6F-0D0E-441C-A00B-B576640F17A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09.30-16.30 OA.</t>
        </r>
      </text>
    </comment>
    <comment ref="S65" authorId="3" shapeId="0" xr:uid="{41900781-39A5-4DD9-81DD-A6660014042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09.30-16.30 OA.</t>
        </r>
      </text>
    </comment>
    <comment ref="T65" authorId="3" shapeId="0" xr:uid="{EAEA9E52-D7D0-4711-ABC2-868BDCB054A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09.30-16.30 OA.</t>
        </r>
      </text>
    </comment>
    <comment ref="G66" authorId="4" shapeId="0" xr:uid="{4FB403E7-AD70-41ED-8BF0-A26070A777A9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Guldbergsgade
09.30-16.30</t>
        </r>
      </text>
    </comment>
    <comment ref="H66" authorId="4" shapeId="0" xr:uid="{15FDABF6-D94E-474F-B7FF-D5257C487EF1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Guldbergsgade
09.30-16.30</t>
        </r>
      </text>
    </comment>
    <comment ref="Q66" authorId="3" shapeId="0" xr:uid="{84656F99-E68C-4E03-AB14-135F9771D46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09.00-16.30 ekstra vagt Rådhuset.Covid-19 udgifter</t>
        </r>
      </text>
    </comment>
    <comment ref="R66" authorId="3" shapeId="0" xr:uid="{9F8FAF29-5276-4733-864F-BE29D342A628}">
      <text>
        <r>
          <rPr>
            <b/>
            <sz val="9"/>
            <color indexed="81"/>
            <rFont val="Tahoma"/>
            <charset val="1"/>
          </rPr>
          <t>Steen Hertin:
Krudttønden 09.30-16.30</t>
        </r>
      </text>
    </comment>
    <comment ref="S66" authorId="3" shapeId="0" xr:uid="{E8032721-3159-4DFA-92D9-C6FB4282B05D}">
      <text>
        <r>
          <rPr>
            <b/>
            <sz val="9"/>
            <color indexed="81"/>
            <rFont val="Tahoma"/>
            <charset val="1"/>
          </rPr>
          <t>Steen Hertin:
Krudttønden 09.30-16.30</t>
        </r>
      </text>
    </comment>
    <comment ref="W66" authorId="2" shapeId="0" xr:uid="{31053BB1-8A0A-4223-AC90-E03B2D33D71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09:00-16:30</t>
        </r>
      </text>
    </comment>
    <comment ref="X66" authorId="2" shapeId="0" xr:uid="{1E57079D-9E59-4B7C-9C37-8BE855B642A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09:00-16:30</t>
        </r>
      </text>
    </comment>
    <comment ref="Y66" authorId="2" shapeId="0" xr:uid="{0E0E4740-9150-4DCE-8956-9461D7FB295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09:00-16:30</t>
        </r>
      </text>
    </comment>
    <comment ref="G68" authorId="4" shapeId="0" xr:uid="{273747EA-78B5-4CE2-B80B-56F55DF8A306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08.00-16.30</t>
        </r>
      </text>
    </comment>
    <comment ref="I68" authorId="3" shapeId="0" xr:uid="{A218E4F9-697A-4794-9348-5DD3185D05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Birkedommervej 09.00-16.00</t>
        </r>
      </text>
    </comment>
    <comment ref="J68" authorId="3" shapeId="0" xr:uid="{8C4EE5A2-DA57-42E3-9AE6-2043195C48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Birkedommervej 09.00-16.00</t>
        </r>
      </text>
    </comment>
    <comment ref="K68" authorId="3" shapeId="0" xr:uid="{B09C5125-6167-4E06-81CC-EA8B04813A0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Birkedommervej 09.00-16.00</t>
        </r>
      </text>
    </comment>
    <comment ref="L68" authorId="3" shapeId="0" xr:uid="{2EFCBA25-1BA6-4075-B595-6DE41C96DFF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Birkedommervej 09.00-16.00</t>
        </r>
      </text>
    </comment>
    <comment ref="M68" authorId="3" shapeId="0" xr:uid="{06B8EAFD-0FC8-40E6-A122-3B68FE7252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Birkedommervej 09.00-16.00</t>
        </r>
      </text>
    </comment>
    <comment ref="O68" authorId="3" shapeId="0" xr:uid="{DCB7B334-36A0-4F43-ACC6-5C8B6697997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Nørrebrohallen 09.30-16.30</t>
        </r>
      </text>
    </comment>
    <comment ref="P68" authorId="3" shapeId="0" xr:uid="{5FA9AF7A-E8DE-46DF-B639-70C295C8E3B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Nørrebrohallen 09.30-16.30</t>
        </r>
      </text>
    </comment>
    <comment ref="Q68" authorId="3" shapeId="0" xr:uid="{76F52566-056C-46E7-8357-AB6C48A73E3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Nørrebrohallen 09.30-16.30</t>
        </r>
      </text>
    </comment>
    <comment ref="R68" authorId="3" shapeId="0" xr:uid="{D6597756-C4F1-42D6-A62D-0B500CD2E6D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Nørrebrohallen 09.30-16.30</t>
        </r>
      </text>
    </comment>
    <comment ref="S68" authorId="3" shapeId="0" xr:uid="{B63DB46C-331D-47DA-A2C4-DF6EF994386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Nørrebrohallen 09.30-16.30</t>
        </r>
      </text>
    </comment>
    <comment ref="T68" authorId="3" shapeId="0" xr:uid="{7285ABBF-0856-475D-8BF6-A538FADA2F9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Nørrebrohallen 09.30-16.30</t>
        </r>
      </text>
    </comment>
    <comment ref="W68" authorId="3" shapeId="0" xr:uid="{CFC2F51D-8F88-4D51-BE5D-2291CDEE20B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køre 15.00-23.00</t>
        </r>
      </text>
    </comment>
    <comment ref="X68" authorId="3" shapeId="0" xr:uid="{23B5D70E-883B-4007-A522-9F42C5A3644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køre 10.00-23.00</t>
        </r>
      </text>
    </comment>
    <comment ref="Y68" authorId="3" shapeId="0" xr:uid="{F348AF3F-B2FB-4F80-B0D2-DCF5EC2F5BD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køre 10.00-23.00</t>
        </r>
      </text>
    </comment>
    <comment ref="AD68" authorId="3" shapeId="0" xr:uid="{91E9DE04-5D4A-4CCD-BBDD-86507EC21F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køre 15.00-23.00</t>
        </r>
      </text>
    </comment>
    <comment ref="AE68" authorId="3" shapeId="0" xr:uid="{E5DB0639-DA1E-4142-8D64-A37AB3CDA97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køre 15.00-23.00</t>
        </r>
      </text>
    </comment>
    <comment ref="AF68" authorId="3" shapeId="0" xr:uid="{22D383C9-4AC1-47F2-BAC4-A2AF4B265D5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køre 15.00-23.00</t>
        </r>
      </text>
    </comment>
    <comment ref="AD69" authorId="2" shapeId="0" xr:uid="{9BAFD886-7D8B-4CE6-95A0-FA2A16F59A6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69" authorId="2" shapeId="0" xr:uid="{0D0E67D5-BDBB-4145-93C6-8E421E672EC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F69" authorId="2" shapeId="0" xr:uid="{3A6DC901-BC85-48E3-ACF6-9049529E1F6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J70" authorId="2" shapeId="0" xr:uid="{46BE81E5-2101-4ED9-8A6F-8953BE4A731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25-vagt oa</t>
        </r>
      </text>
    </comment>
    <comment ref="K70" authorId="2" shapeId="0" xr:uid="{25FC4114-6E9D-493F-B657-BF364C6A97F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25-vagt oa</t>
        </r>
      </text>
    </comment>
    <comment ref="L70" authorId="2" shapeId="0" xr:uid="{C5995CCE-445A-4C2F-8550-99E3FD9975B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25-vagt oa</t>
        </r>
      </text>
    </comment>
    <comment ref="O70" authorId="3" shapeId="0" xr:uid="{1EA1E779-21AA-4E12-AEE8-1BCAC002FAF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G71" authorId="4" shapeId="0" xr:uid="{69B50442-952B-400F-A8AF-3ED8823FBD34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09.30-16.30</t>
        </r>
      </text>
    </comment>
    <comment ref="H71" authorId="4" shapeId="0" xr:uid="{3B28923C-C92F-4FFF-BECC-CBF8FF4BA131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09.30-16.30</t>
        </r>
      </text>
    </comment>
    <comment ref="X71" authorId="7" shapeId="0" xr:uid="{F7087AB0-A430-4884-BC3D-A765CD86C7A4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H-vagt på OA</t>
        </r>
      </text>
    </comment>
    <comment ref="AE71" authorId="8" shapeId="0" xr:uid="{1D62952D-4614-4236-AA08-0C1EBECB2FA4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10-vagt på OA</t>
      </text>
    </comment>
    <comment ref="AF71" authorId="0" shapeId="0" xr:uid="{2D9F7D18-2919-4B75-92B2-9D9B79A1BB30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10-vagt</t>
        </r>
      </text>
    </comment>
    <comment ref="I72" authorId="2" shapeId="0" xr:uid="{2598C205-6E1C-4313-BF18-29CEB64D43E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07:45-15:15</t>
        </r>
      </text>
    </comment>
    <comment ref="J72" authorId="2" shapeId="0" xr:uid="{0862D4A4-7CE0-4854-B25D-13D15855352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07:45-15:15</t>
        </r>
      </text>
    </comment>
    <comment ref="K72" authorId="2" shapeId="0" xr:uid="{AE06F83E-30AC-4383-BD93-455CD78EA07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07:45-15:15</t>
        </r>
      </text>
    </comment>
    <comment ref="L72" authorId="2" shapeId="0" xr:uid="{12DD8232-9F5B-45F0-949A-D2145AD7597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07:45-16:15</t>
        </r>
      </text>
    </comment>
    <comment ref="M72" authorId="2" shapeId="0" xr:uid="{656899AD-28AE-4264-B8F1-AFF73106A97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07:30-13:30</t>
        </r>
      </text>
    </comment>
    <comment ref="N72" authorId="2" shapeId="0" xr:uid="{190F9703-ED5C-4E62-915D-AE48C0284FB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Krudttønden kl. 9.30-16:30</t>
        </r>
      </text>
    </comment>
    <comment ref="P72" authorId="2" shapeId="0" xr:uid="{C7C47FF9-E7AC-4325-885D-240E3BC4B12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10:00-17:00</t>
        </r>
      </text>
    </comment>
    <comment ref="Q72" authorId="2" shapeId="0" xr:uid="{82A72B2B-457C-4DFA-885A-D422ECA4123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10:00-17:00</t>
        </r>
      </text>
    </comment>
    <comment ref="R72" authorId="2" shapeId="0" xr:uid="{54E243F6-D486-40D2-A15D-9B33C991458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10:00-17:00</t>
        </r>
      </text>
    </comment>
    <comment ref="S72" authorId="2" shapeId="0" xr:uid="{E1C5D4BC-C7E9-4F4C-A90E-850D8BCA0B0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12:00-20:30</t>
        </r>
      </text>
    </comment>
    <comment ref="T72" authorId="2" shapeId="0" xr:uid="{377205D1-DD32-4D56-A5CD-9DC35B9C15E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07:30-15:00</t>
        </r>
      </text>
    </comment>
    <comment ref="C73" authorId="3" shapeId="0" xr:uid="{791FAEF3-D6CE-4AD4-8950-410980AD201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24.00-08.00</t>
        </r>
      </text>
    </comment>
    <comment ref="D73" authorId="3" shapeId="0" xr:uid="{16B8AF24-26C5-4205-8B0B-1F8C6050094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Fuglebakken kl. 24.00-08.00</t>
        </r>
      </text>
    </comment>
    <comment ref="I73" authorId="3" shapeId="0" xr:uid="{99247885-2F15-46B5-BC8F-CDA5ABE931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Guldbergsgade 09.00-16,30</t>
        </r>
      </text>
    </comment>
    <comment ref="J73" authorId="3" shapeId="0" xr:uid="{AB0E6531-CA51-49FC-A917-D8F205A8027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Guldbergsgade 09.00-16,30</t>
        </r>
      </text>
    </comment>
    <comment ref="K73" authorId="3" shapeId="0" xr:uid="{E51108F3-7924-46FC-ACF3-B87DF3A80A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Guldbergsgade 09.00-16,30</t>
        </r>
      </text>
    </comment>
    <comment ref="L73" authorId="3" shapeId="0" xr:uid="{1961E59C-87EE-41A4-AD76-6F44818AD3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Guldbergsgade 09.00-16,30</t>
        </r>
      </text>
    </comment>
    <comment ref="M73" authorId="3" shapeId="0" xr:uid="{CBCF55F9-A8F3-40EC-BCC1-40371EF440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Guldbergsgade 09.00-16,30</t>
        </r>
      </text>
    </comment>
    <comment ref="AD73" authorId="3" shapeId="0" xr:uid="{667812DC-70C3-4889-A6A9-DA14721677A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 som Fejemand</t>
        </r>
      </text>
    </comment>
    <comment ref="AE73" authorId="3" shapeId="0" xr:uid="{535ED03B-86A7-421F-80D4-6C985E7400E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 som Fejemand</t>
        </r>
      </text>
    </comment>
    <comment ref="AF73" authorId="3" shapeId="0" xr:uid="{3227C960-4163-432E-A998-D7D70F71B7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 som Fejemand</t>
        </r>
      </text>
    </comment>
    <comment ref="C74" authorId="2" shapeId="0" xr:uid="{1ED315FE-EF2D-414B-8723-4C9C7CB87B5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08:15-15:45</t>
        </r>
      </text>
    </comment>
    <comment ref="D74" authorId="2" shapeId="0" xr:uid="{810E2889-1EC7-4569-B307-E3CADD2B1CD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08:15-15:45</t>
        </r>
      </text>
    </comment>
    <comment ref="E74" authorId="3" shapeId="0" xr:uid="{CD75D603-19F9-4921-84EF-FCCBAD29DFE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F74" authorId="3" shapeId="0" xr:uid="{4B16C1C8-7935-4A10-B06F-1B02799635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T74" authorId="9" shapeId="0" xr:uid="{A49AE783-9CAE-4500-AE0A-CDE7FEC050F1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Fra kl. 11.30</t>
        </r>
      </text>
    </comment>
    <comment ref="V74" authorId="3" shapeId="0" xr:uid="{6C647762-604B-4CA3-BA5E-BE4812ECCBD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09.30-16.30</t>
        </r>
      </text>
    </comment>
    <comment ref="C75" authorId="3" shapeId="0" xr:uid="{556BDFD8-76AD-4330-B87B-A4468AEA714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D75" authorId="3" shapeId="0" xr:uid="{193F995F-13E4-4AC9-BA84-6655BBB05C6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E75" authorId="3" shapeId="0" xr:uid="{65463156-6FC3-4DF1-90A8-EB97E22E9DA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F75" authorId="3" shapeId="0" xr:uid="{1A2F9A3D-187E-48C0-994F-999EA0EA346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vagt.
Normal tjeneste 10.00 - 16.00</t>
        </r>
      </text>
    </comment>
    <comment ref="I75" authorId="3" shapeId="0" xr:uid="{1BD4E1CE-C389-4FD4-AEDC-8AF12BC67EE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17.30</t>
        </r>
      </text>
    </comment>
    <comment ref="J75" authorId="3" shapeId="0" xr:uid="{FB3AADE6-3BA4-4E7B-A5D2-2F5CAFE4CE2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17.30</t>
        </r>
      </text>
    </comment>
    <comment ref="K75" authorId="3" shapeId="0" xr:uid="{D4C54EC6-2F94-4671-BBCD-11A4D1CC634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17.30</t>
        </r>
      </text>
    </comment>
    <comment ref="L75" authorId="3" shapeId="0" xr:uid="{2F2EBFE2-5FC7-4162-9136-779744D302D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17.30</t>
        </r>
      </text>
    </comment>
    <comment ref="M75" authorId="3" shapeId="0" xr:uid="{9BFCB311-A6B0-47DF-9B15-07D552C5A1A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vagt.
Normal tjeneste 10.00 - 17.00</t>
        </r>
      </text>
    </comment>
    <comment ref="O75" authorId="10" shapeId="0" xr:uid="{FAECB78D-AB95-4FEC-ABA0-63C563C3FCB4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Covid 19 vagt 1000-2300</t>
      </text>
    </comment>
    <comment ref="P75" authorId="3" shapeId="0" xr:uid="{F01E022E-1D76-48BE-94A4-418659B7B48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17.30</t>
        </r>
      </text>
    </comment>
    <comment ref="Q75" authorId="3" shapeId="0" xr:uid="{E374ADD5-5153-4775-84B1-C9B3D9E483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17.30</t>
        </r>
      </text>
    </comment>
    <comment ref="R75" authorId="3" shapeId="0" xr:uid="{0CEC5C7F-B15C-46E9-9126-2C3F17082B0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17.30</t>
        </r>
      </text>
    </comment>
    <comment ref="S75" authorId="3" shapeId="0" xr:uid="{87E7BBDC-9992-4E06-B2DF-C5FA1818FED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17.30</t>
        </r>
      </text>
    </comment>
    <comment ref="T75" authorId="3" shapeId="0" xr:uid="{415C816A-EEC6-442E-8956-E58B2CFDF51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vagt.
Normal tjeneste 10.00 - 17.00</t>
        </r>
      </text>
    </comment>
    <comment ref="W75" authorId="3" shapeId="0" xr:uid="{EFD13A9D-E48E-4C5D-A876-A89E9272F57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X75" authorId="3" shapeId="0" xr:uid="{4EC5DAE9-AAEF-481D-BB90-450DCCF0066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Y75" authorId="3" shapeId="0" xr:uid="{846F140C-49E1-4C51-8000-FC701CC4A10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AD75" authorId="3" shapeId="0" xr:uid="{6A30B4DA-4FA8-4451-8F6B-BEFE1164077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AE75" authorId="3" shapeId="0" xr:uid="{3CABE1FE-7C43-4129-A1A2-44DF034F22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AF75" authorId="3" shapeId="0" xr:uid="{43EEFDA0-6F2B-4287-BDEB-3A2BE52C30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vagt
Alm tjeneste 10.00. 17.45</t>
        </r>
      </text>
    </comment>
    <comment ref="P100" authorId="9" shapeId="0" xr:uid="{87983DC1-7947-4E38-872F-1013DEEF3B54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Møder kl. 14.00 på rådhuset OA</t>
        </r>
      </text>
    </comment>
    <comment ref="S100" authorId="9" shapeId="0" xr:uid="{6050C649-D787-496A-90CC-14EAECA1FD18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O vagt fra kl. 14:00</t>
        </r>
      </text>
    </comment>
    <comment ref="X100" authorId="9" shapeId="0" xr:uid="{C787CB0B-B215-43B3-8AD3-EBAB20CFD791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O-vagt OA</t>
        </r>
      </text>
    </comment>
    <comment ref="AD100" authorId="0" shapeId="0" xr:uid="{4F620ED3-AF90-415D-9E87-AC2BC7E70681}">
      <text>
        <r>
          <rPr>
            <b/>
            <sz val="9"/>
            <color indexed="81"/>
            <rFont val="Tahoma"/>
            <family val="2"/>
          </rPr>
          <t>Køre Covid-19 10.00-17.30</t>
        </r>
      </text>
    </comment>
    <comment ref="AE100" authorId="0" shapeId="0" xr:uid="{6F03CBFB-1D1B-4E5B-8126-D633F5D2A7D9}">
      <text>
        <r>
          <rPr>
            <b/>
            <sz val="9"/>
            <color indexed="81"/>
            <rFont val="Tahoma"/>
            <family val="2"/>
          </rPr>
          <t>Køre Covid-19 10.00-17.30</t>
        </r>
      </text>
    </comment>
    <comment ref="AF100" authorId="0" shapeId="0" xr:uid="{C0AABC8C-5308-4F46-9ECF-431DA4A44253}">
      <text>
        <r>
          <rPr>
            <b/>
            <sz val="9"/>
            <color indexed="81"/>
            <rFont val="Tahoma"/>
            <family val="2"/>
          </rPr>
          <t>Køre Covid-19 10.00-17.30</t>
        </r>
      </text>
    </comment>
    <comment ref="I101" authorId="3" shapeId="0" xr:uid="{E92F678C-6BE2-4E6A-A2D5-94B42CD73E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Guldbergsgade 09.00-16,30</t>
        </r>
      </text>
    </comment>
    <comment ref="J101" authorId="3" shapeId="0" xr:uid="{A963861B-B38A-4D2B-A666-EEB052FB4C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Guldbergsgade 09.00-16,30</t>
        </r>
      </text>
    </comment>
    <comment ref="K101" authorId="3" shapeId="0" xr:uid="{4881A05A-0D82-434D-B305-3A3C745C95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Guldbergsgade 09.00-16,30</t>
        </r>
      </text>
    </comment>
    <comment ref="L101" authorId="3" shapeId="0" xr:uid="{A6A3F2AB-5865-4289-A357-9DE534BA48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Guldbergsgade 09.00-16,30</t>
        </r>
      </text>
    </comment>
    <comment ref="M101" authorId="3" shapeId="0" xr:uid="{D6BB6FE3-6C7E-434E-B8FC-C3C6B28D6A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Guldbergsgade 09.00-16,30</t>
        </r>
      </text>
    </comment>
    <comment ref="N101" authorId="3" shapeId="0" xr:uid="{5153CB81-E86E-4B21-B394-DF1E3DDC8A6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O101" authorId="3" shapeId="0" xr:uid="{2F1671A1-E5A6-4D56-AD67-6184858D9FA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P101" authorId="3" shapeId="0" xr:uid="{23323149-4310-4C39-8821-0A328C7926A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09.30-16.30</t>
        </r>
      </text>
    </comment>
    <comment ref="V101" authorId="3" shapeId="0" xr:uid="{64D7427F-918A-408A-BA23-7EAAA7F5D1A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09.30-16.30</t>
        </r>
      </text>
    </comment>
    <comment ref="W108" authorId="3" shapeId="0" xr:uid="{7244D024-9738-495F-94EE-6D108134097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X108" authorId="3" shapeId="0" xr:uid="{E943731D-4C8E-4D4F-A550-9536D0A6360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108" authorId="3" shapeId="0" xr:uid="{8BB0B56E-4F7D-48DA-B6C0-A84F8DE309C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I120" authorId="2" shapeId="0" xr:uid="{BA84657C-027F-4E34-AA8B-4FC5F6D45B3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kl.10:00-17:00</t>
        </r>
      </text>
    </comment>
    <comment ref="J120" authorId="2" shapeId="0" xr:uid="{ACD8FC5B-45F6-48C0-894B-C47E3ECC0EF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kl.10:00-17:00</t>
        </r>
      </text>
    </comment>
    <comment ref="K120" authorId="2" shapeId="0" xr:uid="{B0CFB667-4300-4EB5-979B-205672CE54C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kl.10:00-17:00</t>
        </r>
      </text>
    </comment>
    <comment ref="L120" authorId="2" shapeId="0" xr:uid="{1C9003B7-AADE-4601-9334-23A73EB1677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kl.10:00-17:00</t>
        </r>
      </text>
    </comment>
    <comment ref="M120" authorId="2" shapeId="0" xr:uid="{D9128290-86CF-4409-A87D-97BE6889066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kl.10:00-17:00</t>
        </r>
      </text>
    </comment>
    <comment ref="P120" authorId="2" shapeId="0" xr:uid="{FD5E529B-C03F-4EF1-BE67-77D21167E96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07:00-14:00</t>
        </r>
      </text>
    </comment>
    <comment ref="Q120" authorId="2" shapeId="0" xr:uid="{518111EC-25B9-47C6-A8FC-4636BCA3142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07:00-14:00</t>
        </r>
      </text>
    </comment>
    <comment ref="R120" authorId="2" shapeId="0" xr:uid="{C3603892-185D-4BF0-B7FC-0C82E7CA38C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07:00-14:00</t>
        </r>
      </text>
    </comment>
    <comment ref="S120" authorId="2" shapeId="0" xr:uid="{8B9D5914-E4DC-42C5-BD4B-255DCF639E3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07:00-14:00</t>
        </r>
      </text>
    </comment>
    <comment ref="T120" authorId="2" shapeId="0" xr:uid="{92D515D9-0439-4FF8-92BD-2AFEBA2458B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07:00-14:00</t>
        </r>
      </text>
    </comment>
    <comment ref="W120" authorId="2" shapeId="0" xr:uid="{622211B5-5C4E-4547-A470-6D4F4CE011D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08:30-16:00</t>
        </r>
      </text>
    </comment>
    <comment ref="X120" authorId="2" shapeId="0" xr:uid="{F19A809B-57AD-4E2D-9AF4-43EA1CD477D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08:30-16:00</t>
        </r>
      </text>
    </comment>
    <comment ref="Y120" authorId="2" shapeId="0" xr:uid="{7518DC09-1809-4EB2-8A7C-333893CCABA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08:30-16:00</t>
        </r>
      </text>
    </comment>
    <comment ref="AF120" authorId="2" shapeId="0" xr:uid="{660D427D-8EC2-467D-AFBB-C34873526D8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kl.7:00-14:00</t>
        </r>
      </text>
    </comment>
    <comment ref="I121" authorId="2" shapeId="0" xr:uid="{2D3E8C68-C725-490B-A17A-550A40B0E86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J121" authorId="2" shapeId="0" xr:uid="{4FB33066-A153-47AA-9E65-68F4709ADF4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M121" authorId="2" shapeId="0" xr:uid="{5C64D6BD-01EB-427B-91DB-D06C963A775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P121" authorId="2" shapeId="0" xr:uid="{153A165B-FF0D-45D3-82BD-2C5BDA29A5E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08:30-16:00</t>
        </r>
      </text>
    </comment>
    <comment ref="Q121" authorId="2" shapeId="0" xr:uid="{99E87703-F449-4BBA-8873-938B79FB105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08:30-16:00</t>
        </r>
      </text>
    </comment>
    <comment ref="R121" authorId="2" shapeId="0" xr:uid="{B7CF2373-FC6D-4338-9C89-E2AADA7E5B0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08:30-16:00</t>
        </r>
      </text>
    </comment>
    <comment ref="S121" authorId="2" shapeId="0" xr:uid="{7F7ADCBB-87F4-450D-8C08-77AD851F89E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08:30-16:00</t>
        </r>
      </text>
    </comment>
    <comment ref="T121" authorId="2" shapeId="0" xr:uid="{FD386B68-7173-49DD-8F00-AFABDC7FC6D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8:30-16:00 Rådhuset oa </t>
        </r>
      </text>
    </comment>
    <comment ref="W121" authorId="2" shapeId="0" xr:uid="{DEA7B363-27CB-4ECF-A41F-C33E86C05B2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X121" authorId="2" shapeId="0" xr:uid="{B3E07DB2-C484-4414-BFE2-C5C7A51BE22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Y121" authorId="2" shapeId="0" xr:uid="{243DA30D-7D3A-4B13-B183-267B7B02D55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I122" authorId="3" shapeId="0" xr:uid="{FCD9B06B-5437-4D6E-A099-353394BA777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8"/>
            <color indexed="81"/>
            <rFont val="Tahoma"/>
            <family val="2"/>
          </rPr>
          <t>Københavns Professionshøjskole – Humletorvet 3, (indgang fra Vesterfælledvej) 09.00-16.30</t>
        </r>
      </text>
    </comment>
    <comment ref="J122" authorId="3" shapeId="0" xr:uid="{5599D244-A5D3-4817-A867-FB053E68EE7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8"/>
            <color indexed="81"/>
            <rFont val="Tahoma"/>
            <family val="2"/>
          </rPr>
          <t>Københavns Professionshøjskole – Humletorvet 3, (indgang fra Vesterfælledvej) 09.00-16.30</t>
        </r>
      </text>
    </comment>
    <comment ref="K122" authorId="3" shapeId="0" xr:uid="{1BF47DBF-9D13-4397-BF47-29406142943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8"/>
            <color indexed="81"/>
            <rFont val="Tahoma"/>
            <family val="2"/>
          </rPr>
          <t>Københavns Professionshøjskole – Humletorvet 3, (indgang fra Vesterfælledvej) 09.00-16.30</t>
        </r>
      </text>
    </comment>
    <comment ref="L122" authorId="3" shapeId="0" xr:uid="{E9EDE2CA-820F-4834-8827-1A0FA4A7E8B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8"/>
            <color indexed="81"/>
            <rFont val="Tahoma"/>
            <family val="2"/>
          </rPr>
          <t>Københavns Professionshøjskole – Humletorvet 3, (indgang fra Vesterfælledvej) 09.00-16.30</t>
        </r>
      </text>
    </comment>
    <comment ref="M122" authorId="3" shapeId="0" xr:uid="{F03D61A2-867B-409D-9FED-51487E1BC71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8"/>
            <color indexed="81"/>
            <rFont val="Tahoma"/>
            <family val="2"/>
          </rPr>
          <t>Københavns Professionshøjskole – Humletorvet 3, (indgang fra Vesterfælledvej) 09.00-16.30</t>
        </r>
      </text>
    </comment>
    <comment ref="N122" authorId="3" shapeId="0" xr:uid="{088DE936-CB46-4C63-A480-AC006FFB6878}">
      <text>
        <r>
          <rPr>
            <b/>
            <sz val="9"/>
            <color indexed="81"/>
            <rFont val="Tahoma"/>
            <charset val="1"/>
          </rPr>
          <t xml:space="preserve">Steen Hertin:Nørrebrohallen </t>
        </r>
        <r>
          <rPr>
            <sz val="8"/>
            <color indexed="81"/>
            <rFont val="Tahoma"/>
            <family val="2"/>
          </rPr>
          <t>09.30-16.30</t>
        </r>
      </text>
    </comment>
    <comment ref="O122" authorId="3" shapeId="0" xr:uid="{58CCCFCD-640E-4D0F-B959-ECACCAE4D28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76</t>
        </r>
      </text>
    </comment>
    <comment ref="W122" authorId="2" shapeId="0" xr:uid="{21315962-2F47-4FB0-93C7-FF0D6EA328F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Corona kørsel 10.00-17.00</t>
        </r>
      </text>
    </comment>
    <comment ref="X122" authorId="2" shapeId="0" xr:uid="{21651D59-D89B-4924-BEAE-8EDFEE25C9B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10:00-17:00</t>
        </r>
      </text>
    </comment>
    <comment ref="Y122" authorId="2" shapeId="0" xr:uid="{804D087B-FB80-4C36-AC25-5651C69E31E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10:00-17:00</t>
        </r>
      </text>
    </comment>
    <comment ref="AD122" authorId="3" shapeId="0" xr:uid="{8E9958B2-9DD4-4EBC-B9DD-B513060A31C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07.00 -15.00</t>
        </r>
      </text>
    </comment>
    <comment ref="AE122" authorId="3" shapeId="0" xr:uid="{292ACA89-D1EA-44D7-8A4C-C146BFE14A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07.30-15.30</t>
        </r>
      </text>
    </comment>
    <comment ref="AF122" authorId="3" shapeId="0" xr:uid="{0D28CA0E-1D8C-4828-B7F7-0651DE992E7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07.30-15.30</t>
        </r>
      </text>
    </comment>
    <comment ref="I124" authorId="2" shapeId="0" xr:uid="{597BF13B-CF5B-4D6B-9521-1B59BE0B789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J124" authorId="2" shapeId="0" xr:uid="{D3313C27-8F76-4BFD-A789-FEC46AE5449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K124" authorId="2" shapeId="0" xr:uid="{B427BA5A-DFF8-418E-8272-66FA6341D90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L124" authorId="2" shapeId="0" xr:uid="{EE6D6997-2003-459B-B713-503C10E5151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M124" authorId="2" shapeId="0" xr:uid="{A53E2059-092F-4459-8E06-11211CF752E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08:00-15:30</t>
        </r>
      </text>
    </comment>
    <comment ref="P124" authorId="2" shapeId="0" xr:uid="{C1A63305-01E4-4D99-AEF4-4BB768CC2BA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kl.10:00-17:00</t>
        </r>
      </text>
    </comment>
    <comment ref="Q124" authorId="2" shapeId="0" xr:uid="{327137D3-479A-48FE-A814-96FC31A72AF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kl.10:00-17:00</t>
        </r>
      </text>
    </comment>
    <comment ref="R124" authorId="2" shapeId="0" xr:uid="{7BD1FD62-B140-44D1-BFCA-A707A1356F2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kl.10:00-17:00</t>
        </r>
      </text>
    </comment>
    <comment ref="S124" authorId="2" shapeId="0" xr:uid="{C0100D59-8B4D-474E-A280-32830629E7B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kl.10:00-17:00</t>
        </r>
      </text>
    </comment>
    <comment ref="T124" authorId="2" shapeId="0" xr:uid="{B7C0E9E1-984B-4624-A19C-902C22C7EE33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kl.10:00-17:00</t>
        </r>
      </text>
    </comment>
    <comment ref="W124" authorId="2" shapeId="0" xr:uid="{247B6126-C0E0-4BF4-B2CC-B0BB21C33D8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07:00-14:00</t>
        </r>
      </text>
    </comment>
    <comment ref="X124" authorId="2" shapeId="0" xr:uid="{FF2180FF-4B1C-48B7-B8B8-BC76059ABEB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07:00-14:00</t>
        </r>
      </text>
    </comment>
    <comment ref="Y124" authorId="2" shapeId="0" xr:uid="{11C59A57-DD00-4518-8759-8DB05A840B9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kl. 07:00-14:00</t>
        </r>
      </text>
    </comment>
    <comment ref="AE124" authorId="3" shapeId="0" xr:uid="{05252E85-2D4D-438D-8BF5-8C38F406AC1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08.00-15.30</t>
        </r>
      </text>
    </comment>
    <comment ref="AF124" authorId="3" shapeId="0" xr:uid="{3B5AFD4C-41EF-4D8D-8377-E1256967E02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08.00-15.30</t>
        </r>
      </text>
    </comment>
    <comment ref="R141" authorId="3" shapeId="0" xr:uid="{01DAFD36-56E6-4FFA-88C2-ED481A4179C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Udligning af timer optjent som buffer</t>
        </r>
      </text>
    </comment>
    <comment ref="S141" authorId="3" shapeId="0" xr:uid="{3BB541C4-7D12-4EFD-A43D-8C792121B15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Udligning af timer optjent som buffer</t>
        </r>
      </text>
    </comment>
    <comment ref="D153" authorId="11" shapeId="0" xr:uid="{7363769E-866E-4193-9299-6EEEFBFB362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E153" authorId="11" shapeId="0" xr:uid="{F7B335F6-8676-4242-96D7-829BB3DEE45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153" authorId="11" shapeId="0" xr:uid="{E686E93C-ABC0-41F0-B4D3-42824149876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J153" authorId="11" shapeId="0" xr:uid="{F29A9121-5726-41B6-926C-E6DDB299652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153" authorId="11" shapeId="0" xr:uid="{0A54C4C7-0107-461C-A07E-E958275DB60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L153" authorId="11" shapeId="0" xr:uid="{4DD6EF8B-EE59-4CFF-BDCD-51219A08815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P153" authorId="11" shapeId="0" xr:uid="{570AB7B6-FD1D-4233-ACFD-2E13CA911F3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Q153" authorId="11" shapeId="0" xr:uid="{0E402B79-E24C-4DB3-A93C-EB11B24A169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R153" authorId="11" shapeId="0" xr:uid="{A8F51909-CC7A-4261-B68A-BE707001C13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153" authorId="11" shapeId="0" xr:uid="{E199EA7E-1F68-441E-84E8-B02E19F1C73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P154" authorId="3" shapeId="0" xr:uid="{4C9AA41A-CCD7-4F23-A260-1C56D58E9AB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Krudttønden 09.30-16.30</t>
        </r>
      </text>
    </comment>
    <comment ref="Q154" authorId="3" shapeId="0" xr:uid="{170A0F51-41C4-4D50-99A9-355123EA579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Krudttønden 09.30-16.30</t>
        </r>
      </text>
    </comment>
    <comment ref="R154" authorId="3" shapeId="0" xr:uid="{06631230-2B31-46CC-A8CE-03860848F3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Krudttønden 09.30-16.30
skal testes for Covid-19 pga nær kontakt med smittede.</t>
        </r>
      </text>
    </comment>
    <comment ref="S154" authorId="3" shapeId="0" xr:uid="{F615A3E5-D7B8-4D47-9938-87371EBC5F3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Krudttønden 09.30-16.30
skal testes for Covid-19 pga nær kontakt med smittede.</t>
        </r>
      </text>
    </comment>
    <comment ref="T154" authorId="3" shapeId="0" xr:uid="{9BEFEFE3-9703-4648-8455-18DA002074C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Krudttønden 09.30-16.30
skal testes for Covid-19 pga nær kontakt med smittede.</t>
        </r>
      </text>
    </comment>
    <comment ref="W154" authorId="3" shapeId="0" xr:uid="{934C8F88-804F-44ED-A75F-6474A1685EB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huset 08.00
skal gå kl. 12.00</t>
        </r>
      </text>
    </comment>
    <comment ref="X154" authorId="3" shapeId="0" xr:uid="{5876D7E1-098C-4467-9398-40C590FE052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huset
08.00-15.30</t>
        </r>
      </text>
    </comment>
    <comment ref="Y154" authorId="3" shapeId="0" xr:uid="{05DA3AD3-67BB-4F9E-8F40-4C7AD92B891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P-vagt</t>
        </r>
      </text>
    </comment>
    <comment ref="AD154" authorId="3" shapeId="0" xr:uid="{2C01954E-0687-489A-A58B-0B89B1EE5161}">
      <text>
        <r>
          <rPr>
            <b/>
            <sz val="9"/>
            <color indexed="81"/>
            <rFont val="Tahoma"/>
            <charset val="1"/>
          </rPr>
          <t xml:space="preserve">Steen Hertin:
</t>
        </r>
      </text>
    </comment>
    <comment ref="AE154" authorId="3" shapeId="0" xr:uid="{FAE694BF-12FE-424A-9044-7662E0C082C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F154" authorId="3" shapeId="0" xr:uid="{0384189E-DCA0-4F00-B69C-FD316A9CAC2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N180" authorId="3" shapeId="0" xr:uid="{8125D035-3280-42D4-AEF1-E7CBF2B7F3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09.30-16.30</t>
        </r>
      </text>
    </comment>
    <comment ref="U180" authorId="3" shapeId="0" xr:uid="{E6C43FEE-3F24-4E09-ADD7-CD103A2B00D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09.30-16.30</t>
        </r>
      </text>
    </comment>
    <comment ref="AD180" authorId="3" shapeId="0" xr:uid="{1E407146-28CE-462E-93C8-4995A34EF2D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Dækker Griffen</t>
        </r>
      </text>
    </comment>
    <comment ref="AE180" authorId="3" shapeId="0" xr:uid="{4FAF30B2-1D90-464F-A675-E347A7BEEF8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Dækker Griffen</t>
        </r>
      </text>
    </comment>
    <comment ref="AF180" authorId="3" shapeId="0" xr:uid="{FCEE7A97-A76A-4F44-82F3-6209CAB0EF6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Dækker Griffen</t>
        </r>
      </text>
    </comment>
    <comment ref="N181" authorId="3" shapeId="0" xr:uid="{4DF125EF-EF70-470A-A39F-C4EB1B1083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09.30-16.30</t>
        </r>
      </text>
    </comment>
    <comment ref="U181" authorId="3" shapeId="0" xr:uid="{CEF67D7C-566B-45C3-9CAC-F2B39CE0539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09.30-16.30</t>
        </r>
      </text>
    </comment>
    <comment ref="AD181" authorId="3" shapeId="0" xr:uid="{50E317A9-BC48-4404-BA73-DF69F31BB30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Dækker Griffen</t>
        </r>
      </text>
    </comment>
    <comment ref="AE181" authorId="3" shapeId="0" xr:uid="{D37548A8-F6DA-467A-B7A6-3CCE6A3E6A0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Dækker Griffen</t>
        </r>
      </text>
    </comment>
    <comment ref="AF181" authorId="3" shapeId="0" xr:uid="{89958698-9A66-4292-A2AA-E411EC33244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Dækker Griffen</t>
        </r>
      </text>
    </comment>
    <comment ref="G182" authorId="4" shapeId="0" xr:uid="{6528014B-0F89-4CBA-B174-7F6FECA564CE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Guldbergsgade
09.30-16.30</t>
        </r>
      </text>
    </comment>
    <comment ref="H182" authorId="4" shapeId="0" xr:uid="{7BAAB3A1-EFBF-457E-874F-F2557FD8B4B2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Guldbergsgade
09.30-16.30</t>
        </r>
      </text>
    </comment>
    <comment ref="N182" authorId="3" shapeId="0" xr:uid="{78824427-F8A7-42E7-A244-05F9DFAA2B3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09.30-16.30</t>
        </r>
      </text>
    </comment>
    <comment ref="O182" authorId="3" shapeId="0" xr:uid="{3DEDCEFB-CC86-4FD4-88BD-68AFA1C9D9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09.30-16.30</t>
        </r>
      </text>
    </comment>
    <comment ref="Y182" authorId="3" shapeId="0" xr:uid="{691ED13B-9A61-4565-B7E5-230487E5DA4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Intern flex</t>
        </r>
      </text>
    </comment>
    <comment ref="AD182" authorId="3" shapeId="0" xr:uid="{D565EBBA-856C-4526-BA0E-4A141214A39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Dækker Griffen</t>
        </r>
      </text>
    </comment>
    <comment ref="AE182" authorId="3" shapeId="0" xr:uid="{E0DB8D5E-7863-4BE4-96D9-33C8A9CC130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Dækker Griffen</t>
        </r>
      </text>
    </comment>
    <comment ref="AF182" authorId="3" shapeId="0" xr:uid="{736ADE0A-D338-48FC-94DB-F1B67AAD824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Dækker Griffen</t>
        </r>
      </text>
    </comment>
    <comment ref="H183" authorId="4" shapeId="0" xr:uid="{B2CCEB35-9B95-495C-B93A-603259B8E942}">
      <text>
        <r>
          <rPr>
            <b/>
            <sz val="9"/>
            <color indexed="81"/>
            <rFont val="Tahoma"/>
            <charset val="1"/>
          </rPr>
          <t>Thomas Holm:</t>
        </r>
        <r>
          <rPr>
            <sz val="9"/>
            <color indexed="81"/>
            <rFont val="Tahoma"/>
            <charset val="1"/>
          </rPr>
          <t xml:space="preserve">
Birkedommervej
09.30-16.30</t>
        </r>
      </text>
    </comment>
    <comment ref="AD185" authorId="2" shapeId="0" xr:uid="{127A7271-A36F-4CA2-9A86-A10C9D58C4E6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lukket mellem jul og nytår</t>
        </r>
      </text>
    </comment>
    <comment ref="AE185" authorId="2" shapeId="0" xr:uid="{33464EFB-7F6B-4EB6-A977-1C6BFA0FD5F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lukket mellem jul og nytår</t>
        </r>
      </text>
    </comment>
    <comment ref="AF185" authorId="2" shapeId="0" xr:uid="{7C5B772A-CF43-4DD2-93A1-979CA5FD9E74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lukket mellem jul og nytår</t>
        </r>
      </text>
    </comment>
    <comment ref="R187" authorId="3" shapeId="0" xr:uid="{DED3ABAD-4A4B-4A88-BCAA-E5F3234AC8C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PGA Covid-19</t>
        </r>
      </text>
    </comment>
    <comment ref="AD187" authorId="3" shapeId="0" xr:uid="{A81D8DEF-FEE1-4DB0-AF28-6CD5D4144C5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Passer Matthæusgade</t>
        </r>
      </text>
    </comment>
    <comment ref="AE187" authorId="3" shapeId="0" xr:uid="{318562AA-7244-4E32-84E3-7B868A8DF9E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Passer Matthæusgade</t>
        </r>
      </text>
    </comment>
    <comment ref="AF187" authorId="3" shapeId="0" xr:uid="{71C598C8-0B76-487B-B903-AA226412226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Passer Matthæusgade</t>
        </r>
      </text>
    </comment>
    <comment ref="AD188" authorId="3" shapeId="0" xr:uid="{1C624CBC-1A44-401C-9EC4-46B3B60A3AC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Passer Matthæusgade</t>
        </r>
      </text>
    </comment>
    <comment ref="AE188" authorId="3" shapeId="0" xr:uid="{7A511646-62AD-431E-AD85-4026F213901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Passer Matthæusgade</t>
        </r>
      </text>
    </comment>
    <comment ref="AF188" authorId="3" shapeId="0" xr:uid="{560769ED-2A92-4725-BE15-ED9B69F1808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Passer Matthæusgade</t>
        </r>
      </text>
    </comment>
    <comment ref="T189" authorId="9" shapeId="0" xr:uid="{FCAD8F58-DA12-4CC9-B460-D20BBAAA0AB1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Til lægen</t>
        </r>
      </text>
    </comment>
    <comment ref="S190" authorId="9" shapeId="0" xr:uid="{95CDD306-1A60-43D5-8258-40C2DB2C7712}">
      <text>
        <r>
          <rPr>
            <b/>
            <sz val="9"/>
            <color indexed="81"/>
            <rFont val="Tahoma"/>
            <charset val="1"/>
          </rPr>
          <t>Mathias Hartvig Morell Nielsen:</t>
        </r>
        <r>
          <rPr>
            <sz val="9"/>
            <color indexed="81"/>
            <rFont val="Tahoma"/>
            <charset val="1"/>
          </rPr>
          <t xml:space="preserve">
Gået syg hjem</t>
        </r>
      </text>
    </comment>
    <comment ref="E192" authorId="3" shapeId="0" xr:uid="{A2F63A72-65AB-4314-A7F0-03635E96918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Kursus internt</t>
        </r>
      </text>
    </comment>
    <comment ref="T193" authorId="3" shapeId="0" xr:uid="{F1C599C4-564F-487D-8257-63C8D4DF3D0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som Covid-19 køre. Kl. 15.00-23.00 oa</t>
        </r>
      </text>
    </comment>
    <comment ref="AD193" authorId="2" shapeId="0" xr:uid="{06C31964-4718-4B13-A6B2-D56E1C4101A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lukket mellem jul og nytår</t>
        </r>
      </text>
    </comment>
    <comment ref="AE193" authorId="2" shapeId="0" xr:uid="{8AB7A892-3217-4B09-B61A-AF087A65CAE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lukket mellem jul og nytår</t>
        </r>
      </text>
    </comment>
    <comment ref="AF193" authorId="2" shapeId="0" xr:uid="{8C947D87-9B92-4332-A3B4-7121A2308DA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lukket mellem jul og nytår</t>
        </r>
      </text>
    </comment>
    <comment ref="N214" authorId="3" shapeId="0" xr:uid="{23DB8CC0-AC1F-4D25-885F-1E73D2A5AB7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09.00-16.30</t>
        </r>
      </text>
    </comment>
    <comment ref="O214" authorId="3" shapeId="0" xr:uid="{277FDCB6-68D1-417C-9034-87F2CDFBD4B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Brønshøj skole 09.00-16.30</t>
        </r>
      </text>
    </comment>
    <comment ref="I215" authorId="3" shapeId="0" xr:uid="{7F8990EF-659B-48EE-A791-9BFC64FFCEF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testcenter</t>
        </r>
      </text>
    </comment>
    <comment ref="J215" authorId="3" shapeId="0" xr:uid="{65B4D606-95F8-4046-A59D-4221814D09B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testcenter</t>
        </r>
      </text>
    </comment>
    <comment ref="K215" authorId="3" shapeId="0" xr:uid="{98CDE776-00D7-4872-8751-22161BB8D10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testcenter</t>
        </r>
      </text>
    </comment>
    <comment ref="L215" authorId="3" shapeId="0" xr:uid="{53EBC870-5622-49E2-8218-14D6607BB3C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testcenter</t>
        </r>
      </text>
    </comment>
    <comment ref="M215" authorId="3" shapeId="0" xr:uid="{74D9FFF9-8B44-405A-8F6A-B68E4BA7733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Njaldsgade testcenter</t>
        </r>
      </text>
    </comment>
    <comment ref="P215" authorId="3" shapeId="0" xr:uid="{DFE8AF78-84B8-44A5-85B5-655ED2A60E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Q215" authorId="3" shapeId="0" xr:uid="{649172F3-0336-4A93-858A-7D62680123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R215" authorId="3" shapeId="0" xr:uid="{BC2CA7C1-9717-4113-A5F9-1F3BA8C33A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S215" authorId="3" shapeId="0" xr:uid="{0ABCAE59-5069-4F93-A958-EF0746C2FC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T215" authorId="3" shapeId="0" xr:uid="{DEB8AE49-AC53-400A-99D7-A4808B03BB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I217" authorId="3" shapeId="0" xr:uid="{FB4BFCCC-F5CD-45C6-BF57-D3C469FD59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J217" authorId="3" shapeId="0" xr:uid="{CF155967-1C26-4B3A-802C-58754F35FE5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Njaldsgade kl. 09.00-16.30</t>
        </r>
      </text>
    </comment>
    <comment ref="AF273" authorId="1" shapeId="0" xr:uid="{A43E62FA-6A96-4893-803E-C5270C493A7C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- 2 i afs </t>
        </r>
      </text>
    </comment>
    <comment ref="J292" authorId="1" shapeId="0" xr:uid="{2663172F-A711-40E1-97DE-ED2F581097FA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- 1,5 time afs</t>
        </r>
      </text>
    </comment>
    <comment ref="T293" authorId="1" shapeId="0" xr:uid="{257EF0A5-8187-4EA7-9CAA-B21211411BC7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- 2 timer i afs.</t>
        </r>
      </text>
    </comment>
    <comment ref="Y297" authorId="1" shapeId="0" xr:uid="{E239604A-0914-4D01-BA00-0B983A0FB9F7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- 4 timer  FF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Rasmus Sørensen</author>
    <author>Steen Hertin</author>
    <author>tc={5311C766-E7DD-4766-B294-DD0298E1F675}</author>
    <author>tc={08E25B75-DBE8-4A8A-99E2-F66310379B61}</author>
    <author>marasm</author>
  </authors>
  <commentList>
    <comment ref="I12" authorId="0" shapeId="0" xr:uid="{1BCB9DAD-4B66-4DDD-BB0A-845F016379B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i retten 10.30</t>
        </r>
      </text>
    </comment>
    <comment ref="F14" authorId="1" shapeId="0" xr:uid="{2404E511-6508-49CB-9AFF-9ED026080D3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G14" authorId="1" shapeId="0" xr:uid="{D1D3BE40-D927-4ECE-AC55-F59317507CE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G21" authorId="0" shapeId="0" xr:uid="{5A881B85-0DC4-4DA0-A4EF-8E235280AC8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2-vagt oa</t>
        </r>
      </text>
    </comment>
    <comment ref="Y21" authorId="1" shapeId="0" xr:uid="{A81C1E7B-A21C-423B-8C58-E2E48A3B68F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Z21" authorId="1" shapeId="0" xr:uid="{52ADCFE9-7909-48B4-AA5F-3F0CA089CAA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M22" authorId="1" shapeId="0" xr:uid="{CB67DAA4-E213-4E2D-AEBF-90089C4B5FA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 på OA.</t>
        </r>
      </text>
    </comment>
    <comment ref="W24" authorId="1" shapeId="0" xr:uid="{47284399-AF12-4350-A7EC-242340566C7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hospital</t>
        </r>
      </text>
    </comment>
    <comment ref="T37" authorId="1" shapeId="0" xr:uid="{B38DBF76-392C-48AD-9C8A-CD7567DAE5F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RH.09.30-17.30</t>
        </r>
      </text>
    </comment>
    <comment ref="U37" authorId="1" shapeId="0" xr:uid="{D924F0EA-8768-458C-9DDA-CB23523C5E9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RH.09.30-17.30</t>
        </r>
      </text>
    </comment>
    <comment ref="V37" authorId="1" shapeId="0" xr:uid="{4322EC33-D4B0-40A4-B364-C2A2A72A998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RH.09.30-17.30</t>
        </r>
      </text>
    </comment>
    <comment ref="W37" authorId="1" shapeId="0" xr:uid="{19204092-813B-467C-AD35-D4911060ECF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RH.09.30-17.30</t>
        </r>
      </text>
    </comment>
    <comment ref="X37" authorId="1" shapeId="0" xr:uid="{75E2AF47-A5DB-4C4A-9975-D1F4978B1CD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RH.09.30-17.30</t>
        </r>
      </text>
    </comment>
    <comment ref="AA37" authorId="1" shapeId="0" xr:uid="{6AA95A3E-404D-48B3-9D03-9FB165ADA6C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AB37" authorId="1" shapeId="0" xr:uid="{22EDC402-B3B5-4FCC-B306-6549B13AF26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C37" authorId="1" shapeId="0" xr:uid="{B35EF313-81F8-444C-B127-4982DB20037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37" authorId="1" shapeId="0" xr:uid="{BF39BFAD-D2BB-4AAF-9619-0D409AE0448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E37" authorId="1" shapeId="0" xr:uid="{16A84383-21AB-428E-8551-0E0576FC568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N38" authorId="1" shapeId="0" xr:uid="{1A3A53C7-483B-4C67-BDD1-D177B057ED8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kl. 17.00</t>
        </r>
      </text>
    </comment>
    <comment ref="AA38" authorId="1" shapeId="0" xr:uid="{04CFDFC2-EC72-4DC7-8EAE-0D3D5F4096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på hospital</t>
        </r>
      </text>
    </comment>
    <comment ref="AB38" authorId="1" shapeId="0" xr:uid="{8BE73EC3-A135-4920-9760-05805F1F155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AC38" authorId="1" shapeId="0" xr:uid="{C9CE3C7A-6618-4DCF-9E7B-A1E59B0611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AD38" authorId="1" shapeId="0" xr:uid="{36A15C69-C29D-4753-8D0F-15BBBF53B31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AE38" authorId="1" shapeId="0" xr:uid="{8C8BFA1A-E4DA-40E7-82D2-772380B6F4D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H41" authorId="0" shapeId="0" xr:uid="{CF9E834D-A281-4589-9504-4982DABF2A6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VH aften</t>
        </r>
      </text>
    </comment>
    <comment ref="I41" authorId="0" shapeId="0" xr:uid="{847984B0-F790-4E08-8685-54CDCEE512A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VH aften</t>
        </r>
      </text>
    </comment>
    <comment ref="J41" authorId="0" shapeId="0" xr:uid="{4EDCB64B-A884-4F8A-ACAE-39F8C9EE05E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VH aften</t>
        </r>
      </text>
    </comment>
    <comment ref="F43" authorId="1" shapeId="0" xr:uid="{5EC8A4D4-038D-4155-9FA2-31E3722E86D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G43" authorId="1" shapeId="0" xr:uid="{E1C3D95E-7549-4E5E-9424-24CF823F04B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H43" authorId="1" shapeId="0" xr:uid="{7EB9EBA1-92C5-46D2-8F51-45EEFCB710C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I43" authorId="1" shapeId="0" xr:uid="{8B05BFA9-A9D7-43B9-A7DE-BA628567C99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J43" authorId="1" shapeId="0" xr:uid="{BB4B0FAF-0650-44A5-8DC3-A80E395B066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M43" authorId="1" shapeId="0" xr:uid="{6B13D118-60B8-408E-ABF1-78175DB9641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Gl. Vasbygade 49</t>
        </r>
      </text>
    </comment>
    <comment ref="N43" authorId="1" shapeId="0" xr:uid="{B9ABA3ED-9279-4453-BFA3-4184A2E2A33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Gl. Vasbygade 49</t>
        </r>
      </text>
    </comment>
    <comment ref="O43" authorId="1" shapeId="0" xr:uid="{3687E951-168D-4B06-8E36-2C408D4ED7D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Gl. Vasbygade 49</t>
        </r>
      </text>
    </comment>
    <comment ref="P43" authorId="1" shapeId="0" xr:uid="{EB2B02FF-5A64-4227-9DFB-57D83493010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Q43" authorId="1" shapeId="0" xr:uid="{69A40E66-6FDF-4BB9-A869-DD3C432D829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M46" authorId="1" shapeId="0" xr:uid="{1211B153-C835-4151-BD83-FCA7DBDEDE4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N46" authorId="1" shapeId="0" xr:uid="{CA87E418-E2BB-4064-A3E9-FF46E6EC621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O46" authorId="1" shapeId="0" xr:uid="{F09F6BD0-40CF-44A6-A002-3D8D1A9971C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P46" authorId="1" shapeId="0" xr:uid="{F28331BC-C7AF-440D-A1D0-1C9F09A973E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Q46" authorId="1" shapeId="0" xr:uid="{59CBACC7-961B-49BE-954A-326CE32B5A2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T46" authorId="1" shapeId="0" xr:uid="{3DCBACE1-B355-4289-93D9-53061DDCF95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11.00 - 18.00</t>
        </r>
      </text>
    </comment>
    <comment ref="U46" authorId="1" shapeId="0" xr:uid="{AD1505CF-8DE6-4052-A738-19413653789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V46" authorId="1" shapeId="0" xr:uid="{82FA0240-8992-43A8-B404-7913A990F72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W46" authorId="1" shapeId="0" xr:uid="{E2EE027C-7073-4703-B6E8-02733D366D7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X46" authorId="1" shapeId="0" xr:uid="{1313C327-FAA9-47F4-805A-D3337D43F0E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AA46" authorId="1" shapeId="0" xr:uid="{421C8C8B-E777-41F4-B892-5FCAB59E7D7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</t>
        </r>
      </text>
    </comment>
    <comment ref="AB46" authorId="1" shapeId="0" xr:uid="{AA7E2738-F2F2-47D2-BE79-899498FF45C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</t>
        </r>
      </text>
    </comment>
    <comment ref="AC46" authorId="1" shapeId="0" xr:uid="{8B8448DD-59B9-4EBE-89C3-938F5C5FCCA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</t>
        </r>
      </text>
    </comment>
    <comment ref="AD46" authorId="1" shapeId="0" xr:uid="{A63A3941-83FC-4318-86AD-D408B237DC0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</t>
        </r>
      </text>
    </comment>
    <comment ref="AE46" authorId="1" shapeId="0" xr:uid="{74CFD76E-9781-4377-80A1-387CEC3DC31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</t>
        </r>
      </text>
    </comment>
    <comment ref="AA51" authorId="1" shapeId="0" xr:uid="{FD592A0C-D5EA-4E2D-82D5-B486CEC9520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B51" authorId="1" shapeId="0" xr:uid="{FD3E5DE3-E219-47B7-96F7-87902D85207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C51" authorId="1" shapeId="0" xr:uid="{8A442629-2119-48B5-B819-39AA40D86F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51" authorId="1" shapeId="0" xr:uid="{545B20F2-44E3-4D8A-B67B-FFE8C41C75A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E51" authorId="1" shapeId="0" xr:uid="{C8396E08-F396-4AE2-B58A-3F8C443601C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F61" authorId="0" shapeId="0" xr:uid="{ECFC7573-A5B9-439E-943C-03FA7759CB2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Covid 19 kørsel kl. 10:00-17:30 </t>
        </r>
      </text>
    </comment>
    <comment ref="G61" authorId="0" shapeId="0" xr:uid="{74797385-13E8-4BDF-9E95-13288E4AF8B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Covid 19 kørsel kl. 10:00-17:30 </t>
        </r>
      </text>
    </comment>
    <comment ref="H61" authorId="0" shapeId="0" xr:uid="{39FD435A-858A-4075-8B89-DBA886759E6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Covid 19 kørsel kl. 10:00-17:30 </t>
        </r>
      </text>
    </comment>
    <comment ref="I61" authorId="0" shapeId="0" xr:uid="{28ACC178-0977-4F0C-9A1E-599F8C6E3F17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Covid 19 kørsel kl. 10:00-17:30 </t>
        </r>
      </text>
    </comment>
    <comment ref="J61" authorId="0" shapeId="0" xr:uid="{F8446CAB-F062-4E67-8DA5-7B22C952290D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Covid 19 kørsel kl. 10:00-17:30 K2 på oa fra 17.30</t>
        </r>
      </text>
    </comment>
    <comment ref="M61" authorId="1" shapeId="0" xr:uid="{8EC20EB5-3A6F-4427-BBAD-28EC096B41A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N61" authorId="1" shapeId="0" xr:uid="{56B0C372-279D-4505-A67B-21D32A57061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O61" authorId="1" shapeId="0" xr:uid="{D2B5CDE8-9F88-45A2-8F89-609F565CDEF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P61" authorId="1" shapeId="0" xr:uid="{B22EF629-855D-40BB-9AF0-AC2C2828A62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Q61" authorId="1" shapeId="0" xr:uid="{2AC331EC-B33D-4CF2-A46D-7F5B7CF2EF9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F63" authorId="0" shapeId="0" xr:uid="{98FBC87C-3F19-4E3D-BE30-3EB472B92C3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covid-19 kørsel kl. 15:00-23:00</t>
        </r>
      </text>
    </comment>
    <comment ref="G63" authorId="0" shapeId="0" xr:uid="{108BD20A-9649-421F-A258-7F78F2F9C3D9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covid-19 kørsel kl. 15:00-23:00</t>
        </r>
      </text>
    </comment>
    <comment ref="H63" authorId="0" shapeId="0" xr:uid="{0F0F2521-641E-44C6-AF84-F76928FF2DE5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covid-19 kørsel kl. 15:00-23:00</t>
        </r>
      </text>
    </comment>
    <comment ref="I63" authorId="0" shapeId="0" xr:uid="{356676B1-E703-4EFB-A54E-71DCBF7C8962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covid-19 kørsel kl. 15:00-23:00</t>
        </r>
      </text>
    </comment>
    <comment ref="J63" authorId="0" shapeId="0" xr:uid="{58C20E26-F131-40C3-B32B-618C1C78D47B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covid-19 kørsel kl. 15:00-23:00</t>
        </r>
      </text>
    </comment>
    <comment ref="M63" authorId="1" shapeId="0" xr:uid="{D3DF1A71-496A-492B-A07D-90031C96D5D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Mødrer på RH 09.30-17.30</t>
        </r>
      </text>
    </comment>
    <comment ref="N63" authorId="1" shapeId="0" xr:uid="{9083DFAA-F262-4AD5-B53A-B81426580A7E}">
      <text>
        <r>
          <rPr>
            <b/>
            <sz val="9"/>
            <color indexed="81"/>
            <rFont val="Tahoma"/>
            <charset val="1"/>
          </rPr>
          <t>Steen Hertin:
Svanevej 12 13.00</t>
        </r>
      </text>
    </comment>
    <comment ref="P63" authorId="1" shapeId="0" xr:uid="{C5DE0A9C-4CF4-4AC5-94BD-C75B90D5839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Mødrer på RH 09.30-17.30</t>
        </r>
      </text>
    </comment>
    <comment ref="Q63" authorId="1" shapeId="0" xr:uid="{E58EB7AB-2C7F-4E81-A560-E9A3CFD0E2A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Mødrer på RH 09.30-17.30</t>
        </r>
      </text>
    </comment>
    <comment ref="V63" authorId="1" shapeId="0" xr:uid="{AC23D45A-7D03-448F-96A5-48DF0C0C1F1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AA63" authorId="1" shapeId="0" xr:uid="{518081E7-67FA-4FCB-A5A1-067F896722A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AB63" authorId="1" shapeId="0" xr:uid="{650FFA50-F5B6-42B7-91FE-030C03593B4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AC63" authorId="1" shapeId="0" xr:uid="{DD909301-D9C0-4E17-B46B-FB9B742A18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AD63" authorId="1" shapeId="0" xr:uid="{537412D0-4120-41F6-AC62-3F96DC491B1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AE63" authorId="1" shapeId="0" xr:uid="{D4EF4CA1-DF5F-4269-BE93-7C16B604DEC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E64" authorId="2" shapeId="0" xr:uid="{5311C766-E7DD-4766-B294-DD0298E1F67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KA på OA</t>
      </text>
    </comment>
    <comment ref="T64" authorId="1" shapeId="0" xr:uid="{80F3AD67-27FE-43E7-B3DF-6FADB5A34A5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11.00 - 18.00</t>
        </r>
      </text>
    </comment>
    <comment ref="U64" authorId="1" shapeId="0" xr:uid="{31290519-26E2-4680-A1B7-840189B3B46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V64" authorId="1" shapeId="0" xr:uid="{AEDD9127-CDB7-4155-85AE-F4E0820622D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W64" authorId="1" shapeId="0" xr:uid="{930C41E2-A2F5-404B-91DB-13B74329381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X64" authorId="1" shapeId="0" xr:uid="{76C51220-D6FC-4611-A781-B15CA6D5CC0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M65" authorId="1" shapeId="0" xr:uid="{D9966185-DE9D-4B11-8CF1-95DE604F8E0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N65" authorId="1" shapeId="0" xr:uid="{F3613BB2-B6C1-4251-926A-E860DFCCBF6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O65" authorId="1" shapeId="0" xr:uid="{CD9FF09E-9187-4FF9-BB19-494CED661C7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P65" authorId="1" shapeId="0" xr:uid="{196E121C-0320-4CB2-A349-80693E5AF70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10.00-17.00</t>
        </r>
      </text>
    </comment>
    <comment ref="Q65" authorId="1" shapeId="0" xr:uid="{32D6892E-AC8D-4632-8E61-6FE2F3A2A86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10.00-16.00</t>
        </r>
      </text>
    </comment>
    <comment ref="F66" authorId="1" shapeId="0" xr:uid="{B34B2281-C8FA-4DE7-9B06-856A33BA8F5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G66" authorId="1" shapeId="0" xr:uid="{F4162A31-E38B-4AA3-8EAF-F5B65B632ED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T69" authorId="1" shapeId="0" xr:uid="{A275365B-D450-4FA3-81F0-CA6ED663B0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U69" authorId="1" shapeId="0" xr:uid="{CEB7C80D-3C9E-4D9C-92D2-A2F5CACB22E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V69" authorId="1" shapeId="0" xr:uid="{A181D92C-47F5-45E0-8C51-2632E58B8EF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W69" authorId="1" shapeId="0" xr:uid="{140E48E9-5AB7-4915-B3FA-7AF00EC02B1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X69" authorId="1" shapeId="0" xr:uid="{819D62EF-780F-455B-9872-FB61CAC93A8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AA69" authorId="1" shapeId="0" xr:uid="{0A845F1A-5D17-4C66-BB58-7908AD32AE6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</t>
        </r>
      </text>
    </comment>
    <comment ref="AB69" authorId="1" shapeId="0" xr:uid="{816761E2-3601-4184-8DCC-D0F06EE0782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</t>
        </r>
      </text>
    </comment>
    <comment ref="AC69" authorId="1" shapeId="0" xr:uid="{D9A2AB5D-997B-4CC9-9E7C-9A83621ABC2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</t>
        </r>
      </text>
    </comment>
    <comment ref="AD69" authorId="1" shapeId="0" xr:uid="{B49560B5-451C-4901-81C4-A5B4D719221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</t>
        </r>
      </text>
    </comment>
    <comment ref="AE69" authorId="1" shapeId="0" xr:uid="{5F5524A1-C029-407D-80F2-453BDC8747A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</t>
        </r>
      </text>
    </comment>
    <comment ref="H70" authorId="1" shapeId="0" xr:uid="{CC52C224-81CD-48BC-A381-1F6EE272B63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Hospital</t>
        </r>
      </text>
    </comment>
    <comment ref="T70" authorId="1" shapeId="0" xr:uid="{71ACB374-7D9B-47F2-8ACE-8BDF4337312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</t>
        </r>
      </text>
    </comment>
    <comment ref="D71" authorId="3" shapeId="0" xr:uid="{08E25B75-DBE8-4A8A-99E2-F66310379B6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KA på OA</t>
      </text>
    </comment>
    <comment ref="M72" authorId="1" shapeId="0" xr:uid="{7E85F362-DB6E-4755-9AD9-4F8C947D51B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N72" authorId="1" shapeId="0" xr:uid="{FF380E4B-8E1D-4EC5-952D-A80CA5ED30D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O72" authorId="1" shapeId="0" xr:uid="{EFC444A2-0016-4FD3-8D83-E83F7D07ECD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P72" authorId="1" shapeId="0" xr:uid="{3386D2A9-9BE9-4516-939D-FD9944D4F94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Q72" authorId="1" shapeId="0" xr:uid="{8E6DF5F3-14B4-49FD-A2AF-16B8A5C022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N73" authorId="1" shapeId="0" xr:uid="{F9066B75-A152-4D00-84E3-07ECEBEF4BE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Svanevej 12 kl. 13.00-16.00</t>
        </r>
      </text>
    </comment>
    <comment ref="O73" authorId="1" shapeId="0" xr:uid="{221BB002-416B-43F0-852C-DDD4F5C2B22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Mødrer på RH 09.30-17.30</t>
        </r>
      </text>
    </comment>
    <comment ref="P73" authorId="1" shapeId="0" xr:uid="{F4BF5A57-BC5C-44D4-925B-53651FD6B6F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Q73" authorId="1" shapeId="0" xr:uid="{EAC43D8E-5858-4B5A-9130-7ACD20B684A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T74" authorId="1" shapeId="0" xr:uid="{46EF9620-A773-4249-AF15-B84A207510A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U74" authorId="1" shapeId="0" xr:uid="{3C7059BA-E51F-4B67-B734-70D93FBE348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V74" authorId="1" shapeId="0" xr:uid="{B7D58069-F184-41EA-9067-60E4F371A35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W74" authorId="1" shapeId="0" xr:uid="{F2936269-6B54-463D-8CB3-E6ECF764599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10.00-17.00</t>
        </r>
      </text>
    </comment>
    <comment ref="X74" authorId="1" shapeId="0" xr:uid="{DFFEC5FB-3A12-449E-96BD-1A7707F1E15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10.00-16.00</t>
        </r>
      </text>
    </comment>
    <comment ref="AA74" authorId="1" shapeId="0" xr:uid="{A83F5A33-4724-4161-BCEA-0C3BF483E7C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AB74" authorId="1" shapeId="0" xr:uid="{4143CEEF-2949-4BD6-8100-A9FB066EC41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AC74" authorId="1" shapeId="0" xr:uid="{2BFE446D-90CC-4028-AD7F-1428254A5AD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AD74" authorId="1" shapeId="0" xr:uid="{5BD1C686-AD57-4A09-ACCD-EBCC2FEDEAE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10.00-17.00</t>
        </r>
      </text>
    </comment>
    <comment ref="AE74" authorId="1" shapeId="0" xr:uid="{B54A4362-75A4-4879-8594-4BA53C78623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10.00-16.00</t>
        </r>
      </text>
    </comment>
    <comment ref="T88" authorId="1" shapeId="0" xr:uid="{7B23C2ED-347E-43B0-81C6-1B47B465A36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RH.09.30-17.30</t>
        </r>
      </text>
    </comment>
    <comment ref="U88" authorId="1" shapeId="0" xr:uid="{470B4365-4ED0-40A2-8194-654564CD6FA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RH.09.30-17.30</t>
        </r>
      </text>
    </comment>
    <comment ref="V88" authorId="1" shapeId="0" xr:uid="{187C73A8-B0CE-47C9-8EF7-CE46CAB7ED7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RH.09.30-17.30</t>
        </r>
      </text>
    </comment>
    <comment ref="W88" authorId="1" shapeId="0" xr:uid="{B346211F-4BB8-43B2-BF40-C842F506BB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RH.09.30-17.30</t>
        </r>
      </text>
    </comment>
    <comment ref="X88" authorId="1" shapeId="0" xr:uid="{74F05DB7-7F1C-485D-8055-E68DCE1637C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RH.09.30-17.30</t>
        </r>
      </text>
    </comment>
    <comment ref="AA88" authorId="1" shapeId="0" xr:uid="{E8A550EC-DD55-4B42-B389-1C4A45F13A8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AB88" authorId="1" shapeId="0" xr:uid="{29FCA88D-7436-4125-ABD1-727327D7516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C88" authorId="1" shapeId="0" xr:uid="{60BE80BE-58A8-4865-B746-BC173749E2B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88" authorId="1" shapeId="0" xr:uid="{62449B0D-9B64-438A-900B-C2ECA39C7CB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E88" authorId="1" shapeId="0" xr:uid="{7DE2D878-D82C-4254-9DD3-1BCC6A09852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F100" authorId="1" shapeId="0" xr:uid="{CA201C90-0DC9-4816-AF41-25C8D7F5F2A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G100" authorId="1" shapeId="0" xr:uid="{3B130174-9BA0-4335-8714-4890E14B161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F101" authorId="0" shapeId="0" xr:uid="{C97078E3-FCD0-4FA6-9567-BBA77BC6C94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3-vagt Møder på rådhuset 07.30-15.30</t>
        </r>
      </text>
    </comment>
    <comment ref="G101" authorId="0" shapeId="0" xr:uid="{D2B3FFFF-F302-43F4-813D-F4FDED6B3F21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3-vagt Møder på rådhuset 07.30-15.30</t>
        </r>
      </text>
    </comment>
    <comment ref="H101" authorId="0" shapeId="0" xr:uid="{46DDDF4C-914F-44A3-8B75-0F248AD77D4C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3-vagt Møder på rådhuset 07.30-15.30</t>
        </r>
      </text>
    </comment>
    <comment ref="I101" authorId="0" shapeId="0" xr:uid="{0E52EA4B-4BC1-4C12-AB80-9A3CF818BDDA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3-vagt Møder på rådhuset 07.30-15.30</t>
        </r>
      </text>
    </comment>
    <comment ref="J101" authorId="0" shapeId="0" xr:uid="{F4883F31-696C-489E-8DFC-CA3124F787B8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3-vagt Møder på rådhuset 07.30-15.30</t>
        </r>
      </text>
    </comment>
    <comment ref="O101" authorId="0" shapeId="0" xr:uid="{1767643A-D557-4771-B25E-84F80DA341BE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4-vagt</t>
        </r>
      </text>
    </comment>
    <comment ref="T108" authorId="1" shapeId="0" xr:uid="{10B9B368-8997-463E-9DEC-02827E0A73D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U108" authorId="1" shapeId="0" xr:uid="{1F511C91-0447-4CE2-90DB-A0C615CD96E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V108" authorId="1" shapeId="0" xr:uid="{948A8466-CA4D-4687-84B2-784B0507D0A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W108" authorId="1" shapeId="0" xr:uid="{AD5471A9-40AC-46C7-AC82-AC39220DF7E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X108" authorId="1" shapeId="0" xr:uid="{B6E1A5DC-85FA-4AFB-AFEE-821BCB96E8B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F120" authorId="1" shapeId="0" xr:uid="{759E7668-FDA6-4BC1-A77C-4A5877069F4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G120" authorId="1" shapeId="0" xr:uid="{D2A1D2D1-10B8-4693-BB35-3F7DB2FA0EF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H120" authorId="1" shapeId="0" xr:uid="{F5DE3A7F-D343-4EF7-A3C7-34CBF1EEC64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I120" authorId="1" shapeId="0" xr:uid="{DC0F3E94-ED91-4962-84BA-7878708DC91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J120" authorId="1" shapeId="0" xr:uid="{998A2AA8-D932-446B-9B67-161517158ED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M120" authorId="1" shapeId="0" xr:uid="{1E7E846F-60E1-4F33-983A-D36761D38C5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N120" authorId="1" shapeId="0" xr:uid="{A32BA44D-0AB5-4679-8573-06AFB3E6C8A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O120" authorId="1" shapeId="0" xr:uid="{E6733B7B-9AD1-4F0F-B922-982659BD3C2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P120" authorId="1" shapeId="0" xr:uid="{5665C850-8F4E-404B-BEE3-72AA5AFA6C9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Q120" authorId="1" shapeId="0" xr:uid="{72538772-C190-443B-8F6F-BC66CCD0FDF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T120" authorId="1" shapeId="0" xr:uid="{9DED9A50-24ED-4EF4-AF5B-1C53E364813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U120" authorId="1" shapeId="0" xr:uid="{6DA4895E-A9F9-480D-92B3-819CC48F048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V120" authorId="1" shapeId="0" xr:uid="{0C4CC60F-C0BF-46DB-8675-72320D19496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W120" authorId="1" shapeId="0" xr:uid="{91A650BC-4615-4B87-91AE-7822F39AF26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X120" authorId="1" shapeId="0" xr:uid="{BED39B72-2011-4FEA-8F5B-0FDF8164619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Y120" authorId="1" shapeId="0" xr:uid="{3D15E4A6-0DFA-4461-BB7D-638B88C8246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</t>
        </r>
      </text>
    </comment>
    <comment ref="AA120" authorId="1" shapeId="0" xr:uid="{D467AA21-3B6D-47F8-9EBB-BF39AE3905F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AB120" authorId="1" shapeId="0" xr:uid="{10D6B3EC-0156-445C-8888-52DE4A76ED8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AC120" authorId="1" shapeId="0" xr:uid="{E73536B4-D1C5-4A90-98C0-3B14D9513FB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AD120" authorId="1" shapeId="0" xr:uid="{155FA837-626A-44DC-B0F2-613E1C9F2A2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F121" authorId="1" shapeId="0" xr:uid="{D30F7F39-C145-4690-A55F-2BD96FE754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G121" authorId="1" shapeId="0" xr:uid="{6D5DA3FF-B39F-40AE-813A-B9B65F00953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H121" authorId="1" shapeId="0" xr:uid="{4F01D9FC-2A69-4B7F-9808-08E75A9B72D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I121" authorId="1" shapeId="0" xr:uid="{50471B62-1B68-495C-AEE2-53FCDCA4602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J121" authorId="1" shapeId="0" xr:uid="{9784329F-D27A-457B-931F-B8E5F236A6E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08.00-15.30</t>
        </r>
      </text>
    </comment>
    <comment ref="M121" authorId="1" shapeId="0" xr:uid="{8D4643BE-71CB-4B6A-9906-0882980C2B0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N121" authorId="1" shapeId="0" xr:uid="{3776ECEA-B439-46E7-8250-54C47DDA9F6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O121" authorId="1" shapeId="0" xr:uid="{327AC1FD-2336-402C-9FE0-604BAB6E0B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P121" authorId="1" shapeId="0" xr:uid="{3122BAE3-D69D-4165-A1AD-3DF5FA59D88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Q121" authorId="1" shapeId="0" xr:uid="{A9705800-3F60-4B52-B426-C59BD9C9A73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R121" authorId="1" shapeId="0" xr:uid="{0B566A5D-69F2-4065-9F7C-349741DFB45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</t>
        </r>
      </text>
    </comment>
    <comment ref="T121" authorId="1" shapeId="0" xr:uid="{01E8A81F-4845-4C40-86E0-8D1F4D6FE65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08.30-15.30</t>
        </r>
      </text>
    </comment>
    <comment ref="U121" authorId="1" shapeId="0" xr:uid="{BD0A8BDB-33C7-42B7-8EBC-68266A017CA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08.30-15.30</t>
        </r>
      </text>
    </comment>
    <comment ref="V121" authorId="1" shapeId="0" xr:uid="{C082CCAC-1D02-4FEC-BFF6-7BB3BF2C9FD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08.30-15.30</t>
        </r>
      </text>
    </comment>
    <comment ref="W121" authorId="1" shapeId="0" xr:uid="{041E9E4B-2E5E-4A05-AEBD-69E79A3D0CF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08.30-15.30</t>
        </r>
      </text>
    </comment>
    <comment ref="AA121" authorId="1" shapeId="0" xr:uid="{C8A17957-5F4F-491D-8CD4-7E36602A389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AB121" authorId="1" shapeId="0" xr:uid="{2A200ACD-291F-4C82-A3AC-55CD9526EDB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AC121" authorId="1" shapeId="0" xr:uid="{C5AB89B7-4D1C-40FC-B412-4084EA7FA0B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AD121" authorId="1" shapeId="0" xr:uid="{230E9D39-4256-48F1-9BBB-6A6F5C0648B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AE121" authorId="1" shapeId="0" xr:uid="{BAB00DD3-D040-4E5B-8F0D-BAE5E5E0653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08.30-15.30</t>
        </r>
      </text>
    </comment>
    <comment ref="F122" authorId="1" shapeId="0" xr:uid="{CAD27736-B8E9-43DF-8FD3-022C79B8D0A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G122" authorId="1" shapeId="0" xr:uid="{67A40D4A-531F-42C7-A010-C8998CAAD0B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H122" authorId="1" shapeId="0" xr:uid="{5A870734-4E80-4991-B499-973FB9F97E1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I122" authorId="1" shapeId="0" xr:uid="{B4AB0DB8-3115-401C-8F7C-371888B4CAF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J122" authorId="1" shapeId="0" xr:uid="{38B4AABD-C971-4214-B550-C29E1152096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08.00-15.00</t>
        </r>
      </text>
    </comment>
    <comment ref="K122" authorId="1" shapeId="0" xr:uid="{9D8081AB-BC2B-416D-A943-704A2C80029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</t>
        </r>
      </text>
    </comment>
    <comment ref="M122" authorId="1" shapeId="0" xr:uid="{D8DD4FB6-ED95-4F3D-AF1F-657E4B5AAFF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N122" authorId="1" shapeId="0" xr:uid="{7E8C41D8-4E4E-465D-8C34-2B4290FE38E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Mødrer på RH 09.30-17.30</t>
        </r>
      </text>
    </comment>
    <comment ref="O122" authorId="1" shapeId="0" xr:uid="{6645593C-FF2D-4C33-B01C-ECDF7DE95BA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P122" authorId="1" shapeId="0" xr:uid="{EB7B5754-A31C-4FF2-B566-FDB7D2F426D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T122" authorId="1" shapeId="0" xr:uid="{24A59FAA-B0A9-4F68-ABA2-F215C3419D3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07.00-14.00</t>
        </r>
      </text>
    </comment>
    <comment ref="U122" authorId="1" shapeId="0" xr:uid="{6A3F0C3F-1D9E-4A0E-84D2-33F38AC42EA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07.00-14.00</t>
        </r>
      </text>
    </comment>
    <comment ref="V122" authorId="1" shapeId="0" xr:uid="{FFBE78C9-4F83-427C-8AA8-8B0F54E61E2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07.00-14.00</t>
        </r>
      </text>
    </comment>
    <comment ref="W122" authorId="1" shapeId="0" xr:uid="{D2CFBAC2-E125-4DF0-AB46-D4717F26E78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07.00-14.00</t>
        </r>
      </text>
    </comment>
    <comment ref="X122" authorId="1" shapeId="0" xr:uid="{5EE6F001-C019-46E2-8901-2F843E999C4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07.00-14.00</t>
        </r>
      </text>
    </comment>
    <comment ref="AA122" authorId="1" shapeId="0" xr:uid="{B2113130-759F-4177-A867-53462BFD278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AB122" authorId="1" shapeId="0" xr:uid="{B7D6BAAE-8BF7-4E65-9FA7-8BF03A0CB0F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AC122" authorId="1" shapeId="0" xr:uid="{3BACFA81-25FC-4B9C-80D4-1FA7BADD295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AD122" authorId="1" shapeId="0" xr:uid="{1E772AE2-AD51-435D-A976-73F2870B95E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AE122" authorId="1" shapeId="0" xr:uid="{90DCBE17-B5CB-4832-A75C-2B7349BD08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F124" authorId="1" shapeId="0" xr:uid="{DFFCB133-BBB8-4EA5-BCDA-B7A1AB856D7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G124" authorId="1" shapeId="0" xr:uid="{5FB8EB89-EBE8-457A-919C-D08518EBCC5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H124" authorId="1" shapeId="0" xr:uid="{74E71E0E-C978-4E70-BE20-6885BE4F921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I124" authorId="1" shapeId="0" xr:uid="{57D4B47C-5895-40E5-AC7F-4404B8FEE00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J124" authorId="1" shapeId="0" xr:uid="{54F2452F-F3A6-4D0B-BAC9-7FDB5C1BD54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10.00-17.00</t>
        </r>
      </text>
    </comment>
    <comment ref="M124" authorId="1" shapeId="0" xr:uid="{A06BCF36-CBDE-4451-ACDD-8F8E7105A31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N124" authorId="1" shapeId="0" xr:uid="{20246439-EB4B-4752-ACDB-E2E111A57C7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O124" authorId="1" shapeId="0" xr:uid="{3B6988B5-906C-44C0-8204-18EE79D8E5E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P124" authorId="1" shapeId="0" xr:uid="{5A64784E-F09A-4D70-AE5C-CCB5FD7E72C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Q124" authorId="1" shapeId="0" xr:uid="{E2B8EFFE-1D80-4F15-A933-4D9030E9DDC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07.00-14.30</t>
        </r>
      </text>
    </comment>
    <comment ref="T124" authorId="1" shapeId="0" xr:uid="{200CE574-4486-46CA-8225-5FC3F5D4E11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09.00-16.00</t>
        </r>
      </text>
    </comment>
    <comment ref="U124" authorId="1" shapeId="0" xr:uid="{CCED120C-316E-422B-9E13-839D48A2F16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09.00-16.00</t>
        </r>
      </text>
    </comment>
    <comment ref="V124" authorId="1" shapeId="0" xr:uid="{460ABF9F-3EB2-46FE-B41C-E78DE0780A3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09.00-16.00</t>
        </r>
      </text>
    </comment>
    <comment ref="W124" authorId="1" shapeId="0" xr:uid="{19C3A7AC-2BFE-4EED-88E0-B823B02903E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09.00-16.00</t>
        </r>
      </text>
    </comment>
    <comment ref="X124" authorId="1" shapeId="0" xr:uid="{542F0C05-93A8-48EA-92B4-CF270639927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09.00-16.00</t>
        </r>
      </text>
    </comment>
    <comment ref="AA124" authorId="1" shapeId="0" xr:uid="{BBA32B63-0EEA-435A-9856-D277F40825F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B124" authorId="1" shapeId="0" xr:uid="{0393070E-1B88-4DF7-AD47-A182418936B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C124" authorId="1" shapeId="0" xr:uid="{D6C949C3-A882-43F2-9CC7-0121D03AEE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D124" authorId="1" shapeId="0" xr:uid="{E1188BA6-5239-4028-9188-C77FF1514FE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E124" authorId="1" shapeId="0" xr:uid="{10F3B077-B5FF-4F1C-9435-1826EFAB916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AHF</t>
        </r>
      </text>
    </comment>
    <comment ref="AF124" authorId="1" shapeId="0" xr:uid="{36A627CD-6E28-4F1A-8074-9B1C72AAA42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Møder på RH</t>
        </r>
      </text>
    </comment>
    <comment ref="M153" authorId="4" shapeId="0" xr:uid="{8BED12A5-4CE6-4616-8992-818105DE446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N153" authorId="4" shapeId="0" xr:uid="{A2810AF0-A0FC-4562-A970-8E00204EA96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O153" authorId="4" shapeId="0" xr:uid="{D0925017-4009-498C-AB2A-6D241C348A3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P153" authorId="4" shapeId="0" xr:uid="{0F189051-6989-4B02-BDC9-829FA9E9E6B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Q153" authorId="4" shapeId="0" xr:uid="{684EEEA1-6EF3-4983-B68D-6786D0DF2DB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T153" authorId="4" shapeId="0" xr:uid="{285DB47D-6DF4-4F2B-A87D-71A3CF92085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U153" authorId="4" shapeId="0" xr:uid="{9C41B7C7-92B4-4919-8CDA-34AE0E909D1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V153" authorId="4" shapeId="0" xr:uid="{C21B532C-882D-404F-91C7-C7073738A93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153" authorId="4" shapeId="0" xr:uid="{5FFA13F4-D758-491C-B943-49C199FA53D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153" authorId="4" shapeId="0" xr:uid="{AADC3054-2307-4F03-B5F6-4B57D255BC0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A153" authorId="4" shapeId="0" xr:uid="{52262C44-B0B8-42FE-A031-7FF2A95C027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B153" authorId="4" shapeId="0" xr:uid="{B111CA3F-1656-482B-B87C-34F213EE544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C153" authorId="4" shapeId="0" xr:uid="{9F77A7C7-4940-41C8-8AFC-23AA19FE942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D153" authorId="4" shapeId="0" xr:uid="{784B17E9-559D-4A5B-90F0-8AE977A13DE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153" authorId="4" shapeId="0" xr:uid="{EBB16097-8337-40B0-91ED-D857BDCAC4D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54" authorId="1" shapeId="0" xr:uid="{30046073-8EB1-4F79-A87B-64E9F001E2B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N154" authorId="1" shapeId="0" xr:uid="{8807DEA5-B589-4C12-80B5-71D32919522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O154" authorId="1" shapeId="0" xr:uid="{BA96BE89-1923-48A1-8EF6-613146D8DEA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P154" authorId="1" shapeId="0" xr:uid="{E7681B75-F4B0-451C-9B05-650F6C58A45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Q154" authorId="1" shapeId="0" xr:uid="{2A9F6F6D-CBCD-46A2-9167-59392C88D5D5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T154" authorId="1" shapeId="0" xr:uid="{6675AD77-956B-4803-BEDB-C550C81300E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11.00 - 18.00</t>
        </r>
      </text>
    </comment>
    <comment ref="U154" authorId="1" shapeId="0" xr:uid="{2D0E79F4-501E-4C2C-B8D3-572818F6AD7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W154" authorId="1" shapeId="0" xr:uid="{289297BD-C43E-42DE-9E34-928880D8B3B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X154" authorId="1" shapeId="0" xr:uid="{C8561CE2-8F44-4BCE-B2A2-10743A7E5E6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Njaldsgade 76 Københavns universitet Campus Amager.kl. 11.30 - 18.00</t>
        </r>
      </text>
    </comment>
    <comment ref="AA154" authorId="1" shapeId="0" xr:uid="{0E29F895-A09A-4D6A-8502-A77EDF1E775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</t>
        </r>
      </text>
    </comment>
    <comment ref="AB154" authorId="1" shapeId="0" xr:uid="{86607BEC-D7ED-4844-9FF1-F98EBA0E302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</t>
        </r>
      </text>
    </comment>
    <comment ref="AC154" authorId="1" shapeId="0" xr:uid="{ADAF5405-59A4-4541-BB18-2DCC8576A7C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</t>
        </r>
      </text>
    </comment>
    <comment ref="AD154" authorId="1" shapeId="0" xr:uid="{D009ACFC-9ED3-4C77-82E7-F359C5E5EEA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</t>
        </r>
      </text>
    </comment>
    <comment ref="AE154" authorId="1" shapeId="0" xr:uid="{D480D474-3116-45FC-B1E6-8981EE6CDC1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</t>
        </r>
      </text>
    </comment>
    <comment ref="R180" authorId="1" shapeId="0" xr:uid="{8D2E8167-9A6B-4A76-9A1B-663CED5B248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S180" authorId="1" shapeId="0" xr:uid="{01284588-CE79-4132-A120-48ED7FB30DF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W180" authorId="1" shapeId="0" xr:uid="{72C2CA66-DD2E-4A4B-88BC-85E31E207E5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Intern fæex</t>
        </r>
      </text>
    </comment>
    <comment ref="X180" authorId="1" shapeId="0" xr:uid="{6E8C46BC-27B8-4B7A-B7F4-E9100F9A412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Intern fæex</t>
        </r>
      </text>
    </comment>
    <comment ref="R181" authorId="1" shapeId="0" xr:uid="{9BDE6CA7-E6A5-497C-BF69-0FC238B5FCA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S181" authorId="1" shapeId="0" xr:uid="{623679F9-4466-49CD-8D93-CACE9E4D97C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R182" authorId="1" shapeId="0" xr:uid="{421485A1-4772-4808-A659-852DD7B3879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S182" authorId="1" shapeId="0" xr:uid="{48854FCD-3A7F-4019-97A6-EE335D20A86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Testcenter Ruten 20 kl. 11.30-18.00</t>
        </r>
      </text>
    </comment>
    <comment ref="N189" authorId="1" shapeId="0" xr:uid="{E181EAB5-D286-406E-85A7-4BA0F0CC2E4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Michael Bo Pedersen</author>
    <author>Rasmus Sørensen</author>
  </authors>
  <commentList>
    <comment ref="Q43" authorId="0" shapeId="0" xr:uid="{EDCDC061-06B6-4D46-9C79-D2DFCF7296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07.00-14.00</t>
        </r>
      </text>
    </comment>
    <comment ref="R43" authorId="0" shapeId="0" xr:uid="{756647B6-1FDF-4CE4-A211-008F932632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07.00-14.00</t>
        </r>
      </text>
    </comment>
    <comment ref="S43" authorId="0" shapeId="0" xr:uid="{22CE07A3-5453-4106-93C2-9E1F0DE64F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07.00-14.00</t>
        </r>
      </text>
    </comment>
    <comment ref="T43" authorId="0" shapeId="0" xr:uid="{56B90277-9E80-43C7-96A5-D8F101C0AA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07.00-14.00</t>
        </r>
      </text>
    </comment>
    <comment ref="U43" authorId="0" shapeId="0" xr:uid="{EE6197CF-FD75-4817-A7D7-33B3060CD7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07.00-14.00</t>
        </r>
      </text>
    </comment>
    <comment ref="Q46" authorId="0" shapeId="0" xr:uid="{EF6FB824-BD7E-4E85-A2E1-27371E758D5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R46" authorId="0" shapeId="0" xr:uid="{27B90C83-24A6-40A6-BF0A-624147FA1A6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S46" authorId="0" shapeId="0" xr:uid="{68224FFD-A5BB-4130-8D8B-1E7FBDE992C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T46" authorId="0" shapeId="0" xr:uid="{A218346B-4785-4F83-8CCE-02E612FECFD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U46" authorId="0" shapeId="0" xr:uid="{52F17383-E5A5-4188-8174-D49D53D8EFC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C48" authorId="0" shapeId="0" xr:uid="{FDDA9E27-4108-46C1-B137-9C733E9269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08.00-16.00</t>
        </r>
      </text>
    </comment>
    <comment ref="D48" authorId="0" shapeId="0" xr:uid="{FCB5DD7D-09F6-43C9-BC0A-3AD31308DD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08.00-16.00</t>
        </r>
      </text>
    </comment>
    <comment ref="E48" authorId="0" shapeId="0" xr:uid="{68B69F2E-3713-47DA-A7A6-06625B9FA4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08.00-16.00</t>
        </r>
      </text>
    </comment>
    <comment ref="F48" authorId="0" shapeId="0" xr:uid="{AE36A6D7-1196-4070-8BFF-3401EB637A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08.00-16.00</t>
        </r>
      </text>
    </comment>
    <comment ref="G48" authorId="0" shapeId="0" xr:uid="{73AF6023-5E40-4CC7-8F40-3453B7275C3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08.00-16.00</t>
        </r>
      </text>
    </comment>
    <comment ref="J48" authorId="0" shapeId="0" xr:uid="{A0F064D2-C3A2-45E9-9A29-CAF96BB3A7D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48" authorId="0" shapeId="0" xr:uid="{D69E08B6-5C3A-40CD-BE78-18A90BFDEEE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L48" authorId="0" shapeId="0" xr:uid="{71E4B7A1-68F6-4496-B5F9-1775895DA9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48" authorId="0" shapeId="0" xr:uid="{7C23896E-F237-40DE-9475-F24D7C421F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N48" authorId="0" shapeId="0" xr:uid="{36B66285-C7A0-4CDF-9FE2-6107D220D5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C49" authorId="0" shapeId="0" xr:uid="{3E4727B2-108C-458A-AE64-D77EF98942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D49" authorId="0" shapeId="0" xr:uid="{D6190AAC-22BB-4496-A34C-8D09063EF6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E49" authorId="0" shapeId="0" xr:uid="{9F967D2D-B2BF-4F26-BBAA-A43DDE6E2D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F49" authorId="0" shapeId="0" xr:uid="{880905EA-5A46-436E-A3C7-E73C517624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G49" authorId="0" shapeId="0" xr:uid="{205B3389-5C94-4E9D-AC02-BBF5A5879A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63" authorId="0" shapeId="0" xr:uid="{32F6E568-F5AE-478E-A09D-01240BF554A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Y63" authorId="0" shapeId="0" xr:uid="{7F9C3386-1643-4333-87B2-BF8EC881D9B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Z63" authorId="0" shapeId="0" xr:uid="{7641F9C0-3BC3-4B90-8306-1610A6C4C1D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AA63" authorId="0" shapeId="0" xr:uid="{CF687E55-C576-4178-8CE8-6374B5CD2A3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AB63" authorId="0" shapeId="0" xr:uid="{610B2341-B8AA-4F97-A19B-0A2B04E8787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C65" authorId="0" shapeId="0" xr:uid="{263804B6-8376-4BCB-9EAD-B310D2E10C7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D65" authorId="0" shapeId="0" xr:uid="{DEDC287E-A511-42AA-A4DE-2E56580BB49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E65" authorId="0" shapeId="0" xr:uid="{298F0769-D3AF-4AFC-997B-5F3D7367B45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F65" authorId="0" shapeId="0" xr:uid="{A572A63F-787E-4ADE-A2F4-329FFC74966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G65" authorId="0" shapeId="0" xr:uid="{D02BD4FE-D423-4B6C-B32F-B42710A3E88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J69" authorId="0" shapeId="0" xr:uid="{3C02D93B-03A1-4A79-B37D-C9D1B0DBB5A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K69" authorId="0" shapeId="0" xr:uid="{E6D97A06-AFC2-41D1-A349-05D1D9D6454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L69" authorId="0" shapeId="0" xr:uid="{E161250A-7072-4A19-A8AA-590F67DA5A8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M69" authorId="0" shapeId="0" xr:uid="{25D3FE7F-1FFA-4480-9BCE-5DDAA8639AF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N69" authorId="0" shapeId="0" xr:uid="{79932C2E-38D4-4190-A4A7-704E4B2A436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Q69" authorId="0" shapeId="0" xr:uid="{F10F5E75-B8A7-45F4-96E3-AB70DA66BFA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R69" authorId="0" shapeId="0" xr:uid="{B592C1DE-8C3D-40DD-AB95-EDF4A048E8E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S69" authorId="0" shapeId="0" xr:uid="{9376F51F-E5F6-4208-AD5D-2CE4A7390CF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16.00 - 23.00</t>
        </r>
      </text>
    </comment>
    <comment ref="T69" authorId="0" shapeId="0" xr:uid="{B0E5BCF4-B4CD-4309-B798-B33C9775119E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U69" authorId="0" shapeId="0" xr:uid="{49092EE6-B6B1-41F3-B853-54B3913CA754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Coronaberedskab 15.00-23.00</t>
        </r>
      </text>
    </comment>
    <comment ref="D71" authorId="1" shapeId="0" xr:uid="{27FFAA37-EEBA-4CFA-ABE8-DE9584D2444D}">
      <text>
        <r>
          <rPr>
            <b/>
            <sz val="9"/>
            <color indexed="81"/>
            <rFont val="Tahoma"/>
            <charset val="1"/>
          </rPr>
          <t>Michael Bo Pedersen:</t>
        </r>
        <r>
          <rPr>
            <sz val="9"/>
            <color indexed="81"/>
            <rFont val="Tahoma"/>
            <charset val="1"/>
          </rPr>
          <t xml:space="preserve">
Tandlæge kl 11.30</t>
        </r>
      </text>
    </comment>
    <comment ref="H71" authorId="0" shapeId="0" xr:uid="{D207D19E-4A26-4600-9056-9C5471DBCA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på RH</t>
        </r>
      </text>
    </comment>
    <comment ref="C74" authorId="0" shapeId="0" xr:uid="{B401C7A2-C263-4E50-97A9-963714A5710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D74" authorId="0" shapeId="0" xr:uid="{B9B5FAB5-EA08-4490-80E8-AE42B57C6CDF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E74" authorId="0" shapeId="0" xr:uid="{9A8604CC-FC9C-497A-A1B6-7ABA6AEC940B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F74" authorId="0" shapeId="0" xr:uid="{1273FAE4-53EE-48C7-958D-265DA979705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10.00-17.00</t>
        </r>
      </text>
    </comment>
    <comment ref="G74" authorId="0" shapeId="0" xr:uid="{BB3DDCFB-6469-43DE-A2E8-829B8C397B3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10.00-16.00</t>
        </r>
      </text>
    </comment>
    <comment ref="J74" authorId="0" shapeId="0" xr:uid="{B1EF8755-7CEB-4315-9C32-20CB8AC241B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K74" authorId="0" shapeId="0" xr:uid="{E4CA2831-494F-4522-B150-A837DAA3160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L74" authorId="0" shapeId="0" xr:uid="{A882B2B6-26D2-42EA-ACE0-A880B7A94DB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M74" authorId="0" shapeId="0" xr:uid="{4975E726-993A-4435-8498-8884BD260622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10.00-17.00</t>
        </r>
      </text>
    </comment>
    <comment ref="N74" authorId="0" shapeId="0" xr:uid="{4146CF63-BE6A-41AF-B3D3-6B657648DD6D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10.00-16.00</t>
        </r>
      </text>
    </comment>
    <comment ref="Q74" authorId="0" shapeId="0" xr:uid="{B09E8FEC-B175-4031-B095-39C49331CEE0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R74" authorId="0" shapeId="0" xr:uid="{1F0F0950-6B23-40C9-B36C-EC832736F3CA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S74" authorId="0" shapeId="0" xr:uid="{1FFBF237-2869-4DF1-95B7-9A580CF0B401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T74" authorId="0" shapeId="0" xr:uid="{5E966936-06F1-4347-A534-F297F9174E0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10.00-17.00</t>
        </r>
      </text>
    </comment>
    <comment ref="U74" authorId="0" shapeId="0" xr:uid="{1898C32A-AA6E-48DB-91D0-4A1E954A445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10.00-16.00</t>
        </r>
      </text>
    </comment>
    <comment ref="X74" authorId="0" shapeId="0" xr:uid="{C7EB4184-F24B-4756-B5EF-E7A211B0F489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Y74" authorId="0" shapeId="0" xr:uid="{A6A77F89-2182-4820-B36F-D386BE9DFF13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Z74" authorId="0" shapeId="0" xr:uid="{262C6C72-80AF-4D71-8A89-6A281A6F12B6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10.00-18.00</t>
        </r>
      </text>
    </comment>
    <comment ref="AA74" authorId="0" shapeId="0" xr:uid="{3A2DA71E-B544-4750-A6C7-636285D19C38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10.00-17.00</t>
        </r>
      </text>
    </comment>
    <comment ref="AB74" authorId="0" shapeId="0" xr:uid="{5FDB73AF-CF95-422E-9D83-EB7707427977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Covid-19 beredskab 10.00-16.00</t>
        </r>
      </text>
    </comment>
    <comment ref="J101" authorId="2" shapeId="0" xr:uid="{7445BD7B-0A90-45CA-87C0-D5937C24149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99-vagt</t>
        </r>
      </text>
    </comment>
    <comment ref="K101" authorId="2" shapeId="0" xr:uid="{34E7D9F4-EB91-44F1-BB58-63E7ED52EA4F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99-vagt</t>
        </r>
      </text>
    </comment>
    <comment ref="L101" authorId="2" shapeId="0" xr:uid="{B4EFC910-B95E-455B-A037-BFB6346B624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99-vagt</t>
        </r>
      </text>
    </comment>
    <comment ref="M101" authorId="2" shapeId="0" xr:uid="{A1FDBCF2-4A3B-4CAC-8486-64E47FDD31E0}">
      <text>
        <r>
          <rPr>
            <b/>
            <sz val="9"/>
            <color indexed="81"/>
            <rFont val="Tahoma"/>
            <charset val="1"/>
          </rPr>
          <t>Rasmus Sørensen:</t>
        </r>
        <r>
          <rPr>
            <sz val="9"/>
            <color indexed="81"/>
            <rFont val="Tahoma"/>
            <charset val="1"/>
          </rPr>
          <t xml:space="preserve">
99-vagt</t>
        </r>
      </text>
    </comment>
    <comment ref="C120" authorId="0" shapeId="0" xr:uid="{E6A8D0DD-9263-43FF-8DD6-3BB81779A97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07-14</t>
        </r>
      </text>
    </comment>
    <comment ref="D120" authorId="0" shapeId="0" xr:uid="{818C9F47-FDB4-49DC-A477-3E1F079385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07-14</t>
        </r>
      </text>
    </comment>
    <comment ref="E120" authorId="0" shapeId="0" xr:uid="{A12DFC8B-A536-4D79-9617-AFBFA56DC9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07-14</t>
        </r>
      </text>
    </comment>
    <comment ref="F120" authorId="0" shapeId="0" xr:uid="{D7930D34-8030-4826-B6B1-81353E829D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07-14</t>
        </r>
      </text>
    </comment>
    <comment ref="G120" authorId="0" shapeId="0" xr:uid="{980B1110-011A-4C58-AF57-8D92D8E3E0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07-14</t>
        </r>
      </text>
    </comment>
    <comment ref="J120" authorId="0" shapeId="0" xr:uid="{184C1820-06C4-45E0-A8C2-4A67C54CC2C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120" authorId="0" shapeId="0" xr:uid="{31F85431-EC10-43AF-8D37-7CB816EAD1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L120" authorId="0" shapeId="0" xr:uid="{6716DECF-34B7-4F2D-8793-07B17005A8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20" authorId="0" shapeId="0" xr:uid="{1C98647B-ECB7-4210-A9A3-87E95792F3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N120" authorId="0" shapeId="0" xr:uid="{05455DA9-8917-47A4-87EB-20675EE302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C121" authorId="0" shapeId="0" xr:uid="{19C6F88B-CED1-459A-B127-F4552D2A8A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D121" authorId="0" shapeId="0" xr:uid="{EF6734DC-1CBF-46AF-8364-0DDB5B3C78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E121" authorId="0" shapeId="0" xr:uid="{90F706D5-D67C-4288-AA30-E271C73009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F121" authorId="0" shapeId="0" xr:uid="{9F02AB2F-3AC6-4756-8255-10BFF95114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G121" authorId="0" shapeId="0" xr:uid="{DD56EED0-1089-43B2-85F5-F6E222331A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C122" authorId="0" shapeId="0" xr:uid="{36FC6CBC-AB2F-4597-8E0E-92DEA19476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08.30-16.00</t>
        </r>
      </text>
    </comment>
    <comment ref="D122" authorId="0" shapeId="0" xr:uid="{4D4040E5-47BB-47D4-8FEC-13FBCB1866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08.30-16.00</t>
        </r>
      </text>
    </comment>
    <comment ref="E122" authorId="0" shapeId="0" xr:uid="{BCD20E99-436D-4434-B58A-A83D2B5BEA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08.30-16.00</t>
        </r>
      </text>
    </comment>
    <comment ref="F122" authorId="0" shapeId="0" xr:uid="{F4901EF8-FC2E-4EE1-84ED-0C021AA7ED8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08.30-16.00</t>
        </r>
      </text>
    </comment>
    <comment ref="G122" authorId="0" shapeId="0" xr:uid="{530A0084-A28D-45AE-8C59-8F64D4496A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08.30-16.00</t>
        </r>
      </text>
    </comment>
    <comment ref="Q122" authorId="0" shapeId="0" xr:uid="{ADEEEC17-F5B7-452B-A80A-68A9B59DB4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R122" authorId="0" shapeId="0" xr:uid="{5C0F06AE-858F-45C2-865E-0D2040624B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122" authorId="0" shapeId="0" xr:uid="{003F1C6A-2642-469A-B487-28D1C3C2AC8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T122" authorId="0" shapeId="0" xr:uid="{DF00AFE4-9E68-412F-9BD6-D856E4C8D8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C124" authorId="0" shapeId="0" xr:uid="{C9D53871-1C3F-4A6E-8C53-7E755AC57D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08.00-15.30</t>
        </r>
      </text>
    </comment>
    <comment ref="D124" authorId="0" shapeId="0" xr:uid="{DBEE4F58-0400-43D0-9B22-E37F86FE4E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08.00-15.30</t>
        </r>
      </text>
    </comment>
    <comment ref="E124" authorId="0" shapeId="0" xr:uid="{09E70D61-17A7-49D0-A13E-8EF2A9B77B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08.00-15.30</t>
        </r>
      </text>
    </comment>
    <comment ref="F124" authorId="0" shapeId="0" xr:uid="{1E48B509-C705-4102-80E9-00EF6335D1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08.00-15.30</t>
        </r>
      </text>
    </comment>
    <comment ref="E185" authorId="0" shapeId="0" xr:uid="{32F3344B-86A9-48E3-86AF-13C56A3A486C}">
      <text>
        <r>
          <rPr>
            <b/>
            <sz val="9"/>
            <color indexed="81"/>
            <rFont val="Tahoma"/>
            <charset val="1"/>
          </rPr>
          <t>Steen Hertin:</t>
        </r>
        <r>
          <rPr>
            <sz val="9"/>
            <color indexed="81"/>
            <rFont val="Tahoma"/>
            <charset val="1"/>
          </rPr>
          <t xml:space="preserve">
Til Læge.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</authors>
  <commentList>
    <comment ref="Q46" authorId="0" shapeId="0" xr:uid="{32FACF6B-0F3C-40E6-B3CE-98CE4EB384FD}">
      <text>
        <r>
          <rPr>
            <b/>
            <sz val="9"/>
            <color indexed="81"/>
            <rFont val="Tahoma"/>
            <charset val="1"/>
          </rPr>
          <t>Flemming Nielsen:</t>
        </r>
        <r>
          <rPr>
            <sz val="9"/>
            <color indexed="81"/>
            <rFont val="Tahoma"/>
            <charset val="1"/>
          </rPr>
          <t xml:space="preserve">
Martin starter i turnus
og Flemming G rundviser</t>
        </r>
      </text>
    </comment>
  </commentList>
</comments>
</file>

<file path=xl/sharedStrings.xml><?xml version="1.0" encoding="utf-8"?>
<sst xmlns="http://schemas.openxmlformats.org/spreadsheetml/2006/main" count="35077" uniqueCount="953">
  <si>
    <t xml:space="preserve"> </t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</si>
  <si>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</si>
  <si>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</si>
  <si>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</si>
  <si>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</si>
  <si>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</si>
  <si>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</si>
  <si>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</si>
  <si>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</si>
  <si>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</si>
  <si>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r>
      <t>F</t>
    </r>
    <r>
      <rPr>
        <sz val="9"/>
        <rFont val="Arial"/>
        <family val="2"/>
      </rPr>
      <t>: Turnusfri</t>
    </r>
  </si>
  <si>
    <r>
      <t>Orlov</t>
    </r>
    <r>
      <rPr>
        <sz val="9"/>
        <rFont val="Arial"/>
        <family val="2"/>
      </rPr>
      <t>: Grøn m/streg</t>
    </r>
  </si>
  <si>
    <r>
      <t>Barsel</t>
    </r>
    <r>
      <rPr>
        <sz val="9"/>
        <rFont val="Arial"/>
        <family val="2"/>
      </rPr>
      <t xml:space="preserve">: Rød m/streg </t>
    </r>
  </si>
  <si>
    <r>
      <t>l</t>
    </r>
    <r>
      <rPr>
        <sz val="9"/>
        <rFont val="Arial"/>
        <family val="2"/>
      </rPr>
      <t>: Daglig tjeneste</t>
    </r>
  </si>
  <si>
    <t xml:space="preserve">      :Omlægning af vagt (Planafvigelse)</t>
  </si>
  <si>
    <t>Barns 1. Sygedag</t>
  </si>
  <si>
    <r>
      <t>TJ:</t>
    </r>
    <r>
      <rPr>
        <sz val="9"/>
        <rFont val="Arial"/>
        <family val="2"/>
      </rPr>
      <t xml:space="preserve"> Tjenestefri </t>
    </r>
  </si>
  <si>
    <t>Oplæring</t>
  </si>
  <si>
    <t>Afdeling 1714 Afsnit 1702</t>
  </si>
  <si>
    <t>Vagter for turnusformænd</t>
  </si>
  <si>
    <r>
      <t>1</t>
    </r>
    <r>
      <rPr>
        <sz val="9"/>
        <rFont val="Arial"/>
        <family val="2"/>
      </rPr>
      <t>: Vagthavende kl. 0630 - 1445</t>
    </r>
  </si>
  <si>
    <r>
      <t>2</t>
    </r>
    <r>
      <rPr>
        <sz val="9"/>
        <rFont val="Arial"/>
        <family val="2"/>
      </rPr>
      <t>: Vagthavende kl. 1430 - 2230</t>
    </r>
  </si>
  <si>
    <r>
      <t>4</t>
    </r>
    <r>
      <rPr>
        <sz val="9"/>
        <rFont val="Arial"/>
        <family val="2"/>
      </rPr>
      <t>: Vagthavende kl. 2230 - 0645</t>
    </r>
  </si>
  <si>
    <r>
      <t>A</t>
    </r>
    <r>
      <rPr>
        <sz val="9"/>
        <rFont val="Arial"/>
        <family val="2"/>
      </rPr>
      <t>: Vagthavende kl. 0630 - 1845 (lør-, søndage)</t>
    </r>
  </si>
  <si>
    <r>
      <t>B</t>
    </r>
    <r>
      <rPr>
        <sz val="9"/>
        <rFont val="Arial"/>
        <family val="2"/>
      </rPr>
      <t>: Vagthavende kl. 1830 - 0645 (lør-, søndage)</t>
    </r>
  </si>
  <si>
    <r>
      <t>l:</t>
    </r>
    <r>
      <rPr>
        <sz val="9"/>
        <rFont val="Arial"/>
        <family val="2"/>
      </rPr>
      <t xml:space="preserve"> Man. - tor. Kl. 0815 - 1600, fre.Kl 0815 - 1415 </t>
    </r>
  </si>
  <si>
    <r>
      <t>Steen:</t>
    </r>
    <r>
      <rPr>
        <sz val="9"/>
        <rFont val="Arial"/>
        <family val="2"/>
      </rPr>
      <t xml:space="preserve"> Man-Ons 0815-1545 Tors 0900-1830 Fre 0815-1315 </t>
    </r>
  </si>
  <si>
    <t>Nøgle uge nr.:</t>
  </si>
  <si>
    <t>Plan</t>
  </si>
  <si>
    <t>Navn</t>
  </si>
  <si>
    <t>807 Flemming Nielsen</t>
  </si>
  <si>
    <t>I</t>
  </si>
  <si>
    <t>l</t>
  </si>
  <si>
    <t>Turnusformænd</t>
  </si>
  <si>
    <r>
      <t xml:space="preserve">IV  </t>
    </r>
    <r>
      <rPr>
        <sz val="9"/>
        <rFont val="Arial"/>
        <family val="2"/>
      </rPr>
      <t>664 Dennis Rise</t>
    </r>
  </si>
  <si>
    <t>F</t>
  </si>
  <si>
    <t>A</t>
  </si>
  <si>
    <t>B</t>
  </si>
  <si>
    <t>442 Kim Aabroe</t>
  </si>
  <si>
    <r>
      <t xml:space="preserve">I  </t>
    </r>
    <r>
      <rPr>
        <sz val="9"/>
        <rFont val="Arial"/>
        <family val="2"/>
      </rPr>
      <t>902 Erik Andersen</t>
    </r>
  </si>
  <si>
    <t>393 Thomas Holm</t>
  </si>
  <si>
    <r>
      <t xml:space="preserve">II </t>
    </r>
    <r>
      <rPr>
        <sz val="9"/>
        <rFont val="Arial"/>
        <family val="2"/>
      </rPr>
      <t>890 Michael Bo Pedersen</t>
    </r>
  </si>
  <si>
    <t>Formændsafløsere</t>
  </si>
  <si>
    <t>993 Steen Hertin</t>
  </si>
  <si>
    <t>448 Rasmus Sørensen</t>
  </si>
  <si>
    <t>453 Mathias Nielsen</t>
  </si>
  <si>
    <t>KA</t>
  </si>
  <si>
    <t>Nød</t>
  </si>
  <si>
    <t>Vagter for turnus Rådhuset Plankode 8516</t>
  </si>
  <si>
    <r>
      <t xml:space="preserve">1  </t>
    </r>
    <r>
      <rPr>
        <sz val="9"/>
        <rFont val="Arial"/>
        <family val="2"/>
      </rPr>
      <t>0700 - 1400 Også på helligdage</t>
    </r>
  </si>
  <si>
    <r>
      <t xml:space="preserve">3 </t>
    </r>
    <r>
      <rPr>
        <sz val="9"/>
        <rFont val="Arial"/>
        <family val="2"/>
      </rPr>
      <t xml:space="preserve"> 0730 - 1530 Også på helligdage</t>
    </r>
  </si>
  <si>
    <r>
      <t xml:space="preserve">4 </t>
    </r>
    <r>
      <rPr>
        <sz val="9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</si>
  <si>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9"/>
        <rFont val="Arial"/>
        <family val="2"/>
      </rPr>
      <t xml:space="preserve"> 1630 - 2330/ fredage 1400-2330 (-helligdage)</t>
    </r>
  </si>
  <si>
    <r>
      <t xml:space="preserve">6  </t>
    </r>
    <r>
      <rPr>
        <sz val="9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9"/>
        <rFont val="Arial"/>
        <family val="2"/>
      </rPr>
      <t xml:space="preserve">1600 - 2300 </t>
    </r>
  </si>
  <si>
    <r>
      <t xml:space="preserve">7 </t>
    </r>
    <r>
      <rPr>
        <sz val="9"/>
        <rFont val="Arial"/>
        <family val="2"/>
      </rPr>
      <t xml:space="preserve"> Aften 1515 - 2315</t>
    </r>
  </si>
  <si>
    <r>
      <t xml:space="preserve">8 </t>
    </r>
    <r>
      <rPr>
        <sz val="9"/>
        <rFont val="Arial"/>
        <family val="2"/>
      </rPr>
      <t xml:space="preserve"> Aften 1600-2300 /fredag 1600-2230</t>
    </r>
  </si>
  <si>
    <r>
      <t xml:space="preserve">9 </t>
    </r>
    <r>
      <rPr>
        <sz val="9"/>
        <rFont val="Arial"/>
        <family val="2"/>
      </rPr>
      <t xml:space="preserve"> Nat 2300 - 0600  </t>
    </r>
  </si>
  <si>
    <r>
      <t xml:space="preserve">10 </t>
    </r>
    <r>
      <rPr>
        <sz val="9"/>
        <rFont val="Arial"/>
        <family val="2"/>
      </rPr>
      <t xml:space="preserve"> Nat 2300 - 0700</t>
    </r>
  </si>
  <si>
    <r>
      <t xml:space="preserve">11 </t>
    </r>
    <r>
      <rPr>
        <sz val="9"/>
        <rFont val="Arial"/>
        <family val="2"/>
      </rPr>
      <t xml:space="preserve"> Nat 2300 - 0715</t>
    </r>
  </si>
  <si>
    <r>
      <t>A1</t>
    </r>
    <r>
      <rPr>
        <sz val="9"/>
        <rFont val="Arial"/>
        <family val="2"/>
      </rPr>
      <t xml:space="preserve"> Dag 0845 - 1745 Lørdag </t>
    </r>
  </si>
  <si>
    <r>
      <t>A2</t>
    </r>
    <r>
      <rPr>
        <sz val="9"/>
        <rFont val="Arial"/>
        <family val="2"/>
      </rPr>
      <t xml:space="preserve"> Dag 0700 - 1900 Lørdag &amp; søndag</t>
    </r>
  </si>
  <si>
    <r>
      <t>A3</t>
    </r>
    <r>
      <rPr>
        <sz val="9"/>
        <rFont val="Arial"/>
        <family val="2"/>
      </rPr>
      <t xml:space="preserve"> Dag 0700 - 1915 Lørdag &amp; søndag</t>
    </r>
  </si>
  <si>
    <r>
      <t>B1</t>
    </r>
    <r>
      <rPr>
        <sz val="9"/>
        <rFont val="Arial"/>
        <family val="2"/>
      </rPr>
      <t xml:space="preserve"> Nat 1900 - 0600  Lørdag &amp; søndag</t>
    </r>
  </si>
  <si>
    <r>
      <t>B2</t>
    </r>
    <r>
      <rPr>
        <sz val="9"/>
        <rFont val="Arial"/>
        <family val="2"/>
      </rPr>
      <t xml:space="preserve"> Nat 1900 - 0700  Lørdag &amp; søndag </t>
    </r>
  </si>
  <si>
    <r>
      <t>B3</t>
    </r>
    <r>
      <rPr>
        <sz val="9"/>
        <rFont val="Arial"/>
        <family val="2"/>
      </rPr>
      <t xml:space="preserve"> Nat 1900 - 0715  Lørdag &amp; søndag</t>
    </r>
  </si>
  <si>
    <t>969 Anders Hintze</t>
  </si>
  <si>
    <t>B1</t>
  </si>
  <si>
    <t>B2</t>
  </si>
  <si>
    <t>A1</t>
  </si>
  <si>
    <t>A2</t>
  </si>
  <si>
    <t>5</t>
  </si>
  <si>
    <t>A3</t>
  </si>
  <si>
    <t>420 Carsten Dahl</t>
  </si>
  <si>
    <t>B3</t>
  </si>
  <si>
    <t>402 Ole Albertsen</t>
  </si>
  <si>
    <t>308 Kim B. T. Pedersen</t>
  </si>
  <si>
    <t>444 Lara Andersen</t>
  </si>
  <si>
    <t>414 Steffen Grube</t>
  </si>
  <si>
    <t>A3)</t>
  </si>
  <si>
    <t>961 Sonny Ingerslev</t>
  </si>
  <si>
    <t>O</t>
  </si>
  <si>
    <t>F)</t>
  </si>
  <si>
    <t>424 Martin Hvorslev</t>
  </si>
  <si>
    <t>22</t>
  </si>
  <si>
    <t>411  Niels C. Frederiksen</t>
  </si>
  <si>
    <t>387 Bo Iversen</t>
  </si>
  <si>
    <t>421 Niels Bo Jensen</t>
  </si>
  <si>
    <t xml:space="preserve"> 394 Gorm Wilhjelm</t>
  </si>
  <si>
    <t>313 Erik M. Nielsen</t>
  </si>
  <si>
    <t>Buffer gruppen</t>
  </si>
  <si>
    <t>Mandag</t>
  </si>
  <si>
    <t>Tirsdag</t>
  </si>
  <si>
    <t>Onsdag</t>
  </si>
  <si>
    <t>Torsdag</t>
  </si>
  <si>
    <t>Fredag</t>
  </si>
  <si>
    <t>Lørdag</t>
  </si>
  <si>
    <t>Søndag</t>
  </si>
  <si>
    <t>Bemærkninger</t>
  </si>
  <si>
    <t xml:space="preserve">26-vagt </t>
  </si>
  <si>
    <t>1700-2400</t>
  </si>
  <si>
    <t>1400-2400</t>
  </si>
  <si>
    <t>Normal daglig tjeneste</t>
  </si>
  <si>
    <t>0815-1600</t>
  </si>
  <si>
    <t>0815-1415</t>
  </si>
  <si>
    <t>25-vagt (Patruljeleder)</t>
  </si>
  <si>
    <t>1500-2345</t>
  </si>
  <si>
    <t>1630-2345</t>
  </si>
  <si>
    <t xml:space="preserve">RÅ-vagt=Rådhuskælderen </t>
  </si>
  <si>
    <t>16.30-22.00</t>
  </si>
  <si>
    <t>467 Nicolaj Beck Thilesen</t>
  </si>
  <si>
    <t>K2</t>
  </si>
  <si>
    <t xml:space="preserve"> 463 John Stengaard</t>
  </si>
  <si>
    <t>%</t>
  </si>
  <si>
    <t>462 Flemming Grambo</t>
  </si>
  <si>
    <t>470 Asawin Chinwithee</t>
  </si>
  <si>
    <t>476 Jesper Larsen</t>
  </si>
  <si>
    <t>25</t>
  </si>
  <si>
    <t>478 Kemal Türkmen</t>
  </si>
  <si>
    <t>)</t>
  </si>
  <si>
    <t>479 Nick Lorentzen</t>
  </si>
  <si>
    <t>482 Lars Nordhøj</t>
  </si>
  <si>
    <t>486 Anne Mette Jensen</t>
  </si>
  <si>
    <t>487 Brian Glob</t>
  </si>
  <si>
    <t>Frederik Jensen</t>
  </si>
  <si>
    <t>Henrik W. Hansen</t>
  </si>
  <si>
    <t>Vikarer</t>
  </si>
  <si>
    <t xml:space="preserve">Thomas Bay </t>
  </si>
  <si>
    <t>Peter Johansen</t>
  </si>
  <si>
    <t>Martin Ravn</t>
  </si>
  <si>
    <t>Ditte Sommer</t>
  </si>
  <si>
    <t>26</t>
  </si>
  <si>
    <t>Bjarne Bedsted</t>
  </si>
  <si>
    <t>P</t>
  </si>
  <si>
    <t>Anders Petersen ELEV</t>
  </si>
  <si>
    <t>Pratik og vikarer</t>
  </si>
  <si>
    <t>Praktikanter</t>
  </si>
  <si>
    <t>Kredse</t>
  </si>
  <si>
    <t>Plankode 8513</t>
  </si>
  <si>
    <t>Timer ugentligt</t>
  </si>
  <si>
    <t>Uge 1</t>
  </si>
  <si>
    <r>
      <t>K1</t>
    </r>
    <r>
      <rPr>
        <sz val="9"/>
        <rFont val="Arial"/>
        <family val="2"/>
      </rPr>
      <t xml:space="preserve"> 0815 – 1530</t>
    </r>
  </si>
  <si>
    <r>
      <t>K1</t>
    </r>
    <r>
      <rPr>
        <sz val="9"/>
        <rFont val="Arial"/>
        <family val="2"/>
      </rPr>
      <t xml:space="preserve"> 09.00 – 1815</t>
    </r>
  </si>
  <si>
    <r>
      <t>K1</t>
    </r>
    <r>
      <rPr>
        <sz val="9"/>
        <rFont val="Arial"/>
        <family val="2"/>
      </rPr>
      <t xml:space="preserve"> 0815 – 1415</t>
    </r>
  </si>
  <si>
    <t>Uge 2</t>
  </si>
  <si>
    <r>
      <t>K2</t>
    </r>
    <r>
      <rPr>
        <sz val="9"/>
        <rFont val="Arial"/>
        <family val="2"/>
      </rPr>
      <t xml:space="preserve"> 1545 – 0030</t>
    </r>
  </si>
  <si>
    <r>
      <t>K2</t>
    </r>
    <r>
      <rPr>
        <sz val="9"/>
        <rFont val="Arial"/>
        <family val="2"/>
      </rPr>
      <t xml:space="preserve"> 1400 – 0030</t>
    </r>
  </si>
  <si>
    <t xml:space="preserve">K2 </t>
  </si>
  <si>
    <t>1545 – 0030</t>
  </si>
  <si>
    <r>
      <t>K2</t>
    </r>
    <r>
      <rPr>
        <sz val="9"/>
        <rFont val="Arial"/>
        <family val="2"/>
      </rPr>
      <t xml:space="preserve"> 1545 -0030</t>
    </r>
  </si>
  <si>
    <r>
      <t xml:space="preserve">KA </t>
    </r>
    <r>
      <rPr>
        <sz val="9"/>
        <rFont val="Arial"/>
        <family val="2"/>
      </rPr>
      <t>1015-2030</t>
    </r>
  </si>
  <si>
    <r>
      <t xml:space="preserve">KA </t>
    </r>
    <r>
      <rPr>
        <sz val="9"/>
        <rFont val="Arial"/>
        <family val="2"/>
      </rPr>
      <t>1330-0030</t>
    </r>
  </si>
  <si>
    <r>
      <t>KA</t>
    </r>
    <r>
      <rPr>
        <sz val="9"/>
        <rFont val="Arial"/>
        <family val="2"/>
      </rPr>
      <t xml:space="preserve"> 1100 – 2130</t>
    </r>
  </si>
  <si>
    <t>1330-0030</t>
  </si>
  <si>
    <t>Uge 3</t>
  </si>
  <si>
    <t>FRI</t>
  </si>
  <si>
    <t>Uge 4</t>
  </si>
  <si>
    <t>K1</t>
  </si>
  <si>
    <t>447 Dimitrios Kostis</t>
  </si>
  <si>
    <t>E</t>
  </si>
  <si>
    <t>380 Ali Capcan</t>
  </si>
  <si>
    <t>Informationen</t>
  </si>
  <si>
    <t>i1 Plankode 8520</t>
  </si>
  <si>
    <t>0700 - 1445</t>
  </si>
  <si>
    <t>0700 - 1300</t>
  </si>
  <si>
    <t>824 Anders Villadsen</t>
  </si>
  <si>
    <t>i1</t>
  </si>
  <si>
    <t>Sikring</t>
  </si>
  <si>
    <t>Plankode 8506</t>
  </si>
  <si>
    <t>0900-1600</t>
  </si>
  <si>
    <t>0800-1600</t>
  </si>
  <si>
    <t>0830-1600</t>
  </si>
  <si>
    <t>0830-1630</t>
  </si>
  <si>
    <t>0900-1430</t>
  </si>
  <si>
    <t>0900-1630</t>
  </si>
  <si>
    <t>Uge 5</t>
  </si>
  <si>
    <t>i2</t>
  </si>
  <si>
    <t>0745 - 1530</t>
  </si>
  <si>
    <t>0800-1400</t>
  </si>
  <si>
    <t>456 Oliver Villadsen</t>
  </si>
  <si>
    <t>473 Tarik Saji</t>
  </si>
  <si>
    <t>469 Nikolaj Pamhede</t>
  </si>
  <si>
    <t>I2</t>
  </si>
  <si>
    <t>480 Johnny Larsen</t>
  </si>
  <si>
    <t>Kødbyen</t>
  </si>
  <si>
    <t>Uge 1- 21-vagt</t>
  </si>
  <si>
    <t>21.00-07.00</t>
  </si>
  <si>
    <t>21.30-07.00</t>
  </si>
  <si>
    <t>Uge 3- 22-vagt</t>
  </si>
  <si>
    <t>Uge 5-23-vagt</t>
  </si>
  <si>
    <t>21.30-05.30</t>
  </si>
  <si>
    <t>Uge 6</t>
  </si>
  <si>
    <t>fln</t>
  </si>
  <si>
    <t xml:space="preserve">485 Daniel Tuveri                </t>
  </si>
  <si>
    <t>450 Thomas Lindenskov</t>
  </si>
  <si>
    <t>474 Atle Johansen</t>
  </si>
  <si>
    <t>468 Kenneth Kejlstrup</t>
  </si>
  <si>
    <t>465 Peter Tysygaard</t>
  </si>
  <si>
    <t>457 Michael Schou</t>
  </si>
  <si>
    <t>Rundviser</t>
  </si>
  <si>
    <t>1000-1600</t>
  </si>
  <si>
    <t>0900-1700</t>
  </si>
  <si>
    <t>0900-1400</t>
  </si>
  <si>
    <t>316 Marianne Rasmussen</t>
  </si>
  <si>
    <t>370 Kristoffer Sahlholdt</t>
  </si>
  <si>
    <t>R3</t>
  </si>
  <si>
    <t>R1</t>
  </si>
  <si>
    <t>nød</t>
  </si>
  <si>
    <t>R2</t>
  </si>
  <si>
    <t>Martin</t>
  </si>
  <si>
    <t>Claudia Frers</t>
  </si>
  <si>
    <t>Ritha Ayerkai</t>
  </si>
  <si>
    <t>886 Per Larsen</t>
  </si>
  <si>
    <t>Kjeld J. Jespersen</t>
  </si>
  <si>
    <t>Socialcenter København</t>
  </si>
  <si>
    <t>Plankode</t>
  </si>
  <si>
    <t>Griffen</t>
  </si>
  <si>
    <t>C</t>
  </si>
  <si>
    <t>815-1545</t>
  </si>
  <si>
    <t>915-1845</t>
  </si>
  <si>
    <t>815-1315</t>
  </si>
  <si>
    <t>D</t>
  </si>
  <si>
    <t>Brønshøjvej</t>
  </si>
  <si>
    <t>Lyongade</t>
  </si>
  <si>
    <t>G</t>
  </si>
  <si>
    <t>830-1545</t>
  </si>
  <si>
    <t>830-1830</t>
  </si>
  <si>
    <t>815-1415</t>
  </si>
  <si>
    <t>Spaniensgade</t>
  </si>
  <si>
    <t>H</t>
  </si>
  <si>
    <t>815-1515</t>
  </si>
  <si>
    <t>0745-1600</t>
  </si>
  <si>
    <t>745-1700</t>
  </si>
  <si>
    <t>Valdemarsgade</t>
  </si>
  <si>
    <t>K</t>
  </si>
  <si>
    <t>Matthæusgade</t>
  </si>
  <si>
    <t>L</t>
  </si>
  <si>
    <t>M</t>
  </si>
  <si>
    <t>Svanevej</t>
  </si>
  <si>
    <t>N</t>
  </si>
  <si>
    <t>830-1700</t>
  </si>
  <si>
    <t>Gl. Køge landevej</t>
  </si>
  <si>
    <t>Svendborggade</t>
  </si>
  <si>
    <t>Gammel Vasbygade</t>
  </si>
  <si>
    <t>R</t>
  </si>
  <si>
    <t>815-1600</t>
  </si>
  <si>
    <t>Sydbanestien</t>
  </si>
  <si>
    <t>S</t>
  </si>
  <si>
    <t>Hjemløseenheden</t>
  </si>
  <si>
    <t>U</t>
  </si>
  <si>
    <t>439 Erik H. Hansen</t>
  </si>
  <si>
    <t>691 Flemming Dam</t>
  </si>
  <si>
    <t>Thomas Hartmann</t>
  </si>
  <si>
    <t xml:space="preserve">395 Lars Lionette </t>
  </si>
  <si>
    <t>433 Simon Botfeldt</t>
  </si>
  <si>
    <t>477 Emil Veitner</t>
  </si>
  <si>
    <t xml:space="preserve">839 Johnny Karlsson </t>
  </si>
  <si>
    <t>Harfún Simonardottir</t>
  </si>
  <si>
    <t>Michael Thomsen</t>
  </si>
  <si>
    <t>682 Carl-Erik Holm</t>
  </si>
  <si>
    <t>N)</t>
  </si>
  <si>
    <t>396 Wojciech Jagielski</t>
  </si>
  <si>
    <t>982 Frank Falkenskov</t>
  </si>
  <si>
    <t>Jens-Erik Mathiesen</t>
  </si>
  <si>
    <t>Michael Dyhr</t>
  </si>
  <si>
    <t>Henning Larsen</t>
  </si>
  <si>
    <t>U)</t>
  </si>
  <si>
    <t>Administrations og Arrangementsafdelingen</t>
  </si>
  <si>
    <t xml:space="preserve">Plankoder </t>
  </si>
  <si>
    <t>0600 - 1115</t>
  </si>
  <si>
    <t>0600 - 1345</t>
  </si>
  <si>
    <t>0600 - 1200</t>
  </si>
  <si>
    <t>0600  - 1200</t>
  </si>
  <si>
    <t>0800 - 1545</t>
  </si>
  <si>
    <t>0800 - 1400</t>
  </si>
  <si>
    <t>Forskudt vagt</t>
  </si>
  <si>
    <r>
      <t xml:space="preserve">19: </t>
    </r>
    <r>
      <rPr>
        <sz val="9"/>
        <rFont val="Arial"/>
        <family val="2"/>
      </rPr>
      <t>kl. 11 - 1845</t>
    </r>
  </si>
  <si>
    <r>
      <t xml:space="preserve">19: </t>
    </r>
    <r>
      <rPr>
        <sz val="9"/>
        <rFont val="Arial"/>
        <family val="2"/>
      </rPr>
      <t>kl. 11 - 17</t>
    </r>
  </si>
  <si>
    <t>Afdeling 1722 afsnit 1701</t>
  </si>
  <si>
    <t>Michael Riis-Jensen</t>
  </si>
  <si>
    <t>Charlotte Dalsgaard</t>
  </si>
  <si>
    <t>416 Dorte Ramassi</t>
  </si>
  <si>
    <t>320 Mikael M. Andersen</t>
  </si>
  <si>
    <t>445 Jeanett Røjbæk</t>
  </si>
  <si>
    <t xml:space="preserve">323 Inge Hansen </t>
  </si>
  <si>
    <t>364 Henning Haaning</t>
  </si>
  <si>
    <t>908 Kenny  Hautop</t>
  </si>
  <si>
    <t>410 Karina Schiöpffe</t>
  </si>
  <si>
    <t>327 Johnny Hansen</t>
  </si>
  <si>
    <t>NØD</t>
  </si>
  <si>
    <t>I)</t>
  </si>
  <si>
    <t>504 Maya Villadsen</t>
  </si>
  <si>
    <t>Ludmilla Stidl</t>
  </si>
  <si>
    <t>309 Birthe Pedersen</t>
  </si>
  <si>
    <t>Michael Hansen</t>
  </si>
  <si>
    <t>Rikke EngHolm</t>
  </si>
  <si>
    <t>Nina Selma Sommer</t>
  </si>
  <si>
    <t>Katrine Muir</t>
  </si>
  <si>
    <t>Vikar</t>
  </si>
  <si>
    <t>Løntilskud</t>
  </si>
  <si>
    <t>Aksah</t>
  </si>
  <si>
    <t>Postservice</t>
  </si>
  <si>
    <t>0600 - 1330</t>
  </si>
  <si>
    <t>0600 - 1300</t>
  </si>
  <si>
    <r>
      <t>P1</t>
    </r>
    <r>
      <rPr>
        <sz val="9"/>
        <rFont val="Arial"/>
        <family val="2"/>
      </rPr>
      <t xml:space="preserve"> 0700 - 1445</t>
    </r>
  </si>
  <si>
    <r>
      <t>PF1</t>
    </r>
    <r>
      <rPr>
        <sz val="9"/>
        <rFont val="Arial"/>
        <family val="2"/>
      </rPr>
      <t xml:space="preserve"> 0700 - 1300</t>
    </r>
  </si>
  <si>
    <r>
      <t>P2</t>
    </r>
    <r>
      <rPr>
        <sz val="9"/>
        <rFont val="Arial"/>
        <family val="2"/>
      </rPr>
      <t xml:space="preserve"> 0730 - 1500</t>
    </r>
  </si>
  <si>
    <r>
      <t>PF2</t>
    </r>
    <r>
      <rPr>
        <sz val="9"/>
        <rFont val="Arial"/>
        <family val="2"/>
      </rPr>
      <t xml:space="preserve"> 0730 - 1430</t>
    </r>
  </si>
  <si>
    <r>
      <t xml:space="preserve">P3 </t>
    </r>
    <r>
      <rPr>
        <sz val="9"/>
        <rFont val="Arial"/>
        <family val="2"/>
      </rPr>
      <t>0845-1615</t>
    </r>
  </si>
  <si>
    <r>
      <t>PF3</t>
    </r>
    <r>
      <rPr>
        <sz val="10"/>
        <rFont val="Arial"/>
        <family val="2"/>
      </rPr>
      <t xml:space="preserve"> 0815-1545</t>
    </r>
  </si>
  <si>
    <t>Afdeling 1721 afsnit 1701</t>
  </si>
  <si>
    <t>401 Karsten Nielsen</t>
  </si>
  <si>
    <t>Postruter</t>
  </si>
  <si>
    <t>434 Marco Minerba</t>
  </si>
  <si>
    <t>P2</t>
  </si>
  <si>
    <t>984 Jannie M.-Andersen</t>
  </si>
  <si>
    <t>P1</t>
  </si>
  <si>
    <t>409 Martin Holse</t>
  </si>
  <si>
    <t>P3</t>
  </si>
  <si>
    <t>Skanning</t>
  </si>
  <si>
    <t>0815 - 1600</t>
  </si>
  <si>
    <t>0815 - 1415</t>
  </si>
  <si>
    <t>Afdeling/afsnit 4410/4411</t>
  </si>
  <si>
    <t>404 Claus Lahn</t>
  </si>
  <si>
    <t xml:space="preserve">419 Karina Petersen </t>
  </si>
  <si>
    <t>429 Ann Rudolf Nielsen</t>
  </si>
  <si>
    <t>Afdeling/afsnit 4420/4420</t>
  </si>
  <si>
    <t>Afdeling/afsnit 4250/4210</t>
  </si>
  <si>
    <t>Karsten Hallander</t>
  </si>
  <si>
    <t>Søren Christensen</t>
  </si>
  <si>
    <t>Frank Hansen</t>
  </si>
  <si>
    <t>Michael  Skytte</t>
  </si>
  <si>
    <t>Per Rasmussen</t>
  </si>
  <si>
    <t>Dagny Torres</t>
  </si>
  <si>
    <t>Rene  Svenning Johansen</t>
  </si>
  <si>
    <t>Martin Hansen</t>
  </si>
  <si>
    <t>Henrik Olsen</t>
  </si>
  <si>
    <t>Nicolai Schrøder</t>
  </si>
  <si>
    <t>AHF = Arbejder hjemme fra.</t>
  </si>
  <si>
    <t>383 Kjeld Julius Jespersen</t>
  </si>
  <si>
    <t>4</t>
  </si>
  <si>
    <t>3)</t>
  </si>
  <si>
    <t>6)</t>
  </si>
  <si>
    <t>Nød F</t>
  </si>
  <si>
    <t>3</t>
  </si>
  <si>
    <t>486 Anne-Mette Jensen</t>
  </si>
  <si>
    <t>25)</t>
  </si>
  <si>
    <t>8)</t>
  </si>
  <si>
    <t>Anton Bøgh</t>
  </si>
  <si>
    <t>Rasmus Olsen</t>
  </si>
  <si>
    <t>21)</t>
  </si>
  <si>
    <t>8</t>
  </si>
  <si>
    <t xml:space="preserve">  </t>
  </si>
  <si>
    <t>D)</t>
  </si>
  <si>
    <t>G)</t>
  </si>
  <si>
    <t>M)</t>
  </si>
  <si>
    <t>Jens Erik Mathisen</t>
  </si>
  <si>
    <t>A)</t>
  </si>
  <si>
    <t>69</t>
  </si>
  <si>
    <t>1</t>
  </si>
  <si>
    <t>79</t>
  </si>
  <si>
    <t>l)</t>
  </si>
  <si>
    <t>89)</t>
  </si>
  <si>
    <t>Anton</t>
  </si>
  <si>
    <t>Rasmus</t>
  </si>
  <si>
    <t>Elias</t>
  </si>
  <si>
    <t>R1)</t>
  </si>
  <si>
    <t>S)</t>
  </si>
  <si>
    <t>99</t>
  </si>
  <si>
    <t xml:space="preserve">U </t>
  </si>
  <si>
    <t>B1)</t>
  </si>
  <si>
    <t>23</t>
  </si>
  <si>
    <t>89</t>
  </si>
  <si>
    <t>Thomas Bay</t>
  </si>
  <si>
    <t>26)</t>
  </si>
  <si>
    <t xml:space="preserve">Rasmus </t>
  </si>
  <si>
    <t>Anders Petersen</t>
  </si>
  <si>
    <t>i1)</t>
  </si>
  <si>
    <t>79)</t>
  </si>
  <si>
    <t>C)</t>
  </si>
  <si>
    <t>R)</t>
  </si>
  <si>
    <t>P3)</t>
  </si>
  <si>
    <t>(I)</t>
  </si>
  <si>
    <t>åben</t>
  </si>
  <si>
    <t>(1</t>
  </si>
  <si>
    <t>1)</t>
  </si>
  <si>
    <t>GKL</t>
  </si>
  <si>
    <t>99)</t>
  </si>
  <si>
    <t>Elev</t>
  </si>
  <si>
    <t>Dorthe Sø Sonniks</t>
  </si>
  <si>
    <t>Ziad Tarik Naji</t>
  </si>
  <si>
    <t>Martin/Flemming G</t>
  </si>
  <si>
    <t>L)</t>
  </si>
  <si>
    <t>/</t>
  </si>
  <si>
    <t>Lars Martin Hansen</t>
  </si>
  <si>
    <t>126+</t>
  </si>
  <si>
    <t>GKL)</t>
  </si>
  <si>
    <t>B!</t>
  </si>
  <si>
    <t xml:space="preserve">Samantha Christiansen </t>
  </si>
  <si>
    <t>23)</t>
  </si>
  <si>
    <t>O)</t>
  </si>
  <si>
    <t>Jan Tranberg</t>
  </si>
  <si>
    <t>2)</t>
  </si>
  <si>
    <t>s</t>
  </si>
  <si>
    <t>424 Martin/Flemming G</t>
  </si>
  <si>
    <t>465 Peter Tystgaard</t>
  </si>
  <si>
    <t>Martin Håkansson</t>
  </si>
  <si>
    <t>Catarina Nikita Nakskov</t>
  </si>
  <si>
    <t>69)</t>
  </si>
  <si>
    <t>Jesper Larsen</t>
  </si>
  <si>
    <t>21</t>
  </si>
  <si>
    <t>R2)</t>
  </si>
  <si>
    <t>Hafrún Simonardottir</t>
  </si>
  <si>
    <t>P2)</t>
  </si>
  <si>
    <t>Sine Broe Andersen</t>
  </si>
  <si>
    <t>5)</t>
  </si>
  <si>
    <t>7</t>
  </si>
  <si>
    <t>4)</t>
  </si>
  <si>
    <t xml:space="preserve">Rasmus Olsen </t>
  </si>
  <si>
    <t>Emil Veitner</t>
  </si>
  <si>
    <t>k2</t>
  </si>
  <si>
    <t>22)</t>
  </si>
  <si>
    <t>Martin/Flemming</t>
  </si>
  <si>
    <t>Brian Glob</t>
  </si>
  <si>
    <t>P)</t>
  </si>
  <si>
    <t>P1)</t>
  </si>
  <si>
    <t xml:space="preserve"> Johnny Hansen</t>
  </si>
  <si>
    <t>B2)</t>
  </si>
  <si>
    <t>2</t>
  </si>
  <si>
    <t>9)</t>
  </si>
  <si>
    <t>K1)</t>
  </si>
  <si>
    <t>0600-1600</t>
  </si>
  <si>
    <t>Ditte</t>
  </si>
  <si>
    <t>Martin/Fklemming</t>
  </si>
  <si>
    <t>Brian Gleb</t>
  </si>
  <si>
    <t>Timepriser i Rådhusservice 2021</t>
  </si>
  <si>
    <t>Timepris</t>
  </si>
  <si>
    <t>Teknisk
 service</t>
  </si>
  <si>
    <t>Servering</t>
  </si>
  <si>
    <r>
      <t>Timepris: A</t>
    </r>
    <r>
      <rPr>
        <sz val="14"/>
        <rFont val="Arial"/>
        <family val="2"/>
      </rPr>
      <t>rrangementer mv. (6 til 17 på hverdage)</t>
    </r>
  </si>
  <si>
    <r>
      <rPr>
        <b/>
        <sz val="14"/>
        <rFont val="Arial"/>
        <family val="2"/>
      </rPr>
      <t>Overarbejde</t>
    </r>
    <r>
      <rPr>
        <sz val="14"/>
        <rFont val="Arial"/>
        <family val="2"/>
      </rPr>
      <t xml:space="preserve"> 50 % timer ved arrangementer mv. (17 til 20 på hverdage)</t>
    </r>
  </si>
  <si>
    <r>
      <rPr>
        <b/>
        <sz val="14"/>
        <rFont val="Arial"/>
        <family val="2"/>
      </rPr>
      <t>Overarbejde</t>
    </r>
    <r>
      <rPr>
        <sz val="14"/>
        <rFont val="Arial"/>
        <family val="2"/>
      </rPr>
      <t xml:space="preserve"> 100 % timer ved arrangementer mv. (20 til 6 på hverdage)</t>
    </r>
  </si>
  <si>
    <r>
      <rPr>
        <b/>
        <sz val="14"/>
        <rFont val="Arial"/>
        <family val="2"/>
      </rPr>
      <t>Udlejning af Betjente:</t>
    </r>
    <r>
      <rPr>
        <sz val="14"/>
        <rFont val="Arial"/>
        <family val="2"/>
      </rPr>
      <t xml:space="preserve"> Socialcentre, Borgerservice </t>
    </r>
  </si>
  <si>
    <t>Borgmestre chauffør, omvisninger og ved ad hoc opgaver.</t>
  </si>
  <si>
    <r>
      <t xml:space="preserve">Rundering: </t>
    </r>
    <r>
      <rPr>
        <sz val="14"/>
        <rFont val="Arial"/>
        <family val="2"/>
      </rPr>
      <t xml:space="preserve"> </t>
    </r>
  </si>
  <si>
    <r>
      <rPr>
        <b/>
        <sz val="14"/>
        <rFont val="Arial"/>
        <family val="2"/>
      </rPr>
      <t>Rundering</t>
    </r>
    <r>
      <rPr>
        <sz val="14"/>
        <rFont val="Arial"/>
        <family val="2"/>
      </rPr>
      <t xml:space="preserve">: Årsværk med alt inklusivt </t>
    </r>
  </si>
  <si>
    <t>Skolesupport</t>
  </si>
  <si>
    <t>Skolessupport Rundvisning</t>
  </si>
  <si>
    <t>Udlejning af personale til kantinen</t>
  </si>
  <si>
    <t>Postopgaver</t>
  </si>
  <si>
    <t>Postkørsel: Ad hoc opgaver</t>
  </si>
  <si>
    <t>Frankering: Tillæg pr. brev + portoen</t>
  </si>
  <si>
    <t>Leje af helt Dueslag pr. dag. (Inklusiv 1 daglig levering af post)</t>
  </si>
  <si>
    <t>Årligt 64.260</t>
  </si>
  <si>
    <t>Leje af halvt Dueslag pr. dag. (Inklusiv 1 daglig levering af post)</t>
  </si>
  <si>
    <t>Årligt 32.130</t>
  </si>
  <si>
    <t>Leje af kvart Dueslag pr. dag. (Kunden skal selv tømme for post)</t>
  </si>
  <si>
    <t>Årligt 16.065</t>
  </si>
  <si>
    <t>Skanning pr. time</t>
  </si>
  <si>
    <r>
      <rPr>
        <b/>
        <sz val="14"/>
        <rFont val="Arial"/>
        <family val="2"/>
      </rPr>
      <t>Rådhusnøgler</t>
    </r>
    <r>
      <rPr>
        <sz val="14"/>
        <rFont val="Arial"/>
        <family val="2"/>
      </rPr>
      <t xml:space="preserve"> pr. stk. </t>
    </r>
  </si>
  <si>
    <t>ID kort + adgangsbrikker</t>
  </si>
  <si>
    <t>Yoyo</t>
  </si>
  <si>
    <t>Kortholder</t>
  </si>
  <si>
    <t>Timepriser i Rådhusservice 2020</t>
  </si>
  <si>
    <t>GRUS/MUS 2018/2019 i Rådhusservice</t>
  </si>
  <si>
    <t>Lederne i Rådhusvagten</t>
  </si>
  <si>
    <t>Rådhusvagten</t>
  </si>
  <si>
    <t>Postservice, Skanning og HNG</t>
  </si>
  <si>
    <t>Indkalder</t>
  </si>
  <si>
    <t>Samtale med</t>
  </si>
  <si>
    <t>Afholdt den</t>
  </si>
  <si>
    <t>Flemming Nielsen</t>
  </si>
  <si>
    <t>Dennis Rise</t>
  </si>
  <si>
    <t>Erik Andersen</t>
  </si>
  <si>
    <t>Michael Bo Pedersen</t>
  </si>
  <si>
    <t>44 Lara Andersen</t>
  </si>
  <si>
    <t>Thomas Holm</t>
  </si>
  <si>
    <t>22/1-20</t>
  </si>
  <si>
    <t>Nick Lorentzen</t>
  </si>
  <si>
    <t>Kim Aabroe</t>
  </si>
  <si>
    <t>Rasmus Sørensen</t>
  </si>
  <si>
    <t>Mathias Nielsen</t>
  </si>
  <si>
    <t>Per Larsen</t>
  </si>
  <si>
    <t>Steen Hertin</t>
  </si>
  <si>
    <t>Administration og arrangements afd.</t>
  </si>
  <si>
    <t>327 Johnny V. Hansen</t>
  </si>
  <si>
    <t>Lars Nordhøj</t>
  </si>
  <si>
    <t>Mike Riis-Jensen</t>
  </si>
  <si>
    <t>13/11-20</t>
  </si>
  <si>
    <t>445 Jeanet Røjbæk</t>
  </si>
  <si>
    <t>394 Gorm Wilhjelm</t>
  </si>
  <si>
    <t>Ludmilla Stiedl</t>
  </si>
  <si>
    <t>410Karina Holm</t>
  </si>
  <si>
    <t>Nina Selmi Sommer</t>
  </si>
  <si>
    <t>Rikke EengHolm</t>
  </si>
  <si>
    <t>*</t>
  </si>
  <si>
    <t>*Afholdes når corona er overstået</t>
  </si>
  <si>
    <t>473 Tarik Sajl</t>
  </si>
  <si>
    <t>486 Anne-Mette</t>
  </si>
  <si>
    <t xml:space="preserve">Mathias Hartvig Morell Nielsen </t>
  </si>
  <si>
    <t xml:space="preserve">380 Ali Capkan </t>
  </si>
  <si>
    <t>6/3-20</t>
  </si>
  <si>
    <t>478 Kemal Turkmen</t>
  </si>
  <si>
    <t>Rundvisning</t>
  </si>
  <si>
    <t>370 Kristoffer Ruth Sahlholdt</t>
  </si>
  <si>
    <t>Martin Hvorslev</t>
  </si>
  <si>
    <t>Socialcentre</t>
  </si>
  <si>
    <t>Hafrun Simonardottir</t>
  </si>
  <si>
    <t>Dittemaria</t>
  </si>
  <si>
    <t>Thomas hartmann</t>
  </si>
  <si>
    <t>Daniel Tuveri</t>
  </si>
  <si>
    <t>Thomas Lindskov</t>
  </si>
  <si>
    <t>Michael Schou Schmidt</t>
  </si>
  <si>
    <t>Kenneth Kejlstrup</t>
  </si>
  <si>
    <t>Atle Johansen</t>
  </si>
  <si>
    <t>Vagterleder</t>
  </si>
  <si>
    <t>Plankode 8502</t>
  </si>
  <si>
    <t>Jørgen Pyrmer</t>
  </si>
  <si>
    <t>Plankode 8546</t>
  </si>
  <si>
    <t>Fri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</si>
  <si>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</si>
  <si>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</si>
  <si>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</si>
  <si>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</si>
  <si>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</si>
  <si>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</si>
  <si>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</si>
  <si>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</si>
  <si>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</si>
  <si>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Bjarne Wagner-Larsen</t>
  </si>
  <si>
    <t>Bo V. Jacobsen</t>
  </si>
  <si>
    <t>Timer i alt</t>
  </si>
  <si>
    <t>Formændsafløserne</t>
  </si>
  <si>
    <t>Plankode 8500</t>
  </si>
  <si>
    <t>Jesper Simonsen</t>
  </si>
  <si>
    <t>Michael B. Pedersen</t>
  </si>
  <si>
    <t xml:space="preserve">Vagter for turnus Rådhuset  </t>
  </si>
  <si>
    <t>Plankode 8516</t>
  </si>
  <si>
    <t>Hold 1</t>
  </si>
  <si>
    <t>0900 - 1715</t>
  </si>
  <si>
    <t>PA 0815 - 1615</t>
  </si>
  <si>
    <r>
      <t>1</t>
    </r>
    <r>
      <rPr>
        <sz val="9"/>
        <rFont val="Arial"/>
        <family val="2"/>
      </rPr>
      <t xml:space="preserve">                   Anders B. Hintze</t>
    </r>
  </si>
  <si>
    <t>PB 0815 - 1615</t>
  </si>
  <si>
    <t>2300 - 0600</t>
  </si>
  <si>
    <t>1900 - 0600</t>
  </si>
  <si>
    <t>PC 0900 - 1715</t>
  </si>
  <si>
    <r>
      <t xml:space="preserve">6 </t>
    </r>
    <r>
      <rPr>
        <sz val="9"/>
        <rFont val="Arial"/>
        <family val="2"/>
      </rPr>
      <t xml:space="preserve">                 Betina Knøsgaard</t>
    </r>
  </si>
  <si>
    <t>Dagvagt</t>
  </si>
  <si>
    <t>(Disp)</t>
  </si>
  <si>
    <r>
      <t>11</t>
    </r>
    <r>
      <rPr>
        <sz val="9"/>
        <rFont val="Arial"/>
        <family val="2"/>
      </rPr>
      <t xml:space="preserve">        Mariane E. Mortensen</t>
    </r>
  </si>
  <si>
    <t>Hold 2</t>
  </si>
  <si>
    <r>
      <t xml:space="preserve">2  </t>
    </r>
    <r>
      <rPr>
        <sz val="9"/>
        <rFont val="Arial"/>
        <family val="2"/>
      </rPr>
      <t xml:space="preserve">                      Henrik Dencker</t>
    </r>
  </si>
  <si>
    <r>
      <t>7</t>
    </r>
    <r>
      <rPr>
        <sz val="9"/>
        <rFont val="Arial"/>
        <family val="2"/>
      </rPr>
      <t xml:space="preserve">                              Jim Hansen</t>
    </r>
  </si>
  <si>
    <t>Aften 1600-2300 ( 0700-1900)</t>
  </si>
  <si>
    <t>Aften 1500-2300 ( 0830-1530)</t>
  </si>
  <si>
    <r>
      <t xml:space="preserve">12   </t>
    </r>
    <r>
      <rPr>
        <sz val="9"/>
        <rFont val="Arial"/>
        <family val="2"/>
      </rPr>
      <t xml:space="preserve">                Kim B.T Hansen</t>
    </r>
  </si>
  <si>
    <t>Nat 2300 - 0600 (1900 - 0600</t>
  </si>
  <si>
    <t>Hold 3</t>
  </si>
  <si>
    <t>Nat 2300 - 0700 (1900 - 0700)</t>
  </si>
  <si>
    <r>
      <t>3</t>
    </r>
    <r>
      <rPr>
        <sz val="9"/>
        <rFont val="Arial"/>
        <family val="2"/>
      </rPr>
      <t xml:space="preserve">          Mikael M. Martensen</t>
    </r>
  </si>
  <si>
    <r>
      <t xml:space="preserve">8                    </t>
    </r>
    <r>
      <rPr>
        <sz val="9"/>
        <rFont val="Arial"/>
        <family val="2"/>
      </rPr>
      <t>Steen Hertin</t>
    </r>
  </si>
  <si>
    <r>
      <t xml:space="preserve">13       </t>
    </r>
    <r>
      <rPr>
        <sz val="9"/>
        <rFont val="Arial"/>
        <family val="2"/>
      </rPr>
      <t>Anders C. Henriksen</t>
    </r>
  </si>
  <si>
    <t>Hold 4</t>
  </si>
  <si>
    <t>1600 - 2300</t>
  </si>
  <si>
    <r>
      <t xml:space="preserve">4                  </t>
    </r>
    <r>
      <rPr>
        <sz val="9"/>
        <rFont val="Arial"/>
        <family val="2"/>
      </rPr>
      <t>Kurt Foldberg</t>
    </r>
  </si>
  <si>
    <t>0830 - 1530</t>
  </si>
  <si>
    <r>
      <t>9</t>
    </r>
    <r>
      <rPr>
        <sz val="9"/>
        <rFont val="Arial"/>
        <family val="2"/>
      </rPr>
      <t xml:space="preserve">                            Per A. Olsen</t>
    </r>
  </si>
  <si>
    <r>
      <t xml:space="preserve">14 </t>
    </r>
    <r>
      <rPr>
        <sz val="9"/>
        <rFont val="Arial"/>
        <family val="2"/>
      </rPr>
      <t xml:space="preserve">               Henning Haaning</t>
    </r>
  </si>
  <si>
    <t>Hold 5</t>
  </si>
  <si>
    <r>
      <t>5</t>
    </r>
    <r>
      <rPr>
        <sz val="9"/>
        <rFont val="Arial"/>
        <family val="2"/>
      </rPr>
      <t xml:space="preserve">               Jannie M-Andersen</t>
    </r>
  </si>
  <si>
    <r>
      <t>10</t>
    </r>
    <r>
      <rPr>
        <sz val="9"/>
        <rFont val="Arial"/>
        <family val="2"/>
      </rPr>
      <t xml:space="preserve">                       Jim H. Larsen</t>
    </r>
  </si>
  <si>
    <r>
      <t xml:space="preserve">15              </t>
    </r>
    <r>
      <rPr>
        <sz val="9"/>
        <rFont val="Arial"/>
        <family val="2"/>
      </rPr>
      <t>Erik M. Nielsen</t>
    </r>
  </si>
  <si>
    <t xml:space="preserve">Vagter for Bernstoffsgade &amp; H.N.G.  </t>
  </si>
  <si>
    <t>Plankode 8511</t>
  </si>
  <si>
    <t xml:space="preserve">H  vagt 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</si>
  <si>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</si>
  <si>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</si>
  <si>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</si>
  <si>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</si>
  <si>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</si>
  <si>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</si>
  <si>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</si>
  <si>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</si>
  <si>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</si>
  <si>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</si>
  <si>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</si>
  <si>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</si>
  <si>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</si>
  <si>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</si>
  <si>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</si>
  <si>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</si>
  <si>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</si>
  <si>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</si>
  <si>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</si>
  <si>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</si>
  <si>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</si>
  <si>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</si>
  <si>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</si>
  <si>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</si>
  <si>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</si>
  <si>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</si>
  <si>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</si>
  <si>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</si>
  <si>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</si>
  <si>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</si>
  <si>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</si>
  <si>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</si>
  <si>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</si>
  <si>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</si>
  <si>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</si>
  <si>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</si>
  <si>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</si>
  <si>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</si>
  <si>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</si>
  <si>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</si>
  <si>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</si>
  <si>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</si>
  <si>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</si>
  <si>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</si>
  <si>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</si>
  <si>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</si>
  <si>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</si>
  <si>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</si>
  <si>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</si>
  <si>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</si>
  <si>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</si>
  <si>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</si>
  <si>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</si>
  <si>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</si>
  <si>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</si>
  <si>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</si>
  <si>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</si>
  <si>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</si>
  <si>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</si>
  <si>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</si>
  <si>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</si>
  <si>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</si>
  <si>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</si>
  <si>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</si>
  <si>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</si>
  <si>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0745- 1345</t>
  </si>
  <si>
    <t>372 Jørgen Pyrmer</t>
  </si>
  <si>
    <t>Stedfortræder</t>
  </si>
  <si>
    <t>Ugentligt</t>
  </si>
  <si>
    <t>Månedligt</t>
  </si>
  <si>
    <t>Årligt</t>
  </si>
  <si>
    <r>
      <t>4:</t>
    </r>
    <r>
      <rPr>
        <sz val="9"/>
        <rFont val="Arial"/>
        <family val="2"/>
      </rPr>
      <t xml:space="preserve"> 2230- 0645</t>
    </r>
  </si>
  <si>
    <r>
      <t>B:</t>
    </r>
    <r>
      <rPr>
        <sz val="9"/>
        <rFont val="Arial"/>
        <family val="2"/>
      </rPr>
      <t xml:space="preserve"> 1830 - 0645</t>
    </r>
  </si>
  <si>
    <r>
      <t>1:</t>
    </r>
    <r>
      <rPr>
        <sz val="9"/>
        <rFont val="Arial"/>
        <family val="2"/>
      </rPr>
      <t xml:space="preserve"> Vagthavende kl. 0630 - 1445</t>
    </r>
  </si>
  <si>
    <t>Timeopgørelse</t>
  </si>
  <si>
    <r>
      <t>2:</t>
    </r>
    <r>
      <rPr>
        <sz val="9"/>
        <rFont val="Arial"/>
        <family val="2"/>
      </rPr>
      <t xml:space="preserve"> Vagthavende kl. 1430 - 2230</t>
    </r>
  </si>
  <si>
    <t>Timer i 2./3. skift</t>
  </si>
  <si>
    <r>
      <t>3:</t>
    </r>
    <r>
      <rPr>
        <sz val="9"/>
        <rFont val="Arial"/>
        <family val="2"/>
      </rPr>
      <t xml:space="preserve"> Patruljeleder kl. 1630 - 2345</t>
    </r>
  </si>
  <si>
    <r>
      <t xml:space="preserve">II </t>
    </r>
    <r>
      <rPr>
        <sz val="9"/>
        <rFont val="Arial"/>
        <family val="2"/>
      </rPr>
      <t>886 Per Larsen</t>
    </r>
  </si>
  <si>
    <r>
      <t>1:</t>
    </r>
    <r>
      <rPr>
        <sz val="9"/>
        <rFont val="Arial"/>
        <family val="2"/>
      </rPr>
      <t xml:space="preserve"> 0630 - 1445</t>
    </r>
  </si>
  <si>
    <r>
      <t>A</t>
    </r>
    <r>
      <rPr>
        <sz val="9"/>
        <rFont val="Arial"/>
        <family val="2"/>
      </rPr>
      <t xml:space="preserve">: Vagthavende kl. 0630 - 1845  </t>
    </r>
  </si>
  <si>
    <r>
      <t>III</t>
    </r>
    <r>
      <rPr>
        <sz val="9"/>
        <rFont val="Arial"/>
        <family val="2"/>
      </rPr>
      <t xml:space="preserve"> 654 Bo Volfing Jacobsen</t>
    </r>
  </si>
  <si>
    <r>
      <t>B:</t>
    </r>
    <r>
      <rPr>
        <sz val="9"/>
        <rFont val="Arial"/>
        <family val="2"/>
      </rPr>
      <t xml:space="preserve"> Vagthavende kl. 1830 - 0645 </t>
    </r>
  </si>
  <si>
    <r>
      <t>2:</t>
    </r>
    <r>
      <rPr>
        <sz val="9"/>
        <rFont val="Arial"/>
        <family val="2"/>
      </rPr>
      <t xml:space="preserve"> 1430 - 2230</t>
    </r>
  </si>
  <si>
    <r>
      <t>A:</t>
    </r>
    <r>
      <rPr>
        <sz val="9"/>
        <rFont val="Arial"/>
        <family val="2"/>
      </rPr>
      <t xml:space="preserve"> 0630 - 1845</t>
    </r>
  </si>
  <si>
    <t>Total</t>
  </si>
  <si>
    <r>
      <t>V</t>
    </r>
    <r>
      <rPr>
        <sz val="9"/>
        <rFont val="Arial"/>
        <family val="2"/>
      </rPr>
      <t xml:space="preserve">  669 Jørgen Rasmussen.</t>
    </r>
  </si>
  <si>
    <r>
      <t>3:</t>
    </r>
    <r>
      <rPr>
        <sz val="9"/>
        <rFont val="Arial"/>
        <family val="2"/>
      </rPr>
      <t xml:space="preserve"> 1630 - 2345</t>
    </r>
  </si>
  <si>
    <t>Rondering / alarmudrykning</t>
  </si>
  <si>
    <t>Normtid</t>
  </si>
  <si>
    <t>37 timer x 4 uger =</t>
  </si>
  <si>
    <t>timer</t>
  </si>
  <si>
    <r>
      <t xml:space="preserve">VI </t>
    </r>
    <r>
      <rPr>
        <sz val="9"/>
        <rFont val="Arial"/>
        <family val="2"/>
      </rPr>
      <t>890 Michael Bo Pedersen</t>
    </r>
  </si>
  <si>
    <t xml:space="preserve">2. / 3. Skifts timer =  </t>
  </si>
  <si>
    <t>:37 timer</t>
  </si>
  <si>
    <t>357 Jesper Simonsen</t>
  </si>
  <si>
    <t xml:space="preserve">timer x 3 (grundet 37/3 reglen) = </t>
  </si>
  <si>
    <t>358 Per Olsen</t>
  </si>
  <si>
    <t>timer - godtskrivelse på</t>
  </si>
  <si>
    <t>timer =</t>
  </si>
  <si>
    <t>(Skal arbejde)</t>
  </si>
  <si>
    <t>reel tid - normtid</t>
  </si>
  <si>
    <t xml:space="preserve">Turnusvagter Rådhuset  </t>
  </si>
  <si>
    <t>Uge      Plankode 8516</t>
  </si>
  <si>
    <t>Dag tjeneste</t>
  </si>
  <si>
    <r>
      <t>11</t>
    </r>
    <r>
      <rPr>
        <sz val="9"/>
        <rFont val="Arial"/>
        <family val="2"/>
      </rPr>
      <t xml:space="preserve"> 2300 - 0715</t>
    </r>
  </si>
  <si>
    <r>
      <t>B3</t>
    </r>
    <r>
      <rPr>
        <sz val="10"/>
        <color indexed="9"/>
        <rFont val="Arial"/>
        <family val="2"/>
      </rPr>
      <t xml:space="preserve"> 1900 - 0715</t>
    </r>
  </si>
  <si>
    <t>Timer i 2./3. Skift</t>
  </si>
  <si>
    <r>
      <t xml:space="preserve">1 </t>
    </r>
    <r>
      <rPr>
        <sz val="9"/>
        <rFont val="Arial"/>
        <family val="2"/>
      </rPr>
      <t>0700 - 1400 + helligdage kl. 0700-1400</t>
    </r>
  </si>
  <si>
    <r>
      <t>Uge 1</t>
    </r>
    <r>
      <rPr>
        <sz val="9"/>
        <rFont val="Arial"/>
        <family val="2"/>
      </rPr>
      <t xml:space="preserve"> </t>
    </r>
  </si>
  <si>
    <r>
      <t>2</t>
    </r>
    <r>
      <rPr>
        <sz val="9"/>
        <rFont val="Arial"/>
        <family val="2"/>
      </rPr>
      <t>udgået</t>
    </r>
  </si>
  <si>
    <r>
      <t>9</t>
    </r>
    <r>
      <rPr>
        <sz val="9"/>
        <rFont val="Arial"/>
        <family val="2"/>
      </rPr>
      <t xml:space="preserve"> 2300 - 0600</t>
    </r>
  </si>
  <si>
    <r>
      <t>B1</t>
    </r>
    <r>
      <rPr>
        <sz val="10"/>
        <color indexed="9"/>
        <rFont val="Arial"/>
        <family val="2"/>
      </rPr>
      <t>1900 - 0600</t>
    </r>
  </si>
  <si>
    <r>
      <t>3</t>
    </r>
    <r>
      <rPr>
        <sz val="9"/>
        <rFont val="Arial"/>
        <family val="2"/>
      </rPr>
      <t xml:space="preserve"> 0730 - 1530 + helligdage kl. 0730-1530</t>
    </r>
  </si>
  <si>
    <r>
      <t xml:space="preserve">6 </t>
    </r>
    <r>
      <rPr>
        <sz val="9"/>
        <rFont val="Arial"/>
        <family val="2"/>
      </rPr>
      <t xml:space="preserve">                Betina Knøsgaard</t>
    </r>
  </si>
  <si>
    <t xml:space="preserve">Uge 6 </t>
  </si>
  <si>
    <r>
      <t>4</t>
    </r>
    <r>
      <rPr>
        <sz val="9"/>
        <rFont val="Arial"/>
        <family val="2"/>
      </rPr>
      <t xml:space="preserve"> 0930 - 1730</t>
    </r>
  </si>
  <si>
    <r>
      <t>10</t>
    </r>
    <r>
      <rPr>
        <sz val="9"/>
        <rFont val="Arial"/>
        <family val="2"/>
      </rPr>
      <t xml:space="preserve"> 2300 - 0700</t>
    </r>
  </si>
  <si>
    <r>
      <t>B2</t>
    </r>
    <r>
      <rPr>
        <sz val="10"/>
        <color indexed="9"/>
        <rFont val="Arial"/>
        <family val="2"/>
      </rPr>
      <t>1900 - 0700</t>
    </r>
  </si>
  <si>
    <r>
      <t>11</t>
    </r>
    <r>
      <rPr>
        <sz val="9"/>
        <rFont val="Arial"/>
        <family val="2"/>
      </rPr>
      <t xml:space="preserve">            Mariane Hillebrand</t>
    </r>
  </si>
  <si>
    <r>
      <t>Uge 11</t>
    </r>
    <r>
      <rPr>
        <sz val="9"/>
        <rFont val="Arial"/>
        <family val="2"/>
      </rPr>
      <t xml:space="preserve">            </t>
    </r>
  </si>
  <si>
    <r>
      <t>A1</t>
    </r>
    <r>
      <rPr>
        <sz val="9"/>
        <rFont val="Arial"/>
        <family val="2"/>
      </rPr>
      <t xml:space="preserve"> 0845 - 1745 Lørdag (Hovedporten), Niels Hemmingsens Gade</t>
    </r>
  </si>
  <si>
    <r>
      <t>2</t>
    </r>
    <r>
      <rPr>
        <sz val="9"/>
        <rFont val="Arial"/>
        <family val="2"/>
      </rPr>
      <t xml:space="preserve">                     Jørn Rasmussen</t>
    </r>
  </si>
  <si>
    <r>
      <t>Uge 2</t>
    </r>
    <r>
      <rPr>
        <sz val="9"/>
        <rFont val="Arial"/>
        <family val="2"/>
      </rPr>
      <t xml:space="preserve">                             </t>
    </r>
  </si>
  <si>
    <t>Uge 7</t>
  </si>
  <si>
    <t>Uge 8</t>
  </si>
  <si>
    <r>
      <t>A2</t>
    </r>
    <r>
      <rPr>
        <sz val="9"/>
        <rFont val="Arial"/>
        <family val="2"/>
      </rPr>
      <t xml:space="preserve"> 0700 - 1900 Lør-, søndage</t>
    </r>
  </si>
  <si>
    <r>
      <t xml:space="preserve">7 </t>
    </r>
    <r>
      <rPr>
        <sz val="9"/>
        <rFont val="Arial"/>
        <family val="2"/>
      </rPr>
      <t xml:space="preserve">             Kim B.T. Pedersen</t>
    </r>
  </si>
  <si>
    <t>Uge 9</t>
  </si>
  <si>
    <r>
      <t>A3</t>
    </r>
    <r>
      <rPr>
        <sz val="9"/>
        <rFont val="Arial"/>
        <family val="2"/>
      </rPr>
      <t xml:space="preserve"> 0700 - 1915</t>
    </r>
  </si>
  <si>
    <r>
      <t xml:space="preserve">A3 </t>
    </r>
    <r>
      <rPr>
        <sz val="9"/>
        <rFont val="Arial"/>
        <family val="2"/>
      </rPr>
      <t>0700 - 1915</t>
    </r>
  </si>
  <si>
    <t>Uge 10</t>
  </si>
  <si>
    <r>
      <t>A3</t>
    </r>
    <r>
      <rPr>
        <sz val="9"/>
        <rFont val="Arial"/>
        <family val="2"/>
      </rPr>
      <t xml:space="preserve"> 0700 - 1915 Lør-, søndage</t>
    </r>
  </si>
  <si>
    <r>
      <t>12</t>
    </r>
    <r>
      <rPr>
        <sz val="9"/>
        <rFont val="Arial"/>
        <family val="2"/>
      </rPr>
      <t xml:space="preserve">                  Kristoffer Ruth</t>
    </r>
  </si>
  <si>
    <r>
      <t>Uge 12</t>
    </r>
    <r>
      <rPr>
        <sz val="9"/>
        <rFont val="Arial"/>
        <family val="2"/>
      </rPr>
      <t xml:space="preserve">                  </t>
    </r>
  </si>
  <si>
    <t>Uge 11</t>
  </si>
  <si>
    <r>
      <t>8</t>
    </r>
    <r>
      <rPr>
        <sz val="9"/>
        <rFont val="Arial"/>
        <family val="2"/>
      </rPr>
      <t xml:space="preserve"> 1600 - 2300</t>
    </r>
  </si>
  <si>
    <r>
      <t>8</t>
    </r>
    <r>
      <rPr>
        <sz val="9"/>
        <rFont val="Arial"/>
        <family val="2"/>
      </rPr>
      <t xml:space="preserve"> 1600 - 2230</t>
    </r>
  </si>
  <si>
    <r>
      <t xml:space="preserve">A2 </t>
    </r>
    <r>
      <rPr>
        <sz val="9"/>
        <rFont val="Arial"/>
        <family val="2"/>
      </rPr>
      <t>0700 - 1900</t>
    </r>
  </si>
  <si>
    <t>Uge 12</t>
  </si>
  <si>
    <t>Aften tjeneste</t>
  </si>
  <si>
    <r>
      <t>Uge 3</t>
    </r>
    <r>
      <rPr>
        <sz val="9"/>
        <rFont val="Arial"/>
        <family val="2"/>
      </rPr>
      <t xml:space="preserve"> </t>
    </r>
  </si>
  <si>
    <t>Uge 13</t>
  </si>
  <si>
    <r>
      <t xml:space="preserve">5 </t>
    </r>
    <r>
      <rPr>
        <sz val="9"/>
        <rFont val="Arial"/>
        <family val="2"/>
      </rPr>
      <t>1600 - 2330</t>
    </r>
  </si>
  <si>
    <r>
      <t>6</t>
    </r>
    <r>
      <rPr>
        <sz val="9"/>
        <rFont val="Arial"/>
        <family val="2"/>
      </rPr>
      <t xml:space="preserve"> 1600 - 2300</t>
    </r>
  </si>
  <si>
    <r>
      <t>A1</t>
    </r>
    <r>
      <rPr>
        <sz val="9"/>
        <rFont val="Arial"/>
        <family val="2"/>
      </rPr>
      <t xml:space="preserve"> 0845 - 1745</t>
    </r>
  </si>
  <si>
    <t>Uge 14</t>
  </si>
  <si>
    <r>
      <t>6</t>
    </r>
    <r>
      <rPr>
        <sz val="9"/>
        <rFont val="Arial"/>
        <family val="2"/>
      </rPr>
      <t xml:space="preserve"> Aften 1600-2300 </t>
    </r>
  </si>
  <si>
    <r>
      <t xml:space="preserve">8                   </t>
    </r>
    <r>
      <rPr>
        <sz val="9"/>
        <rFont val="Arial"/>
        <family val="2"/>
      </rPr>
      <t>Steen Hertin</t>
    </r>
  </si>
  <si>
    <t>Uge 15</t>
  </si>
  <si>
    <r>
      <t>7</t>
    </r>
    <r>
      <rPr>
        <sz val="10"/>
        <color indexed="9"/>
        <rFont val="Arial"/>
        <family val="2"/>
      </rPr>
      <t xml:space="preserve"> Aften 1515 -2315</t>
    </r>
  </si>
  <si>
    <r>
      <t>7</t>
    </r>
    <r>
      <rPr>
        <sz val="10"/>
        <color indexed="9"/>
        <rFont val="Arial"/>
        <family val="2"/>
      </rPr>
      <t xml:space="preserve"> 1515 - 2315</t>
    </r>
  </si>
  <si>
    <r>
      <t>8</t>
    </r>
    <r>
      <rPr>
        <sz val="9"/>
        <rFont val="Arial"/>
        <family val="2"/>
      </rPr>
      <t xml:space="preserve"> Aften 1600-2300 / fre. 1600 - 2230</t>
    </r>
  </si>
  <si>
    <r>
      <t xml:space="preserve">13 </t>
    </r>
    <r>
      <rPr>
        <sz val="9"/>
        <rFont val="Arial"/>
        <family val="2"/>
      </rPr>
      <t xml:space="preserve">      Maria Christensen</t>
    </r>
  </si>
  <si>
    <t>37 timer x 15 uger =</t>
  </si>
  <si>
    <t>Nat tjeneste</t>
  </si>
  <si>
    <r>
      <t xml:space="preserve">4                  </t>
    </r>
    <r>
      <rPr>
        <sz val="9"/>
        <rFont val="Arial"/>
        <family val="2"/>
      </rPr>
      <t>Bo Lundvall</t>
    </r>
  </si>
  <si>
    <r>
      <t>9</t>
    </r>
    <r>
      <rPr>
        <sz val="9"/>
        <rFont val="Arial"/>
        <family val="2"/>
      </rPr>
      <t xml:space="preserve"> Nat 2300 - 0600 </t>
    </r>
  </si>
  <si>
    <r>
      <t>10</t>
    </r>
    <r>
      <rPr>
        <sz val="9"/>
        <rFont val="Arial"/>
        <family val="2"/>
      </rPr>
      <t xml:space="preserve"> Nat 2300 - 0700 </t>
    </r>
  </si>
  <si>
    <r>
      <t>9</t>
    </r>
    <r>
      <rPr>
        <sz val="9"/>
        <rFont val="Arial"/>
        <family val="2"/>
      </rPr>
      <t xml:space="preserve">                   Daniel Ben jakler</t>
    </r>
  </si>
  <si>
    <r>
      <t>11</t>
    </r>
    <r>
      <rPr>
        <sz val="9"/>
        <rFont val="Arial"/>
        <family val="2"/>
      </rPr>
      <t xml:space="preserve"> Nat 2300 - 0715</t>
    </r>
  </si>
  <si>
    <r>
      <t>14</t>
    </r>
    <r>
      <rPr>
        <sz val="9"/>
        <rFont val="Arial"/>
        <family val="2"/>
      </rPr>
      <t xml:space="preserve">               Sonny Thomsen</t>
    </r>
  </si>
  <si>
    <r>
      <t>Uge 14</t>
    </r>
    <r>
      <rPr>
        <sz val="9"/>
        <rFont val="Arial"/>
        <family val="2"/>
      </rPr>
      <t xml:space="preserve"> </t>
    </r>
  </si>
  <si>
    <r>
      <t>B1</t>
    </r>
    <r>
      <rPr>
        <sz val="9"/>
        <rFont val="Arial"/>
        <family val="2"/>
      </rPr>
      <t xml:space="preserve"> Nat 1900 - 0600  Lør-, søndage</t>
    </r>
  </si>
  <si>
    <r>
      <t>1</t>
    </r>
    <r>
      <rPr>
        <sz val="9"/>
        <rFont val="Arial"/>
        <family val="2"/>
      </rPr>
      <t xml:space="preserve"> 0700 - 1400</t>
    </r>
  </si>
  <si>
    <r>
      <t>Uge 5</t>
    </r>
    <r>
      <rPr>
        <sz val="9"/>
        <rFont val="Arial"/>
        <family val="2"/>
      </rPr>
      <t xml:space="preserve">               </t>
    </r>
  </si>
  <si>
    <r>
      <t>B2</t>
    </r>
    <r>
      <rPr>
        <sz val="9"/>
        <rFont val="Arial"/>
        <family val="2"/>
      </rPr>
      <t xml:space="preserve"> Nat 1900 - 0700  Lør-, søndage </t>
    </r>
  </si>
  <si>
    <r>
      <t>5</t>
    </r>
    <r>
      <rPr>
        <sz val="9"/>
        <rFont val="Arial"/>
        <family val="2"/>
      </rPr>
      <t xml:space="preserve"> 1600 - 2330</t>
    </r>
  </si>
  <si>
    <r>
      <t>Uge 10</t>
    </r>
    <r>
      <rPr>
        <sz val="9"/>
        <rFont val="Arial"/>
        <family val="2"/>
      </rPr>
      <t xml:space="preserve"> </t>
    </r>
  </si>
  <si>
    <r>
      <t>B3</t>
    </r>
    <r>
      <rPr>
        <sz val="9"/>
        <rFont val="Arial"/>
        <family val="2"/>
      </rPr>
      <t xml:space="preserve"> Nat 1900 - 0715  Lør-, søndage</t>
    </r>
  </si>
  <si>
    <r>
      <t>3</t>
    </r>
    <r>
      <rPr>
        <sz val="9"/>
        <rFont val="Arial"/>
        <family val="2"/>
      </rPr>
      <t xml:space="preserve"> 0730 - 1530</t>
    </r>
  </si>
  <si>
    <t xml:space="preserve">Uge 15 </t>
  </si>
  <si>
    <t xml:space="preserve">Turnusvagter Rådhuset i ugerækkefølge </t>
  </si>
  <si>
    <r>
      <t>2</t>
    </r>
    <r>
      <rPr>
        <sz val="9"/>
        <rFont val="Arial"/>
        <family val="2"/>
      </rPr>
      <t xml:space="preserve">                    Jørn Rasmussen</t>
    </r>
  </si>
  <si>
    <r>
      <t xml:space="preserve">9  </t>
    </r>
    <r>
      <rPr>
        <sz val="9"/>
        <rFont val="Arial"/>
        <family val="2"/>
      </rPr>
      <t xml:space="preserve">                Daniel Ben Jakler</t>
    </r>
  </si>
  <si>
    <t>Fast I-vagt (Informationen)</t>
  </si>
  <si>
    <t>Plankode 8520</t>
  </si>
  <si>
    <t>0700-1445</t>
  </si>
  <si>
    <t>0700-1300</t>
  </si>
  <si>
    <t>Afl. Fast A-portner, P-plads</t>
  </si>
  <si>
    <t>B &amp; U.</t>
  </si>
  <si>
    <t>0745-1530</t>
  </si>
  <si>
    <t>0745-1345</t>
  </si>
  <si>
    <t>Ulla Belsager Olsen</t>
  </si>
  <si>
    <t>Fast Buffer</t>
  </si>
  <si>
    <t>Plankode 8514</t>
  </si>
  <si>
    <t>0800 - 1600</t>
  </si>
  <si>
    <t>0800 - 1300</t>
  </si>
  <si>
    <t>Vagter for Bryggens Gård  (Nedlagt 31/3 - 2005)</t>
  </si>
  <si>
    <t>timer *</t>
  </si>
  <si>
    <t>uger =</t>
  </si>
  <si>
    <t>Timer</t>
  </si>
  <si>
    <t xml:space="preserve"> 0600 - 1400</t>
  </si>
  <si>
    <r>
      <t xml:space="preserve"> </t>
    </r>
    <r>
      <rPr>
        <sz val="9"/>
        <rFont val="Arial"/>
        <family val="2"/>
      </rPr>
      <t>0600 - 1300</t>
    </r>
  </si>
  <si>
    <t>Åbne Njalsgade kl. 600 - 630</t>
  </si>
  <si>
    <t>2. / 3. Skifts timer:</t>
  </si>
  <si>
    <t xml:space="preserve"> 1400 - 2030</t>
  </si>
  <si>
    <t xml:space="preserve"> 1300 - 1915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</si>
  <si>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</si>
  <si>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</si>
  <si>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</si>
  <si>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</si>
  <si>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</si>
  <si>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</si>
  <si>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</si>
  <si>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1200 - 1900</t>
  </si>
  <si>
    <t>1200 - 1800</t>
  </si>
  <si>
    <t>34 : 37 timer = 0,92  timer</t>
  </si>
  <si>
    <t>Udgået</t>
  </si>
  <si>
    <t>0,92 timer x 3 (grundet 37/3 reglen) = 2,76 timer</t>
  </si>
  <si>
    <t>111 timer - godtskrivelse på 2,76 timer = 108,24 timer</t>
  </si>
  <si>
    <r>
      <t>108 timer - 108,24 timer = -0,24</t>
    </r>
    <r>
      <rPr>
        <u/>
        <sz val="10"/>
        <rFont val="Arial"/>
        <family val="2"/>
      </rPr>
      <t xml:space="preserve"> time</t>
    </r>
  </si>
  <si>
    <t>Buffergruppen</t>
  </si>
  <si>
    <t>Vagter for Kredse</t>
  </si>
  <si>
    <t>Uge      Plankode 8513</t>
  </si>
  <si>
    <r>
      <t>K1 0815</t>
    </r>
    <r>
      <rPr>
        <sz val="9"/>
        <rFont val="Arial"/>
        <family val="2"/>
      </rPr>
      <t xml:space="preserve"> - 1545</t>
    </r>
  </si>
  <si>
    <t>K1 0815 - 1545</t>
  </si>
  <si>
    <t>K1 0900 - 1830</t>
  </si>
  <si>
    <t>K1 0815-1315</t>
  </si>
  <si>
    <t>K2 1500 – 0015</t>
  </si>
  <si>
    <t>K2 1400 – 0015</t>
  </si>
  <si>
    <r>
      <t>KA</t>
    </r>
    <r>
      <rPr>
        <sz val="9"/>
        <rFont val="Arial"/>
        <family val="2"/>
      </rPr>
      <t xml:space="preserve"> 1100 - 2130</t>
    </r>
  </si>
  <si>
    <t>x 3 (grundet 37/3 reglen) =</t>
  </si>
  <si>
    <t>time (godtskrivelse)</t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</si>
  <si>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</si>
  <si>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</si>
  <si>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</si>
  <si>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</si>
  <si>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</si>
  <si>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</si>
  <si>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r>
      <t>H1</t>
    </r>
    <r>
      <rPr>
        <sz val="9"/>
        <rFont val="Arial"/>
        <family val="2"/>
      </rPr>
      <t xml:space="preserve"> 1800 - 0600</t>
    </r>
  </si>
  <si>
    <r>
      <t>HB</t>
    </r>
    <r>
      <rPr>
        <sz val="9"/>
        <rFont val="Arial"/>
        <family val="2"/>
      </rPr>
      <t xml:space="preserve"> 2400 - 1200</t>
    </r>
  </si>
  <si>
    <r>
      <t>HD</t>
    </r>
    <r>
      <rPr>
        <sz val="9"/>
        <rFont val="Arial"/>
        <family val="2"/>
      </rPr>
      <t xml:space="preserve"> 2200 - 0600</t>
    </r>
  </si>
  <si>
    <t>1      Uge 1</t>
  </si>
  <si>
    <t>2      Uge 2</t>
  </si>
  <si>
    <r>
      <t>HA</t>
    </r>
    <r>
      <rPr>
        <sz val="9"/>
        <rFont val="Arial"/>
        <family val="2"/>
      </rPr>
      <t xml:space="preserve"> 1200 - 2400</t>
    </r>
  </si>
  <si>
    <r>
      <t>HC</t>
    </r>
    <r>
      <rPr>
        <sz val="9"/>
        <rFont val="Arial"/>
        <family val="2"/>
      </rPr>
      <t xml:space="preserve"> 1200 - 2200</t>
    </r>
  </si>
  <si>
    <t>3      Uge 3</t>
  </si>
  <si>
    <r>
      <t>H2</t>
    </r>
    <r>
      <rPr>
        <sz val="9"/>
        <rFont val="Arial"/>
        <family val="2"/>
      </rPr>
      <t xml:space="preserve"> 0900 - 1545</t>
    </r>
  </si>
  <si>
    <r>
      <t>H3</t>
    </r>
    <r>
      <rPr>
        <sz val="9"/>
        <rFont val="Arial"/>
        <family val="2"/>
      </rPr>
      <t xml:space="preserve"> 0800 - 1545</t>
    </r>
  </si>
  <si>
    <r>
      <t>H4</t>
    </r>
    <r>
      <rPr>
        <sz val="9"/>
        <rFont val="Arial"/>
        <family val="2"/>
      </rPr>
      <t xml:space="preserve"> 0800 - 1530</t>
    </r>
  </si>
  <si>
    <t>4      Uge 4</t>
  </si>
  <si>
    <t>Bollevagter til helligdage</t>
  </si>
  <si>
    <t>Snit pr. måned</t>
  </si>
  <si>
    <t>BR møder på år</t>
  </si>
  <si>
    <t>AR på år</t>
  </si>
  <si>
    <t>svarer til ca. 47 medarbejdere</t>
  </si>
  <si>
    <t>Rådhusservice</t>
  </si>
  <si>
    <t xml:space="preserve">Plankode  </t>
  </si>
  <si>
    <t>0730 - 1515</t>
  </si>
  <si>
    <t>0730 - 1330</t>
  </si>
  <si>
    <t>168 Kurt N. V. Hansen</t>
  </si>
  <si>
    <t>643 Bjarne Wagner-Larsen</t>
  </si>
  <si>
    <t>360 Anders Henriksen</t>
  </si>
  <si>
    <t>614 Arne Berthold</t>
  </si>
  <si>
    <t>Birgith Melsted Jensen</t>
  </si>
  <si>
    <t>Majbritt Jensen</t>
  </si>
  <si>
    <t>Ruth Nissen</t>
  </si>
  <si>
    <t>Vagtkode i lønsystem</t>
  </si>
  <si>
    <t>I27</t>
  </si>
  <si>
    <t>I26</t>
  </si>
  <si>
    <t>A77</t>
  </si>
  <si>
    <t>A60</t>
  </si>
  <si>
    <t>F04</t>
  </si>
  <si>
    <t>BW 1</t>
  </si>
  <si>
    <t>BW1</t>
  </si>
  <si>
    <t>Tur</t>
  </si>
  <si>
    <t>F01</t>
  </si>
  <si>
    <t>F02</t>
  </si>
  <si>
    <t>AW 1</t>
  </si>
  <si>
    <r>
      <t>3:</t>
    </r>
    <r>
      <rPr>
        <sz val="9"/>
        <rFont val="Arial"/>
        <family val="2"/>
      </rPr>
      <t xml:space="preserve"> 1630-2345</t>
    </r>
  </si>
  <si>
    <r>
      <t>VI</t>
    </r>
    <r>
      <rPr>
        <sz val="9"/>
        <rFont val="Arial"/>
        <family val="2"/>
      </rPr>
      <t xml:space="preserve">  890 Michael Bo Pedersen</t>
    </r>
  </si>
  <si>
    <t>F03</t>
  </si>
  <si>
    <t>Type i vagtplanssystem</t>
  </si>
  <si>
    <t>011</t>
  </si>
  <si>
    <t>B3W</t>
  </si>
  <si>
    <t>009</t>
  </si>
  <si>
    <t>B1W</t>
  </si>
  <si>
    <t>010</t>
  </si>
  <si>
    <t>B2W</t>
  </si>
  <si>
    <r>
      <t>2</t>
    </r>
    <r>
      <rPr>
        <sz val="9"/>
        <rFont val="Arial"/>
        <family val="2"/>
      </rPr>
      <t xml:space="preserve">                             Tina Hansen</t>
    </r>
  </si>
  <si>
    <t>A3W</t>
  </si>
  <si>
    <t>008</t>
  </si>
  <si>
    <t>X08</t>
  </si>
  <si>
    <t>A2W</t>
  </si>
  <si>
    <t>006</t>
  </si>
  <si>
    <t>A1W</t>
  </si>
  <si>
    <t>007</t>
  </si>
  <si>
    <t>004</t>
  </si>
  <si>
    <t>001</t>
  </si>
  <si>
    <t>005</t>
  </si>
  <si>
    <t>003</t>
  </si>
  <si>
    <t>Sekvens rækkefølge</t>
  </si>
  <si>
    <r>
      <t>I1</t>
    </r>
    <r>
      <rPr>
        <sz val="9"/>
        <rFont val="Arial"/>
        <family val="2"/>
      </rPr>
      <t xml:space="preserve"> 0700-1445</t>
    </r>
  </si>
  <si>
    <r>
      <t>I1</t>
    </r>
    <r>
      <rPr>
        <sz val="9"/>
        <rFont val="Arial"/>
        <family val="2"/>
      </rPr>
      <t xml:space="preserve"> 0700-1300</t>
    </r>
  </si>
  <si>
    <t>I17</t>
  </si>
  <si>
    <t>I16</t>
  </si>
  <si>
    <r>
      <t>I2</t>
    </r>
    <r>
      <rPr>
        <sz val="9"/>
        <rFont val="Arial"/>
        <family val="2"/>
      </rPr>
      <t xml:space="preserve"> 0745-1530</t>
    </r>
  </si>
  <si>
    <r>
      <t>I2</t>
    </r>
    <r>
      <rPr>
        <sz val="9"/>
        <rFont val="Arial"/>
        <family val="2"/>
      </rPr>
      <t xml:space="preserve"> 0745-1345</t>
    </r>
  </si>
  <si>
    <t>TR8</t>
  </si>
  <si>
    <t>TR5</t>
  </si>
  <si>
    <t xml:space="preserve">Vagter for Bryggens Gård  </t>
  </si>
  <si>
    <t>L80</t>
  </si>
  <si>
    <t>L70</t>
  </si>
  <si>
    <t>M65</t>
  </si>
  <si>
    <t>M62</t>
  </si>
  <si>
    <t>S75</t>
  </si>
  <si>
    <t>S70</t>
  </si>
  <si>
    <t>T70</t>
  </si>
  <si>
    <t>T60</t>
  </si>
  <si>
    <t>U75</t>
  </si>
  <si>
    <t>U70</t>
  </si>
  <si>
    <t>B77</t>
  </si>
  <si>
    <t>B60</t>
  </si>
  <si>
    <t>910 John Rasmussen</t>
  </si>
  <si>
    <t>Plankode 8505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</si>
  <si>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</si>
  <si>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</si>
  <si>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</si>
  <si>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</si>
  <si>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</si>
  <si>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</si>
  <si>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</si>
  <si>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r>
      <t>K1</t>
    </r>
    <r>
      <rPr>
        <sz val="9"/>
        <rFont val="Arial"/>
        <family val="2"/>
      </rPr>
      <t xml:space="preserve"> 0730 - 1600 </t>
    </r>
  </si>
  <si>
    <t>1    K1 vagt</t>
  </si>
  <si>
    <t>K10</t>
  </si>
  <si>
    <r>
      <t>K2</t>
    </r>
    <r>
      <rPr>
        <sz val="9"/>
        <rFont val="Arial"/>
        <family val="2"/>
      </rPr>
      <t xml:space="preserve"> 1700 - 2359</t>
    </r>
  </si>
  <si>
    <r>
      <t>KA</t>
    </r>
    <r>
      <rPr>
        <sz val="9"/>
        <rFont val="Arial"/>
        <family val="2"/>
      </rPr>
      <t xml:space="preserve"> 1100 - 2300</t>
    </r>
  </si>
  <si>
    <t>Kreds, AP m.v.</t>
  </si>
  <si>
    <t>2    K2 vagt</t>
  </si>
  <si>
    <t>Også på helligdage.</t>
  </si>
  <si>
    <t>K20</t>
  </si>
  <si>
    <t>KAW</t>
  </si>
  <si>
    <t>3    K3 vagt</t>
  </si>
  <si>
    <t>tur</t>
  </si>
  <si>
    <r>
      <t>K4</t>
    </r>
    <r>
      <rPr>
        <sz val="9"/>
        <rFont val="Arial"/>
        <family val="2"/>
      </rPr>
      <t xml:space="preserve"> 1630 - 0015 </t>
    </r>
  </si>
  <si>
    <t>4    K4 vagt</t>
  </si>
  <si>
    <t>K40</t>
  </si>
  <si>
    <t>5 Ikke iværksat</t>
  </si>
  <si>
    <t>K50</t>
  </si>
  <si>
    <t>6 Ikke iværksat</t>
  </si>
  <si>
    <t>7 Ikke iværksat</t>
  </si>
  <si>
    <t>svarer til ca. 49 medarbejdere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</si>
  <si>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</si>
  <si>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</si>
  <si>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</si>
  <si>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</si>
  <si>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</si>
  <si>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</si>
  <si>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</si>
  <si>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</si>
  <si>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</si>
  <si>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</si>
  <si>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</si>
  <si>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</si>
  <si>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</si>
  <si>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</si>
  <si>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</si>
  <si>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</si>
  <si>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</si>
  <si>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</si>
  <si>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</si>
  <si>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</si>
  <si>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</si>
  <si>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</si>
  <si>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</si>
  <si>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</si>
  <si>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</si>
  <si>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</si>
  <si>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</si>
  <si>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</si>
  <si>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</si>
  <si>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</si>
  <si>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</si>
  <si>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KH</t>
  </si>
  <si>
    <t>Teknisk service</t>
  </si>
  <si>
    <t>q1iQdodEj0GLbPS0gkPt10GXD2F-bdBPpMbVolKa-XpUNzVVVUs0R1JROE5MS0IwTDFFV0pTNFVJSSQlQCN0PWcu</t>
  </si>
  <si>
    <t>Form1</t>
  </si>
  <si>
    <t>{9cc9521c-7d83-4cb0-89f8-748dca75b3b8}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</si>
</sst>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kr.&quot;#,##0_);[Red]\(&quot;kr.&quot;#,##0\)"/>
    <numFmt numFmtId="165" formatCode="mm/yy"/>
    <numFmt numFmtId="166" formatCode="0.0"/>
    <numFmt numFmtId="167" formatCode="#,##0.0"/>
    <numFmt numFmtId="168" formatCode="&quot;kr &quot;#,##0_);[Red]&quot;(kr &quot;#,##0\)"/>
    <numFmt numFmtId="169" formatCode="dd/mm/yy;@"/>
    <numFmt numFmtId="170" formatCode="_(* #,##0_);_(* \(#,##0\);_(* \-_);_(@_)"/>
    <numFmt numFmtId="171" formatCode="#,##0\ &quot;kr.&quot;"/>
    <numFmt numFmtId="172" formatCode="#,##0.00\ &quot;kr.&quot;"/>
  </numFmts>
  <fonts count="62" x14ac:knownFonts="1"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u/>
      <sz val="10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2"/>
      <name val="Arial"/>
      <family val="2"/>
    </font>
    <font>
      <sz val="11"/>
      <name val="Times New Roman"/>
      <family val="1"/>
    </font>
    <font>
      <sz val="11"/>
      <color rgb="FF1F497D"/>
      <name val="Calibri"/>
      <family val="2"/>
    </font>
    <font>
      <sz val="12"/>
      <color theme="3"/>
      <name val="Times New Roman"/>
      <family val="1"/>
    </font>
    <font>
      <b/>
      <sz val="10"/>
      <color rgb="FFFF0000"/>
      <name val="Arial"/>
      <family val="2"/>
    </font>
    <font>
      <b/>
      <sz val="11"/>
      <name val="Times New Roman"/>
      <family val="1"/>
    </font>
    <font>
      <sz val="12"/>
      <color theme="0"/>
      <name val="Arial"/>
      <family val="2"/>
    </font>
    <font>
      <sz val="11"/>
      <color rgb="FF9C6500"/>
      <name val="Calibri"/>
      <family val="2"/>
      <scheme val="minor"/>
    </font>
    <font>
      <b/>
      <sz val="22"/>
      <name val="Arial"/>
      <family val="2"/>
    </font>
    <font>
      <b/>
      <sz val="12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rgb="FFFFFF00"/>
      <name val="Arial"/>
      <family val="2"/>
    </font>
    <font>
      <sz val="9"/>
      <color theme="1"/>
      <name val="Arial"/>
      <family val="2"/>
    </font>
    <font>
      <sz val="8"/>
      <color indexed="81"/>
      <name val="Tahoma"/>
      <family val="2"/>
    </font>
    <font>
      <i/>
      <sz val="9"/>
      <name val="Arial"/>
      <family val="2"/>
    </font>
  </fonts>
  <fills count="8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51"/>
      </patternFill>
    </fill>
    <fill>
      <patternFill patternType="solid">
        <fgColor theme="0"/>
        <bgColor indexed="31"/>
      </patternFill>
    </fill>
    <fill>
      <patternFill patternType="solid">
        <fgColor theme="0" tint="-0.24994659260841701"/>
        <bgColor indexed="23"/>
      </patternFill>
    </fill>
    <fill>
      <patternFill patternType="solid">
        <fgColor theme="0" tint="-0.24994659260841701"/>
        <bgColor indexed="31"/>
      </patternFill>
    </fill>
    <fill>
      <patternFill patternType="solid">
        <fgColor theme="0" tint="-0.14996795556505021"/>
        <bgColor indexed="26"/>
      </patternFill>
    </fill>
    <fill>
      <patternFill patternType="solid">
        <fgColor theme="0" tint="-0.14996795556505021"/>
        <bgColor indexed="41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94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</fills>
  <borders count="5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ck">
        <color indexed="8"/>
      </top>
      <bottom style="thick">
        <color indexed="8"/>
      </bottom>
      <diagonal/>
    </border>
    <border>
      <left/>
      <right style="medium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64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55">
    <xf numFmtId="0" fontId="0" fillId="0" borderId="0" applyBorder="0">
      <alignment horizontal="center" vertical="center"/>
    </xf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8" fillId="0" borderId="0" applyNumberFormat="0" applyFill="0" applyBorder="0" applyAlignment="0" applyProtection="0"/>
    <xf numFmtId="0" fontId="1" fillId="16" borderId="1" applyNumberFormat="0" applyFont="0" applyAlignment="0" applyProtection="0"/>
    <xf numFmtId="0" fontId="29" fillId="17" borderId="2" applyNumberFormat="0" applyAlignment="0" applyProtection="0"/>
    <xf numFmtId="0" fontId="30" fillId="0" borderId="0" applyNumberFormat="0" applyFill="0" applyBorder="0" applyAlignment="0" applyProtection="0"/>
    <xf numFmtId="0" fontId="31" fillId="4" borderId="0" applyNumberFormat="0" applyBorder="0" applyAlignment="0" applyProtection="0"/>
    <xf numFmtId="0" fontId="32" fillId="7" borderId="2" applyNumberFormat="0" applyAlignment="0" applyProtection="0"/>
    <xf numFmtId="0" fontId="33" fillId="18" borderId="3" applyNumberFormat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22" borderId="0" applyNumberFormat="0" applyBorder="0" applyAlignment="0" applyProtection="0"/>
    <xf numFmtId="0" fontId="34" fillId="23" borderId="0" applyNumberFormat="0" applyBorder="0" applyAlignment="0" applyProtection="0"/>
    <xf numFmtId="0" fontId="5" fillId="58" borderId="0" applyBorder="0">
      <alignment horizontal="center" vertical="center"/>
    </xf>
    <xf numFmtId="0" fontId="35" fillId="17" borderId="4" applyNumberFormat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8" applyNumberFormat="0" applyFill="0" applyAlignment="0" applyProtection="0"/>
    <xf numFmtId="0" fontId="40" fillId="0" borderId="0" applyNumberFormat="0" applyFill="0" applyBorder="0" applyAlignment="0" applyProtection="0"/>
    <xf numFmtId="0" fontId="41" fillId="0" borderId="9" applyNumberFormat="0" applyFill="0" applyAlignment="0" applyProtection="0"/>
    <xf numFmtId="0" fontId="42" fillId="3" borderId="0" applyNumberFormat="0" applyBorder="0" applyAlignment="0" applyProtection="0"/>
    <xf numFmtId="0" fontId="5" fillId="53" borderId="0" applyBorder="0">
      <alignment horizontal="center" vertical="center"/>
    </xf>
    <xf numFmtId="0" fontId="5" fillId="70" borderId="0" applyBorder="0">
      <alignment horizontal="center" vertical="center"/>
    </xf>
    <xf numFmtId="0" fontId="5" fillId="55" borderId="0" applyBorder="0">
      <alignment horizontal="center" vertical="center"/>
    </xf>
    <xf numFmtId="0" fontId="5" fillId="56" borderId="0" applyBorder="0">
      <alignment horizontal="center" vertical="center"/>
    </xf>
    <xf numFmtId="0" fontId="5" fillId="57" borderId="0" applyBorder="0">
      <alignment horizontal="center" vertical="center"/>
    </xf>
    <xf numFmtId="0" fontId="5" fillId="52" borderId="0" applyBorder="0">
      <alignment horizontal="center" vertical="center"/>
    </xf>
    <xf numFmtId="0" fontId="5" fillId="59" borderId="0" applyBorder="0">
      <alignment horizontal="center" vertical="center"/>
    </xf>
    <xf numFmtId="0" fontId="5" fillId="54" borderId="0" applyBorder="0">
      <alignment horizontal="center" vertical="center"/>
    </xf>
    <xf numFmtId="0" fontId="5" fillId="60" borderId="0" applyBorder="0">
      <alignment horizontal="center" vertical="center"/>
    </xf>
    <xf numFmtId="0" fontId="5" fillId="0" borderId="0" applyBorder="0">
      <alignment horizontal="center" vertical="center"/>
    </xf>
    <xf numFmtId="0" fontId="1" fillId="0" borderId="0"/>
    <xf numFmtId="0" fontId="50" fillId="61" borderId="0" applyNumberFormat="0" applyBorder="0" applyAlignment="0" applyProtection="0"/>
  </cellStyleXfs>
  <cellXfs count="3657"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0" fontId="3" fillId="0" borderId="0" xfId="0" applyFont="1">
      <alignment horizontal="center" vertical="center"/>
    </xf>
    <xf numFmtId="0" fontId="2" fillId="0" borderId="1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0" fillId="0" borderId="13" xfId="0" applyBorder="1">
      <alignment horizontal="center" vertical="center"/>
    </xf>
    <xf numFmtId="0" fontId="4" fillId="0" borderId="14" xfId="0" applyFont="1" applyBorder="1" applyAlignment="1">
      <alignment horizontal="left"/>
    </xf>
    <xf numFmtId="0" fontId="0" fillId="0" borderId="10" xfId="0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4" xfId="0" applyFont="1" applyBorder="1" applyAlignment="1">
      <alignment horizontal="left"/>
    </xf>
    <xf numFmtId="0" fontId="0" fillId="0" borderId="11" xfId="0" applyBorder="1">
      <alignment horizontal="center" vertical="center"/>
    </xf>
    <xf numFmtId="0" fontId="0" fillId="0" borderId="12" xfId="0" applyBorder="1">
      <alignment horizontal="center" vertical="center"/>
    </xf>
    <xf numFmtId="0" fontId="0" fillId="0" borderId="14" xfId="0" applyBorder="1">
      <alignment horizontal="center" vertical="center"/>
    </xf>
    <xf numFmtId="0" fontId="2" fillId="0" borderId="0" xfId="0" applyFont="1" applyAlignment="1" applyProtection="1">
      <alignment horizontal="left"/>
      <protection locked="0"/>
    </xf>
    <xf numFmtId="0" fontId="4" fillId="0" borderId="0" xfId="0" applyFo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0" fillId="24" borderId="10" xfId="0" applyFill="1" applyBorder="1" applyAlignment="1">
      <alignment horizontal="left"/>
    </xf>
    <xf numFmtId="0" fontId="0" fillId="26" borderId="11" xfId="0" applyFill="1" applyBorder="1" applyAlignment="1">
      <alignment horizontal="center"/>
    </xf>
    <xf numFmtId="0" fontId="0" fillId="28" borderId="0" xfId="0" applyFill="1">
      <alignment horizontal="center" vertical="center"/>
    </xf>
    <xf numFmtId="0" fontId="0" fillId="29" borderId="0" xfId="0" applyFill="1">
      <alignment horizontal="center" vertical="center"/>
    </xf>
    <xf numFmtId="0" fontId="0" fillId="26" borderId="0" xfId="0" applyFill="1">
      <alignment horizontal="center" vertical="center"/>
    </xf>
    <xf numFmtId="0" fontId="0" fillId="30" borderId="0" xfId="0" applyFill="1">
      <alignment horizontal="center" vertical="center"/>
    </xf>
    <xf numFmtId="0" fontId="6" fillId="31" borderId="0" xfId="0" applyFont="1" applyFill="1">
      <alignment horizontal="center" vertical="center"/>
    </xf>
    <xf numFmtId="0" fontId="0" fillId="0" borderId="10" xfId="0" applyBorder="1" applyAlignment="1">
      <alignment horizontal="left"/>
    </xf>
    <xf numFmtId="0" fontId="0" fillId="24" borderId="0" xfId="0" applyFill="1">
      <alignment horizontal="center" vertical="center"/>
    </xf>
    <xf numFmtId="0" fontId="0" fillId="25" borderId="0" xfId="0" applyFill="1">
      <alignment horizontal="center" vertical="center"/>
    </xf>
    <xf numFmtId="0" fontId="0" fillId="27" borderId="0" xfId="0" applyFill="1">
      <alignment horizontal="center" vertical="center"/>
    </xf>
    <xf numFmtId="0" fontId="6" fillId="31" borderId="11" xfId="0" applyFont="1" applyFill="1" applyBorder="1" applyAlignment="1">
      <alignment horizontal="center"/>
    </xf>
    <xf numFmtId="0" fontId="6" fillId="31" borderId="12" xfId="0" applyFont="1" applyFill="1" applyBorder="1">
      <alignment horizontal="center" vertical="center"/>
    </xf>
    <xf numFmtId="0" fontId="2" fillId="0" borderId="15" xfId="0" applyFont="1" applyBorder="1">
      <alignment horizontal="center" vertical="center"/>
    </xf>
    <xf numFmtId="0" fontId="0" fillId="0" borderId="13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2" fillId="0" borderId="15" xfId="0" applyFont="1" applyBorder="1" applyAlignment="1">
      <alignment horizontal="left"/>
    </xf>
    <xf numFmtId="0" fontId="0" fillId="0" borderId="16" xfId="0" applyBorder="1" applyAlignment="1">
      <alignment horizontal="center"/>
    </xf>
    <xf numFmtId="0" fontId="0" fillId="24" borderId="11" xfId="0" applyFill="1" applyBorder="1" applyAlignment="1">
      <alignment horizontal="center"/>
    </xf>
    <xf numFmtId="2" fontId="0" fillId="0" borderId="0" xfId="0" applyNumberFormat="1">
      <alignment horizontal="center" vertical="center"/>
    </xf>
    <xf numFmtId="0" fontId="6" fillId="32" borderId="11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5" fillId="24" borderId="17" xfId="0" applyFont="1" applyFill="1" applyBorder="1" applyAlignment="1">
      <alignment horizontal="center"/>
    </xf>
    <xf numFmtId="0" fontId="0" fillId="0" borderId="17" xfId="0" applyBorder="1">
      <alignment horizontal="center" vertical="center"/>
    </xf>
    <xf numFmtId="0" fontId="5" fillId="0" borderId="17" xfId="0" applyFont="1" applyBorder="1" applyAlignment="1">
      <alignment horizontal="center"/>
    </xf>
    <xf numFmtId="0" fontId="5" fillId="0" borderId="17" xfId="0" applyFont="1" applyBorder="1" applyAlignment="1">
      <alignment horizontal="left"/>
    </xf>
    <xf numFmtId="0" fontId="5" fillId="0" borderId="15" xfId="0" applyFont="1" applyBorder="1" applyAlignment="1">
      <alignment horizontal="right"/>
    </xf>
    <xf numFmtId="0" fontId="0" fillId="0" borderId="18" xfId="0" applyBorder="1" applyAlignment="1">
      <alignment horizontal="left"/>
    </xf>
    <xf numFmtId="0" fontId="8" fillId="35" borderId="19" xfId="0" applyFont="1" applyFill="1" applyBorder="1" applyAlignment="1">
      <alignment horizontal="center"/>
    </xf>
    <xf numFmtId="0" fontId="0" fillId="0" borderId="19" xfId="0" applyBorder="1">
      <alignment horizontal="center" vertical="center"/>
    </xf>
    <xf numFmtId="0" fontId="2" fillId="0" borderId="18" xfId="0" applyFont="1" applyBorder="1" applyAlignment="1">
      <alignment horizontal="left"/>
    </xf>
    <xf numFmtId="0" fontId="2" fillId="37" borderId="19" xfId="0" applyFont="1" applyFill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8" xfId="0" applyFont="1" applyBorder="1">
      <alignment horizontal="center" vertical="center"/>
    </xf>
    <xf numFmtId="0" fontId="2" fillId="0" borderId="0" xfId="0" applyFont="1" applyAlignment="1">
      <alignment horizontal="center"/>
    </xf>
    <xf numFmtId="49" fontId="2" fillId="41" borderId="19" xfId="0" applyNumberFormat="1" applyFont="1" applyFill="1" applyBorder="1" applyAlignment="1">
      <alignment horizontal="center"/>
    </xf>
    <xf numFmtId="49" fontId="2" fillId="42" borderId="19" xfId="0" applyNumberFormat="1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24" borderId="17" xfId="0" applyFill="1" applyBorder="1" applyAlignment="1">
      <alignment horizontal="center"/>
    </xf>
    <xf numFmtId="0" fontId="2" fillId="0" borderId="0" xfId="0" applyFont="1" applyAlignment="1">
      <alignment horizontal="left"/>
    </xf>
    <xf numFmtId="2" fontId="0" fillId="0" borderId="17" xfId="0" applyNumberFormat="1" applyBorder="1" applyAlignment="1">
      <alignment horizontal="center"/>
    </xf>
    <xf numFmtId="2" fontId="0" fillId="24" borderId="17" xfId="0" applyNumberFormat="1" applyFill="1" applyBorder="1" applyAlignment="1">
      <alignment horizontal="center"/>
    </xf>
    <xf numFmtId="0" fontId="2" fillId="0" borderId="21" xfId="0" applyFont="1" applyBorder="1" applyAlignment="1">
      <alignment horizontal="left"/>
    </xf>
    <xf numFmtId="2" fontId="0" fillId="0" borderId="1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5" fillId="0" borderId="13" xfId="0" applyFont="1" applyBorder="1">
      <alignment horizontal="center" vertical="center"/>
    </xf>
    <xf numFmtId="2" fontId="0" fillId="0" borderId="0" xfId="0" applyNumberFormat="1" applyAlignment="1">
      <alignment horizontal="right"/>
    </xf>
    <xf numFmtId="0" fontId="5" fillId="0" borderId="0" xfId="0" applyFont="1">
      <alignment horizontal="center" vertical="center"/>
    </xf>
    <xf numFmtId="0" fontId="0" fillId="0" borderId="16" xfId="0" applyBorder="1">
      <alignment horizontal="center" vertical="center"/>
    </xf>
    <xf numFmtId="0" fontId="0" fillId="0" borderId="14" xfId="0" applyBorder="1" applyAlignment="1">
      <alignment horizontal="center"/>
    </xf>
    <xf numFmtId="0" fontId="2" fillId="43" borderId="0" xfId="0" applyFont="1" applyFill="1">
      <alignment horizontal="center" vertical="center"/>
    </xf>
    <xf numFmtId="0" fontId="0" fillId="43" borderId="0" xfId="0" applyFill="1">
      <alignment horizontal="center" vertical="center"/>
    </xf>
    <xf numFmtId="0" fontId="5" fillId="0" borderId="19" xfId="0" applyFont="1" applyBorder="1" applyAlignment="1">
      <alignment horizontal="center"/>
    </xf>
    <xf numFmtId="0" fontId="0" fillId="0" borderId="19" xfId="0" applyBorder="1" applyAlignment="1">
      <alignment horizontal="center"/>
    </xf>
    <xf numFmtId="2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center"/>
    </xf>
    <xf numFmtId="0" fontId="8" fillId="0" borderId="0" xfId="0" applyFont="1">
      <alignment horizontal="center" vertical="center"/>
    </xf>
    <xf numFmtId="0" fontId="9" fillId="0" borderId="0" xfId="0" applyFont="1" applyAlignment="1">
      <alignment horizontal="center"/>
    </xf>
    <xf numFmtId="166" fontId="0" fillId="0" borderId="0" xfId="0" applyNumberFormat="1">
      <alignment horizontal="center" vertical="center"/>
    </xf>
    <xf numFmtId="2" fontId="0" fillId="28" borderId="0" xfId="0" applyNumberFormat="1" applyFill="1">
      <alignment horizontal="center" vertical="center"/>
    </xf>
    <xf numFmtId="0" fontId="0" fillId="0" borderId="16" xfId="0" applyBorder="1" applyAlignment="1">
      <alignment horizontal="left"/>
    </xf>
    <xf numFmtId="166" fontId="0" fillId="0" borderId="12" xfId="0" applyNumberFormat="1" applyBorder="1">
      <alignment horizontal="center" vertical="center"/>
    </xf>
    <xf numFmtId="2" fontId="0" fillId="29" borderId="0" xfId="0" applyNumberFormat="1" applyFill="1">
      <alignment horizontal="center" vertical="center"/>
    </xf>
    <xf numFmtId="0" fontId="0" fillId="0" borderId="11" xfId="0" applyBorder="1" applyAlignment="1" applyProtection="1">
      <alignment horizontal="center"/>
      <protection locked="0"/>
    </xf>
    <xf numFmtId="0" fontId="2" fillId="0" borderId="1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5" fillId="47" borderId="12" xfId="0" applyFont="1" applyFill="1" applyBorder="1">
      <alignment horizontal="center" vertical="center"/>
    </xf>
    <xf numFmtId="0" fontId="5" fillId="47" borderId="22" xfId="0" applyFont="1" applyFill="1" applyBorder="1">
      <alignment horizontal="center" vertical="center"/>
    </xf>
    <xf numFmtId="0" fontId="5" fillId="0" borderId="12" xfId="0" applyFont="1" applyBorder="1">
      <alignment horizontal="center" vertical="center"/>
    </xf>
    <xf numFmtId="0" fontId="5" fillId="0" borderId="12" xfId="0" applyFont="1" applyBorder="1" applyAlignment="1">
      <alignment horizontal="left"/>
    </xf>
    <xf numFmtId="0" fontId="4" fillId="26" borderId="11" xfId="0" applyFont="1" applyFill="1" applyBorder="1" applyAlignment="1">
      <alignment horizontal="left"/>
    </xf>
    <xf numFmtId="0" fontId="4" fillId="26" borderId="12" xfId="0" applyFont="1" applyFill="1" applyBorder="1">
      <alignment horizontal="center" vertical="center"/>
    </xf>
    <xf numFmtId="0" fontId="0" fillId="26" borderId="12" xfId="0" applyFill="1" applyBorder="1">
      <alignment horizontal="center" vertical="center"/>
    </xf>
    <xf numFmtId="0" fontId="5" fillId="26" borderId="12" xfId="0" applyFont="1" applyFill="1" applyBorder="1">
      <alignment horizontal="center" vertical="center"/>
    </xf>
    <xf numFmtId="0" fontId="5" fillId="26" borderId="22" xfId="0" applyFont="1" applyFill="1" applyBorder="1">
      <alignment horizontal="center" vertical="center"/>
    </xf>
    <xf numFmtId="0" fontId="12" fillId="0" borderId="0" xfId="0" applyFont="1">
      <alignment horizontal="center" vertical="center"/>
    </xf>
    <xf numFmtId="0" fontId="14" fillId="0" borderId="0" xfId="0" applyFont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0" fillId="0" borderId="23" xfId="0" applyBorder="1">
      <alignment horizontal="center" vertical="center"/>
    </xf>
    <xf numFmtId="0" fontId="15" fillId="0" borderId="0" xfId="0" applyFont="1" applyAlignment="1">
      <alignment horizontal="left"/>
    </xf>
    <xf numFmtId="0" fontId="6" fillId="0" borderId="0" xfId="0" applyFont="1" applyAlignment="1" applyProtection="1">
      <alignment horizontal="left"/>
      <protection locked="0"/>
    </xf>
    <xf numFmtId="49" fontId="5" fillId="0" borderId="0" xfId="0" applyNumberFormat="1" applyFont="1">
      <alignment horizontal="center" vertical="center"/>
    </xf>
    <xf numFmtId="0" fontId="7" fillId="0" borderId="0" xfId="0" applyFo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" fillId="4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5" fillId="0" borderId="19" xfId="0" applyFont="1" applyBorder="1">
      <alignment horizontal="center" vertical="center"/>
    </xf>
    <xf numFmtId="0" fontId="4" fillId="0" borderId="13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19" fillId="0" borderId="0" xfId="0" applyFont="1">
      <alignment horizontal="center" vertical="center"/>
    </xf>
    <xf numFmtId="0" fontId="7" fillId="0" borderId="0" xfId="0" applyFont="1" applyAlignment="1">
      <alignment horizontal="center" wrapText="1"/>
    </xf>
    <xf numFmtId="0" fontId="0" fillId="0" borderId="22" xfId="0" applyBorder="1">
      <alignment horizontal="center" vertical="center"/>
    </xf>
    <xf numFmtId="0" fontId="2" fillId="0" borderId="12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0" fillId="0" borderId="24" xfId="0" applyBorder="1">
      <alignment horizontal="center" vertical="center"/>
    </xf>
    <xf numFmtId="0" fontId="0" fillId="0" borderId="13" xfId="0" applyBorder="1" applyAlignment="1">
      <alignment horizontal="left"/>
    </xf>
    <xf numFmtId="0" fontId="0" fillId="0" borderId="22" xfId="0" applyBorder="1" applyAlignment="1">
      <alignment horizontal="left"/>
    </xf>
    <xf numFmtId="0" fontId="11" fillId="0" borderId="0" xfId="0" applyFont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18" fillId="0" borderId="13" xfId="0" applyFont="1" applyBorder="1" applyAlignment="1">
      <alignment wrapText="1"/>
    </xf>
    <xf numFmtId="169" fontId="0" fillId="0" borderId="0" xfId="0" applyNumberFormat="1">
      <alignment horizontal="center" vertical="center"/>
    </xf>
    <xf numFmtId="0" fontId="22" fillId="0" borderId="0" xfId="0" applyFont="1">
      <alignment horizontal="center" vertical="center"/>
    </xf>
    <xf numFmtId="0" fontId="16" fillId="24" borderId="15" xfId="0" applyFont="1" applyFill="1" applyBorder="1" applyAlignment="1"/>
    <xf numFmtId="0" fontId="16" fillId="24" borderId="0" xfId="0" applyFont="1" applyFill="1">
      <alignment horizontal="center" vertical="center"/>
    </xf>
    <xf numFmtId="0" fontId="16" fillId="24" borderId="0" xfId="0" applyFont="1" applyFill="1" applyAlignment="1">
      <alignment horizontal="center"/>
    </xf>
    <xf numFmtId="0" fontId="23" fillId="24" borderId="15" xfId="0" applyFont="1" applyFill="1" applyBorder="1" applyAlignment="1">
      <alignment horizontal="center"/>
    </xf>
    <xf numFmtId="0" fontId="23" fillId="24" borderId="0" xfId="0" applyFont="1" applyFill="1" applyAlignment="1">
      <alignment horizontal="center"/>
    </xf>
    <xf numFmtId="0" fontId="23" fillId="24" borderId="23" xfId="0" applyFont="1" applyFill="1" applyBorder="1" applyAlignment="1">
      <alignment horizontal="center"/>
    </xf>
    <xf numFmtId="0" fontId="16" fillId="24" borderId="23" xfId="0" applyFont="1" applyFill="1" applyBorder="1">
      <alignment horizontal="center" vertical="center"/>
    </xf>
    <xf numFmtId="0" fontId="24" fillId="0" borderId="0" xfId="0" applyFont="1">
      <alignment horizontal="center" vertical="center"/>
    </xf>
    <xf numFmtId="0" fontId="25" fillId="0" borderId="0" xfId="0" applyFont="1">
      <alignment horizontal="center" vertical="center"/>
    </xf>
    <xf numFmtId="0" fontId="16" fillId="45" borderId="15" xfId="0" applyFont="1" applyFill="1" applyBorder="1" applyAlignment="1">
      <alignment wrapText="1"/>
    </xf>
    <xf numFmtId="0" fontId="16" fillId="39" borderId="15" xfId="0" applyFont="1" applyFill="1" applyBorder="1" applyAlignment="1">
      <alignment wrapText="1"/>
    </xf>
    <xf numFmtId="0" fontId="16" fillId="47" borderId="15" xfId="0" applyFont="1" applyFill="1" applyBorder="1" applyAlignment="1">
      <alignment wrapText="1"/>
    </xf>
    <xf numFmtId="0" fontId="16" fillId="40" borderId="15" xfId="0" applyFont="1" applyFill="1" applyBorder="1" applyAlignment="1">
      <alignment wrapText="1"/>
    </xf>
    <xf numFmtId="0" fontId="20" fillId="48" borderId="15" xfId="0" applyFont="1" applyFill="1" applyBorder="1" applyAlignment="1">
      <alignment wrapText="1"/>
    </xf>
    <xf numFmtId="0" fontId="18" fillId="0" borderId="0" xfId="0" applyFont="1" applyAlignment="1">
      <alignment horizontal="left"/>
    </xf>
    <xf numFmtId="0" fontId="43" fillId="0" borderId="0" xfId="0" applyFont="1">
      <alignment horizontal="center" vertical="center"/>
    </xf>
    <xf numFmtId="169" fontId="43" fillId="0" borderId="0" xfId="0" applyNumberFormat="1" applyFont="1">
      <alignment horizontal="center" vertical="center"/>
    </xf>
    <xf numFmtId="0" fontId="43" fillId="0" borderId="28" xfId="0" applyFont="1" applyBorder="1">
      <alignment horizontal="center" vertical="center"/>
    </xf>
    <xf numFmtId="0" fontId="43" fillId="0" borderId="26" xfId="0" applyFont="1" applyBorder="1">
      <alignment horizontal="center" vertical="center"/>
    </xf>
    <xf numFmtId="0" fontId="43" fillId="0" borderId="0" xfId="0" applyFont="1" applyAlignment="1">
      <alignment horizontal="left" vertical="center"/>
    </xf>
    <xf numFmtId="49" fontId="43" fillId="0" borderId="27" xfId="0" applyNumberFormat="1" applyFont="1" applyBorder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0" fontId="2" fillId="0" borderId="29" xfId="0" applyFont="1" applyBorder="1" applyAlignment="1">
      <alignment horizontal="left"/>
    </xf>
    <xf numFmtId="0" fontId="2" fillId="43" borderId="0" xfId="0" applyFont="1" applyFill="1" applyAlignment="1">
      <alignment horizontal="left"/>
    </xf>
    <xf numFmtId="0" fontId="44" fillId="0" borderId="0" xfId="0" applyFont="1" applyAlignment="1">
      <alignment vertical="top" wrapText="1"/>
    </xf>
    <xf numFmtId="0" fontId="47" fillId="0" borderId="0" xfId="0" applyFont="1">
      <alignment horizontal="center" vertical="center"/>
    </xf>
    <xf numFmtId="164" fontId="18" fillId="0" borderId="0" xfId="0" applyNumberFormat="1" applyFont="1" applyAlignment="1">
      <alignment horizontal="center"/>
    </xf>
    <xf numFmtId="0" fontId="19" fillId="0" borderId="26" xfId="0" applyFont="1" applyBorder="1">
      <alignment horizontal="center" vertical="center"/>
    </xf>
    <xf numFmtId="0" fontId="2" fillId="0" borderId="13" xfId="0" applyFont="1" applyBorder="1">
      <alignment horizontal="center" vertical="center"/>
    </xf>
    <xf numFmtId="0" fontId="0" fillId="0" borderId="13" xfId="0" applyBorder="1" applyAlignment="1">
      <alignment horizontal="left" vertical="center"/>
    </xf>
    <xf numFmtId="0" fontId="0" fillId="0" borderId="11" xfId="0" applyBorder="1" applyAlignment="1" applyProtection="1">
      <alignment vertical="center"/>
      <protection locked="0"/>
    </xf>
    <xf numFmtId="0" fontId="11" fillId="0" borderId="11" xfId="0" applyFont="1" applyBorder="1" applyAlignment="1">
      <alignment vertical="center"/>
    </xf>
    <xf numFmtId="0" fontId="43" fillId="0" borderId="25" xfId="0" applyFont="1" applyBorder="1" applyAlignment="1">
      <alignment vertical="center"/>
    </xf>
    <xf numFmtId="0" fontId="0" fillId="0" borderId="0" xfId="0" applyAlignment="1">
      <alignment vertical="center"/>
    </xf>
    <xf numFmtId="0" fontId="43" fillId="0" borderId="25" xfId="0" applyFont="1" applyBorder="1" applyAlignme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46" borderId="0" xfId="0" applyFont="1" applyFill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49" fontId="0" fillId="0" borderId="12" xfId="0" applyNumberFormat="1" applyBorder="1" applyAlignment="1">
      <alignment horizontal="left" vertical="center"/>
    </xf>
    <xf numFmtId="49" fontId="0" fillId="0" borderId="29" xfId="0" applyNumberFormat="1" applyBorder="1" applyAlignment="1">
      <alignment horizontal="left" vertical="center"/>
    </xf>
    <xf numFmtId="0" fontId="43" fillId="0" borderId="13" xfId="0" applyFont="1" applyBorder="1" applyAlignment="1">
      <alignment vertical="center"/>
    </xf>
    <xf numFmtId="49" fontId="0" fillId="51" borderId="0" xfId="0" applyNumberFormat="1" applyFill="1">
      <alignment horizontal="center" vertical="center"/>
    </xf>
    <xf numFmtId="0" fontId="2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2" fillId="0" borderId="0" xfId="52" applyFont="1" applyAlignment="1">
      <alignment horizontal="left" vertical="center"/>
    </xf>
    <xf numFmtId="0" fontId="5" fillId="0" borderId="0" xfId="52">
      <alignment horizontal="center" vertical="center"/>
    </xf>
    <xf numFmtId="0" fontId="6" fillId="0" borderId="0" xfId="52" applyFont="1" applyAlignment="1" applyProtection="1">
      <alignment horizontal="left"/>
      <protection locked="0"/>
    </xf>
    <xf numFmtId="0" fontId="2" fillId="0" borderId="0" xfId="52" applyFont="1">
      <alignment horizontal="center" vertical="center"/>
    </xf>
    <xf numFmtId="0" fontId="2" fillId="0" borderId="13" xfId="52" applyFont="1" applyBorder="1" applyAlignment="1">
      <alignment horizontal="left"/>
    </xf>
    <xf numFmtId="0" fontId="5" fillId="0" borderId="12" xfId="52" applyBorder="1">
      <alignment horizontal="center" vertical="center"/>
    </xf>
    <xf numFmtId="0" fontId="5" fillId="0" borderId="0" xfId="52" applyAlignment="1" applyProtection="1">
      <alignment horizontal="center"/>
      <protection locked="0"/>
    </xf>
    <xf numFmtId="0" fontId="0" fillId="0" borderId="11" xfId="0" applyBorder="1" applyAlignment="1">
      <alignment horizontal="left" vertical="center"/>
    </xf>
    <xf numFmtId="0" fontId="7" fillId="62" borderId="15" xfId="0" applyFont="1" applyFill="1" applyBorder="1" applyAlignment="1">
      <alignment horizontal="center" wrapText="1"/>
    </xf>
    <xf numFmtId="0" fontId="7" fillId="63" borderId="0" xfId="0" applyFont="1" applyFill="1" applyAlignment="1">
      <alignment horizontal="center" wrapText="1"/>
    </xf>
    <xf numFmtId="0" fontId="7" fillId="0" borderId="15" xfId="0" applyFont="1" applyBorder="1">
      <alignment horizontal="center" vertical="center"/>
    </xf>
    <xf numFmtId="0" fontId="7" fillId="63" borderId="15" xfId="0" applyFont="1" applyFill="1" applyBorder="1">
      <alignment horizontal="center" vertical="center"/>
    </xf>
    <xf numFmtId="0" fontId="7" fillId="63" borderId="0" xfId="0" applyFont="1" applyFill="1">
      <alignment horizontal="center" vertical="center"/>
    </xf>
    <xf numFmtId="0" fontId="7" fillId="51" borderId="15" xfId="0" applyFont="1" applyFill="1" applyBorder="1">
      <alignment horizontal="center" vertical="center"/>
    </xf>
    <xf numFmtId="0" fontId="7" fillId="51" borderId="0" xfId="0" applyFont="1" applyFill="1">
      <alignment horizontal="center" vertical="center"/>
    </xf>
    <xf numFmtId="0" fontId="7" fillId="62" borderId="15" xfId="52" applyFont="1" applyFill="1" applyBorder="1" applyAlignment="1">
      <alignment horizontal="center" wrapText="1"/>
    </xf>
    <xf numFmtId="0" fontId="7" fillId="63" borderId="0" xfId="52" applyFont="1" applyFill="1" applyAlignment="1">
      <alignment horizontal="center" wrapText="1"/>
    </xf>
    <xf numFmtId="0" fontId="7" fillId="51" borderId="15" xfId="52" applyFont="1" applyFill="1" applyBorder="1">
      <alignment horizontal="center" vertical="center"/>
    </xf>
    <xf numFmtId="0" fontId="7" fillId="51" borderId="0" xfId="52" applyFont="1" applyFill="1">
      <alignment horizontal="center" vertical="center"/>
    </xf>
    <xf numFmtId="0" fontId="7" fillId="62" borderId="30" xfId="0" applyFont="1" applyFill="1" applyBorder="1" applyAlignment="1">
      <alignment horizontal="center" wrapText="1"/>
    </xf>
    <xf numFmtId="0" fontId="7" fillId="51" borderId="15" xfId="0" applyFont="1" applyFill="1" applyBorder="1" applyAlignment="1">
      <alignment horizontal="center" vertical="center" wrapText="1"/>
    </xf>
    <xf numFmtId="0" fontId="7" fillId="51" borderId="0" xfId="0" applyFont="1" applyFill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5" fillId="51" borderId="15" xfId="48" applyFill="1" applyBorder="1">
      <alignment horizontal="center" vertical="center"/>
    </xf>
    <xf numFmtId="0" fontId="0" fillId="51" borderId="15" xfId="0" applyFill="1" applyBorder="1" applyAlignment="1">
      <alignment horizontal="center" vertical="center" wrapText="1"/>
    </xf>
    <xf numFmtId="168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71" fontId="18" fillId="0" borderId="31" xfId="0" applyNumberFormat="1" applyFont="1" applyBorder="1" applyAlignment="1">
      <alignment horizontal="left" wrapText="1"/>
    </xf>
    <xf numFmtId="171" fontId="18" fillId="38" borderId="31" xfId="0" applyNumberFormat="1" applyFont="1" applyFill="1" applyBorder="1" applyAlignment="1">
      <alignment horizontal="left" wrapText="1"/>
    </xf>
    <xf numFmtId="0" fontId="0" fillId="51" borderId="0" xfId="0" applyFill="1">
      <alignment horizontal="center" vertical="center"/>
    </xf>
    <xf numFmtId="0" fontId="0" fillId="51" borderId="0" xfId="44" applyFont="1" applyFill="1">
      <alignment horizontal="center" vertical="center"/>
    </xf>
    <xf numFmtId="0" fontId="0" fillId="0" borderId="12" xfId="0" applyBorder="1" applyAlignment="1"/>
    <xf numFmtId="0" fontId="0" fillId="0" borderId="24" xfId="0" applyBorder="1" applyAlignment="1"/>
    <xf numFmtId="49" fontId="0" fillId="0" borderId="0" xfId="0" applyNumberFormat="1">
      <alignment horizontal="center" vertical="center"/>
    </xf>
    <xf numFmtId="0" fontId="5" fillId="0" borderId="32" xfId="0" applyFont="1" applyBorder="1">
      <alignment horizontal="center" vertical="center"/>
    </xf>
    <xf numFmtId="0" fontId="5" fillId="0" borderId="33" xfId="0" applyFont="1" applyBorder="1">
      <alignment horizontal="center" vertical="center"/>
    </xf>
    <xf numFmtId="0" fontId="7" fillId="0" borderId="32" xfId="0" applyFont="1" applyBorder="1">
      <alignment horizontal="center" vertical="center"/>
    </xf>
    <xf numFmtId="0" fontId="0" fillId="0" borderId="0" xfId="0" applyBorder="1">
      <alignment horizontal="center" vertical="center"/>
    </xf>
    <xf numFmtId="0" fontId="7" fillId="0" borderId="0" xfId="0" applyFont="1" applyBorder="1">
      <alignment horizontal="center" vertical="center"/>
    </xf>
    <xf numFmtId="0" fontId="0" fillId="51" borderId="0" xfId="44" applyFont="1" applyFill="1" applyBorder="1">
      <alignment horizontal="center" vertical="center"/>
    </xf>
    <xf numFmtId="49" fontId="0" fillId="51" borderId="34" xfId="0" applyNumberFormat="1" applyFill="1" applyBorder="1">
      <alignment horizontal="center" vertical="center"/>
    </xf>
    <xf numFmtId="0" fontId="0" fillId="51" borderId="34" xfId="0" applyFill="1" applyBorder="1">
      <alignment horizontal="center" vertical="center"/>
    </xf>
    <xf numFmtId="0" fontId="0" fillId="51" borderId="36" xfId="0" applyFill="1" applyBorder="1">
      <alignment horizontal="center" vertical="center"/>
    </xf>
    <xf numFmtId="0" fontId="0" fillId="51" borderId="36" xfId="52" applyFont="1" applyFill="1" applyBorder="1">
      <alignment horizontal="center" vertical="center"/>
    </xf>
    <xf numFmtId="0" fontId="17" fillId="0" borderId="37" xfId="0" applyFont="1" applyBorder="1" applyAlignment="1" applyProtection="1">
      <alignment horizontal="center"/>
      <protection locked="0"/>
    </xf>
    <xf numFmtId="0" fontId="0" fillId="0" borderId="37" xfId="0" applyBorder="1" applyAlignment="1">
      <alignment horizontal="left" vertical="center"/>
    </xf>
    <xf numFmtId="0" fontId="17" fillId="0" borderId="36" xfId="0" applyFont="1" applyBorder="1" applyAlignment="1" applyProtection="1">
      <alignment horizontal="center"/>
      <protection locked="0"/>
    </xf>
    <xf numFmtId="0" fontId="19" fillId="0" borderId="36" xfId="0" applyFont="1" applyBorder="1" applyAlignment="1">
      <alignment vertical="center"/>
    </xf>
    <xf numFmtId="1" fontId="0" fillId="51" borderId="36" xfId="32" applyNumberFormat="1" applyFont="1" applyFill="1" applyBorder="1" applyAlignment="1">
      <alignment horizontal="center" vertical="center"/>
    </xf>
    <xf numFmtId="0" fontId="0" fillId="51" borderId="36" xfId="43" applyFont="1" applyFill="1" applyBorder="1">
      <alignment horizontal="center" vertical="center"/>
    </xf>
    <xf numFmtId="0" fontId="2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 vertical="center"/>
    </xf>
    <xf numFmtId="0" fontId="0" fillId="51" borderId="0" xfId="0" applyFill="1" applyBorder="1">
      <alignment horizontal="center" vertical="center"/>
    </xf>
    <xf numFmtId="0" fontId="0" fillId="51" borderId="0" xfId="52" applyFont="1" applyFill="1" applyBorder="1">
      <alignment horizontal="center" vertical="center"/>
    </xf>
    <xf numFmtId="0" fontId="2" fillId="43" borderId="0" xfId="52" applyFont="1" applyFill="1" applyBorder="1" applyAlignment="1">
      <alignment horizontal="center"/>
    </xf>
    <xf numFmtId="0" fontId="5" fillId="0" borderId="0" xfId="52" applyBorder="1" applyAlignment="1">
      <alignment vertical="center"/>
    </xf>
    <xf numFmtId="0" fontId="5" fillId="51" borderId="0" xfId="51" applyFill="1" applyBorder="1">
      <alignment horizontal="center" vertical="center"/>
    </xf>
    <xf numFmtId="49" fontId="5" fillId="51" borderId="0" xfId="52" applyNumberFormat="1" applyFill="1" applyBorder="1">
      <alignment horizontal="center" vertical="center"/>
    </xf>
    <xf numFmtId="0" fontId="7" fillId="51" borderId="0" xfId="52" applyFont="1" applyFill="1" applyBorder="1">
      <alignment horizontal="center" vertical="center"/>
    </xf>
    <xf numFmtId="0" fontId="2" fillId="0" borderId="12" xfId="52" applyFont="1" applyBorder="1" applyAlignment="1">
      <alignment horizontal="center"/>
    </xf>
    <xf numFmtId="0" fontId="5" fillId="0" borderId="34" xfId="52" applyBorder="1">
      <alignment horizontal="center" vertical="center"/>
    </xf>
    <xf numFmtId="0" fontId="19" fillId="51" borderId="25" xfId="0" applyFont="1" applyFill="1" applyBorder="1" applyAlignment="1" applyProtection="1">
      <alignment horizontal="left" vertical="center"/>
      <protection locked="0"/>
    </xf>
    <xf numFmtId="0" fontId="19" fillId="0" borderId="25" xfId="0" applyFont="1" applyBorder="1" applyAlignment="1">
      <alignment vertical="center"/>
    </xf>
    <xf numFmtId="0" fontId="0" fillId="0" borderId="38" xfId="0" applyBorder="1">
      <alignment horizontal="center" vertical="center"/>
    </xf>
    <xf numFmtId="49" fontId="0" fillId="0" borderId="0" xfId="0" applyNumberFormat="1" applyBorder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>
      <alignment horizontal="center" vertical="center"/>
    </xf>
    <xf numFmtId="49" fontId="5" fillId="0" borderId="0" xfId="0" applyNumberFormat="1" applyFont="1" applyBorder="1">
      <alignment horizontal="center" vertical="center"/>
    </xf>
    <xf numFmtId="0" fontId="5" fillId="0" borderId="39" xfId="52" applyBorder="1">
      <alignment horizontal="center" vertical="center"/>
    </xf>
    <xf numFmtId="0" fontId="19" fillId="0" borderId="40" xfId="0" applyFont="1" applyBorder="1">
      <alignment horizontal="center" vertical="center"/>
    </xf>
    <xf numFmtId="0" fontId="43" fillId="0" borderId="40" xfId="0" applyFont="1" applyBorder="1">
      <alignment horizontal="center" vertical="center"/>
    </xf>
    <xf numFmtId="0" fontId="0" fillId="51" borderId="35" xfId="0" applyFill="1" applyBorder="1">
      <alignment horizontal="center" vertical="center"/>
    </xf>
    <xf numFmtId="0" fontId="0" fillId="51" borderId="37" xfId="0" applyFill="1" applyBorder="1">
      <alignment horizontal="center" vertical="center"/>
    </xf>
    <xf numFmtId="0" fontId="7" fillId="51" borderId="0" xfId="0" applyFont="1" applyFill="1" applyBorder="1">
      <alignment horizontal="center" vertical="center"/>
    </xf>
    <xf numFmtId="0" fontId="0" fillId="24" borderId="11" xfId="0" applyFill="1" applyBorder="1" applyAlignment="1" applyProtection="1">
      <alignment horizontal="center"/>
      <protection locked="0"/>
    </xf>
    <xf numFmtId="0" fontId="0" fillId="0" borderId="41" xfId="0" applyBorder="1" applyAlignment="1">
      <alignment vertical="center"/>
    </xf>
    <xf numFmtId="0" fontId="0" fillId="0" borderId="12" xfId="52" applyFont="1" applyBorder="1" applyAlignment="1">
      <alignment horizontal="left"/>
    </xf>
    <xf numFmtId="0" fontId="2" fillId="0" borderId="12" xfId="52" applyFont="1" applyBorder="1" applyAlignment="1">
      <alignment horizontal="left"/>
    </xf>
    <xf numFmtId="49" fontId="0" fillId="51" borderId="0" xfId="0" applyNumberFormat="1" applyFill="1" applyBorder="1">
      <alignment horizontal="center" vertical="center"/>
    </xf>
    <xf numFmtId="0" fontId="2" fillId="43" borderId="0" xfId="0" applyFont="1" applyFill="1" applyBorder="1" applyAlignment="1">
      <alignment horizontal="center"/>
    </xf>
    <xf numFmtId="0" fontId="0" fillId="51" borderId="0" xfId="0" applyFill="1" applyBorder="1" applyAlignment="1">
      <alignment horizontal="left" vertical="center"/>
    </xf>
    <xf numFmtId="0" fontId="0" fillId="51" borderId="0" xfId="47" applyFont="1" applyFill="1" applyBorder="1">
      <alignment horizontal="center" vertical="center"/>
    </xf>
    <xf numFmtId="0" fontId="0" fillId="51" borderId="0" xfId="32" applyFont="1" applyFill="1" applyBorder="1" applyAlignment="1">
      <alignment horizontal="center" vertical="center"/>
    </xf>
    <xf numFmtId="0" fontId="0" fillId="51" borderId="0" xfId="48" applyFont="1" applyFill="1" applyBorder="1">
      <alignment horizontal="center" vertical="center"/>
    </xf>
    <xf numFmtId="0" fontId="0" fillId="51" borderId="0" xfId="43" applyFont="1" applyFill="1" applyBorder="1">
      <alignment horizontal="center" vertical="center"/>
    </xf>
    <xf numFmtId="0" fontId="0" fillId="43" borderId="0" xfId="0" applyFill="1" applyBorder="1" applyAlignment="1" applyProtection="1">
      <alignment horizontal="center"/>
      <protection locked="0"/>
    </xf>
    <xf numFmtId="0" fontId="45" fillId="0" borderId="0" xfId="0" applyFont="1" applyBorder="1" applyAlignment="1">
      <alignment vertical="center"/>
    </xf>
    <xf numFmtId="0" fontId="7" fillId="0" borderId="0" xfId="0" applyFont="1" applyBorder="1" applyAlignment="1">
      <alignment horizontal="center" vertical="center" wrapText="1"/>
    </xf>
    <xf numFmtId="0" fontId="0" fillId="51" borderId="41" xfId="0" applyFill="1" applyBorder="1" applyAlignment="1" applyProtection="1">
      <alignment horizontal="left" vertical="center"/>
      <protection locked="0"/>
    </xf>
    <xf numFmtId="0" fontId="0" fillId="51" borderId="41" xfId="0" applyFill="1" applyBorder="1">
      <alignment horizontal="center" vertical="center"/>
    </xf>
    <xf numFmtId="0" fontId="0" fillId="51" borderId="41" xfId="44" applyFont="1" applyFill="1" applyBorder="1">
      <alignment horizontal="center" vertical="center"/>
    </xf>
    <xf numFmtId="49" fontId="0" fillId="51" borderId="41" xfId="0" applyNumberFormat="1" applyFill="1" applyBorder="1">
      <alignment horizontal="center" vertical="center"/>
    </xf>
    <xf numFmtId="0" fontId="0" fillId="51" borderId="41" xfId="47" applyFont="1" applyFill="1" applyBorder="1">
      <alignment horizontal="center" vertical="center"/>
    </xf>
    <xf numFmtId="0" fontId="0" fillId="51" borderId="42" xfId="0" applyFill="1" applyBorder="1">
      <alignment horizontal="center" vertical="center"/>
    </xf>
    <xf numFmtId="0" fontId="0" fillId="51" borderId="41" xfId="52" applyFont="1" applyFill="1" applyBorder="1">
      <alignment horizontal="center" vertical="center"/>
    </xf>
    <xf numFmtId="0" fontId="0" fillId="51" borderId="41" xfId="48" applyFont="1" applyFill="1" applyBorder="1">
      <alignment horizontal="center" vertical="center"/>
    </xf>
    <xf numFmtId="0" fontId="0" fillId="51" borderId="11" xfId="0" applyFill="1" applyBorder="1">
      <alignment horizontal="center" vertical="center"/>
    </xf>
    <xf numFmtId="0" fontId="0" fillId="51" borderId="43" xfId="0" applyFill="1" applyBorder="1">
      <alignment horizontal="center" vertical="center"/>
    </xf>
    <xf numFmtId="0" fontId="1" fillId="0" borderId="0" xfId="53"/>
    <xf numFmtId="0" fontId="5" fillId="52" borderId="34" xfId="48" applyBorder="1">
      <alignment horizontal="center" vertical="center"/>
    </xf>
    <xf numFmtId="0" fontId="5" fillId="52" borderId="41" xfId="48" applyBorder="1">
      <alignment horizontal="center" vertical="center"/>
    </xf>
    <xf numFmtId="0" fontId="5" fillId="52" borderId="42" xfId="48" applyBorder="1">
      <alignment horizontal="center" vertical="center"/>
    </xf>
    <xf numFmtId="0" fontId="0" fillId="51" borderId="37" xfId="0" applyFill="1" applyBorder="1" applyAlignment="1">
      <alignment horizontal="left" vertical="center"/>
    </xf>
    <xf numFmtId="0" fontId="0" fillId="70" borderId="41" xfId="0" applyFill="1" applyBorder="1">
      <alignment horizontal="center" vertical="center"/>
    </xf>
    <xf numFmtId="0" fontId="5" fillId="0" borderId="44" xfId="52" applyBorder="1">
      <alignment horizontal="center" vertical="center"/>
    </xf>
    <xf numFmtId="0" fontId="2" fillId="0" borderId="45" xfId="52" applyFont="1" applyBorder="1" applyAlignment="1">
      <alignment horizontal="left"/>
    </xf>
    <xf numFmtId="0" fontId="5" fillId="0" borderId="45" xfId="52" applyBorder="1">
      <alignment horizontal="center" vertical="center"/>
    </xf>
    <xf numFmtId="0" fontId="5" fillId="0" borderId="46" xfId="52" applyBorder="1">
      <alignment horizontal="center" vertical="center"/>
    </xf>
    <xf numFmtId="0" fontId="2" fillId="0" borderId="44" xfId="52" applyFont="1" applyBorder="1">
      <alignment horizontal="center" vertical="center"/>
    </xf>
    <xf numFmtId="0" fontId="5" fillId="0" borderId="45" xfId="52" applyBorder="1" applyAlignment="1">
      <alignment horizontal="left" vertical="center"/>
    </xf>
    <xf numFmtId="0" fontId="5" fillId="0" borderId="47" xfId="52" applyBorder="1">
      <alignment horizontal="center" vertical="center"/>
    </xf>
    <xf numFmtId="0" fontId="2" fillId="0" borderId="44" xfId="52" applyFont="1" applyBorder="1" applyAlignment="1">
      <alignment horizontal="left"/>
    </xf>
    <xf numFmtId="0" fontId="5" fillId="0" borderId="46" xfId="52" applyBorder="1" applyAlignment="1">
      <alignment horizontal="left"/>
    </xf>
    <xf numFmtId="0" fontId="0" fillId="0" borderId="44" xfId="0" applyBorder="1" applyAlignment="1">
      <alignment horizontal="left" vertical="center"/>
    </xf>
    <xf numFmtId="0" fontId="4" fillId="0" borderId="45" xfId="0" applyFont="1" applyBorder="1">
      <alignment horizontal="center" vertical="center"/>
    </xf>
    <xf numFmtId="0" fontId="5" fillId="0" borderId="45" xfId="0" applyFont="1" applyBorder="1">
      <alignment horizontal="center" vertical="center"/>
    </xf>
    <xf numFmtId="0" fontId="5" fillId="0" borderId="47" xfId="0" applyFont="1" applyBorder="1">
      <alignment horizontal="center" vertical="center"/>
    </xf>
    <xf numFmtId="0" fontId="2" fillId="0" borderId="48" xfId="0" applyFont="1" applyBorder="1" applyAlignment="1">
      <alignment horizontal="center"/>
    </xf>
    <xf numFmtId="49" fontId="5" fillId="0" borderId="49" xfId="0" applyNumberFormat="1" applyFont="1" applyBorder="1">
      <alignment horizontal="center" vertical="center"/>
    </xf>
    <xf numFmtId="0" fontId="2" fillId="0" borderId="50" xfId="0" applyFont="1" applyBorder="1" applyAlignment="1">
      <alignment horizontal="left"/>
    </xf>
    <xf numFmtId="0" fontId="0" fillId="0" borderId="50" xfId="0" applyBorder="1">
      <alignment horizontal="center" vertical="center"/>
    </xf>
    <xf numFmtId="0" fontId="0" fillId="0" borderId="51" xfId="0" applyBorder="1">
      <alignment horizontal="center" vertical="center"/>
    </xf>
    <xf numFmtId="0" fontId="0" fillId="0" borderId="52" xfId="0" applyBorder="1">
      <alignment horizontal="center" vertical="center"/>
    </xf>
    <xf numFmtId="0" fontId="2" fillId="0" borderId="52" xfId="0" applyFont="1" applyBorder="1" applyAlignment="1">
      <alignment horizontal="left"/>
    </xf>
    <xf numFmtId="0" fontId="0" fillId="0" borderId="53" xfId="0" applyBorder="1">
      <alignment horizontal="center" vertical="center"/>
    </xf>
    <xf numFmtId="0" fontId="2" fillId="0" borderId="54" xfId="0" applyFont="1" applyBorder="1" applyAlignment="1">
      <alignment horizontal="left" vertical="center"/>
    </xf>
    <xf numFmtId="0" fontId="2" fillId="0" borderId="54" xfId="52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55" xfId="0" applyFont="1" applyBorder="1" applyAlignment="1" applyProtection="1">
      <alignment horizontal="center"/>
      <protection locked="0"/>
    </xf>
    <xf numFmtId="0" fontId="0" fillId="0" borderId="55" xfId="0" applyBorder="1" applyAlignment="1">
      <alignment horizontal="left"/>
    </xf>
    <xf numFmtId="0" fontId="43" fillId="0" borderId="55" xfId="0" applyFont="1" applyBorder="1" applyAlignment="1">
      <alignment vertical="center"/>
    </xf>
    <xf numFmtId="0" fontId="4" fillId="0" borderId="44" xfId="0" applyFont="1" applyBorder="1" applyAlignment="1">
      <alignment horizontal="center"/>
    </xf>
    <xf numFmtId="0" fontId="0" fillId="0" borderId="44" xfId="0" applyBorder="1">
      <alignment horizontal="center" vertical="center"/>
    </xf>
    <xf numFmtId="0" fontId="0" fillId="0" borderId="56" xfId="0" applyBorder="1" applyAlignment="1">
      <alignment horizontal="center"/>
    </xf>
    <xf numFmtId="0" fontId="0" fillId="0" borderId="56" xfId="0" applyBorder="1">
      <alignment horizontal="center" vertical="center"/>
    </xf>
    <xf numFmtId="0" fontId="2" fillId="0" borderId="57" xfId="0" applyFont="1" applyBorder="1" applyAlignment="1">
      <alignment horizontal="center"/>
    </xf>
    <xf numFmtId="0" fontId="2" fillId="0" borderId="58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0" fillId="0" borderId="59" xfId="0" applyBorder="1">
      <alignment horizontal="center" vertical="center"/>
    </xf>
    <xf numFmtId="0" fontId="4" fillId="0" borderId="60" xfId="0" applyFont="1" applyBorder="1" applyAlignment="1">
      <alignment horizontal="left"/>
    </xf>
    <xf numFmtId="0" fontId="0" fillId="24" borderId="56" xfId="0" applyFill="1" applyBorder="1" applyAlignment="1">
      <alignment horizontal="center"/>
    </xf>
    <xf numFmtId="0" fontId="5" fillId="0" borderId="56" xfId="0" applyFont="1" applyBorder="1" applyAlignment="1">
      <alignment horizontal="left"/>
    </xf>
    <xf numFmtId="0" fontId="2" fillId="0" borderId="61" xfId="0" applyFont="1" applyBorder="1" applyAlignment="1">
      <alignment horizontal="center"/>
    </xf>
    <xf numFmtId="0" fontId="4" fillId="0" borderId="60" xfId="0" applyFont="1" applyBorder="1" applyAlignment="1">
      <alignment horizontal="center"/>
    </xf>
    <xf numFmtId="0" fontId="0" fillId="0" borderId="62" xfId="0" applyBorder="1" applyAlignment="1">
      <alignment horizontal="center"/>
    </xf>
    <xf numFmtId="0" fontId="4" fillId="24" borderId="47" xfId="0" applyFont="1" applyFill="1" applyBorder="1">
      <alignment horizontal="center" vertical="center"/>
    </xf>
    <xf numFmtId="0" fontId="0" fillId="0" borderId="47" xfId="0" applyBorder="1">
      <alignment horizontal="center" vertical="center"/>
    </xf>
    <xf numFmtId="0" fontId="5" fillId="24" borderId="56" xfId="0" applyFont="1" applyFill="1" applyBorder="1" applyAlignment="1">
      <alignment horizontal="center"/>
    </xf>
    <xf numFmtId="0" fontId="5" fillId="0" borderId="56" xfId="0" applyFont="1" applyBorder="1" applyAlignment="1">
      <alignment horizontal="center"/>
    </xf>
    <xf numFmtId="2" fontId="0" fillId="24" borderId="62" xfId="0" applyNumberFormat="1" applyFill="1" applyBorder="1">
      <alignment horizontal="center" vertical="center"/>
    </xf>
    <xf numFmtId="0" fontId="4" fillId="0" borderId="46" xfId="0" applyFont="1" applyBorder="1" applyAlignment="1">
      <alignment horizontal="center"/>
    </xf>
    <xf numFmtId="0" fontId="4" fillId="0" borderId="47" xfId="0" applyFont="1" applyBorder="1" applyAlignment="1">
      <alignment horizontal="left"/>
    </xf>
    <xf numFmtId="0" fontId="0" fillId="0" borderId="57" xfId="0" applyBorder="1">
      <alignment horizontal="center" vertical="center"/>
    </xf>
    <xf numFmtId="0" fontId="0" fillId="0" borderId="63" xfId="0" applyBorder="1">
      <alignment horizontal="center" vertical="center"/>
    </xf>
    <xf numFmtId="0" fontId="0" fillId="24" borderId="64" xfId="0" applyFill="1" applyBorder="1" applyAlignment="1">
      <alignment horizontal="left"/>
    </xf>
    <xf numFmtId="0" fontId="8" fillId="35" borderId="46" xfId="0" applyFont="1" applyFill="1" applyBorder="1">
      <alignment horizontal="center" vertical="center"/>
    </xf>
    <xf numFmtId="0" fontId="0" fillId="0" borderId="64" xfId="0" applyBorder="1" applyAlignment="1">
      <alignment horizontal="left"/>
    </xf>
    <xf numFmtId="0" fontId="5" fillId="0" borderId="46" xfId="0" applyFont="1" applyBorder="1" applyAlignment="1">
      <alignment horizontal="center"/>
    </xf>
    <xf numFmtId="0" fontId="0" fillId="0" borderId="46" xfId="0" applyBorder="1">
      <alignment horizontal="center" vertical="center"/>
    </xf>
    <xf numFmtId="0" fontId="2" fillId="37" borderId="46" xfId="0" applyFont="1" applyFill="1" applyBorder="1" applyAlignment="1">
      <alignment horizontal="center"/>
    </xf>
    <xf numFmtId="0" fontId="2" fillId="0" borderId="64" xfId="0" applyFont="1" applyBorder="1" applyAlignment="1">
      <alignment horizontal="left"/>
    </xf>
    <xf numFmtId="0" fontId="2" fillId="0" borderId="46" xfId="0" applyFont="1" applyBorder="1" applyAlignment="1">
      <alignment horizontal="center"/>
    </xf>
    <xf numFmtId="0" fontId="2" fillId="41" borderId="46" xfId="0" applyFont="1" applyFill="1" applyBorder="1" applyAlignment="1">
      <alignment horizontal="center"/>
    </xf>
    <xf numFmtId="0" fontId="2" fillId="42" borderId="46" xfId="0" applyFont="1" applyFill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65" xfId="0" applyFont="1" applyBorder="1" applyAlignment="1">
      <alignment horizontal="left"/>
    </xf>
    <xf numFmtId="0" fontId="0" fillId="0" borderId="4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5" fillId="0" borderId="60" xfId="0" applyFont="1" applyBorder="1" applyAlignment="1">
      <alignment horizontal="left"/>
    </xf>
    <xf numFmtId="0" fontId="2" fillId="0" borderId="65" xfId="0" applyFont="1" applyBorder="1" applyAlignment="1">
      <alignment horizontal="center"/>
    </xf>
    <xf numFmtId="0" fontId="16" fillId="24" borderId="45" xfId="0" applyFont="1" applyFill="1" applyBorder="1" applyAlignment="1">
      <alignment horizontal="center"/>
    </xf>
    <xf numFmtId="0" fontId="16" fillId="24" borderId="45" xfId="0" applyFont="1" applyFill="1" applyBorder="1" applyAlignment="1">
      <alignment wrapText="1"/>
    </xf>
    <xf numFmtId="0" fontId="16" fillId="24" borderId="45" xfId="0" applyFont="1" applyFill="1" applyBorder="1">
      <alignment horizontal="center" vertical="center"/>
    </xf>
    <xf numFmtId="0" fontId="16" fillId="24" borderId="47" xfId="0" applyFont="1" applyFill="1" applyBorder="1">
      <alignment horizontal="center" vertical="center"/>
    </xf>
    <xf numFmtId="0" fontId="23" fillId="24" borderId="45" xfId="0" applyFont="1" applyFill="1" applyBorder="1">
      <alignment horizontal="center" vertical="center"/>
    </xf>
    <xf numFmtId="0" fontId="23" fillId="24" borderId="47" xfId="0" applyFont="1" applyFill="1" applyBorder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167" fontId="7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0" fontId="0" fillId="0" borderId="67" xfId="0" applyBorder="1" applyAlignment="1">
      <alignment vertical="center"/>
    </xf>
    <xf numFmtId="0" fontId="0" fillId="51" borderId="67" xfId="0" applyFill="1" applyBorder="1" applyAlignment="1" applyProtection="1">
      <alignment horizontal="left" vertical="center"/>
      <protection locked="0"/>
    </xf>
    <xf numFmtId="0" fontId="0" fillId="51" borderId="67" xfId="52" applyFont="1" applyFill="1" applyBorder="1">
      <alignment horizontal="center" vertical="center"/>
    </xf>
    <xf numFmtId="0" fontId="0" fillId="51" borderId="67" xfId="48" applyFont="1" applyFill="1" applyBorder="1">
      <alignment horizontal="center" vertical="center"/>
    </xf>
    <xf numFmtId="0" fontId="0" fillId="51" borderId="67" xfId="0" applyFill="1" applyBorder="1">
      <alignment horizontal="center" vertical="center"/>
    </xf>
    <xf numFmtId="49" fontId="0" fillId="51" borderId="67" xfId="0" applyNumberFormat="1" applyFill="1" applyBorder="1">
      <alignment horizontal="center" vertical="center"/>
    </xf>
    <xf numFmtId="0" fontId="0" fillId="51" borderId="67" xfId="44" applyFont="1" applyFill="1" applyBorder="1">
      <alignment horizontal="center" vertical="center"/>
    </xf>
    <xf numFmtId="0" fontId="0" fillId="51" borderId="67" xfId="47" applyFont="1" applyFill="1" applyBorder="1">
      <alignment horizontal="center" vertical="center"/>
    </xf>
    <xf numFmtId="0" fontId="0" fillId="51" borderId="68" xfId="47" applyFont="1" applyFill="1" applyBorder="1">
      <alignment horizontal="center" vertical="center"/>
    </xf>
    <xf numFmtId="0" fontId="2" fillId="0" borderId="30" xfId="0" applyFont="1" applyBorder="1">
      <alignment horizontal="center" vertical="center"/>
    </xf>
    <xf numFmtId="0" fontId="0" fillId="51" borderId="30" xfId="47" applyFont="1" applyFill="1" applyBorder="1">
      <alignment horizontal="center" vertical="center"/>
    </xf>
    <xf numFmtId="0" fontId="0" fillId="51" borderId="69" xfId="0" applyFill="1" applyBorder="1" applyAlignment="1">
      <alignment horizontal="left" vertical="center"/>
    </xf>
    <xf numFmtId="0" fontId="43" fillId="51" borderId="69" xfId="0" applyFont="1" applyFill="1" applyBorder="1" applyAlignment="1">
      <alignment horizontal="left" vertical="center"/>
    </xf>
    <xf numFmtId="0" fontId="0" fillId="51" borderId="55" xfId="0" applyFill="1" applyBorder="1" applyAlignment="1">
      <alignment horizontal="left" vertical="center"/>
    </xf>
    <xf numFmtId="0" fontId="0" fillId="51" borderId="55" xfId="0" applyFill="1" applyBorder="1">
      <alignment horizontal="center" vertical="center"/>
    </xf>
    <xf numFmtId="0" fontId="5" fillId="52" borderId="43" xfId="48" applyBorder="1">
      <alignment horizontal="center" vertical="center"/>
    </xf>
    <xf numFmtId="0" fontId="5" fillId="53" borderId="34" xfId="48" applyFill="1" applyBorder="1">
      <alignment horizontal="center" vertical="center"/>
    </xf>
    <xf numFmtId="0" fontId="0" fillId="70" borderId="67" xfId="52" applyFont="1" applyFill="1" applyBorder="1">
      <alignment horizontal="center" vertical="center"/>
    </xf>
    <xf numFmtId="0" fontId="0" fillId="51" borderId="68" xfId="0" applyFill="1" applyBorder="1">
      <alignment horizontal="center" vertical="center"/>
    </xf>
    <xf numFmtId="49" fontId="0" fillId="51" borderId="55" xfId="0" applyNumberFormat="1" applyFill="1" applyBorder="1">
      <alignment horizontal="center" vertical="center"/>
    </xf>
    <xf numFmtId="0" fontId="0" fillId="51" borderId="55" xfId="47" applyFont="1" applyFill="1" applyBorder="1">
      <alignment horizontal="center" vertical="center"/>
    </xf>
    <xf numFmtId="0" fontId="0" fillId="51" borderId="70" xfId="0" applyFill="1" applyBorder="1">
      <alignment horizontal="center" vertical="center"/>
    </xf>
    <xf numFmtId="0" fontId="0" fillId="51" borderId="71" xfId="0" applyFill="1" applyBorder="1" applyAlignment="1">
      <alignment horizontal="left" vertical="center"/>
    </xf>
    <xf numFmtId="0" fontId="0" fillId="51" borderId="37" xfId="43" applyFont="1" applyFill="1" applyBorder="1">
      <alignment horizontal="center" vertical="center"/>
    </xf>
    <xf numFmtId="0" fontId="0" fillId="51" borderId="55" xfId="44" applyFont="1" applyFill="1" applyBorder="1">
      <alignment horizontal="center" vertical="center"/>
    </xf>
    <xf numFmtId="0" fontId="0" fillId="51" borderId="30" xfId="0" applyFill="1" applyBorder="1">
      <alignment horizontal="center" vertical="center"/>
    </xf>
    <xf numFmtId="0" fontId="0" fillId="55" borderId="55" xfId="0" applyFill="1" applyBorder="1">
      <alignment horizontal="center" vertical="center"/>
    </xf>
    <xf numFmtId="0" fontId="0" fillId="55" borderId="0" xfId="0" applyFill="1">
      <alignment horizontal="center" vertical="center"/>
    </xf>
    <xf numFmtId="0" fontId="5" fillId="55" borderId="67" xfId="45" applyBorder="1">
      <alignment horizontal="center" vertical="center"/>
    </xf>
    <xf numFmtId="0" fontId="0" fillId="51" borderId="73" xfId="0" applyFill="1" applyBorder="1">
      <alignment horizontal="center" vertical="center"/>
    </xf>
    <xf numFmtId="0" fontId="19" fillId="51" borderId="11" xfId="0" applyFont="1" applyFill="1" applyBorder="1" applyAlignment="1">
      <alignment horizontal="left" vertical="center"/>
    </xf>
    <xf numFmtId="0" fontId="0" fillId="51" borderId="22" xfId="0" applyFill="1" applyBorder="1">
      <alignment horizontal="center" vertical="center"/>
    </xf>
    <xf numFmtId="1" fontId="0" fillId="51" borderId="11" xfId="32" applyNumberFormat="1" applyFont="1" applyFill="1" applyBorder="1" applyAlignment="1">
      <alignment horizontal="center" vertical="center"/>
    </xf>
    <xf numFmtId="0" fontId="0" fillId="51" borderId="14" xfId="0" applyFill="1" applyBorder="1">
      <alignment horizontal="center" vertical="center"/>
    </xf>
    <xf numFmtId="0" fontId="4" fillId="0" borderId="74" xfId="0" applyFont="1" applyBorder="1" applyAlignment="1">
      <alignment horizontal="center"/>
    </xf>
    <xf numFmtId="0" fontId="0" fillId="0" borderId="74" xfId="0" applyBorder="1">
      <alignment horizontal="center" vertical="center"/>
    </xf>
    <xf numFmtId="0" fontId="0" fillId="71" borderId="74" xfId="0" applyFill="1" applyBorder="1">
      <alignment horizontal="center" vertical="center"/>
    </xf>
    <xf numFmtId="0" fontId="0" fillId="51" borderId="72" xfId="0" applyFill="1" applyBorder="1">
      <alignment horizontal="center" vertical="center"/>
    </xf>
    <xf numFmtId="0" fontId="0" fillId="0" borderId="45" xfId="0" applyBorder="1" applyAlignment="1">
      <alignment horizontal="left"/>
    </xf>
    <xf numFmtId="0" fontId="0" fillId="0" borderId="45" xfId="0" applyBorder="1">
      <alignment horizontal="center" vertical="center"/>
    </xf>
    <xf numFmtId="0" fontId="2" fillId="0" borderId="44" xfId="0" applyFont="1" applyBorder="1" applyAlignment="1">
      <alignment horizontal="left" vertical="center"/>
    </xf>
    <xf numFmtId="0" fontId="2" fillId="0" borderId="44" xfId="0" applyFont="1" applyBorder="1" applyAlignment="1">
      <alignment horizontal="left"/>
    </xf>
    <xf numFmtId="0" fontId="2" fillId="43" borderId="55" xfId="0" applyFont="1" applyFill="1" applyBorder="1" applyAlignment="1">
      <alignment horizontal="center"/>
    </xf>
    <xf numFmtId="0" fontId="5" fillId="52" borderId="55" xfId="48" applyBorder="1">
      <alignment horizontal="center" vertical="center"/>
    </xf>
    <xf numFmtId="0" fontId="5" fillId="52" borderId="70" xfId="48" applyBorder="1">
      <alignment horizontal="center" vertical="center"/>
    </xf>
    <xf numFmtId="0" fontId="0" fillId="51" borderId="55" xfId="0" applyFill="1" applyBorder="1" applyAlignment="1">
      <alignment horizontal="left" vertical="center" wrapText="1"/>
    </xf>
    <xf numFmtId="49" fontId="0" fillId="51" borderId="70" xfId="0" applyNumberFormat="1" applyFill="1" applyBorder="1">
      <alignment horizontal="center" vertical="center"/>
    </xf>
    <xf numFmtId="0" fontId="0" fillId="53" borderId="55" xfId="0" applyFill="1" applyBorder="1">
      <alignment horizontal="center" vertical="center"/>
    </xf>
    <xf numFmtId="49" fontId="0" fillId="70" borderId="55" xfId="0" applyNumberFormat="1" applyFill="1" applyBorder="1">
      <alignment horizontal="center" vertical="center"/>
    </xf>
    <xf numFmtId="0" fontId="5" fillId="70" borderId="55" xfId="44" applyBorder="1">
      <alignment horizontal="center" vertical="center"/>
    </xf>
    <xf numFmtId="0" fontId="0" fillId="51" borderId="55" xfId="52" applyFont="1" applyFill="1" applyBorder="1">
      <alignment horizontal="center" vertical="center"/>
    </xf>
    <xf numFmtId="0" fontId="0" fillId="55" borderId="70" xfId="0" applyFill="1" applyBorder="1">
      <alignment horizontal="center" vertical="center"/>
    </xf>
    <xf numFmtId="0" fontId="5" fillId="51" borderId="55" xfId="48" applyFill="1" applyBorder="1">
      <alignment horizontal="center" vertical="center"/>
    </xf>
    <xf numFmtId="0" fontId="5" fillId="53" borderId="55" xfId="48" applyFill="1" applyBorder="1">
      <alignment horizontal="center" vertical="center"/>
    </xf>
    <xf numFmtId="0" fontId="0" fillId="0" borderId="55" xfId="0" applyBorder="1">
      <alignment horizontal="center" vertical="center"/>
    </xf>
    <xf numFmtId="0" fontId="5" fillId="53" borderId="55" xfId="43" applyBorder="1">
      <alignment horizontal="center" vertical="center"/>
    </xf>
    <xf numFmtId="49" fontId="0" fillId="52" borderId="55" xfId="0" applyNumberFormat="1" applyFill="1" applyBorder="1">
      <alignment horizontal="center" vertical="center"/>
    </xf>
    <xf numFmtId="0" fontId="2" fillId="0" borderId="75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left"/>
    </xf>
    <xf numFmtId="0" fontId="0" fillId="0" borderId="54" xfId="0" applyBorder="1" applyAlignment="1">
      <alignment horizontal="center"/>
    </xf>
    <xf numFmtId="0" fontId="0" fillId="0" borderId="54" xfId="0" applyBorder="1">
      <alignment horizontal="center" vertical="center"/>
    </xf>
    <xf numFmtId="0" fontId="2" fillId="0" borderId="54" xfId="0" applyFont="1" applyBorder="1" applyAlignment="1">
      <alignment horizontal="left"/>
    </xf>
    <xf numFmtId="0" fontId="0" fillId="0" borderId="75" xfId="0" applyBorder="1">
      <alignment horizontal="center" vertical="center"/>
    </xf>
    <xf numFmtId="0" fontId="0" fillId="24" borderId="54" xfId="0" applyFill="1" applyBorder="1" applyAlignment="1">
      <alignment horizontal="left"/>
    </xf>
    <xf numFmtId="0" fontId="2" fillId="33" borderId="75" xfId="0" applyFont="1" applyFill="1" applyBorder="1" applyAlignment="1">
      <alignment horizontal="center"/>
    </xf>
    <xf numFmtId="0" fontId="8" fillId="34" borderId="75" xfId="0" applyFont="1" applyFill="1" applyBorder="1">
      <alignment horizontal="center" vertical="center"/>
    </xf>
    <xf numFmtId="0" fontId="0" fillId="0" borderId="54" xfId="0" applyBorder="1" applyAlignment="1">
      <alignment horizontal="left"/>
    </xf>
    <xf numFmtId="0" fontId="4" fillId="25" borderId="75" xfId="0" applyFont="1" applyFill="1" applyBorder="1" applyAlignment="1">
      <alignment horizontal="center"/>
    </xf>
    <xf numFmtId="0" fontId="8" fillId="35" borderId="75" xfId="0" applyFont="1" applyFill="1" applyBorder="1">
      <alignment horizontal="center" vertical="center"/>
    </xf>
    <xf numFmtId="0" fontId="4" fillId="36" borderId="75" xfId="0" applyFont="1" applyFill="1" applyBorder="1" applyAlignment="1">
      <alignment horizontal="center"/>
    </xf>
    <xf numFmtId="0" fontId="5" fillId="0" borderId="75" xfId="0" applyFont="1" applyBorder="1" applyAlignment="1">
      <alignment horizontal="center"/>
    </xf>
    <xf numFmtId="0" fontId="0" fillId="0" borderId="75" xfId="0" applyBorder="1" applyAlignment="1">
      <alignment horizontal="center"/>
    </xf>
    <xf numFmtId="0" fontId="2" fillId="37" borderId="75" xfId="0" applyFont="1" applyFill="1" applyBorder="1" applyAlignment="1">
      <alignment horizontal="center"/>
    </xf>
    <xf numFmtId="0" fontId="2" fillId="38" borderId="75" xfId="0" applyFont="1" applyFill="1" applyBorder="1" applyAlignment="1">
      <alignment horizontal="center"/>
    </xf>
    <xf numFmtId="0" fontId="2" fillId="24" borderId="75" xfId="0" applyFont="1" applyFill="1" applyBorder="1" applyAlignment="1">
      <alignment horizontal="center"/>
    </xf>
    <xf numFmtId="0" fontId="4" fillId="39" borderId="75" xfId="0" applyFont="1" applyFill="1" applyBorder="1" applyAlignment="1">
      <alignment horizontal="center"/>
    </xf>
    <xf numFmtId="0" fontId="0" fillId="0" borderId="75" xfId="0" applyBorder="1" applyAlignment="1">
      <alignment horizontal="left"/>
    </xf>
    <xf numFmtId="0" fontId="2" fillId="40" borderId="75" xfId="0" applyFont="1" applyFill="1" applyBorder="1" applyAlignment="1">
      <alignment horizontal="center"/>
    </xf>
    <xf numFmtId="0" fontId="0" fillId="0" borderId="76" xfId="0" applyBorder="1">
      <alignment horizontal="center" vertical="center"/>
    </xf>
    <xf numFmtId="0" fontId="2" fillId="42" borderId="75" xfId="0" applyFont="1" applyFill="1" applyBorder="1" applyAlignment="1">
      <alignment horizontal="center"/>
    </xf>
    <xf numFmtId="0" fontId="0" fillId="0" borderId="76" xfId="0" applyBorder="1" applyAlignment="1">
      <alignment horizontal="center"/>
    </xf>
    <xf numFmtId="0" fontId="5" fillId="0" borderId="76" xfId="0" applyFont="1" applyBorder="1" applyAlignment="1">
      <alignment horizontal="left"/>
    </xf>
    <xf numFmtId="0" fontId="5" fillId="0" borderId="54" xfId="0" applyFont="1" applyBorder="1" applyAlignment="1">
      <alignment horizontal="left"/>
    </xf>
    <xf numFmtId="0" fontId="5" fillId="24" borderId="54" xfId="0" applyFont="1" applyFill="1" applyBorder="1" applyAlignment="1">
      <alignment horizontal="left"/>
    </xf>
    <xf numFmtId="0" fontId="16" fillId="24" borderId="54" xfId="0" applyFont="1" applyFill="1" applyBorder="1">
      <alignment horizontal="center" vertical="center"/>
    </xf>
    <xf numFmtId="0" fontId="23" fillId="24" borderId="54" xfId="0" applyFont="1" applyFill="1" applyBorder="1">
      <alignment horizontal="center" vertical="center"/>
    </xf>
    <xf numFmtId="0" fontId="0" fillId="53" borderId="55" xfId="47" applyFont="1" applyFill="1" applyBorder="1">
      <alignment horizontal="center" vertical="center"/>
    </xf>
    <xf numFmtId="0" fontId="5" fillId="70" borderId="67" xfId="44" applyBorder="1">
      <alignment horizontal="center" vertical="center"/>
    </xf>
    <xf numFmtId="0" fontId="0" fillId="51" borderId="67" xfId="51" applyFont="1" applyFill="1" applyBorder="1">
      <alignment horizontal="center" vertical="center"/>
    </xf>
    <xf numFmtId="0" fontId="0" fillId="43" borderId="77" xfId="0" applyFill="1" applyBorder="1" applyAlignment="1" applyProtection="1">
      <alignment horizontal="left"/>
      <protection locked="0"/>
    </xf>
    <xf numFmtId="0" fontId="0" fillId="0" borderId="77" xfId="0" applyBorder="1" applyAlignment="1">
      <alignment vertical="center"/>
    </xf>
    <xf numFmtId="0" fontId="0" fillId="51" borderId="77" xfId="0" applyFill="1" applyBorder="1">
      <alignment horizontal="center" vertical="center"/>
    </xf>
    <xf numFmtId="0" fontId="0" fillId="51" borderId="77" xfId="44" applyFont="1" applyFill="1" applyBorder="1">
      <alignment horizontal="center" vertical="center"/>
    </xf>
    <xf numFmtId="0" fontId="0" fillId="51" borderId="77" xfId="46" applyFont="1" applyFill="1" applyBorder="1">
      <alignment horizontal="center" vertical="center"/>
    </xf>
    <xf numFmtId="0" fontId="0" fillId="70" borderId="77" xfId="0" applyFill="1" applyBorder="1">
      <alignment horizontal="center" vertical="center"/>
    </xf>
    <xf numFmtId="0" fontId="5" fillId="0" borderId="77" xfId="52" applyBorder="1">
      <alignment horizontal="center" vertical="center"/>
    </xf>
    <xf numFmtId="0" fontId="5" fillId="70" borderId="77" xfId="44" applyBorder="1">
      <alignment horizontal="center" vertical="center"/>
    </xf>
    <xf numFmtId="0" fontId="0" fillId="51" borderId="78" xfId="0" applyFill="1" applyBorder="1">
      <alignment horizontal="center" vertical="center"/>
    </xf>
    <xf numFmtId="0" fontId="0" fillId="43" borderId="79" xfId="0" applyFill="1" applyBorder="1" applyAlignment="1" applyProtection="1">
      <alignment horizontal="center"/>
      <protection locked="0"/>
    </xf>
    <xf numFmtId="0" fontId="0" fillId="0" borderId="79" xfId="0" applyBorder="1" applyAlignment="1">
      <alignment horizontal="left" vertical="center"/>
    </xf>
    <xf numFmtId="0" fontId="0" fillId="72" borderId="77" xfId="44" applyFont="1" applyFill="1" applyBorder="1">
      <alignment horizontal="center" vertical="center"/>
    </xf>
    <xf numFmtId="0" fontId="5" fillId="51" borderId="77" xfId="48" applyFill="1" applyBorder="1">
      <alignment horizontal="center" vertical="center"/>
    </xf>
    <xf numFmtId="0" fontId="5" fillId="51" borderId="78" xfId="48" applyFill="1" applyBorder="1">
      <alignment horizontal="center" vertical="center"/>
    </xf>
    <xf numFmtId="0" fontId="5" fillId="51" borderId="77" xfId="33" applyFill="1" applyBorder="1">
      <alignment horizontal="center" vertical="center"/>
    </xf>
    <xf numFmtId="0" fontId="2" fillId="0" borderId="80" xfId="0" applyFont="1" applyBorder="1" applyAlignment="1">
      <alignment vertical="center"/>
    </xf>
    <xf numFmtId="0" fontId="2" fillId="0" borderId="81" xfId="0" applyFont="1" applyBorder="1" applyAlignment="1">
      <alignment vertical="center"/>
    </xf>
    <xf numFmtId="0" fontId="0" fillId="0" borderId="81" xfId="0" applyBorder="1">
      <alignment horizontal="center" vertical="center"/>
    </xf>
    <xf numFmtId="0" fontId="0" fillId="0" borderId="83" xfId="0" applyBorder="1">
      <alignment horizontal="center" vertical="center"/>
    </xf>
    <xf numFmtId="0" fontId="0" fillId="24" borderId="84" xfId="0" applyFill="1" applyBorder="1" applyAlignment="1" applyProtection="1">
      <alignment horizontal="center"/>
      <protection locked="0"/>
    </xf>
    <xf numFmtId="0" fontId="0" fillId="0" borderId="77" xfId="0" applyBorder="1" applyAlignment="1">
      <alignment horizontal="left" vertical="center"/>
    </xf>
    <xf numFmtId="49" fontId="0" fillId="51" borderId="77" xfId="0" applyNumberFormat="1" applyFill="1" applyBorder="1">
      <alignment horizontal="center" vertical="center"/>
    </xf>
    <xf numFmtId="49" fontId="0" fillId="51" borderId="78" xfId="0" applyNumberFormat="1" applyFill="1" applyBorder="1">
      <alignment horizontal="center" vertical="center"/>
    </xf>
    <xf numFmtId="0" fontId="0" fillId="51" borderId="77" xfId="0" applyFill="1" applyBorder="1" applyAlignment="1">
      <alignment horizontal="left" vertical="center" wrapText="1"/>
    </xf>
    <xf numFmtId="0" fontId="0" fillId="51" borderId="77" xfId="52" applyFont="1" applyFill="1" applyBorder="1">
      <alignment horizontal="center" vertical="center"/>
    </xf>
    <xf numFmtId="0" fontId="0" fillId="70" borderId="77" xfId="44" applyFont="1" applyBorder="1">
      <alignment horizontal="center" vertical="center"/>
    </xf>
    <xf numFmtId="1" fontId="0" fillId="51" borderId="77" xfId="32" applyNumberFormat="1" applyFont="1" applyFill="1" applyBorder="1" applyAlignment="1">
      <alignment horizontal="center" vertical="center"/>
    </xf>
    <xf numFmtId="49" fontId="0" fillId="53" borderId="77" xfId="0" applyNumberFormat="1" applyFill="1" applyBorder="1">
      <alignment horizontal="center" vertical="center"/>
    </xf>
    <xf numFmtId="0" fontId="5" fillId="56" borderId="77" xfId="46" applyBorder="1">
      <alignment horizontal="center" vertical="center"/>
    </xf>
    <xf numFmtId="49" fontId="0" fillId="70" borderId="77" xfId="0" applyNumberFormat="1" applyFill="1" applyBorder="1">
      <alignment horizontal="center" vertical="center"/>
    </xf>
    <xf numFmtId="0" fontId="0" fillId="51" borderId="78" xfId="52" applyFont="1" applyFill="1" applyBorder="1">
      <alignment horizontal="center" vertical="center"/>
    </xf>
    <xf numFmtId="0" fontId="2" fillId="0" borderId="77" xfId="0" applyFont="1" applyBorder="1" applyAlignment="1" applyProtection="1">
      <alignment horizontal="center"/>
      <protection locked="0"/>
    </xf>
    <xf numFmtId="0" fontId="19" fillId="51" borderId="77" xfId="0" applyFont="1" applyFill="1" applyBorder="1" applyAlignment="1">
      <alignment horizontal="left" vertical="center"/>
    </xf>
    <xf numFmtId="0" fontId="5" fillId="0" borderId="85" xfId="52" applyBorder="1" applyAlignment="1">
      <alignment horizontal="center"/>
    </xf>
    <xf numFmtId="0" fontId="2" fillId="0" borderId="80" xfId="52" applyFont="1" applyBorder="1" applyAlignment="1">
      <alignment horizontal="left"/>
    </xf>
    <xf numFmtId="0" fontId="5" fillId="0" borderId="81" xfId="52" applyBorder="1">
      <alignment horizontal="center" vertical="center"/>
    </xf>
    <xf numFmtId="0" fontId="5" fillId="0" borderId="82" xfId="52" applyBorder="1" applyAlignment="1">
      <alignment horizontal="left"/>
    </xf>
    <xf numFmtId="0" fontId="5" fillId="0" borderId="81" xfId="52" applyBorder="1" applyAlignment="1">
      <alignment horizontal="left"/>
    </xf>
    <xf numFmtId="0" fontId="5" fillId="0" borderId="86" xfId="52" applyBorder="1" applyAlignment="1">
      <alignment horizontal="left"/>
    </xf>
    <xf numFmtId="0" fontId="5" fillId="0" borderId="87" xfId="52" applyBorder="1">
      <alignment horizontal="center" vertical="center"/>
    </xf>
    <xf numFmtId="0" fontId="2" fillId="0" borderId="88" xfId="52" applyFont="1" applyBorder="1" applyAlignment="1">
      <alignment horizontal="left"/>
    </xf>
    <xf numFmtId="0" fontId="5" fillId="0" borderId="80" xfId="52" applyBorder="1">
      <alignment horizontal="center" vertical="center"/>
    </xf>
    <xf numFmtId="0" fontId="5" fillId="0" borderId="83" xfId="52" applyBorder="1">
      <alignment horizontal="center" vertical="center"/>
    </xf>
    <xf numFmtId="0" fontId="2" fillId="43" borderId="77" xfId="52" applyFont="1" applyFill="1" applyBorder="1" applyAlignment="1">
      <alignment horizontal="center"/>
    </xf>
    <xf numFmtId="0" fontId="0" fillId="0" borderId="80" xfId="0" applyBorder="1">
      <alignment horizontal="center" vertical="center"/>
    </xf>
    <xf numFmtId="0" fontId="2" fillId="0" borderId="80" xfId="0" applyFont="1" applyBorder="1" applyAlignment="1">
      <alignment horizontal="center"/>
    </xf>
    <xf numFmtId="0" fontId="2" fillId="0" borderId="82" xfId="0" applyFont="1" applyBorder="1" applyAlignment="1">
      <alignment horizontal="left"/>
    </xf>
    <xf numFmtId="0" fontId="4" fillId="0" borderId="80" xfId="0" applyFont="1" applyBorder="1" applyAlignment="1">
      <alignment horizontal="center"/>
    </xf>
    <xf numFmtId="0" fontId="0" fillId="0" borderId="82" xfId="0" applyBorder="1">
      <alignment horizontal="center" vertical="center"/>
    </xf>
    <xf numFmtId="0" fontId="0" fillId="0" borderId="80" xfId="0" applyBorder="1" applyAlignment="1">
      <alignment horizontal="center"/>
    </xf>
    <xf numFmtId="0" fontId="2" fillId="0" borderId="82" xfId="0" applyFont="1" applyBorder="1" applyAlignment="1">
      <alignment horizontal="center"/>
    </xf>
    <xf numFmtId="0" fontId="4" fillId="0" borderId="81" xfId="0" applyFont="1" applyBorder="1" applyAlignment="1">
      <alignment horizontal="center"/>
    </xf>
    <xf numFmtId="0" fontId="4" fillId="0" borderId="82" xfId="0" applyFont="1" applyBorder="1" applyAlignment="1">
      <alignment horizontal="center"/>
    </xf>
    <xf numFmtId="0" fontId="0" fillId="0" borderId="82" xfId="0" applyBorder="1" applyAlignment="1">
      <alignment horizontal="center"/>
    </xf>
    <xf numFmtId="0" fontId="5" fillId="0" borderId="81" xfId="0" applyFont="1" applyBorder="1" applyAlignment="1">
      <alignment horizontal="left" vertical="center"/>
    </xf>
    <xf numFmtId="0" fontId="4" fillId="0" borderId="81" xfId="0" applyFont="1" applyBorder="1">
      <alignment horizontal="center" vertical="center"/>
    </xf>
    <xf numFmtId="0" fontId="4" fillId="0" borderId="82" xfId="0" applyFont="1" applyBorder="1">
      <alignment horizontal="center" vertical="center"/>
    </xf>
    <xf numFmtId="0" fontId="5" fillId="0" borderId="77" xfId="0" applyFont="1" applyBorder="1">
      <alignment horizontal="center" vertical="center"/>
    </xf>
    <xf numFmtId="0" fontId="5" fillId="0" borderId="77" xfId="0" applyFont="1" applyBorder="1" applyAlignment="1">
      <alignment horizontal="left" vertical="center"/>
    </xf>
    <xf numFmtId="0" fontId="0" fillId="0" borderId="80" xfId="0" applyBorder="1" applyAlignment="1"/>
    <xf numFmtId="0" fontId="2" fillId="0" borderId="81" xfId="0" applyFont="1" applyBorder="1" applyAlignment="1">
      <alignment horizontal="left"/>
    </xf>
    <xf numFmtId="0" fontId="0" fillId="0" borderId="81" xfId="0" applyBorder="1" applyAlignment="1"/>
    <xf numFmtId="0" fontId="0" fillId="0" borderId="82" xfId="0" applyBorder="1" applyAlignment="1"/>
    <xf numFmtId="0" fontId="2" fillId="0" borderId="80" xfId="0" applyFont="1" applyBorder="1" applyAlignment="1">
      <alignment horizontal="left"/>
    </xf>
    <xf numFmtId="0" fontId="0" fillId="0" borderId="83" xfId="0" applyBorder="1" applyAlignment="1"/>
    <xf numFmtId="0" fontId="2" fillId="43" borderId="77" xfId="0" applyFont="1" applyFill="1" applyBorder="1" applyAlignment="1">
      <alignment horizontal="center"/>
    </xf>
    <xf numFmtId="0" fontId="0" fillId="51" borderId="77" xfId="0" applyFill="1" applyBorder="1" applyAlignment="1">
      <alignment horizontal="left" vertical="center"/>
    </xf>
    <xf numFmtId="0" fontId="5" fillId="51" borderId="77" xfId="0" applyFont="1" applyFill="1" applyBorder="1" applyAlignment="1">
      <alignment vertical="center"/>
    </xf>
    <xf numFmtId="0" fontId="5" fillId="51" borderId="77" xfId="44" applyFill="1" applyBorder="1">
      <alignment horizontal="center" vertical="center"/>
    </xf>
    <xf numFmtId="0" fontId="0" fillId="0" borderId="81" xfId="0" applyBorder="1" applyAlignment="1">
      <alignment horizontal="left" vertical="center"/>
    </xf>
    <xf numFmtId="0" fontId="0" fillId="0" borderId="89" xfId="0" applyBorder="1" applyAlignment="1">
      <alignment horizontal="left" vertical="center"/>
    </xf>
    <xf numFmtId="0" fontId="2" fillId="0" borderId="80" xfId="0" applyFont="1" applyBorder="1" applyAlignment="1">
      <alignment horizontal="left" vertical="center"/>
    </xf>
    <xf numFmtId="0" fontId="0" fillId="0" borderId="82" xfId="0" applyBorder="1" applyAlignment="1">
      <alignment horizontal="left" vertical="center"/>
    </xf>
    <xf numFmtId="0" fontId="2" fillId="0" borderId="81" xfId="0" applyFont="1" applyBorder="1" applyAlignment="1">
      <alignment horizontal="left" vertical="center"/>
    </xf>
    <xf numFmtId="0" fontId="2" fillId="0" borderId="84" xfId="0" applyFont="1" applyBorder="1" applyAlignment="1">
      <alignment horizontal="center"/>
    </xf>
    <xf numFmtId="0" fontId="0" fillId="0" borderId="77" xfId="0" applyBorder="1" applyAlignment="1" applyProtection="1">
      <alignment horizontal="center"/>
      <protection locked="0"/>
    </xf>
    <xf numFmtId="0" fontId="5" fillId="52" borderId="77" xfId="48" applyBorder="1">
      <alignment horizontal="center" vertical="center"/>
    </xf>
    <xf numFmtId="0" fontId="5" fillId="51" borderId="79" xfId="48" applyFill="1" applyBorder="1">
      <alignment horizontal="center" vertical="center"/>
    </xf>
    <xf numFmtId="0" fontId="0" fillId="51" borderId="79" xfId="0" applyFill="1" applyBorder="1">
      <alignment horizontal="center" vertical="center"/>
    </xf>
    <xf numFmtId="0" fontId="0" fillId="51" borderId="79" xfId="52" applyFont="1" applyFill="1" applyBorder="1">
      <alignment horizontal="center" vertical="center"/>
    </xf>
    <xf numFmtId="49" fontId="0" fillId="51" borderId="79" xfId="52" applyNumberFormat="1" applyFont="1" applyFill="1" applyBorder="1">
      <alignment horizontal="center" vertical="center"/>
    </xf>
    <xf numFmtId="0" fontId="0" fillId="51" borderId="90" xfId="0" applyFill="1" applyBorder="1">
      <alignment horizontal="center" vertical="center"/>
    </xf>
    <xf numFmtId="49" fontId="0" fillId="56" borderId="77" xfId="0" applyNumberFormat="1" applyFill="1" applyBorder="1">
      <alignment horizontal="center" vertical="center"/>
    </xf>
    <xf numFmtId="0" fontId="0" fillId="53" borderId="77" xfId="44" applyFont="1" applyFill="1" applyBorder="1">
      <alignment horizontal="center" vertical="center"/>
    </xf>
    <xf numFmtId="49" fontId="0" fillId="51" borderId="77" xfId="20" applyNumberFormat="1" applyFont="1" applyFill="1" applyBorder="1" applyAlignment="1">
      <alignment horizontal="center" vertical="center"/>
    </xf>
    <xf numFmtId="49" fontId="0" fillId="51" borderId="77" xfId="52" applyNumberFormat="1" applyFont="1" applyFill="1" applyBorder="1">
      <alignment horizontal="center" vertical="center"/>
    </xf>
    <xf numFmtId="0" fontId="0" fillId="57" borderId="77" xfId="44" applyFont="1" applyFill="1" applyBorder="1">
      <alignment horizontal="center" vertical="center"/>
    </xf>
    <xf numFmtId="0" fontId="0" fillId="57" borderId="77" xfId="46" applyFont="1" applyFill="1" applyBorder="1">
      <alignment horizontal="center" vertical="center"/>
    </xf>
    <xf numFmtId="0" fontId="0" fillId="51" borderId="77" xfId="48" applyFont="1" applyFill="1" applyBorder="1">
      <alignment horizontal="center" vertical="center"/>
    </xf>
    <xf numFmtId="49" fontId="0" fillId="51" borderId="78" xfId="52" applyNumberFormat="1" applyFont="1" applyFill="1" applyBorder="1">
      <alignment horizontal="center" vertical="center"/>
    </xf>
    <xf numFmtId="0" fontId="0" fillId="52" borderId="77" xfId="0" applyFill="1" applyBorder="1">
      <alignment horizontal="center" vertical="center"/>
    </xf>
    <xf numFmtId="0" fontId="0" fillId="56" borderId="77" xfId="0" applyFill="1" applyBorder="1">
      <alignment horizontal="center" vertical="center"/>
    </xf>
    <xf numFmtId="0" fontId="5" fillId="55" borderId="77" xfId="45" applyBorder="1">
      <alignment horizontal="center" vertical="center"/>
    </xf>
    <xf numFmtId="0" fontId="5" fillId="53" borderId="79" xfId="43" applyBorder="1">
      <alignment horizontal="center" vertical="center"/>
    </xf>
    <xf numFmtId="0" fontId="5" fillId="51" borderId="79" xfId="43" applyFill="1" applyBorder="1">
      <alignment horizontal="center" vertical="center"/>
    </xf>
    <xf numFmtId="0" fontId="0" fillId="51" borderId="79" xfId="43" applyFont="1" applyFill="1" applyBorder="1">
      <alignment horizontal="center" vertical="center"/>
    </xf>
    <xf numFmtId="0" fontId="0" fillId="51" borderId="79" xfId="44" applyFont="1" applyFill="1" applyBorder="1">
      <alignment horizontal="center" vertical="center"/>
    </xf>
    <xf numFmtId="49" fontId="0" fillId="55" borderId="77" xfId="0" applyNumberFormat="1" applyFill="1" applyBorder="1">
      <alignment horizontal="center" vertical="center"/>
    </xf>
    <xf numFmtId="0" fontId="5" fillId="52" borderId="78" xfId="48" applyBorder="1">
      <alignment horizontal="center" vertical="center"/>
    </xf>
    <xf numFmtId="0" fontId="0" fillId="52" borderId="79" xfId="52" applyFont="1" applyFill="1" applyBorder="1">
      <alignment horizontal="center" vertical="center"/>
    </xf>
    <xf numFmtId="0" fontId="0" fillId="52" borderId="79" xfId="0" applyFill="1" applyBorder="1">
      <alignment horizontal="center" vertical="center"/>
    </xf>
    <xf numFmtId="49" fontId="0" fillId="52" borderId="79" xfId="52" applyNumberFormat="1" applyFont="1" applyFill="1" applyBorder="1">
      <alignment horizontal="center" vertical="center"/>
    </xf>
    <xf numFmtId="0" fontId="0" fillId="52" borderId="90" xfId="0" applyFill="1" applyBorder="1">
      <alignment horizontal="center" vertical="center"/>
    </xf>
    <xf numFmtId="0" fontId="0" fillId="55" borderId="79" xfId="0" applyFill="1" applyBorder="1">
      <alignment horizontal="center" vertical="center"/>
    </xf>
    <xf numFmtId="1" fontId="0" fillId="70" borderId="77" xfId="32" applyNumberFormat="1" applyFont="1" applyFill="1" applyBorder="1" applyAlignment="1">
      <alignment horizontal="center" vertical="center"/>
    </xf>
    <xf numFmtId="0" fontId="4" fillId="0" borderId="77" xfId="0" applyFont="1" applyBorder="1" applyAlignment="1">
      <alignment horizontal="center"/>
    </xf>
    <xf numFmtId="0" fontId="0" fillId="0" borderId="78" xfId="0" applyBorder="1">
      <alignment horizontal="center" vertical="center"/>
    </xf>
    <xf numFmtId="0" fontId="0" fillId="51" borderId="82" xfId="0" applyFill="1" applyBorder="1">
      <alignment horizontal="center" vertical="center"/>
    </xf>
    <xf numFmtId="0" fontId="0" fillId="53" borderId="77" xfId="0" applyFill="1" applyBorder="1">
      <alignment horizontal="center" vertical="center"/>
    </xf>
    <xf numFmtId="0" fontId="0" fillId="0" borderId="77" xfId="0" applyBorder="1">
      <alignment horizontal="center" vertical="center"/>
    </xf>
    <xf numFmtId="0" fontId="5" fillId="54" borderId="77" xfId="50" applyBorder="1">
      <alignment horizontal="center" vertical="center"/>
    </xf>
    <xf numFmtId="0" fontId="19" fillId="0" borderId="77" xfId="0" applyFont="1" applyBorder="1" applyAlignment="1">
      <alignment horizontal="left" vertical="center"/>
    </xf>
    <xf numFmtId="0" fontId="2" fillId="0" borderId="85" xfId="0" applyFont="1" applyBorder="1" applyAlignment="1">
      <alignment horizontal="center"/>
    </xf>
    <xf numFmtId="0" fontId="2" fillId="0" borderId="77" xfId="0" applyFont="1" applyBorder="1" applyAlignment="1">
      <alignment horizontal="center"/>
    </xf>
    <xf numFmtId="0" fontId="4" fillId="0" borderId="78" xfId="0" applyFont="1" applyBorder="1" applyAlignment="1">
      <alignment horizontal="left"/>
    </xf>
    <xf numFmtId="0" fontId="0" fillId="0" borderId="84" xfId="0" applyBorder="1" applyAlignment="1">
      <alignment horizontal="center"/>
    </xf>
    <xf numFmtId="0" fontId="0" fillId="0" borderId="77" xfId="0" applyBorder="1" applyAlignment="1">
      <alignment horizontal="center"/>
    </xf>
    <xf numFmtId="0" fontId="5" fillId="0" borderId="77" xfId="0" applyFont="1" applyBorder="1" applyAlignment="1">
      <alignment horizontal="center"/>
    </xf>
    <xf numFmtId="0" fontId="5" fillId="0" borderId="78" xfId="0" applyFont="1" applyBorder="1" applyAlignment="1">
      <alignment horizontal="left"/>
    </xf>
    <xf numFmtId="0" fontId="0" fillId="0" borderId="85" xfId="0" applyBorder="1" applyAlignment="1">
      <alignment horizontal="center"/>
    </xf>
    <xf numFmtId="0" fontId="5" fillId="0" borderId="81" xfId="0" applyFont="1" applyBorder="1" applyAlignment="1">
      <alignment horizontal="center"/>
    </xf>
    <xf numFmtId="0" fontId="0" fillId="25" borderId="77" xfId="0" applyFill="1" applyBorder="1" applyAlignment="1">
      <alignment horizontal="center"/>
    </xf>
    <xf numFmtId="0" fontId="0" fillId="25" borderId="77" xfId="0" applyFill="1" applyBorder="1">
      <alignment horizontal="center" vertical="center"/>
    </xf>
    <xf numFmtId="0" fontId="0" fillId="0" borderId="77" xfId="0" applyBorder="1" applyAlignment="1">
      <alignment horizontal="left"/>
    </xf>
    <xf numFmtId="0" fontId="5" fillId="0" borderId="80" xfId="0" applyFont="1" applyBorder="1" applyAlignment="1">
      <alignment horizontal="left"/>
    </xf>
    <xf numFmtId="0" fontId="0" fillId="27" borderId="77" xfId="0" applyFill="1" applyBorder="1" applyAlignment="1">
      <alignment horizontal="center"/>
    </xf>
    <xf numFmtId="0" fontId="5" fillId="27" borderId="77" xfId="0" applyFont="1" applyFill="1" applyBorder="1" applyAlignment="1">
      <alignment horizontal="center"/>
    </xf>
    <xf numFmtId="0" fontId="5" fillId="27" borderId="81" xfId="0" applyFont="1" applyFill="1" applyBorder="1" applyAlignment="1">
      <alignment horizontal="center"/>
    </xf>
    <xf numFmtId="0" fontId="0" fillId="0" borderId="85" xfId="0" applyBorder="1" applyAlignment="1">
      <alignment horizontal="left"/>
    </xf>
    <xf numFmtId="0" fontId="5" fillId="25" borderId="77" xfId="0" applyFont="1" applyFill="1" applyBorder="1" applyAlignment="1">
      <alignment horizontal="center"/>
    </xf>
    <xf numFmtId="0" fontId="5" fillId="25" borderId="81" xfId="0" applyFont="1" applyFill="1" applyBorder="1" applyAlignment="1">
      <alignment horizontal="center"/>
    </xf>
    <xf numFmtId="0" fontId="0" fillId="24" borderId="85" xfId="0" applyFill="1" applyBorder="1" applyAlignment="1">
      <alignment horizontal="left"/>
    </xf>
    <xf numFmtId="0" fontId="0" fillId="29" borderId="77" xfId="0" applyFill="1" applyBorder="1" applyAlignment="1">
      <alignment horizontal="center"/>
    </xf>
    <xf numFmtId="0" fontId="0" fillId="30" borderId="77" xfId="0" applyFill="1" applyBorder="1" applyAlignment="1">
      <alignment horizontal="center"/>
    </xf>
    <xf numFmtId="0" fontId="0" fillId="24" borderId="77" xfId="0" applyFill="1" applyBorder="1" applyAlignment="1">
      <alignment horizontal="center"/>
    </xf>
    <xf numFmtId="0" fontId="5" fillId="24" borderId="81" xfId="0" applyFont="1" applyFill="1" applyBorder="1" applyAlignment="1">
      <alignment horizontal="center"/>
    </xf>
    <xf numFmtId="0" fontId="0" fillId="28" borderId="77" xfId="0" applyFill="1" applyBorder="1" applyAlignment="1">
      <alignment horizontal="center"/>
    </xf>
    <xf numFmtId="0" fontId="7" fillId="0" borderId="84" xfId="0" applyFont="1" applyBorder="1" applyAlignment="1">
      <alignment horizontal="left"/>
    </xf>
    <xf numFmtId="0" fontId="5" fillId="0" borderId="80" xfId="0" applyFont="1" applyBorder="1">
      <alignment horizontal="center" vertical="center"/>
    </xf>
    <xf numFmtId="0" fontId="4" fillId="24" borderId="78" xfId="0" applyFont="1" applyFill="1" applyBorder="1" applyAlignment="1">
      <alignment horizontal="left"/>
    </xf>
    <xf numFmtId="0" fontId="4" fillId="0" borderId="77" xfId="0" applyFont="1" applyBorder="1">
      <alignment horizontal="center" vertical="center"/>
    </xf>
    <xf numFmtId="0" fontId="7" fillId="0" borderId="85" xfId="0" applyFont="1" applyBorder="1" applyAlignment="1">
      <alignment horizontal="left"/>
    </xf>
    <xf numFmtId="0" fontId="5" fillId="0" borderId="77" xfId="0" applyFont="1" applyBorder="1" applyAlignment="1">
      <alignment horizontal="left"/>
    </xf>
    <xf numFmtId="0" fontId="5" fillId="0" borderId="81" xfId="0" applyFont="1" applyBorder="1">
      <alignment horizontal="center" vertical="center"/>
    </xf>
    <xf numFmtId="0" fontId="2" fillId="0" borderId="77" xfId="0" applyFont="1" applyBorder="1" applyAlignment="1">
      <alignment horizontal="left"/>
    </xf>
    <xf numFmtId="165" fontId="5" fillId="0" borderId="77" xfId="0" applyNumberFormat="1" applyFont="1" applyBorder="1" applyAlignment="1">
      <alignment horizontal="center"/>
    </xf>
    <xf numFmtId="0" fontId="5" fillId="0" borderId="85" xfId="0" applyFont="1" applyBorder="1" applyAlignment="1">
      <alignment horizontal="left"/>
    </xf>
    <xf numFmtId="0" fontId="5" fillId="24" borderId="77" xfId="0" applyFont="1" applyFill="1" applyBorder="1" applyAlignment="1">
      <alignment horizontal="center"/>
    </xf>
    <xf numFmtId="0" fontId="5" fillId="24" borderId="80" xfId="0" applyFont="1" applyFill="1" applyBorder="1">
      <alignment horizontal="center" vertical="center"/>
    </xf>
    <xf numFmtId="0" fontId="5" fillId="24" borderId="78" xfId="0" applyFont="1" applyFill="1" applyBorder="1" applyAlignment="1">
      <alignment horizontal="left"/>
    </xf>
    <xf numFmtId="0" fontId="4" fillId="24" borderId="77" xfId="0" applyFont="1" applyFill="1" applyBorder="1" applyAlignment="1">
      <alignment horizontal="center"/>
    </xf>
    <xf numFmtId="0" fontId="0" fillId="0" borderId="85" xfId="0" applyBorder="1">
      <alignment horizontal="center" vertical="center"/>
    </xf>
    <xf numFmtId="0" fontId="0" fillId="0" borderId="84" xfId="0" applyBorder="1">
      <alignment horizontal="center" vertical="center"/>
    </xf>
    <xf numFmtId="2" fontId="0" fillId="0" borderId="78" xfId="0" applyNumberFormat="1" applyBorder="1">
      <alignment horizontal="center" vertical="center"/>
    </xf>
    <xf numFmtId="0" fontId="0" fillId="0" borderId="84" xfId="0" applyBorder="1" applyAlignment="1" applyProtection="1">
      <alignment horizontal="center"/>
      <protection locked="0"/>
    </xf>
    <xf numFmtId="0" fontId="0" fillId="0" borderId="84" xfId="0" applyBorder="1" applyAlignment="1">
      <alignment horizontal="left"/>
    </xf>
    <xf numFmtId="0" fontId="8" fillId="34" borderId="77" xfId="0" applyFont="1" applyFill="1" applyBorder="1">
      <alignment horizontal="center" vertical="center"/>
    </xf>
    <xf numFmtId="0" fontId="8" fillId="34" borderId="78" xfId="0" applyFont="1" applyFill="1" applyBorder="1">
      <alignment horizontal="center" vertical="center"/>
    </xf>
    <xf numFmtId="0" fontId="5" fillId="0" borderId="78" xfId="0" applyFont="1" applyBorder="1" applyAlignment="1">
      <alignment horizontal="center"/>
    </xf>
    <xf numFmtId="0" fontId="2" fillId="0" borderId="78" xfId="0" applyFont="1" applyBorder="1" applyAlignment="1">
      <alignment horizontal="center"/>
    </xf>
    <xf numFmtId="0" fontId="2" fillId="0" borderId="84" xfId="0" applyFont="1" applyBorder="1" applyAlignment="1">
      <alignment horizontal="left"/>
    </xf>
    <xf numFmtId="0" fontId="2" fillId="29" borderId="77" xfId="0" applyFont="1" applyFill="1" applyBorder="1" applyAlignment="1">
      <alignment horizontal="left"/>
    </xf>
    <xf numFmtId="0" fontId="0" fillId="43" borderId="84" xfId="0" applyFill="1" applyBorder="1" applyAlignment="1" applyProtection="1">
      <alignment horizontal="center"/>
      <protection locked="0"/>
    </xf>
    <xf numFmtId="0" fontId="5" fillId="55" borderId="0" xfId="45">
      <alignment horizontal="center" vertical="center"/>
    </xf>
    <xf numFmtId="0" fontId="5" fillId="51" borderId="77" xfId="45" applyFill="1" applyBorder="1">
      <alignment horizontal="center" vertical="center"/>
    </xf>
    <xf numFmtId="0" fontId="5" fillId="53" borderId="77" xfId="43" applyBorder="1">
      <alignment horizontal="center" vertical="center"/>
    </xf>
    <xf numFmtId="0" fontId="0" fillId="55" borderId="55" xfId="44" applyFont="1" applyFill="1" applyBorder="1">
      <alignment horizontal="center" vertical="center"/>
    </xf>
    <xf numFmtId="0" fontId="5" fillId="52" borderId="11" xfId="48" applyBorder="1">
      <alignment horizontal="center" vertical="center"/>
    </xf>
    <xf numFmtId="49" fontId="0" fillId="52" borderId="77" xfId="0" applyNumberFormat="1" applyFill="1" applyBorder="1">
      <alignment horizontal="center" vertical="center"/>
    </xf>
    <xf numFmtId="0" fontId="0" fillId="0" borderId="34" xfId="52" applyFont="1" applyBorder="1">
      <alignment horizontal="center" vertical="center"/>
    </xf>
    <xf numFmtId="0" fontId="0" fillId="51" borderId="0" xfId="52" applyFont="1" applyFill="1">
      <alignment horizontal="center" vertical="center"/>
    </xf>
    <xf numFmtId="0" fontId="0" fillId="51" borderId="0" xfId="48" applyFont="1" applyFill="1">
      <alignment horizontal="center" vertical="center"/>
    </xf>
    <xf numFmtId="0" fontId="0" fillId="70" borderId="11" xfId="0" applyFill="1" applyBorder="1">
      <alignment horizontal="center" vertical="center"/>
    </xf>
    <xf numFmtId="0" fontId="0" fillId="55" borderId="77" xfId="44" applyFont="1" applyFill="1" applyBorder="1">
      <alignment horizontal="center" vertical="center"/>
    </xf>
    <xf numFmtId="0" fontId="59" fillId="70" borderId="77" xfId="43" applyFont="1" applyFill="1" applyBorder="1">
      <alignment horizontal="center" vertical="center"/>
    </xf>
    <xf numFmtId="0" fontId="5" fillId="51" borderId="0" xfId="49" applyFill="1">
      <alignment horizontal="center" vertical="center"/>
    </xf>
    <xf numFmtId="0" fontId="31" fillId="51" borderId="0" xfId="23" applyFill="1" applyAlignment="1">
      <alignment horizontal="center" vertical="center"/>
    </xf>
    <xf numFmtId="0" fontId="0" fillId="72" borderId="0" xfId="48" applyFont="1" applyFill="1">
      <alignment horizontal="center" vertical="center"/>
    </xf>
    <xf numFmtId="0" fontId="0" fillId="70" borderId="77" xfId="46" applyFont="1" applyFill="1" applyBorder="1">
      <alignment horizontal="center" vertical="center"/>
    </xf>
    <xf numFmtId="49" fontId="0" fillId="0" borderId="77" xfId="0" applyNumberFormat="1" applyBorder="1">
      <alignment horizontal="center" vertical="center"/>
    </xf>
    <xf numFmtId="49" fontId="0" fillId="0" borderId="78" xfId="0" applyNumberFormat="1" applyBorder="1">
      <alignment horizontal="center" vertical="center"/>
    </xf>
    <xf numFmtId="0" fontId="0" fillId="0" borderId="77" xfId="52" applyFont="1" applyBorder="1">
      <alignment horizontal="center" vertical="center"/>
    </xf>
    <xf numFmtId="0" fontId="0" fillId="53" borderId="79" xfId="0" applyFill="1" applyBorder="1">
      <alignment horizontal="center" vertical="center"/>
    </xf>
    <xf numFmtId="0" fontId="0" fillId="53" borderId="90" xfId="0" applyFill="1" applyBorder="1">
      <alignment horizontal="center" vertical="center"/>
    </xf>
    <xf numFmtId="0" fontId="5" fillId="70" borderId="0" xfId="44">
      <alignment horizontal="center" vertical="center"/>
    </xf>
    <xf numFmtId="0" fontId="5" fillId="0" borderId="79" xfId="52" applyBorder="1">
      <alignment horizontal="center" vertical="center"/>
    </xf>
    <xf numFmtId="0" fontId="0" fillId="56" borderId="77" xfId="46" applyFont="1" applyBorder="1">
      <alignment horizontal="center" vertical="center"/>
    </xf>
    <xf numFmtId="0" fontId="0" fillId="55" borderId="79" xfId="52" applyFont="1" applyFill="1" applyBorder="1">
      <alignment horizontal="center" vertical="center"/>
    </xf>
    <xf numFmtId="0" fontId="5" fillId="58" borderId="77" xfId="33" applyBorder="1">
      <alignment horizontal="center" vertical="center"/>
    </xf>
    <xf numFmtId="0" fontId="5" fillId="57" borderId="77" xfId="47" applyBorder="1">
      <alignment horizontal="center" vertical="center"/>
    </xf>
    <xf numFmtId="0" fontId="0" fillId="72" borderId="77" xfId="0" applyFill="1" applyBorder="1">
      <alignment horizontal="center" vertical="center"/>
    </xf>
    <xf numFmtId="0" fontId="5" fillId="0" borderId="77" xfId="43" applyFill="1" applyBorder="1">
      <alignment horizontal="center" vertical="center"/>
    </xf>
    <xf numFmtId="0" fontId="5" fillId="51" borderId="77" xfId="43" applyFill="1" applyBorder="1">
      <alignment horizontal="center" vertical="center"/>
    </xf>
    <xf numFmtId="49" fontId="0" fillId="58" borderId="77" xfId="20" applyNumberFormat="1" applyFont="1" applyFill="1" applyBorder="1" applyAlignment="1">
      <alignment horizontal="center" vertical="center"/>
    </xf>
    <xf numFmtId="0" fontId="0" fillId="52" borderId="55" xfId="0" applyFill="1" applyBorder="1">
      <alignment horizontal="center" vertical="center"/>
    </xf>
    <xf numFmtId="0" fontId="5" fillId="52" borderId="79" xfId="48" applyBorder="1">
      <alignment horizontal="center" vertical="center"/>
    </xf>
    <xf numFmtId="0" fontId="44" fillId="0" borderId="11" xfId="0" applyFont="1" applyBorder="1" applyAlignment="1">
      <alignment vertical="center"/>
    </xf>
    <xf numFmtId="49" fontId="0" fillId="84" borderId="77" xfId="0" applyNumberFormat="1" applyFill="1" applyBorder="1">
      <alignment horizontal="center" vertical="center"/>
    </xf>
    <xf numFmtId="0" fontId="0" fillId="54" borderId="77" xfId="0" applyFill="1" applyBorder="1">
      <alignment horizontal="center" vertical="center"/>
    </xf>
    <xf numFmtId="0" fontId="5" fillId="53" borderId="78" xfId="43" applyBorder="1">
      <alignment horizontal="center" vertical="center"/>
    </xf>
    <xf numFmtId="0" fontId="0" fillId="0" borderId="41" xfId="52" applyFont="1" applyBorder="1">
      <alignment horizontal="center" vertical="center"/>
    </xf>
    <xf numFmtId="0" fontId="5" fillId="0" borderId="41" xfId="52" applyBorder="1">
      <alignment horizontal="center" vertical="center"/>
    </xf>
    <xf numFmtId="0" fontId="0" fillId="55" borderId="77" xfId="0" applyFill="1" applyBorder="1">
      <alignment horizontal="center" vertical="center"/>
    </xf>
    <xf numFmtId="0" fontId="5" fillId="0" borderId="42" xfId="52" applyBorder="1">
      <alignment horizontal="center" vertical="center"/>
    </xf>
    <xf numFmtId="0" fontId="5" fillId="51" borderId="78" xfId="43" applyFill="1" applyBorder="1">
      <alignment horizontal="center" vertical="center"/>
    </xf>
    <xf numFmtId="49" fontId="0" fillId="53" borderId="78" xfId="0" applyNumberFormat="1" applyFill="1" applyBorder="1">
      <alignment horizontal="center" vertical="center"/>
    </xf>
    <xf numFmtId="49" fontId="0" fillId="57" borderId="77" xfId="0" applyNumberFormat="1" applyFill="1" applyBorder="1">
      <alignment horizontal="center" vertical="center"/>
    </xf>
    <xf numFmtId="0" fontId="0" fillId="57" borderId="77" xfId="0" applyFill="1" applyBorder="1">
      <alignment horizontal="center" vertical="center"/>
    </xf>
    <xf numFmtId="49" fontId="0" fillId="57" borderId="78" xfId="0" applyNumberFormat="1" applyFill="1" applyBorder="1">
      <alignment horizontal="center" vertical="center"/>
    </xf>
    <xf numFmtId="0" fontId="61" fillId="0" borderId="0" xfId="0" applyFont="1">
      <alignment horizontal="center" vertical="center"/>
    </xf>
    <xf numFmtId="0" fontId="0" fillId="55" borderId="41" xfId="0" applyFill="1" applyBorder="1">
      <alignment horizontal="center" vertical="center"/>
    </xf>
    <xf numFmtId="0" fontId="0" fillId="56" borderId="77" xfId="44" applyFont="1" applyFill="1" applyBorder="1">
      <alignment horizontal="center" vertical="center"/>
    </xf>
    <xf numFmtId="0" fontId="0" fillId="0" borderId="91" xfId="52" applyFont="1" applyBorder="1" applyAlignment="1">
      <alignment horizontal="left" vertical="center"/>
    </xf>
    <xf numFmtId="0" fontId="5" fillId="0" borderId="91" xfId="52" applyBorder="1">
      <alignment horizontal="center" vertical="center"/>
    </xf>
    <xf numFmtId="0" fontId="2" fillId="43" borderId="91" xfId="0" applyFont="1" applyFill="1" applyBorder="1" applyAlignment="1">
      <alignment horizontal="center"/>
    </xf>
    <xf numFmtId="0" fontId="0" fillId="0" borderId="91" xfId="0" applyBorder="1" applyAlignment="1">
      <alignment horizontal="left" vertical="center"/>
    </xf>
    <xf numFmtId="0" fontId="0" fillId="52" borderId="91" xfId="0" applyFill="1" applyBorder="1">
      <alignment horizontal="center" vertical="center"/>
    </xf>
    <xf numFmtId="0" fontId="0" fillId="52" borderId="91" xfId="43" applyFont="1" applyFill="1" applyBorder="1">
      <alignment horizontal="center" vertical="center"/>
    </xf>
    <xf numFmtId="0" fontId="0" fillId="52" borderId="91" xfId="44" applyFont="1" applyFill="1" applyBorder="1">
      <alignment horizontal="center" vertical="center"/>
    </xf>
    <xf numFmtId="49" fontId="0" fillId="52" borderId="91" xfId="0" applyNumberFormat="1" applyFill="1" applyBorder="1">
      <alignment horizontal="center" vertical="center"/>
    </xf>
    <xf numFmtId="0" fontId="0" fillId="51" borderId="91" xfId="44" applyFont="1" applyFill="1" applyBorder="1">
      <alignment horizontal="center" vertical="center"/>
    </xf>
    <xf numFmtId="0" fontId="5" fillId="0" borderId="92" xfId="0" applyFont="1" applyBorder="1">
      <alignment horizontal="center" vertical="center"/>
    </xf>
    <xf numFmtId="49" fontId="5" fillId="0" borderId="92" xfId="0" applyNumberFormat="1" applyFont="1" applyBorder="1">
      <alignment horizontal="center" vertical="center"/>
    </xf>
    <xf numFmtId="0" fontId="7" fillId="0" borderId="93" xfId="0" applyFont="1" applyBorder="1">
      <alignment horizontal="center" vertical="center"/>
    </xf>
    <xf numFmtId="0" fontId="0" fillId="51" borderId="91" xfId="43" applyFont="1" applyFill="1" applyBorder="1">
      <alignment horizontal="center" vertical="center"/>
    </xf>
    <xf numFmtId="49" fontId="0" fillId="53" borderId="91" xfId="0" applyNumberFormat="1" applyFill="1" applyBorder="1">
      <alignment horizontal="center" vertical="center"/>
    </xf>
    <xf numFmtId="0" fontId="2" fillId="0" borderId="91" xfId="0" applyFont="1" applyBorder="1">
      <alignment horizontal="center" vertical="center"/>
    </xf>
    <xf numFmtId="0" fontId="2" fillId="0" borderId="91" xfId="0" applyFont="1" applyBorder="1" applyAlignment="1">
      <alignment horizontal="center"/>
    </xf>
    <xf numFmtId="0" fontId="0" fillId="0" borderId="92" xfId="0" applyBorder="1" applyAlignment="1">
      <alignment horizontal="left" vertical="center"/>
    </xf>
    <xf numFmtId="0" fontId="45" fillId="0" borderId="91" xfId="0" applyFont="1" applyBorder="1" applyAlignment="1">
      <alignment vertical="center"/>
    </xf>
    <xf numFmtId="0" fontId="0" fillId="0" borderId="91" xfId="0" applyBorder="1">
      <alignment horizontal="center" vertical="center"/>
    </xf>
    <xf numFmtId="0" fontId="0" fillId="0" borderId="91" xfId="0" applyBorder="1" applyAlignment="1">
      <alignment vertical="center"/>
    </xf>
    <xf numFmtId="0" fontId="0" fillId="43" borderId="91" xfId="0" applyFill="1" applyBorder="1" applyAlignment="1" applyProtection="1">
      <alignment horizontal="center"/>
      <protection locked="0"/>
    </xf>
    <xf numFmtId="0" fontId="5" fillId="0" borderId="91" xfId="0" applyFont="1" applyBorder="1" applyAlignment="1">
      <alignment horizontal="left" vertical="center"/>
    </xf>
    <xf numFmtId="0" fontId="0" fillId="51" borderId="91" xfId="0" applyFill="1" applyBorder="1">
      <alignment horizontal="center" vertical="center"/>
    </xf>
    <xf numFmtId="0" fontId="17" fillId="0" borderId="91" xfId="0" applyFont="1" applyBorder="1" applyAlignment="1" applyProtection="1">
      <alignment horizontal="center"/>
      <protection locked="0"/>
    </xf>
    <xf numFmtId="0" fontId="0" fillId="51" borderId="91" xfId="0" applyFill="1" applyBorder="1" applyAlignment="1">
      <alignment horizontal="left" vertical="center"/>
    </xf>
    <xf numFmtId="1" fontId="0" fillId="51" borderId="91" xfId="32" applyNumberFormat="1" applyFont="1" applyFill="1" applyBorder="1" applyAlignment="1">
      <alignment horizontal="center" vertical="center"/>
    </xf>
    <xf numFmtId="0" fontId="5" fillId="53" borderId="91" xfId="43" applyBorder="1">
      <alignment horizontal="center" vertical="center"/>
    </xf>
    <xf numFmtId="0" fontId="5" fillId="57" borderId="91" xfId="43" applyFill="1" applyBorder="1">
      <alignment horizontal="center" vertical="center"/>
    </xf>
    <xf numFmtId="49" fontId="0" fillId="51" borderId="91" xfId="0" applyNumberFormat="1" applyFill="1" applyBorder="1">
      <alignment horizontal="center" vertical="center"/>
    </xf>
    <xf numFmtId="0" fontId="0" fillId="75" borderId="91" xfId="0" applyFill="1" applyBorder="1">
      <alignment horizontal="center" vertical="center"/>
    </xf>
    <xf numFmtId="1" fontId="0" fillId="75" borderId="91" xfId="32" applyNumberFormat="1" applyFont="1" applyFill="1" applyBorder="1" applyAlignment="1">
      <alignment horizontal="center" vertical="center"/>
    </xf>
    <xf numFmtId="49" fontId="0" fillId="75" borderId="91" xfId="0" applyNumberFormat="1" applyFill="1" applyBorder="1">
      <alignment horizontal="center" vertical="center"/>
    </xf>
    <xf numFmtId="0" fontId="5" fillId="51" borderId="91" xfId="48" applyFill="1" applyBorder="1">
      <alignment horizontal="center" vertical="center"/>
    </xf>
    <xf numFmtId="0" fontId="5" fillId="53" borderId="91" xfId="48" applyFill="1" applyBorder="1">
      <alignment horizontal="center" vertical="center"/>
    </xf>
    <xf numFmtId="0" fontId="5" fillId="0" borderId="94" xfId="0" applyFont="1" applyBorder="1">
      <alignment horizontal="center" vertical="center"/>
    </xf>
    <xf numFmtId="0" fontId="5" fillId="0" borderId="95" xfId="0" applyFont="1" applyBorder="1">
      <alignment horizontal="center" vertical="center"/>
    </xf>
    <xf numFmtId="49" fontId="5" fillId="0" borderId="94" xfId="0" applyNumberFormat="1" applyFont="1" applyBorder="1">
      <alignment horizontal="center" vertical="center"/>
    </xf>
    <xf numFmtId="0" fontId="7" fillId="0" borderId="94" xfId="0" applyFont="1" applyBorder="1">
      <alignment horizontal="center" vertical="center"/>
    </xf>
    <xf numFmtId="0" fontId="5" fillId="52" borderId="91" xfId="48" applyBorder="1">
      <alignment horizontal="center" vertical="center"/>
    </xf>
    <xf numFmtId="0" fontId="17" fillId="0" borderId="92" xfId="0" applyFont="1" applyBorder="1" applyAlignment="1" applyProtection="1">
      <alignment horizontal="center"/>
      <protection locked="0"/>
    </xf>
    <xf numFmtId="0" fontId="5" fillId="51" borderId="91" xfId="43" applyFill="1" applyBorder="1">
      <alignment horizontal="center" vertical="center"/>
    </xf>
    <xf numFmtId="49" fontId="5" fillId="0" borderId="96" xfId="0" applyNumberFormat="1" applyFont="1" applyBorder="1">
      <alignment horizontal="center" vertical="center"/>
    </xf>
    <xf numFmtId="0" fontId="0" fillId="0" borderId="96" xfId="0" applyBorder="1" applyAlignment="1">
      <alignment horizontal="left" vertical="center"/>
    </xf>
    <xf numFmtId="0" fontId="0" fillId="51" borderId="91" xfId="47" applyFont="1" applyFill="1" applyBorder="1">
      <alignment horizontal="center" vertical="center"/>
    </xf>
    <xf numFmtId="0" fontId="0" fillId="70" borderId="91" xfId="0" applyFill="1" applyBorder="1">
      <alignment horizontal="center" vertical="center"/>
    </xf>
    <xf numFmtId="0" fontId="0" fillId="70" borderId="91" xfId="44" applyFont="1" applyBorder="1">
      <alignment horizontal="center" vertical="center"/>
    </xf>
    <xf numFmtId="0" fontId="0" fillId="0" borderId="97" xfId="0" applyBorder="1">
      <alignment horizontal="center" vertical="center"/>
    </xf>
    <xf numFmtId="49" fontId="5" fillId="0" borderId="97" xfId="0" applyNumberFormat="1" applyFont="1" applyBorder="1">
      <alignment horizontal="center" vertical="center"/>
    </xf>
    <xf numFmtId="0" fontId="5" fillId="55" borderId="91" xfId="52" applyFill="1" applyBorder="1">
      <alignment horizontal="center" vertical="center"/>
    </xf>
    <xf numFmtId="0" fontId="5" fillId="0" borderId="98" xfId="52" applyBorder="1">
      <alignment horizontal="center" vertical="center"/>
    </xf>
    <xf numFmtId="0" fontId="0" fillId="0" borderId="91" xfId="52" applyFont="1" applyBorder="1">
      <alignment horizontal="center" vertical="center"/>
    </xf>
    <xf numFmtId="0" fontId="0" fillId="52" borderId="91" xfId="52" applyFont="1" applyFill="1" applyBorder="1">
      <alignment horizontal="center" vertical="center"/>
    </xf>
    <xf numFmtId="0" fontId="5" fillId="58" borderId="91" xfId="33" applyBorder="1">
      <alignment horizontal="center" vertical="center"/>
    </xf>
    <xf numFmtId="0" fontId="0" fillId="57" borderId="91" xfId="52" applyFont="1" applyFill="1" applyBorder="1">
      <alignment horizontal="center" vertical="center"/>
    </xf>
    <xf numFmtId="0" fontId="5" fillId="0" borderId="91" xfId="43" applyFill="1" applyBorder="1">
      <alignment horizontal="center" vertical="center"/>
    </xf>
    <xf numFmtId="0" fontId="5" fillId="70" borderId="91" xfId="44" applyBorder="1">
      <alignment horizontal="center" vertical="center"/>
    </xf>
    <xf numFmtId="49" fontId="0" fillId="58" borderId="91" xfId="0" applyNumberFormat="1" applyFill="1" applyBorder="1">
      <alignment horizontal="center" vertical="center"/>
    </xf>
    <xf numFmtId="0" fontId="0" fillId="0" borderId="99" xfId="0" applyBorder="1" applyAlignment="1">
      <alignment horizontal="left" vertical="center"/>
    </xf>
    <xf numFmtId="0" fontId="0" fillId="51" borderId="100" xfId="0" applyFill="1" applyBorder="1">
      <alignment horizontal="center" vertical="center"/>
    </xf>
    <xf numFmtId="0" fontId="0" fillId="51" borderId="101" xfId="52" applyFont="1" applyFill="1" applyBorder="1">
      <alignment horizontal="center" vertical="center"/>
    </xf>
    <xf numFmtId="0" fontId="0" fillId="51" borderId="101" xfId="0" applyFill="1" applyBorder="1">
      <alignment horizontal="center" vertical="center"/>
    </xf>
    <xf numFmtId="0" fontId="0" fillId="0" borderId="101" xfId="0" applyBorder="1" applyAlignment="1">
      <alignment horizontal="left" vertical="center"/>
    </xf>
    <xf numFmtId="0" fontId="0" fillId="0" borderId="101" xfId="0" applyBorder="1" applyAlignment="1">
      <alignment vertical="center"/>
    </xf>
    <xf numFmtId="0" fontId="0" fillId="51" borderId="101" xfId="0" applyFill="1" applyBorder="1" applyAlignment="1" applyProtection="1">
      <alignment horizontal="left" vertical="center"/>
      <protection locked="0"/>
    </xf>
    <xf numFmtId="0" fontId="0" fillId="51" borderId="101" xfId="0" applyFill="1" applyBorder="1" applyAlignment="1">
      <alignment horizontal="left" vertical="center"/>
    </xf>
    <xf numFmtId="0" fontId="0" fillId="51" borderId="101" xfId="0" applyFill="1" applyBorder="1" applyAlignment="1">
      <alignment vertical="center"/>
    </xf>
    <xf numFmtId="0" fontId="0" fillId="0" borderId="101" xfId="52" applyFont="1" applyBorder="1" applyAlignment="1">
      <alignment horizontal="left" vertical="center"/>
    </xf>
    <xf numFmtId="0" fontId="5" fillId="0" borderId="101" xfId="52" applyBorder="1">
      <alignment horizontal="center" vertical="center"/>
    </xf>
    <xf numFmtId="0" fontId="0" fillId="51" borderId="102" xfId="52" applyFont="1" applyFill="1" applyBorder="1">
      <alignment horizontal="center" vertical="center"/>
    </xf>
    <xf numFmtId="49" fontId="0" fillId="51" borderId="101" xfId="0" applyNumberFormat="1" applyFill="1" applyBorder="1">
      <alignment horizontal="center" vertical="center"/>
    </xf>
    <xf numFmtId="49" fontId="0" fillId="51" borderId="102" xfId="0" applyNumberFormat="1" applyFill="1" applyBorder="1">
      <alignment horizontal="center" vertical="center"/>
    </xf>
    <xf numFmtId="49" fontId="13" fillId="0" borderId="101" xfId="0" applyNumberFormat="1" applyFont="1" applyBorder="1">
      <alignment horizontal="center" vertical="center"/>
    </xf>
    <xf numFmtId="49" fontId="0" fillId="0" borderId="101" xfId="0" applyNumberFormat="1" applyBorder="1">
      <alignment horizontal="center" vertical="center"/>
    </xf>
    <xf numFmtId="0" fontId="0" fillId="51" borderId="106" xfId="0" applyFill="1" applyBorder="1">
      <alignment horizontal="center" vertical="center"/>
    </xf>
    <xf numFmtId="0" fontId="0" fillId="51" borderId="107" xfId="52" applyFont="1" applyFill="1" applyBorder="1">
      <alignment horizontal="center" vertical="center"/>
    </xf>
    <xf numFmtId="0" fontId="13" fillId="0" borderId="104" xfId="0" applyFont="1" applyBorder="1" applyAlignment="1">
      <alignment horizontal="left" vertical="center"/>
    </xf>
    <xf numFmtId="0" fontId="13" fillId="0" borderId="104" xfId="0" applyFont="1" applyBorder="1">
      <alignment horizontal="center" vertical="center"/>
    </xf>
    <xf numFmtId="0" fontId="13" fillId="0" borderId="105" xfId="0" applyFont="1" applyBorder="1">
      <alignment horizontal="center" vertical="center"/>
    </xf>
    <xf numFmtId="0" fontId="5" fillId="0" borderId="105" xfId="0" applyFont="1" applyBorder="1">
      <alignment horizontal="center" vertical="center"/>
    </xf>
    <xf numFmtId="0" fontId="5" fillId="0" borderId="104" xfId="0" applyFont="1" applyBorder="1">
      <alignment horizontal="center" vertical="center"/>
    </xf>
    <xf numFmtId="0" fontId="7" fillId="0" borderId="104" xfId="0" applyFont="1" applyBorder="1">
      <alignment horizontal="center" vertical="center"/>
    </xf>
    <xf numFmtId="0" fontId="0" fillId="51" borderId="101" xfId="47" applyFont="1" applyFill="1" applyBorder="1">
      <alignment horizontal="center" vertical="center"/>
    </xf>
    <xf numFmtId="0" fontId="43" fillId="0" borderId="91" xfId="0" applyFont="1" applyBorder="1">
      <alignment horizontal="center" vertical="center"/>
    </xf>
    <xf numFmtId="0" fontId="0" fillId="0" borderId="111" xfId="0" applyBorder="1">
      <alignment horizontal="center" vertical="center"/>
    </xf>
    <xf numFmtId="0" fontId="19" fillId="0" borderId="91" xfId="0" applyFont="1" applyBorder="1" applyAlignment="1">
      <alignment vertical="center"/>
    </xf>
    <xf numFmtId="0" fontId="19" fillId="51" borderId="91" xfId="0" applyFont="1" applyFill="1" applyBorder="1" applyAlignment="1">
      <alignment horizontal="left" vertical="center"/>
    </xf>
    <xf numFmtId="0" fontId="0" fillId="0" borderId="117" xfId="0" applyBorder="1" applyAlignment="1">
      <alignment horizontal="center"/>
    </xf>
    <xf numFmtId="0" fontId="0" fillId="0" borderId="118" xfId="0" applyBorder="1">
      <alignment horizontal="center" vertical="center"/>
    </xf>
    <xf numFmtId="0" fontId="0" fillId="0" borderId="120" xfId="0" applyBorder="1" applyAlignment="1">
      <alignment horizontal="left"/>
    </xf>
    <xf numFmtId="0" fontId="0" fillId="0" borderId="121" xfId="0" applyBorder="1" applyAlignment="1">
      <alignment horizontal="center"/>
    </xf>
    <xf numFmtId="0" fontId="0" fillId="0" borderId="112" xfId="0" applyBorder="1">
      <alignment horizontal="center" vertical="center"/>
    </xf>
    <xf numFmtId="0" fontId="0" fillId="0" borderId="124" xfId="0" applyBorder="1">
      <alignment horizontal="center" vertical="center"/>
    </xf>
    <xf numFmtId="0" fontId="5" fillId="0" borderId="108" xfId="0" applyFont="1" applyBorder="1" applyAlignment="1">
      <alignment horizontal="left"/>
    </xf>
    <xf numFmtId="0" fontId="0" fillId="0" borderId="122" xfId="0" applyBorder="1">
      <alignment horizontal="center" vertical="center"/>
    </xf>
    <xf numFmtId="0" fontId="2" fillId="0" borderId="125" xfId="0" applyFont="1" applyBorder="1" applyAlignment="1">
      <alignment horizontal="center"/>
    </xf>
    <xf numFmtId="0" fontId="5" fillId="0" borderId="118" xfId="0" applyFont="1" applyBorder="1">
      <alignment horizontal="center" vertical="center"/>
    </xf>
    <xf numFmtId="0" fontId="5" fillId="40" borderId="122" xfId="0" applyFont="1" applyFill="1" applyBorder="1">
      <alignment horizontal="center" vertical="center"/>
    </xf>
    <xf numFmtId="0" fontId="0" fillId="37" borderId="122" xfId="0" applyFill="1" applyBorder="1">
      <alignment horizontal="center" vertical="center"/>
    </xf>
    <xf numFmtId="0" fontId="4" fillId="0" borderId="112" xfId="0" applyFont="1" applyBorder="1" applyAlignment="1">
      <alignment horizontal="center"/>
    </xf>
    <xf numFmtId="0" fontId="4" fillId="0" borderId="114" xfId="0" applyFont="1" applyBorder="1" applyAlignment="1">
      <alignment horizontal="center"/>
    </xf>
    <xf numFmtId="0" fontId="2" fillId="0" borderId="112" xfId="0" applyFont="1" applyBorder="1" applyAlignment="1">
      <alignment horizontal="center"/>
    </xf>
    <xf numFmtId="0" fontId="0" fillId="51" borderId="101" xfId="45" applyFont="1" applyFill="1" applyBorder="1">
      <alignment horizontal="center" vertical="center"/>
    </xf>
    <xf numFmtId="0" fontId="0" fillId="51" borderId="114" xfId="47" applyFont="1" applyFill="1" applyBorder="1">
      <alignment horizontal="center" vertical="center"/>
    </xf>
    <xf numFmtId="0" fontId="0" fillId="51" borderId="115" xfId="44" applyFont="1" applyFill="1" applyBorder="1">
      <alignment horizontal="center" vertical="center"/>
    </xf>
    <xf numFmtId="0" fontId="0" fillId="51" borderId="114" xfId="0" applyFill="1" applyBorder="1">
      <alignment horizontal="center" vertical="center"/>
    </xf>
    <xf numFmtId="0" fontId="4" fillId="44" borderId="110" xfId="0" applyFont="1" applyFill="1" applyBorder="1" applyAlignment="1">
      <alignment horizontal="left"/>
    </xf>
    <xf numFmtId="0" fontId="4" fillId="25" borderId="110" xfId="0" applyFont="1" applyFill="1" applyBorder="1">
      <alignment horizontal="center" vertical="center"/>
    </xf>
    <xf numFmtId="0" fontId="5" fillId="25" borderId="122" xfId="0" applyFont="1" applyFill="1" applyBorder="1">
      <alignment horizontal="center" vertical="center"/>
    </xf>
    <xf numFmtId="0" fontId="4" fillId="29" borderId="110" xfId="0" applyFont="1" applyFill="1" applyBorder="1" applyAlignment="1">
      <alignment horizontal="left"/>
    </xf>
    <xf numFmtId="0" fontId="4" fillId="29" borderId="122" xfId="0" applyFont="1" applyFill="1" applyBorder="1" applyAlignment="1">
      <alignment horizontal="left"/>
    </xf>
    <xf numFmtId="0" fontId="5" fillId="29" borderId="122" xfId="0" applyFont="1" applyFill="1" applyBorder="1">
      <alignment horizontal="center" vertical="center"/>
    </xf>
    <xf numFmtId="0" fontId="5" fillId="29" borderId="127" xfId="0" applyFont="1" applyFill="1" applyBorder="1">
      <alignment horizontal="center" vertical="center"/>
    </xf>
    <xf numFmtId="0" fontId="4" fillId="37" borderId="110" xfId="0" applyFont="1" applyFill="1" applyBorder="1" applyAlignment="1">
      <alignment horizontal="left"/>
    </xf>
    <xf numFmtId="0" fontId="4" fillId="37" borderId="122" xfId="0" applyFont="1" applyFill="1" applyBorder="1" applyAlignment="1">
      <alignment horizontal="left"/>
    </xf>
    <xf numFmtId="0" fontId="4" fillId="45" borderId="110" xfId="0" applyFont="1" applyFill="1" applyBorder="1" applyAlignment="1">
      <alignment horizontal="left"/>
    </xf>
    <xf numFmtId="0" fontId="0" fillId="45" borderId="122" xfId="0" applyFill="1" applyBorder="1">
      <alignment horizontal="center" vertical="center"/>
    </xf>
    <xf numFmtId="0" fontId="5" fillId="45" borderId="122" xfId="0" applyFont="1" applyFill="1" applyBorder="1">
      <alignment horizontal="center" vertical="center"/>
    </xf>
    <xf numFmtId="0" fontId="5" fillId="45" borderId="127" xfId="0" applyFont="1" applyFill="1" applyBorder="1">
      <alignment horizontal="center" vertical="center"/>
    </xf>
    <xf numFmtId="0" fontId="4" fillId="24" borderId="110" xfId="0" applyFont="1" applyFill="1" applyBorder="1">
      <alignment horizontal="center" vertical="center"/>
    </xf>
    <xf numFmtId="0" fontId="0" fillId="24" borderId="122" xfId="0" applyFill="1" applyBorder="1">
      <alignment horizontal="center" vertical="center"/>
    </xf>
    <xf numFmtId="0" fontId="5" fillId="24" borderId="122" xfId="0" applyFont="1" applyFill="1" applyBorder="1">
      <alignment horizontal="center" vertical="center"/>
    </xf>
    <xf numFmtId="0" fontId="4" fillId="40" borderId="110" xfId="0" applyFont="1" applyFill="1" applyBorder="1" applyAlignment="1">
      <alignment horizontal="left"/>
    </xf>
    <xf numFmtId="0" fontId="0" fillId="40" borderId="127" xfId="0" applyFill="1" applyBorder="1">
      <alignment horizontal="center" vertical="center"/>
    </xf>
    <xf numFmtId="0" fontId="0" fillId="46" borderId="124" xfId="0" applyFill="1" applyBorder="1">
      <alignment horizontal="center" vertical="center"/>
    </xf>
    <xf numFmtId="0" fontId="5" fillId="46" borderId="124" xfId="0" applyFont="1" applyFill="1" applyBorder="1">
      <alignment horizontal="center" vertical="center"/>
    </xf>
    <xf numFmtId="0" fontId="5" fillId="46" borderId="130" xfId="0" applyFont="1" applyFill="1" applyBorder="1">
      <alignment horizontal="center" vertical="center"/>
    </xf>
    <xf numFmtId="0" fontId="4" fillId="0" borderId="126" xfId="0" applyFont="1" applyBorder="1" applyAlignment="1">
      <alignment horizontal="left" vertical="center"/>
    </xf>
    <xf numFmtId="0" fontId="5" fillId="0" borderId="124" xfId="0" applyFont="1" applyBorder="1">
      <alignment horizontal="center" vertical="center"/>
    </xf>
    <xf numFmtId="0" fontId="5" fillId="0" borderId="130" xfId="0" applyFont="1" applyBorder="1">
      <alignment horizontal="center" vertical="center"/>
    </xf>
    <xf numFmtId="0" fontId="4" fillId="39" borderId="115" xfId="0" applyFont="1" applyFill="1" applyBorder="1" applyAlignment="1">
      <alignment horizontal="left"/>
    </xf>
    <xf numFmtId="0" fontId="4" fillId="47" borderId="110" xfId="0" applyFont="1" applyFill="1" applyBorder="1">
      <alignment horizontal="center" vertical="center"/>
    </xf>
    <xf numFmtId="0" fontId="5" fillId="47" borderId="122" xfId="0" applyFont="1" applyFill="1" applyBorder="1">
      <alignment horizontal="center" vertical="center"/>
    </xf>
    <xf numFmtId="0" fontId="5" fillId="0" borderId="110" xfId="0" applyFont="1" applyBorder="1" applyAlignment="1">
      <alignment horizontal="left"/>
    </xf>
    <xf numFmtId="0" fontId="5" fillId="0" borderId="122" xfId="0" applyFont="1" applyBorder="1" applyAlignment="1">
      <alignment horizontal="left"/>
    </xf>
    <xf numFmtId="0" fontId="5" fillId="0" borderId="122" xfId="0" applyFont="1" applyBorder="1">
      <alignment horizontal="center" vertical="center"/>
    </xf>
    <xf numFmtId="0" fontId="5" fillId="0" borderId="127" xfId="0" applyFont="1" applyBorder="1">
      <alignment horizontal="center" vertical="center"/>
    </xf>
    <xf numFmtId="0" fontId="5" fillId="48" borderId="110" xfId="0" applyFont="1" applyFill="1" applyBorder="1" applyAlignment="1">
      <alignment horizontal="left" vertical="center"/>
    </xf>
    <xf numFmtId="0" fontId="5" fillId="48" borderId="122" xfId="0" applyFont="1" applyFill="1" applyBorder="1">
      <alignment horizontal="center" vertical="center"/>
    </xf>
    <xf numFmtId="0" fontId="5" fillId="48" borderId="127" xfId="0" applyFont="1" applyFill="1" applyBorder="1">
      <alignment horizontal="center" vertical="center"/>
    </xf>
    <xf numFmtId="0" fontId="2" fillId="0" borderId="110" xfId="0" applyFont="1" applyBorder="1" applyAlignment="1">
      <alignment horizontal="left" vertical="center"/>
    </xf>
    <xf numFmtId="0" fontId="0" fillId="0" borderId="127" xfId="0" applyBorder="1">
      <alignment horizontal="center" vertical="center"/>
    </xf>
    <xf numFmtId="0" fontId="0" fillId="0" borderId="128" xfId="0" applyBorder="1">
      <alignment horizontal="center" vertical="center"/>
    </xf>
    <xf numFmtId="0" fontId="2" fillId="0" borderId="122" xfId="0" applyFont="1" applyBorder="1" applyAlignment="1">
      <alignment horizontal="left" vertical="center"/>
    </xf>
    <xf numFmtId="0" fontId="0" fillId="0" borderId="131" xfId="0" applyBorder="1">
      <alignment horizontal="center" vertical="center"/>
    </xf>
    <xf numFmtId="0" fontId="12" fillId="0" borderId="126" xfId="0" applyFont="1" applyBorder="1">
      <alignment horizontal="center" vertical="center"/>
    </xf>
    <xf numFmtId="0" fontId="0" fillId="0" borderId="130" xfId="0" applyBorder="1">
      <alignment horizontal="center" vertical="center"/>
    </xf>
    <xf numFmtId="0" fontId="2" fillId="0" borderId="110" xfId="0" applyFont="1" applyBorder="1">
      <alignment horizontal="center" vertical="center"/>
    </xf>
    <xf numFmtId="0" fontId="0" fillId="0" borderId="114" xfId="0" applyBorder="1" applyAlignment="1" applyProtection="1">
      <alignment horizontal="center"/>
      <protection locked="0"/>
    </xf>
    <xf numFmtId="0" fontId="0" fillId="71" borderId="114" xfId="0" applyFill="1" applyBorder="1">
      <alignment horizontal="center" vertical="center"/>
    </xf>
    <xf numFmtId="0" fontId="5" fillId="0" borderId="114" xfId="52" applyBorder="1">
      <alignment horizontal="center" vertical="center"/>
    </xf>
    <xf numFmtId="0" fontId="0" fillId="71" borderId="119" xfId="0" applyFill="1" applyBorder="1">
      <alignment horizontal="center" vertical="center"/>
    </xf>
    <xf numFmtId="0" fontId="2" fillId="24" borderId="115" xfId="0" applyFont="1" applyFill="1" applyBorder="1" applyAlignment="1">
      <alignment horizontal="left" vertical="center"/>
    </xf>
    <xf numFmtId="0" fontId="0" fillId="24" borderId="115" xfId="0" applyFill="1" applyBorder="1">
      <alignment horizontal="center" vertical="center"/>
    </xf>
    <xf numFmtId="0" fontId="0" fillId="24" borderId="113" xfId="0" applyFill="1" applyBorder="1">
      <alignment horizontal="center" vertical="center"/>
    </xf>
    <xf numFmtId="0" fontId="0" fillId="43" borderId="115" xfId="0" applyFill="1" applyBorder="1" applyAlignment="1" applyProtection="1">
      <alignment horizontal="center"/>
      <protection locked="0"/>
    </xf>
    <xf numFmtId="0" fontId="4" fillId="0" borderId="115" xfId="0" applyFont="1" applyBorder="1" applyAlignment="1">
      <alignment horizontal="left" vertical="center"/>
    </xf>
    <xf numFmtId="0" fontId="0" fillId="51" borderId="115" xfId="43" applyFont="1" applyFill="1" applyBorder="1">
      <alignment horizontal="center" vertical="center"/>
    </xf>
    <xf numFmtId="1" fontId="0" fillId="51" borderId="115" xfId="0" applyNumberFormat="1" applyFill="1" applyBorder="1">
      <alignment horizontal="center" vertical="center"/>
    </xf>
    <xf numFmtId="1" fontId="0" fillId="51" borderId="115" xfId="32" applyNumberFormat="1" applyFont="1" applyFill="1" applyBorder="1" applyAlignment="1">
      <alignment horizontal="center" vertical="center"/>
    </xf>
    <xf numFmtId="0" fontId="0" fillId="51" borderId="115" xfId="0" applyFill="1" applyBorder="1">
      <alignment horizontal="center" vertical="center"/>
    </xf>
    <xf numFmtId="0" fontId="0" fillId="72" borderId="115" xfId="44" applyFont="1" applyFill="1" applyBorder="1">
      <alignment horizontal="center" vertical="center"/>
    </xf>
    <xf numFmtId="1" fontId="0" fillId="56" borderId="115" xfId="0" applyNumberFormat="1" applyFill="1" applyBorder="1">
      <alignment horizontal="center" vertical="center"/>
    </xf>
    <xf numFmtId="0" fontId="0" fillId="56" borderId="115" xfId="46" applyFont="1" applyBorder="1">
      <alignment horizontal="center" vertical="center"/>
    </xf>
    <xf numFmtId="1" fontId="0" fillId="51" borderId="113" xfId="0" applyNumberFormat="1" applyFill="1" applyBorder="1">
      <alignment horizontal="center" vertical="center"/>
    </xf>
    <xf numFmtId="0" fontId="0" fillId="0" borderId="115" xfId="0" applyBorder="1" applyAlignment="1">
      <alignment horizontal="left" vertical="center"/>
    </xf>
    <xf numFmtId="0" fontId="0" fillId="51" borderId="115" xfId="49" applyFont="1" applyFill="1" applyBorder="1">
      <alignment horizontal="center" vertical="center"/>
    </xf>
    <xf numFmtId="1" fontId="0" fillId="70" borderId="115" xfId="0" applyNumberFormat="1" applyFill="1" applyBorder="1">
      <alignment horizontal="center" vertical="center"/>
    </xf>
    <xf numFmtId="1" fontId="0" fillId="51" borderId="115" xfId="44" applyNumberFormat="1" applyFont="1" applyFill="1" applyBorder="1">
      <alignment horizontal="center" vertical="center"/>
    </xf>
    <xf numFmtId="0" fontId="2" fillId="24" borderId="114" xfId="0" applyFont="1" applyFill="1" applyBorder="1" applyAlignment="1" applyProtection="1">
      <alignment horizontal="left"/>
      <protection locked="0"/>
    </xf>
    <xf numFmtId="0" fontId="2" fillId="24" borderId="114" xfId="0" applyFont="1" applyFill="1" applyBorder="1">
      <alignment horizontal="center" vertical="center"/>
    </xf>
    <xf numFmtId="1" fontId="0" fillId="24" borderId="114" xfId="0" applyNumberFormat="1" applyFill="1" applyBorder="1">
      <alignment horizontal="center" vertical="center"/>
    </xf>
    <xf numFmtId="0" fontId="0" fillId="24" borderId="119" xfId="0" applyFill="1" applyBorder="1">
      <alignment horizontal="center" vertical="center"/>
    </xf>
    <xf numFmtId="0" fontId="0" fillId="43" borderId="111" xfId="0" applyFill="1" applyBorder="1" applyAlignment="1" applyProtection="1">
      <alignment horizontal="center"/>
      <protection locked="0"/>
    </xf>
    <xf numFmtId="0" fontId="0" fillId="0" borderId="111" xfId="52" applyFont="1" applyBorder="1" applyAlignment="1">
      <alignment vertical="center"/>
    </xf>
    <xf numFmtId="0" fontId="0" fillId="51" borderId="111" xfId="52" applyFont="1" applyFill="1" applyBorder="1">
      <alignment horizontal="center" vertical="center"/>
    </xf>
    <xf numFmtId="0" fontId="0" fillId="51" borderId="111" xfId="44" applyFont="1" applyFill="1" applyBorder="1">
      <alignment horizontal="center" vertical="center"/>
    </xf>
    <xf numFmtId="0" fontId="5" fillId="52" borderId="111" xfId="48" applyBorder="1">
      <alignment horizontal="center" vertical="center"/>
    </xf>
    <xf numFmtId="0" fontId="0" fillId="51" borderId="111" xfId="0" applyFill="1" applyBorder="1">
      <alignment horizontal="center" vertical="center"/>
    </xf>
    <xf numFmtId="0" fontId="0" fillId="51" borderId="132" xfId="0" applyFill="1" applyBorder="1">
      <alignment horizontal="center" vertical="center"/>
    </xf>
    <xf numFmtId="0" fontId="0" fillId="0" borderId="111" xfId="0" applyBorder="1" applyAlignment="1">
      <alignment horizontal="left" vertical="center"/>
    </xf>
    <xf numFmtId="0" fontId="0" fillId="55" borderId="111" xfId="52" applyFont="1" applyFill="1" applyBorder="1">
      <alignment horizontal="center" vertical="center"/>
    </xf>
    <xf numFmtId="49" fontId="0" fillId="51" borderId="115" xfId="52" applyNumberFormat="1" applyFont="1" applyFill="1" applyBorder="1">
      <alignment horizontal="center" vertical="center"/>
    </xf>
    <xf numFmtId="0" fontId="0" fillId="51" borderId="111" xfId="48" applyFont="1" applyFill="1" applyBorder="1">
      <alignment horizontal="center" vertical="center"/>
    </xf>
    <xf numFmtId="0" fontId="5" fillId="0" borderId="111" xfId="0" applyFont="1" applyBorder="1" applyAlignment="1">
      <alignment horizontal="left" vertical="center"/>
    </xf>
    <xf numFmtId="0" fontId="0" fillId="51" borderId="111" xfId="43" applyFont="1" applyFill="1" applyBorder="1">
      <alignment horizontal="center" vertical="center"/>
    </xf>
    <xf numFmtId="0" fontId="0" fillId="51" borderId="111" xfId="46" applyFont="1" applyFill="1" applyBorder="1">
      <alignment horizontal="center" vertical="center"/>
    </xf>
    <xf numFmtId="0" fontId="0" fillId="43" borderId="133" xfId="0" applyFill="1" applyBorder="1" applyAlignment="1" applyProtection="1">
      <alignment horizontal="center"/>
      <protection locked="0"/>
    </xf>
    <xf numFmtId="0" fontId="5" fillId="0" borderId="133" xfId="0" applyFont="1" applyBorder="1" applyAlignment="1">
      <alignment horizontal="left" vertical="center"/>
    </xf>
    <xf numFmtId="0" fontId="0" fillId="51" borderId="133" xfId="0" applyFill="1" applyBorder="1">
      <alignment horizontal="center" vertical="center"/>
    </xf>
    <xf numFmtId="0" fontId="2" fillId="0" borderId="123" xfId="0" applyFont="1" applyBorder="1" applyAlignment="1">
      <alignment horizontal="left" vertical="center"/>
    </xf>
    <xf numFmtId="0" fontId="2" fillId="0" borderId="110" xfId="0" applyFont="1" applyBorder="1" applyAlignment="1">
      <alignment vertical="center"/>
    </xf>
    <xf numFmtId="0" fontId="12" fillId="0" borderId="122" xfId="0" applyFont="1" applyBorder="1">
      <alignment horizontal="center" vertical="center"/>
    </xf>
    <xf numFmtId="0" fontId="2" fillId="0" borderId="126" xfId="0" applyFont="1" applyBorder="1" applyAlignment="1">
      <alignment horizontal="left" vertical="center"/>
    </xf>
    <xf numFmtId="0" fontId="12" fillId="0" borderId="124" xfId="0" applyFont="1" applyBorder="1">
      <alignment horizontal="center" vertical="center"/>
    </xf>
    <xf numFmtId="0" fontId="2" fillId="0" borderId="124" xfId="0" applyFont="1" applyBorder="1">
      <alignment horizontal="center" vertical="center"/>
    </xf>
    <xf numFmtId="0" fontId="2" fillId="0" borderId="121" xfId="0" applyFont="1" applyBorder="1" applyAlignment="1">
      <alignment horizontal="left" vertical="center"/>
    </xf>
    <xf numFmtId="0" fontId="0" fillId="0" borderId="110" xfId="0" applyBorder="1" applyAlignment="1">
      <alignment vertical="center"/>
    </xf>
    <xf numFmtId="0" fontId="0" fillId="0" borderId="122" xfId="0" applyBorder="1" applyAlignment="1">
      <alignment horizontal="left" vertical="center"/>
    </xf>
    <xf numFmtId="0" fontId="0" fillId="0" borderId="109" xfId="0" applyBorder="1">
      <alignment horizontal="center" vertical="center"/>
    </xf>
    <xf numFmtId="0" fontId="2" fillId="0" borderId="117" xfId="0" applyFont="1" applyBorder="1" applyAlignment="1">
      <alignment horizontal="left" vertical="center"/>
    </xf>
    <xf numFmtId="0" fontId="0" fillId="0" borderId="120" xfId="0" applyBorder="1" applyAlignment="1">
      <alignment vertical="center"/>
    </xf>
    <xf numFmtId="0" fontId="0" fillId="0" borderId="134" xfId="0" applyBorder="1">
      <alignment horizontal="center" vertical="center"/>
    </xf>
    <xf numFmtId="0" fontId="2" fillId="0" borderId="120" xfId="0" applyFont="1" applyBorder="1">
      <alignment horizontal="center" vertical="center"/>
    </xf>
    <xf numFmtId="0" fontId="0" fillId="0" borderId="118" xfId="0" applyBorder="1" applyAlignment="1">
      <alignment horizontal="left" vertical="center"/>
    </xf>
    <xf numFmtId="0" fontId="12" fillId="0" borderId="118" xfId="0" applyFont="1" applyBorder="1">
      <alignment horizontal="center" vertical="center"/>
    </xf>
    <xf numFmtId="0" fontId="2" fillId="0" borderId="118" xfId="0" applyFont="1" applyBorder="1" applyAlignment="1">
      <alignment horizontal="left" vertical="center"/>
    </xf>
    <xf numFmtId="0" fontId="0" fillId="0" borderId="129" xfId="0" applyBorder="1">
      <alignment horizontal="center" vertical="center"/>
    </xf>
    <xf numFmtId="0" fontId="0" fillId="0" borderId="112" xfId="0" applyBorder="1" applyAlignment="1" applyProtection="1">
      <alignment horizontal="center"/>
      <protection locked="0"/>
    </xf>
    <xf numFmtId="49" fontId="0" fillId="51" borderId="114" xfId="0" applyNumberFormat="1" applyFill="1" applyBorder="1">
      <alignment horizontal="center" vertical="center"/>
    </xf>
    <xf numFmtId="0" fontId="0" fillId="43" borderId="125" xfId="0" applyFill="1" applyBorder="1" applyAlignment="1" applyProtection="1">
      <alignment horizontal="center"/>
      <protection locked="0"/>
    </xf>
    <xf numFmtId="0" fontId="0" fillId="51" borderId="113" xfId="0" applyFill="1" applyBorder="1">
      <alignment horizontal="center" vertical="center"/>
    </xf>
    <xf numFmtId="0" fontId="0" fillId="43" borderId="116" xfId="0" applyFill="1" applyBorder="1" applyAlignment="1" applyProtection="1">
      <alignment horizontal="center"/>
      <protection locked="0"/>
    </xf>
    <xf numFmtId="0" fontId="0" fillId="0" borderId="114" xfId="0" applyBorder="1" applyAlignment="1">
      <alignment horizontal="left" vertical="center"/>
    </xf>
    <xf numFmtId="0" fontId="0" fillId="51" borderId="114" xfId="43" applyFont="1" applyFill="1" applyBorder="1">
      <alignment horizontal="center" vertical="center"/>
    </xf>
    <xf numFmtId="0" fontId="0" fillId="51" borderId="114" xfId="44" applyFont="1" applyFill="1" applyBorder="1">
      <alignment horizontal="center" vertical="center"/>
    </xf>
    <xf numFmtId="0" fontId="5" fillId="70" borderId="114" xfId="44" applyBorder="1">
      <alignment horizontal="center" vertical="center"/>
    </xf>
    <xf numFmtId="49" fontId="0" fillId="51" borderId="119" xfId="0" applyNumberFormat="1" applyFill="1" applyBorder="1">
      <alignment horizontal="center" vertical="center"/>
    </xf>
    <xf numFmtId="49" fontId="0" fillId="51" borderId="115" xfId="0" applyNumberFormat="1" applyFill="1" applyBorder="1">
      <alignment horizontal="center" vertical="center"/>
    </xf>
    <xf numFmtId="0" fontId="5" fillId="52" borderId="115" xfId="48" applyBorder="1">
      <alignment horizontal="center" vertical="center"/>
    </xf>
    <xf numFmtId="49" fontId="0" fillId="51" borderId="113" xfId="0" applyNumberFormat="1" applyFill="1" applyBorder="1">
      <alignment horizontal="center" vertical="center"/>
    </xf>
    <xf numFmtId="0" fontId="0" fillId="0" borderId="114" xfId="0" applyBorder="1" applyAlignment="1">
      <alignment vertical="center"/>
    </xf>
    <xf numFmtId="49" fontId="0" fillId="72" borderId="114" xfId="0" applyNumberFormat="1" applyFill="1" applyBorder="1">
      <alignment horizontal="center" vertical="center"/>
    </xf>
    <xf numFmtId="0" fontId="0" fillId="51" borderId="119" xfId="0" applyFill="1" applyBorder="1">
      <alignment horizontal="center" vertical="center"/>
    </xf>
    <xf numFmtId="0" fontId="0" fillId="51" borderId="115" xfId="46" applyFont="1" applyFill="1" applyBorder="1">
      <alignment horizontal="center" vertical="center"/>
    </xf>
    <xf numFmtId="0" fontId="26" fillId="8" borderId="114" xfId="7" applyBorder="1" applyAlignment="1">
      <alignment horizontal="center" vertical="center"/>
    </xf>
    <xf numFmtId="0" fontId="5" fillId="53" borderId="114" xfId="43" applyBorder="1">
      <alignment horizontal="center" vertical="center"/>
    </xf>
    <xf numFmtId="49" fontId="0" fillId="53" borderId="114" xfId="0" applyNumberFormat="1" applyFill="1" applyBorder="1">
      <alignment horizontal="center" vertical="center"/>
    </xf>
    <xf numFmtId="0" fontId="0" fillId="70" borderId="115" xfId="0" applyFill="1" applyBorder="1">
      <alignment horizontal="center" vertical="center"/>
    </xf>
    <xf numFmtId="0" fontId="5" fillId="70" borderId="115" xfId="44" applyBorder="1">
      <alignment horizontal="center" vertical="center"/>
    </xf>
    <xf numFmtId="0" fontId="0" fillId="56" borderId="115" xfId="43" applyFont="1" applyFill="1" applyBorder="1">
      <alignment horizontal="center" vertical="center"/>
    </xf>
    <xf numFmtId="0" fontId="0" fillId="51" borderId="119" xfId="44" applyFont="1" applyFill="1" applyBorder="1">
      <alignment horizontal="center" vertical="center"/>
    </xf>
    <xf numFmtId="0" fontId="2" fillId="0" borderId="115" xfId="0" applyFont="1" applyBorder="1" applyAlignment="1">
      <alignment horizontal="center"/>
    </xf>
    <xf numFmtId="0" fontId="0" fillId="0" borderId="115" xfId="0" applyBorder="1">
      <alignment horizontal="center" vertical="center"/>
    </xf>
    <xf numFmtId="0" fontId="5" fillId="0" borderId="115" xfId="0" applyFont="1" applyBorder="1">
      <alignment horizontal="center" vertical="center"/>
    </xf>
    <xf numFmtId="0" fontId="4" fillId="0" borderId="115" xfId="0" applyFont="1" applyBorder="1" applyAlignment="1">
      <alignment horizontal="left"/>
    </xf>
    <xf numFmtId="0" fontId="5" fillId="0" borderId="110" xfId="0" applyFont="1" applyBorder="1">
      <alignment horizontal="center" vertical="center"/>
    </xf>
    <xf numFmtId="0" fontId="0" fillId="0" borderId="115" xfId="0" applyBorder="1" applyAlignment="1">
      <alignment horizontal="center"/>
    </xf>
    <xf numFmtId="0" fontId="0" fillId="43" borderId="110" xfId="0" applyFill="1" applyBorder="1" applyAlignment="1" applyProtection="1">
      <alignment horizontal="center"/>
      <protection locked="0"/>
    </xf>
    <xf numFmtId="0" fontId="0" fillId="0" borderId="110" xfId="0" applyBorder="1" applyAlignment="1">
      <alignment horizontal="left"/>
    </xf>
    <xf numFmtId="0" fontId="0" fillId="0" borderId="122" xfId="0" applyBorder="1" applyAlignment="1">
      <alignment horizontal="left"/>
    </xf>
    <xf numFmtId="0" fontId="0" fillId="0" borderId="126" xfId="0" applyBorder="1" applyAlignment="1">
      <alignment horizontal="left"/>
    </xf>
    <xf numFmtId="0" fontId="0" fillId="0" borderId="124" xfId="0" applyBorder="1" applyAlignment="1">
      <alignment horizontal="left"/>
    </xf>
    <xf numFmtId="0" fontId="5" fillId="0" borderId="130" xfId="0" applyFont="1" applyBorder="1" applyAlignment="1">
      <alignment horizontal="left"/>
    </xf>
    <xf numFmtId="0" fontId="5" fillId="0" borderId="124" xfId="0" applyFont="1" applyBorder="1" applyAlignment="1">
      <alignment horizontal="left"/>
    </xf>
    <xf numFmtId="0" fontId="5" fillId="0" borderId="127" xfId="0" applyFont="1" applyBorder="1" applyAlignment="1">
      <alignment horizontal="left"/>
    </xf>
    <xf numFmtId="0" fontId="4" fillId="0" borderId="110" xfId="0" applyFont="1" applyBorder="1" applyAlignment="1">
      <alignment horizontal="left"/>
    </xf>
    <xf numFmtId="0" fontId="20" fillId="0" borderId="115" xfId="0" applyFont="1" applyBorder="1" applyAlignment="1" applyProtection="1">
      <alignment horizontal="center"/>
      <protection locked="0"/>
    </xf>
    <xf numFmtId="0" fontId="0" fillId="0" borderId="115" xfId="0" applyBorder="1" applyAlignment="1">
      <alignment horizontal="left"/>
    </xf>
    <xf numFmtId="0" fontId="5" fillId="0" borderId="115" xfId="0" applyFont="1" applyBorder="1" applyAlignment="1">
      <alignment horizontal="left"/>
    </xf>
    <xf numFmtId="0" fontId="2" fillId="0" borderId="114" xfId="0" applyFont="1" applyBorder="1" applyAlignment="1" applyProtection="1">
      <alignment horizontal="center"/>
      <protection locked="0"/>
    </xf>
    <xf numFmtId="0" fontId="0" fillId="51" borderId="114" xfId="51" applyFont="1" applyFill="1" applyBorder="1">
      <alignment horizontal="center" vertical="center"/>
    </xf>
    <xf numFmtId="0" fontId="5" fillId="70" borderId="101" xfId="44" applyBorder="1">
      <alignment horizontal="center" vertical="center"/>
    </xf>
    <xf numFmtId="0" fontId="0" fillId="51" borderId="101" xfId="20" applyNumberFormat="1" applyFont="1" applyFill="1" applyBorder="1" applyAlignment="1">
      <alignment horizontal="center" vertical="center"/>
    </xf>
    <xf numFmtId="0" fontId="0" fillId="53" borderId="101" xfId="0" applyFill="1" applyBorder="1">
      <alignment horizontal="center" vertical="center"/>
    </xf>
    <xf numFmtId="0" fontId="0" fillId="53" borderId="101" xfId="52" applyFont="1" applyFill="1" applyBorder="1">
      <alignment horizontal="center" vertical="center"/>
    </xf>
    <xf numFmtId="0" fontId="5" fillId="53" borderId="101" xfId="43" applyBorder="1">
      <alignment horizontal="center" vertical="center"/>
    </xf>
    <xf numFmtId="0" fontId="0" fillId="55" borderId="101" xfId="0" applyFill="1" applyBorder="1">
      <alignment horizontal="center" vertical="center"/>
    </xf>
    <xf numFmtId="0" fontId="5" fillId="55" borderId="101" xfId="45" applyBorder="1">
      <alignment horizontal="center" vertical="center"/>
    </xf>
    <xf numFmtId="0" fontId="0" fillId="55" borderId="101" xfId="32" applyFont="1" applyFill="1" applyBorder="1" applyAlignment="1">
      <alignment horizontal="center" vertical="center"/>
    </xf>
    <xf numFmtId="0" fontId="0" fillId="51" borderId="101" xfId="32" applyFont="1" applyFill="1" applyBorder="1" applyAlignment="1">
      <alignment horizontal="center" vertical="center"/>
    </xf>
    <xf numFmtId="0" fontId="0" fillId="51" borderId="101" xfId="54" applyFont="1" applyFill="1" applyBorder="1" applyAlignment="1">
      <alignment horizontal="center" vertical="center"/>
    </xf>
    <xf numFmtId="49" fontId="0" fillId="51" borderId="101" xfId="54" applyNumberFormat="1" applyFont="1" applyFill="1" applyBorder="1" applyAlignment="1">
      <alignment horizontal="center" vertical="center"/>
    </xf>
    <xf numFmtId="0" fontId="0" fillId="70" borderId="101" xfId="52" applyFont="1" applyFill="1" applyBorder="1">
      <alignment horizontal="center" vertical="center"/>
    </xf>
    <xf numFmtId="0" fontId="0" fillId="55" borderId="101" xfId="52" applyFont="1" applyFill="1" applyBorder="1">
      <alignment horizontal="center" vertical="center"/>
    </xf>
    <xf numFmtId="0" fontId="0" fillId="55" borderId="102" xfId="52" applyFont="1" applyFill="1" applyBorder="1">
      <alignment horizontal="center" vertical="center"/>
    </xf>
    <xf numFmtId="0" fontId="5" fillId="0" borderId="135" xfId="52" applyBorder="1">
      <alignment horizontal="center" vertical="center"/>
    </xf>
    <xf numFmtId="0" fontId="5" fillId="0" borderId="136" xfId="52" applyBorder="1">
      <alignment horizontal="center" vertical="center"/>
    </xf>
    <xf numFmtId="0" fontId="0" fillId="51" borderId="115" xfId="0" applyFill="1" applyBorder="1" applyAlignment="1">
      <alignment horizontal="left" vertical="center"/>
    </xf>
    <xf numFmtId="0" fontId="17" fillId="0" borderId="111" xfId="0" applyFont="1" applyBorder="1" applyAlignment="1" applyProtection="1">
      <alignment horizontal="center"/>
      <protection locked="0"/>
    </xf>
    <xf numFmtId="0" fontId="17" fillId="0" borderId="133" xfId="0" applyFont="1" applyBorder="1" applyAlignment="1" applyProtection="1">
      <alignment horizontal="center"/>
      <protection locked="0"/>
    </xf>
    <xf numFmtId="0" fontId="0" fillId="51" borderId="133" xfId="0" applyFill="1" applyBorder="1" applyAlignment="1">
      <alignment horizontal="left" vertical="center"/>
    </xf>
    <xf numFmtId="1" fontId="0" fillId="51" borderId="133" xfId="32" applyNumberFormat="1" applyFont="1" applyFill="1" applyBorder="1" applyAlignment="1">
      <alignment horizontal="center" vertical="center"/>
    </xf>
    <xf numFmtId="1" fontId="0" fillId="73" borderId="133" xfId="32" applyNumberFormat="1" applyFont="1" applyFill="1" applyBorder="1" applyAlignment="1">
      <alignment horizontal="center" vertical="center"/>
    </xf>
    <xf numFmtId="0" fontId="0" fillId="73" borderId="133" xfId="0" applyFill="1" applyBorder="1">
      <alignment horizontal="center" vertical="center"/>
    </xf>
    <xf numFmtId="49" fontId="0" fillId="51" borderId="133" xfId="0" applyNumberFormat="1" applyFill="1" applyBorder="1">
      <alignment horizontal="center" vertical="center"/>
    </xf>
    <xf numFmtId="49" fontId="0" fillId="70" borderId="133" xfId="0" applyNumberFormat="1" applyFill="1" applyBorder="1">
      <alignment horizontal="center" vertical="center"/>
    </xf>
    <xf numFmtId="0" fontId="2" fillId="0" borderId="112" xfId="0" applyFont="1" applyBorder="1" applyAlignment="1" applyProtection="1">
      <alignment horizontal="center"/>
      <protection locked="0"/>
    </xf>
    <xf numFmtId="0" fontId="2" fillId="0" borderId="115" xfId="0" applyFont="1" applyBorder="1" applyAlignment="1" applyProtection="1">
      <alignment horizontal="center"/>
      <protection locked="0"/>
    </xf>
    <xf numFmtId="0" fontId="0" fillId="51" borderId="112" xfId="0" applyFill="1" applyBorder="1">
      <alignment horizontal="center" vertical="center"/>
    </xf>
    <xf numFmtId="0" fontId="0" fillId="51" borderId="112" xfId="43" applyFont="1" applyFill="1" applyBorder="1">
      <alignment horizontal="center" vertical="center"/>
    </xf>
    <xf numFmtId="0" fontId="0" fillId="51" borderId="112" xfId="47" applyFont="1" applyFill="1" applyBorder="1">
      <alignment horizontal="center" vertical="center"/>
    </xf>
    <xf numFmtId="0" fontId="0" fillId="51" borderId="115" xfId="47" applyFont="1" applyFill="1" applyBorder="1">
      <alignment horizontal="center" vertical="center"/>
    </xf>
    <xf numFmtId="0" fontId="0" fillId="51" borderId="113" xfId="47" applyFont="1" applyFill="1" applyBorder="1">
      <alignment horizontal="center" vertical="center"/>
    </xf>
    <xf numFmtId="0" fontId="0" fillId="51" borderId="110" xfId="0" applyFill="1" applyBorder="1" applyAlignment="1">
      <alignment horizontal="left" vertical="center"/>
    </xf>
    <xf numFmtId="0" fontId="0" fillId="51" borderId="111" xfId="53" applyFont="1" applyFill="1" applyBorder="1" applyAlignment="1">
      <alignment horizontal="center" vertical="center"/>
    </xf>
    <xf numFmtId="0" fontId="0" fillId="51" borderId="127" xfId="0" applyFill="1" applyBorder="1">
      <alignment horizontal="center" vertical="center"/>
    </xf>
    <xf numFmtId="0" fontId="5" fillId="0" borderId="121" xfId="52" applyBorder="1" applyAlignment="1">
      <alignment horizontal="center"/>
    </xf>
    <xf numFmtId="0" fontId="2" fillId="0" borderId="110" xfId="52" applyFont="1" applyBorder="1" applyAlignment="1">
      <alignment horizontal="left"/>
    </xf>
    <xf numFmtId="0" fontId="5" fillId="0" borderId="122" xfId="52" applyBorder="1">
      <alignment horizontal="center" vertical="center"/>
    </xf>
    <xf numFmtId="0" fontId="5" fillId="0" borderId="127" xfId="52" applyBorder="1" applyAlignment="1">
      <alignment horizontal="left"/>
    </xf>
    <xf numFmtId="0" fontId="5" fillId="0" borderId="122" xfId="52" applyBorder="1" applyAlignment="1">
      <alignment horizontal="left"/>
    </xf>
    <xf numFmtId="0" fontId="2" fillId="0" borderId="122" xfId="52" applyFont="1" applyBorder="1" applyAlignment="1">
      <alignment horizontal="left"/>
    </xf>
    <xf numFmtId="0" fontId="5" fillId="0" borderId="110" xfId="52" applyBorder="1">
      <alignment horizontal="center" vertical="center"/>
    </xf>
    <xf numFmtId="0" fontId="5" fillId="0" borderId="122" xfId="52" applyBorder="1" applyAlignment="1">
      <alignment vertical="center"/>
    </xf>
    <xf numFmtId="0" fontId="5" fillId="0" borderId="122" xfId="52" applyBorder="1" applyAlignment="1">
      <alignment horizontal="left" vertical="center"/>
    </xf>
    <xf numFmtId="0" fontId="5" fillId="0" borderId="128" xfId="52" applyBorder="1" applyAlignment="1">
      <alignment vertical="center"/>
    </xf>
    <xf numFmtId="0" fontId="5" fillId="0" borderId="137" xfId="52" applyBorder="1">
      <alignment horizontal="center" vertical="center"/>
    </xf>
    <xf numFmtId="0" fontId="5" fillId="0" borderId="128" xfId="52" applyBorder="1">
      <alignment horizontal="center" vertical="center"/>
    </xf>
    <xf numFmtId="0" fontId="5" fillId="0" borderId="117" xfId="52" applyBorder="1" applyAlignment="1">
      <alignment horizontal="center"/>
    </xf>
    <xf numFmtId="0" fontId="2" fillId="0" borderId="120" xfId="52" applyFont="1" applyBorder="1" applyAlignment="1">
      <alignment horizontal="left"/>
    </xf>
    <xf numFmtId="0" fontId="5" fillId="0" borderId="138" xfId="52" applyBorder="1">
      <alignment horizontal="center" vertical="center"/>
    </xf>
    <xf numFmtId="0" fontId="5" fillId="0" borderId="118" xfId="52" applyBorder="1">
      <alignment horizontal="center" vertical="center"/>
    </xf>
    <xf numFmtId="0" fontId="5" fillId="0" borderId="134" xfId="52" applyBorder="1" applyAlignment="1">
      <alignment horizontal="left"/>
    </xf>
    <xf numFmtId="0" fontId="5" fillId="0" borderId="118" xfId="52" applyBorder="1" applyAlignment="1">
      <alignment horizontal="left"/>
    </xf>
    <xf numFmtId="0" fontId="5" fillId="0" borderId="139" xfId="52" applyBorder="1" applyAlignment="1">
      <alignment horizontal="left"/>
    </xf>
    <xf numFmtId="0" fontId="2" fillId="0" borderId="140" xfId="52" applyFont="1" applyBorder="1" applyAlignment="1">
      <alignment horizontal="left"/>
    </xf>
    <xf numFmtId="0" fontId="5" fillId="0" borderId="120" xfId="52" applyBorder="1">
      <alignment horizontal="center" vertical="center"/>
    </xf>
    <xf numFmtId="0" fontId="5" fillId="0" borderId="129" xfId="52" applyBorder="1">
      <alignment horizontal="center" vertical="center"/>
    </xf>
    <xf numFmtId="0" fontId="2" fillId="0" borderId="112" xfId="52" applyFont="1" applyBorder="1" applyAlignment="1" applyProtection="1">
      <alignment horizontal="center"/>
      <protection locked="0"/>
    </xf>
    <xf numFmtId="0" fontId="4" fillId="0" borderId="112" xfId="52" applyFont="1" applyBorder="1" applyAlignment="1">
      <alignment horizontal="center"/>
    </xf>
    <xf numFmtId="0" fontId="0" fillId="51" borderId="115" xfId="52" applyFont="1" applyFill="1" applyBorder="1">
      <alignment horizontal="center" vertical="center"/>
    </xf>
    <xf numFmtId="0" fontId="2" fillId="43" borderId="115" xfId="52" applyFont="1" applyFill="1" applyBorder="1" applyAlignment="1">
      <alignment horizontal="center"/>
    </xf>
    <xf numFmtId="49" fontId="0" fillId="51" borderId="115" xfId="20" applyNumberFormat="1" applyFont="1" applyFill="1" applyBorder="1" applyAlignment="1">
      <alignment horizontal="center" vertical="center"/>
    </xf>
    <xf numFmtId="0" fontId="0" fillId="51" borderId="115" xfId="48" applyFont="1" applyFill="1" applyBorder="1">
      <alignment horizontal="center" vertical="center"/>
    </xf>
    <xf numFmtId="49" fontId="0" fillId="51" borderId="113" xfId="20" applyNumberFormat="1" applyFont="1" applyFill="1" applyBorder="1" applyAlignment="1">
      <alignment horizontal="center" vertical="center"/>
    </xf>
    <xf numFmtId="0" fontId="5" fillId="0" borderId="115" xfId="52" applyBorder="1" applyAlignment="1">
      <alignment vertical="center"/>
    </xf>
    <xf numFmtId="49" fontId="0" fillId="56" borderId="115" xfId="0" applyNumberFormat="1" applyFill="1" applyBorder="1">
      <alignment horizontal="center" vertical="center"/>
    </xf>
    <xf numFmtId="0" fontId="0" fillId="56" borderId="115" xfId="52" applyFont="1" applyFill="1" applyBorder="1">
      <alignment horizontal="center" vertical="center"/>
    </xf>
    <xf numFmtId="49" fontId="0" fillId="55" borderId="113" xfId="52" applyNumberFormat="1" applyFont="1" applyFill="1" applyBorder="1">
      <alignment horizontal="center" vertical="center"/>
    </xf>
    <xf numFmtId="0" fontId="2" fillId="43" borderId="114" xfId="52" applyFont="1" applyFill="1" applyBorder="1" applyAlignment="1">
      <alignment horizontal="center"/>
    </xf>
    <xf numFmtId="0" fontId="5" fillId="0" borderId="114" xfId="52" applyBorder="1" applyAlignment="1">
      <alignment vertical="center"/>
    </xf>
    <xf numFmtId="49" fontId="0" fillId="51" borderId="114" xfId="52" applyNumberFormat="1" applyFont="1" applyFill="1" applyBorder="1">
      <alignment horizontal="center" vertical="center"/>
    </xf>
    <xf numFmtId="49" fontId="0" fillId="51" borderId="119" xfId="52" applyNumberFormat="1" applyFont="1" applyFill="1" applyBorder="1">
      <alignment horizontal="center" vertical="center"/>
    </xf>
    <xf numFmtId="0" fontId="5" fillId="0" borderId="110" xfId="0" applyFont="1" applyBorder="1" applyAlignment="1">
      <alignment horizontal="left" vertical="center"/>
    </xf>
    <xf numFmtId="0" fontId="5" fillId="0" borderId="122" xfId="0" applyFont="1" applyBorder="1" applyAlignment="1">
      <alignment horizontal="left" vertical="center"/>
    </xf>
    <xf numFmtId="0" fontId="5" fillId="0" borderId="128" xfId="0" applyFont="1" applyBorder="1" applyAlignment="1">
      <alignment horizontal="left" vertical="center"/>
    </xf>
    <xf numFmtId="0" fontId="2" fillId="0" borderId="110" xfId="0" applyFont="1" applyBorder="1" applyAlignment="1">
      <alignment horizontal="left"/>
    </xf>
    <xf numFmtId="0" fontId="0" fillId="0" borderId="122" xfId="0" applyBorder="1" applyAlignment="1"/>
    <xf numFmtId="0" fontId="0" fillId="0" borderId="127" xfId="0" applyBorder="1" applyAlignment="1">
      <alignment horizontal="left"/>
    </xf>
    <xf numFmtId="0" fontId="2" fillId="0" borderId="122" xfId="0" applyFont="1" applyBorder="1" applyAlignment="1"/>
    <xf numFmtId="0" fontId="2" fillId="0" borderId="127" xfId="0" applyFont="1" applyBorder="1" applyAlignment="1">
      <alignment horizontal="left"/>
    </xf>
    <xf numFmtId="0" fontId="0" fillId="0" borderId="110" xfId="0" applyBorder="1" applyAlignment="1">
      <alignment horizontal="center"/>
    </xf>
    <xf numFmtId="0" fontId="0" fillId="0" borderId="128" xfId="0" applyBorder="1" applyAlignment="1"/>
    <xf numFmtId="0" fontId="2" fillId="0" borderId="126" xfId="0" applyFont="1" applyBorder="1" applyAlignment="1">
      <alignment horizontal="left"/>
    </xf>
    <xf numFmtId="0" fontId="0" fillId="0" borderId="124" xfId="0" applyBorder="1" applyAlignment="1"/>
    <xf numFmtId="0" fontId="0" fillId="0" borderId="130" xfId="0" applyBorder="1" applyAlignment="1">
      <alignment horizontal="left"/>
    </xf>
    <xf numFmtId="0" fontId="7" fillId="0" borderId="126" xfId="0" applyFont="1" applyBorder="1" applyAlignment="1">
      <alignment horizontal="center"/>
    </xf>
    <xf numFmtId="0" fontId="0" fillId="0" borderId="109" xfId="0" applyBorder="1" applyAlignment="1"/>
    <xf numFmtId="0" fontId="2" fillId="0" borderId="120" xfId="0" applyFont="1" applyBorder="1" applyAlignment="1">
      <alignment horizontal="left"/>
    </xf>
    <xf numFmtId="0" fontId="5" fillId="0" borderId="118" xfId="0" applyFont="1" applyBorder="1" applyAlignment="1">
      <alignment horizontal="left" vertical="center"/>
    </xf>
    <xf numFmtId="0" fontId="5" fillId="0" borderId="134" xfId="0" applyFont="1" applyBorder="1">
      <alignment horizontal="center" vertical="center"/>
    </xf>
    <xf numFmtId="0" fontId="5" fillId="0" borderId="120" xfId="0" applyFont="1" applyBorder="1" applyAlignment="1">
      <alignment horizontal="left" vertical="center"/>
    </xf>
    <xf numFmtId="0" fontId="5" fillId="0" borderId="118" xfId="0" applyFont="1" applyBorder="1" applyAlignment="1">
      <alignment horizontal="left"/>
    </xf>
    <xf numFmtId="0" fontId="5" fillId="0" borderId="134" xfId="0" applyFont="1" applyBorder="1" applyAlignment="1">
      <alignment horizontal="left" vertical="center"/>
    </xf>
    <xf numFmtId="0" fontId="0" fillId="0" borderId="118" xfId="0" applyBorder="1" applyAlignment="1">
      <alignment horizontal="left"/>
    </xf>
    <xf numFmtId="0" fontId="0" fillId="0" borderId="129" xfId="0" applyBorder="1" applyAlignment="1"/>
    <xf numFmtId="0" fontId="0" fillId="51" borderId="115" xfId="51" applyFont="1" applyFill="1" applyBorder="1">
      <alignment horizontal="center" vertical="center"/>
    </xf>
    <xf numFmtId="0" fontId="0" fillId="70" borderId="115" xfId="51" applyFont="1" applyFill="1" applyBorder="1">
      <alignment horizontal="center" vertical="center"/>
    </xf>
    <xf numFmtId="0" fontId="2" fillId="43" borderId="115" xfId="0" applyFont="1" applyFill="1" applyBorder="1" applyAlignment="1">
      <alignment horizontal="center"/>
    </xf>
    <xf numFmtId="0" fontId="0" fillId="51" borderId="113" xfId="44" applyFont="1" applyFill="1" applyBorder="1">
      <alignment horizontal="center" vertical="center"/>
    </xf>
    <xf numFmtId="0" fontId="0" fillId="51" borderId="113" xfId="51" applyFont="1" applyFill="1" applyBorder="1">
      <alignment horizontal="center" vertical="center"/>
    </xf>
    <xf numFmtId="0" fontId="0" fillId="51" borderId="113" xfId="48" applyFont="1" applyFill="1" applyBorder="1">
      <alignment horizontal="center" vertical="center"/>
    </xf>
    <xf numFmtId="0" fontId="2" fillId="43" borderId="114" xfId="0" applyFont="1" applyFill="1" applyBorder="1" applyAlignment="1">
      <alignment horizontal="center"/>
    </xf>
    <xf numFmtId="0" fontId="0" fillId="51" borderId="114" xfId="0" applyFill="1" applyBorder="1" applyAlignment="1">
      <alignment horizontal="left" vertical="center"/>
    </xf>
    <xf numFmtId="0" fontId="0" fillId="51" borderId="114" xfId="48" applyFont="1" applyFill="1" applyBorder="1">
      <alignment horizontal="center" vertical="center"/>
    </xf>
    <xf numFmtId="0" fontId="0" fillId="51" borderId="119" xfId="48" applyFont="1" applyFill="1" applyBorder="1">
      <alignment horizontal="center" vertical="center"/>
    </xf>
    <xf numFmtId="0" fontId="0" fillId="0" borderId="118" xfId="0" applyBorder="1" applyAlignment="1"/>
    <xf numFmtId="0" fontId="0" fillId="0" borderId="134" xfId="0" applyBorder="1" applyAlignment="1">
      <alignment horizontal="left"/>
    </xf>
    <xf numFmtId="0" fontId="0" fillId="0" borderId="120" xfId="0" applyBorder="1" applyAlignment="1">
      <alignment horizontal="center"/>
    </xf>
    <xf numFmtId="0" fontId="2" fillId="43" borderId="111" xfId="0" applyFont="1" applyFill="1" applyBorder="1" applyAlignment="1">
      <alignment horizontal="center"/>
    </xf>
    <xf numFmtId="0" fontId="0" fillId="70" borderId="111" xfId="0" applyFill="1" applyBorder="1">
      <alignment horizontal="center" vertical="center"/>
    </xf>
    <xf numFmtId="0" fontId="5" fillId="51" borderId="111" xfId="48" applyFill="1" applyBorder="1">
      <alignment horizontal="center" vertical="center"/>
    </xf>
    <xf numFmtId="0" fontId="1" fillId="0" borderId="110" xfId="0" applyFont="1" applyBorder="1" applyAlignment="1">
      <alignment horizontal="left"/>
    </xf>
    <xf numFmtId="0" fontId="2" fillId="0" borderId="122" xfId="0" applyFont="1" applyBorder="1">
      <alignment horizontal="center" vertical="center"/>
    </xf>
    <xf numFmtId="0" fontId="0" fillId="0" borderId="141" xfId="0" applyBorder="1" applyAlignment="1">
      <alignment horizontal="center"/>
    </xf>
    <xf numFmtId="167" fontId="7" fillId="0" borderId="120" xfId="0" applyNumberFormat="1" applyFont="1" applyBorder="1" applyAlignment="1">
      <alignment horizontal="center"/>
    </xf>
    <xf numFmtId="0" fontId="5" fillId="51" borderId="115" xfId="0" applyFont="1" applyFill="1" applyBorder="1" applyAlignment="1">
      <alignment vertical="center"/>
    </xf>
    <xf numFmtId="0" fontId="0" fillId="51" borderId="115" xfId="0" applyFill="1" applyBorder="1" applyAlignment="1">
      <alignment vertical="center"/>
    </xf>
    <xf numFmtId="0" fontId="0" fillId="0" borderId="103" xfId="0" applyBorder="1">
      <alignment horizontal="center" vertical="center"/>
    </xf>
    <xf numFmtId="49" fontId="13" fillId="0" borderId="103" xfId="0" applyNumberFormat="1" applyFont="1" applyBorder="1">
      <alignment horizontal="center" vertical="center"/>
    </xf>
    <xf numFmtId="49" fontId="5" fillId="0" borderId="103" xfId="0" applyNumberFormat="1" applyFont="1" applyBorder="1">
      <alignment horizontal="center" vertical="center"/>
    </xf>
    <xf numFmtId="0" fontId="7" fillId="0" borderId="142" xfId="0" applyFont="1" applyBorder="1">
      <alignment horizontal="center" vertical="center"/>
    </xf>
    <xf numFmtId="0" fontId="7" fillId="0" borderId="143" xfId="0" applyFont="1" applyBorder="1">
      <alignment horizontal="center" vertical="center"/>
    </xf>
    <xf numFmtId="0" fontId="5" fillId="0" borderId="103" xfId="0" applyFont="1" applyBorder="1">
      <alignment horizontal="center" vertical="center"/>
    </xf>
    <xf numFmtId="0" fontId="4" fillId="0" borderId="144" xfId="0" applyFont="1" applyBorder="1" applyAlignment="1">
      <alignment horizontal="center"/>
    </xf>
    <xf numFmtId="0" fontId="0" fillId="74" borderId="145" xfId="0" applyFill="1" applyBorder="1">
      <alignment horizontal="center" vertical="center"/>
    </xf>
    <xf numFmtId="0" fontId="0" fillId="51" borderId="146" xfId="0" applyFill="1" applyBorder="1" applyAlignment="1">
      <alignment horizontal="left" vertical="center" wrapText="1"/>
    </xf>
    <xf numFmtId="0" fontId="0" fillId="51" borderId="146" xfId="33" applyFont="1" applyFill="1" applyBorder="1">
      <alignment horizontal="center" vertical="center"/>
    </xf>
    <xf numFmtId="49" fontId="0" fillId="52" borderId="146" xfId="0" applyNumberFormat="1" applyFill="1" applyBorder="1">
      <alignment horizontal="center" vertical="center"/>
    </xf>
    <xf numFmtId="0" fontId="0" fillId="51" borderId="146" xfId="44" applyFont="1" applyFill="1" applyBorder="1">
      <alignment horizontal="center" vertical="center"/>
    </xf>
    <xf numFmtId="49" fontId="0" fillId="56" borderId="146" xfId="0" applyNumberFormat="1" applyFill="1" applyBorder="1">
      <alignment horizontal="center" vertical="center"/>
    </xf>
    <xf numFmtId="49" fontId="0" fillId="54" borderId="146" xfId="0" applyNumberFormat="1" applyFill="1" applyBorder="1">
      <alignment horizontal="center" vertical="center"/>
    </xf>
    <xf numFmtId="0" fontId="2" fillId="0" borderId="146" xfId="0" applyFont="1" applyBorder="1" applyAlignment="1">
      <alignment horizontal="center"/>
    </xf>
    <xf numFmtId="0" fontId="2" fillId="0" borderId="144" xfId="0" applyFont="1" applyBorder="1" applyAlignment="1">
      <alignment horizontal="center"/>
    </xf>
    <xf numFmtId="0" fontId="0" fillId="0" borderId="147" xfId="0" applyBorder="1" applyAlignment="1">
      <alignment horizontal="left" vertical="center"/>
    </xf>
    <xf numFmtId="0" fontId="2" fillId="0" borderId="148" xfId="0" applyFont="1" applyBorder="1" applyAlignment="1">
      <alignment horizontal="left"/>
    </xf>
    <xf numFmtId="0" fontId="0" fillId="0" borderId="149" xfId="0" applyBorder="1" applyAlignment="1">
      <alignment horizontal="left" vertical="center"/>
    </xf>
    <xf numFmtId="0" fontId="2" fillId="0" borderId="146" xfId="0" applyFont="1" applyBorder="1">
      <alignment horizontal="center" vertical="center"/>
    </xf>
    <xf numFmtId="0" fontId="0" fillId="0" borderId="150" xfId="0" applyBorder="1" applyAlignment="1">
      <alignment horizontal="left" vertical="center"/>
    </xf>
    <xf numFmtId="0" fontId="0" fillId="0" borderId="151" xfId="0" applyBorder="1" applyAlignment="1">
      <alignment horizontal="left" vertical="center"/>
    </xf>
    <xf numFmtId="0" fontId="0" fillId="0" borderId="152" xfId="0" applyBorder="1" applyAlignment="1">
      <alignment horizontal="left" vertical="center"/>
    </xf>
    <xf numFmtId="0" fontId="0" fillId="0" borderId="153" xfId="0" applyBorder="1" applyAlignment="1">
      <alignment horizontal="left" vertical="center"/>
    </xf>
    <xf numFmtId="0" fontId="0" fillId="0" borderId="154" xfId="0" applyBorder="1" applyAlignment="1">
      <alignment horizontal="left" vertical="center"/>
    </xf>
    <xf numFmtId="0" fontId="2" fillId="0" borderId="155" xfId="0" applyFont="1" applyBorder="1" applyAlignment="1">
      <alignment horizontal="left"/>
    </xf>
    <xf numFmtId="0" fontId="0" fillId="0" borderId="155" xfId="0" applyBorder="1" applyAlignment="1">
      <alignment horizontal="left" vertical="center"/>
    </xf>
    <xf numFmtId="0" fontId="0" fillId="0" borderId="156" xfId="0" applyBorder="1" applyAlignment="1">
      <alignment horizontal="left" vertical="center"/>
    </xf>
    <xf numFmtId="0" fontId="0" fillId="0" borderId="157" xfId="0" applyBorder="1" applyAlignment="1">
      <alignment horizontal="left" vertical="center"/>
    </xf>
    <xf numFmtId="49" fontId="0" fillId="0" borderId="158" xfId="0" applyNumberFormat="1" applyBorder="1" applyAlignment="1">
      <alignment horizontal="left"/>
    </xf>
    <xf numFmtId="0" fontId="1" fillId="0" borderId="159" xfId="0" applyFont="1" applyBorder="1" applyAlignment="1">
      <alignment horizontal="center"/>
    </xf>
    <xf numFmtId="0" fontId="0" fillId="0" borderId="160" xfId="0" applyBorder="1" applyAlignment="1">
      <alignment horizontal="left" vertical="center"/>
    </xf>
    <xf numFmtId="0" fontId="0" fillId="0" borderId="161" xfId="0" applyBorder="1" applyAlignment="1">
      <alignment horizontal="left" vertical="center"/>
    </xf>
    <xf numFmtId="49" fontId="0" fillId="0" borderId="161" xfId="0" applyNumberFormat="1" applyBorder="1" applyAlignment="1">
      <alignment horizontal="left"/>
    </xf>
    <xf numFmtId="0" fontId="0" fillId="0" borderId="162" xfId="0" applyBorder="1">
      <alignment horizontal="center" vertical="center"/>
    </xf>
    <xf numFmtId="0" fontId="2" fillId="0" borderId="159" xfId="0" applyFont="1" applyBorder="1" applyAlignment="1" applyProtection="1">
      <alignment horizontal="center"/>
      <protection locked="0"/>
    </xf>
    <xf numFmtId="0" fontId="0" fillId="0" borderId="159" xfId="0" applyBorder="1" applyAlignment="1">
      <alignment horizontal="left"/>
    </xf>
    <xf numFmtId="0" fontId="0" fillId="51" borderId="163" xfId="0" applyFill="1" applyBorder="1">
      <alignment horizontal="center" vertical="center"/>
    </xf>
    <xf numFmtId="0" fontId="0" fillId="0" borderId="159" xfId="0" applyBorder="1" applyAlignment="1" applyProtection="1">
      <alignment horizontal="center"/>
      <protection locked="0"/>
    </xf>
    <xf numFmtId="0" fontId="5" fillId="51" borderId="159" xfId="44" applyFill="1" applyBorder="1">
      <alignment horizontal="center" vertical="center"/>
    </xf>
    <xf numFmtId="0" fontId="0" fillId="53" borderId="159" xfId="43" applyFont="1" applyBorder="1">
      <alignment horizontal="center" vertical="center"/>
    </xf>
    <xf numFmtId="0" fontId="0" fillId="53" borderId="164" xfId="0" applyFill="1" applyBorder="1">
      <alignment horizontal="center" vertical="center"/>
    </xf>
    <xf numFmtId="0" fontId="1" fillId="0" borderId="159" xfId="0" applyFont="1" applyBorder="1" applyAlignment="1" applyProtection="1">
      <alignment horizontal="center"/>
      <protection locked="0"/>
    </xf>
    <xf numFmtId="0" fontId="0" fillId="51" borderId="163" xfId="48" applyFont="1" applyFill="1" applyBorder="1">
      <alignment horizontal="center" vertical="center"/>
    </xf>
    <xf numFmtId="0" fontId="0" fillId="51" borderId="163" xfId="51" applyFont="1" applyFill="1" applyBorder="1">
      <alignment horizontal="center" vertical="center"/>
    </xf>
    <xf numFmtId="0" fontId="5" fillId="0" borderId="159" xfId="0" applyFont="1" applyBorder="1" applyAlignment="1">
      <alignment vertical="center"/>
    </xf>
    <xf numFmtId="0" fontId="0" fillId="53" borderId="159" xfId="44" applyFont="1" applyFill="1" applyBorder="1">
      <alignment horizontal="center" vertical="center"/>
    </xf>
    <xf numFmtId="0" fontId="0" fillId="53" borderId="163" xfId="0" applyFill="1" applyBorder="1">
      <alignment horizontal="center" vertical="center"/>
    </xf>
    <xf numFmtId="0" fontId="13" fillId="0" borderId="159" xfId="0" applyFont="1" applyBorder="1" applyAlignment="1">
      <alignment vertical="center"/>
    </xf>
    <xf numFmtId="49" fontId="0" fillId="51" borderId="163" xfId="0" applyNumberFormat="1" applyFill="1" applyBorder="1">
      <alignment horizontal="center" vertical="center"/>
    </xf>
    <xf numFmtId="0" fontId="2" fillId="0" borderId="165" xfId="0" applyFont="1" applyBorder="1">
      <alignment horizontal="center" vertical="center"/>
    </xf>
    <xf numFmtId="0" fontId="5" fillId="51" borderId="159" xfId="0" applyFont="1" applyFill="1" applyBorder="1" applyAlignment="1">
      <alignment vertical="center"/>
    </xf>
    <xf numFmtId="0" fontId="2" fillId="0" borderId="166" xfId="0" applyFont="1" applyBorder="1" applyAlignment="1">
      <alignment horizontal="center"/>
    </xf>
    <xf numFmtId="0" fontId="2" fillId="0" borderId="167" xfId="0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38" xfId="0" applyBorder="1">
      <alignment horizontal="center" vertical="center"/>
    </xf>
    <xf numFmtId="0" fontId="0" fillId="0" borderId="169" xfId="0" applyBorder="1">
      <alignment horizontal="center" vertical="center"/>
    </xf>
    <xf numFmtId="0" fontId="2" fillId="0" borderId="138" xfId="0" applyFont="1" applyBorder="1" applyAlignment="1">
      <alignment horizontal="left"/>
    </xf>
    <xf numFmtId="0" fontId="0" fillId="0" borderId="170" xfId="0" applyBorder="1">
      <alignment horizontal="center" vertical="center"/>
    </xf>
    <xf numFmtId="0" fontId="0" fillId="0" borderId="138" xfId="0" applyBorder="1" applyAlignment="1">
      <alignment horizontal="left" vertical="center"/>
    </xf>
    <xf numFmtId="0" fontId="0" fillId="0" borderId="169" xfId="0" applyBorder="1" applyAlignment="1">
      <alignment horizontal="left" vertical="center"/>
    </xf>
    <xf numFmtId="0" fontId="0" fillId="0" borderId="170" xfId="0" applyBorder="1" applyAlignment="1">
      <alignment horizontal="left" vertical="center"/>
    </xf>
    <xf numFmtId="0" fontId="2" fillId="0" borderId="170" xfId="0" applyFont="1" applyBorder="1" applyAlignment="1">
      <alignment horizontal="left"/>
    </xf>
    <xf numFmtId="0" fontId="0" fillId="0" borderId="171" xfId="0" applyBorder="1">
      <alignment horizontal="center" vertical="center"/>
    </xf>
    <xf numFmtId="0" fontId="0" fillId="0" borderId="164" xfId="0" applyBorder="1" applyAlignment="1" applyProtection="1">
      <alignment horizontal="center"/>
      <protection locked="0"/>
    </xf>
    <xf numFmtId="49" fontId="0" fillId="77" borderId="164" xfId="52" applyNumberFormat="1" applyFont="1" applyFill="1" applyBorder="1">
      <alignment horizontal="center" vertical="center"/>
    </xf>
    <xf numFmtId="0" fontId="0" fillId="77" borderId="159" xfId="0" applyFill="1" applyBorder="1">
      <alignment horizontal="center" vertical="center"/>
    </xf>
    <xf numFmtId="49" fontId="0" fillId="77" borderId="172" xfId="0" applyNumberFormat="1" applyFill="1" applyBorder="1">
      <alignment horizontal="center" vertical="center"/>
    </xf>
    <xf numFmtId="49" fontId="0" fillId="51" borderId="164" xfId="32" applyNumberFormat="1" applyFont="1" applyFill="1" applyBorder="1" applyAlignment="1">
      <alignment horizontal="center" vertical="center"/>
    </xf>
    <xf numFmtId="0" fontId="0" fillId="43" borderId="162" xfId="0" applyFill="1" applyBorder="1" applyAlignment="1">
      <alignment horizontal="center"/>
    </xf>
    <xf numFmtId="0" fontId="45" fillId="0" borderId="162" xfId="0" applyFont="1" applyBorder="1" applyAlignment="1">
      <alignment horizontal="left" vertical="center"/>
    </xf>
    <xf numFmtId="0" fontId="2" fillId="24" borderId="173" xfId="0" applyFont="1" applyFill="1" applyBorder="1">
      <alignment horizontal="center" vertical="center"/>
    </xf>
    <xf numFmtId="0" fontId="0" fillId="24" borderId="173" xfId="0" applyFill="1" applyBorder="1">
      <alignment horizontal="center" vertical="center"/>
    </xf>
    <xf numFmtId="0" fontId="0" fillId="24" borderId="174" xfId="0" applyFill="1" applyBorder="1">
      <alignment horizontal="center" vertical="center"/>
    </xf>
    <xf numFmtId="49" fontId="0" fillId="51" borderId="164" xfId="0" applyNumberFormat="1" applyFill="1" applyBorder="1">
      <alignment horizontal="center" vertical="center"/>
    </xf>
    <xf numFmtId="49" fontId="0" fillId="51" borderId="158" xfId="0" applyNumberFormat="1" applyFill="1" applyBorder="1">
      <alignment horizontal="center" vertical="center"/>
    </xf>
    <xf numFmtId="0" fontId="0" fillId="0" borderId="175" xfId="0" applyBorder="1" applyAlignment="1" applyProtection="1">
      <alignment horizontal="center"/>
      <protection locked="0"/>
    </xf>
    <xf numFmtId="0" fontId="5" fillId="52" borderId="162" xfId="48" applyBorder="1">
      <alignment horizontal="center" vertical="center"/>
    </xf>
    <xf numFmtId="49" fontId="0" fillId="51" borderId="161" xfId="0" applyNumberFormat="1" applyFill="1" applyBorder="1">
      <alignment horizontal="center" vertical="center"/>
    </xf>
    <xf numFmtId="0" fontId="2" fillId="0" borderId="176" xfId="0" applyFont="1" applyBorder="1" applyAlignment="1">
      <alignment horizontal="center"/>
    </xf>
    <xf numFmtId="0" fontId="0" fillId="0" borderId="170" xfId="0" applyBorder="1" applyAlignment="1">
      <alignment horizontal="left"/>
    </xf>
    <xf numFmtId="0" fontId="0" fillId="0" borderId="138" xfId="0" applyBorder="1" applyAlignment="1">
      <alignment horizontal="center"/>
    </xf>
    <xf numFmtId="0" fontId="2" fillId="0" borderId="177" xfId="0" applyFont="1" applyBorder="1" applyAlignment="1" applyProtection="1">
      <alignment horizontal="center"/>
      <protection locked="0"/>
    </xf>
    <xf numFmtId="0" fontId="4" fillId="0" borderId="175" xfId="0" applyFont="1" applyBorder="1" applyAlignment="1">
      <alignment horizontal="center"/>
    </xf>
    <xf numFmtId="0" fontId="0" fillId="0" borderId="164" xfId="0" applyBorder="1" applyAlignment="1">
      <alignment vertical="center"/>
    </xf>
    <xf numFmtId="0" fontId="0" fillId="0" borderId="158" xfId="0" applyBorder="1" applyAlignment="1" applyProtection="1">
      <alignment horizontal="center"/>
      <protection locked="0"/>
    </xf>
    <xf numFmtId="0" fontId="0" fillId="52" borderId="159" xfId="43" applyFont="1" applyFill="1" applyBorder="1">
      <alignment horizontal="center" vertical="center"/>
    </xf>
    <xf numFmtId="0" fontId="46" fillId="0" borderId="164" xfId="0" applyFont="1" applyBorder="1" applyAlignment="1">
      <alignment vertical="center"/>
    </xf>
    <xf numFmtId="0" fontId="0" fillId="43" borderId="178" xfId="0" applyFill="1" applyBorder="1" applyAlignment="1" applyProtection="1">
      <alignment horizontal="center"/>
      <protection locked="0"/>
    </xf>
    <xf numFmtId="0" fontId="45" fillId="0" borderId="179" xfId="0" applyFont="1" applyBorder="1" applyAlignment="1">
      <alignment vertical="center"/>
    </xf>
    <xf numFmtId="49" fontId="0" fillId="51" borderId="180" xfId="0" applyNumberFormat="1" applyFill="1" applyBorder="1">
      <alignment horizontal="center" vertical="center"/>
    </xf>
    <xf numFmtId="49" fontId="0" fillId="51" borderId="175" xfId="0" applyNumberFormat="1" applyFill="1" applyBorder="1">
      <alignment horizontal="center" vertical="center"/>
    </xf>
    <xf numFmtId="0" fontId="0" fillId="51" borderId="175" xfId="0" applyFill="1" applyBorder="1">
      <alignment horizontal="center" vertical="center"/>
    </xf>
    <xf numFmtId="49" fontId="0" fillId="51" borderId="181" xfId="0" applyNumberFormat="1" applyFill="1" applyBorder="1">
      <alignment horizontal="center" vertical="center"/>
    </xf>
    <xf numFmtId="49" fontId="0" fillId="0" borderId="158" xfId="0" applyNumberFormat="1" applyBorder="1" applyAlignment="1"/>
    <xf numFmtId="0" fontId="2" fillId="0" borderId="175" xfId="0" applyFont="1" applyBorder="1" applyAlignment="1" applyProtection="1">
      <alignment horizontal="center"/>
      <protection locked="0"/>
    </xf>
    <xf numFmtId="0" fontId="0" fillId="0" borderId="164" xfId="0" applyBorder="1" applyAlignment="1" applyProtection="1">
      <alignment horizontal="left"/>
      <protection locked="0"/>
    </xf>
    <xf numFmtId="0" fontId="11" fillId="0" borderId="164" xfId="0" applyFont="1" applyBorder="1" applyAlignment="1">
      <alignment vertical="center"/>
    </xf>
    <xf numFmtId="0" fontId="5" fillId="54" borderId="159" xfId="50" applyBorder="1">
      <alignment horizontal="center" vertical="center"/>
    </xf>
    <xf numFmtId="0" fontId="0" fillId="0" borderId="165" xfId="0" applyBorder="1" applyAlignment="1">
      <alignment vertical="center"/>
    </xf>
    <xf numFmtId="1" fontId="0" fillId="51" borderId="159" xfId="32" applyNumberFormat="1" applyFont="1" applyFill="1" applyBorder="1" applyAlignment="1">
      <alignment horizontal="center" vertical="center"/>
    </xf>
    <xf numFmtId="0" fontId="4" fillId="44" borderId="158" xfId="0" applyFont="1" applyFill="1" applyBorder="1" applyAlignment="1">
      <alignment horizontal="left"/>
    </xf>
    <xf numFmtId="0" fontId="4" fillId="25" borderId="158" xfId="0" applyFont="1" applyFill="1" applyBorder="1">
      <alignment horizontal="center" vertical="center"/>
    </xf>
    <xf numFmtId="0" fontId="5" fillId="25" borderId="148" xfId="0" applyFont="1" applyFill="1" applyBorder="1">
      <alignment horizontal="center" vertical="center"/>
    </xf>
    <xf numFmtId="0" fontId="4" fillId="29" borderId="158" xfId="0" applyFont="1" applyFill="1" applyBorder="1" applyAlignment="1">
      <alignment horizontal="left"/>
    </xf>
    <xf numFmtId="0" fontId="4" fillId="29" borderId="148" xfId="0" applyFont="1" applyFill="1" applyBorder="1" applyAlignment="1">
      <alignment horizontal="left"/>
    </xf>
    <xf numFmtId="0" fontId="5" fillId="29" borderId="148" xfId="0" applyFont="1" applyFill="1" applyBorder="1">
      <alignment horizontal="center" vertical="center"/>
    </xf>
    <xf numFmtId="0" fontId="5" fillId="29" borderId="149" xfId="0" applyFont="1" applyFill="1" applyBorder="1">
      <alignment horizontal="center" vertical="center"/>
    </xf>
    <xf numFmtId="0" fontId="4" fillId="37" borderId="158" xfId="0" applyFont="1" applyFill="1" applyBorder="1" applyAlignment="1">
      <alignment horizontal="left"/>
    </xf>
    <xf numFmtId="0" fontId="4" fillId="37" borderId="148" xfId="0" applyFont="1" applyFill="1" applyBorder="1" applyAlignment="1">
      <alignment horizontal="left"/>
    </xf>
    <xf numFmtId="0" fontId="0" fillId="37" borderId="148" xfId="0" applyFill="1" applyBorder="1">
      <alignment horizontal="center" vertical="center"/>
    </xf>
    <xf numFmtId="0" fontId="4" fillId="45" borderId="158" xfId="0" applyFont="1" applyFill="1" applyBorder="1" applyAlignment="1">
      <alignment horizontal="left"/>
    </xf>
    <xf numFmtId="0" fontId="0" fillId="45" borderId="148" xfId="0" applyFill="1" applyBorder="1">
      <alignment horizontal="center" vertical="center"/>
    </xf>
    <xf numFmtId="0" fontId="5" fillId="45" borderId="148" xfId="0" applyFont="1" applyFill="1" applyBorder="1">
      <alignment horizontal="center" vertical="center"/>
    </xf>
    <xf numFmtId="0" fontId="5" fillId="45" borderId="149" xfId="0" applyFont="1" applyFill="1" applyBorder="1">
      <alignment horizontal="center" vertical="center"/>
    </xf>
    <xf numFmtId="0" fontId="4" fillId="24" borderId="158" xfId="0" applyFont="1" applyFill="1" applyBorder="1">
      <alignment horizontal="center" vertical="center"/>
    </xf>
    <xf numFmtId="0" fontId="0" fillId="24" borderId="148" xfId="0" applyFill="1" applyBorder="1">
      <alignment horizontal="center" vertical="center"/>
    </xf>
    <xf numFmtId="0" fontId="5" fillId="24" borderId="148" xfId="0" applyFont="1" applyFill="1" applyBorder="1">
      <alignment horizontal="center" vertical="center"/>
    </xf>
    <xf numFmtId="0" fontId="4" fillId="40" borderId="158" xfId="0" applyFont="1" applyFill="1" applyBorder="1" applyAlignment="1">
      <alignment horizontal="left"/>
    </xf>
    <xf numFmtId="0" fontId="5" fillId="40" borderId="148" xfId="0" applyFont="1" applyFill="1" applyBorder="1">
      <alignment horizontal="center" vertical="center"/>
    </xf>
    <xf numFmtId="0" fontId="0" fillId="40" borderId="149" xfId="0" applyFill="1" applyBorder="1">
      <alignment horizontal="center" vertical="center"/>
    </xf>
    <xf numFmtId="0" fontId="0" fillId="46" borderId="182" xfId="0" applyFill="1" applyBorder="1">
      <alignment horizontal="center" vertical="center"/>
    </xf>
    <xf numFmtId="0" fontId="5" fillId="46" borderId="182" xfId="0" applyFont="1" applyFill="1" applyBorder="1">
      <alignment horizontal="center" vertical="center"/>
    </xf>
    <xf numFmtId="0" fontId="5" fillId="46" borderId="183" xfId="0" applyFont="1" applyFill="1" applyBorder="1">
      <alignment horizontal="center" vertical="center"/>
    </xf>
    <xf numFmtId="0" fontId="4" fillId="0" borderId="184" xfId="0" applyFont="1" applyBorder="1" applyAlignment="1">
      <alignment horizontal="left" vertical="center"/>
    </xf>
    <xf numFmtId="0" fontId="5" fillId="0" borderId="182" xfId="0" applyFont="1" applyBorder="1">
      <alignment horizontal="center" vertical="center"/>
    </xf>
    <xf numFmtId="0" fontId="5" fillId="0" borderId="183" xfId="0" applyFont="1" applyBorder="1">
      <alignment horizontal="center" vertical="center"/>
    </xf>
    <xf numFmtId="0" fontId="4" fillId="39" borderId="185" xfId="0" applyFont="1" applyFill="1" applyBorder="1" applyAlignment="1">
      <alignment horizontal="left"/>
    </xf>
    <xf numFmtId="0" fontId="4" fillId="47" borderId="186" xfId="0" applyFont="1" applyFill="1" applyBorder="1">
      <alignment horizontal="center" vertical="center"/>
    </xf>
    <xf numFmtId="0" fontId="5" fillId="47" borderId="187" xfId="0" applyFont="1" applyFill="1" applyBorder="1">
      <alignment horizontal="center" vertical="center"/>
    </xf>
    <xf numFmtId="0" fontId="5" fillId="0" borderId="186" xfId="0" applyFont="1" applyBorder="1" applyAlignment="1">
      <alignment horizontal="left"/>
    </xf>
    <xf numFmtId="0" fontId="0" fillId="0" borderId="187" xfId="0" applyBorder="1">
      <alignment horizontal="center" vertical="center"/>
    </xf>
    <xf numFmtId="0" fontId="5" fillId="0" borderId="187" xfId="0" applyFont="1" applyBorder="1" applyAlignment="1">
      <alignment horizontal="left"/>
    </xf>
    <xf numFmtId="0" fontId="5" fillId="0" borderId="187" xfId="0" applyFont="1" applyBorder="1">
      <alignment horizontal="center" vertical="center"/>
    </xf>
    <xf numFmtId="0" fontId="5" fillId="0" borderId="188" xfId="0" applyFont="1" applyBorder="1">
      <alignment horizontal="center" vertical="center"/>
    </xf>
    <xf numFmtId="0" fontId="5" fillId="48" borderId="186" xfId="0" applyFont="1" applyFill="1" applyBorder="1" applyAlignment="1">
      <alignment horizontal="left" vertical="center"/>
    </xf>
    <xf numFmtId="0" fontId="5" fillId="48" borderId="187" xfId="0" applyFont="1" applyFill="1" applyBorder="1">
      <alignment horizontal="center" vertical="center"/>
    </xf>
    <xf numFmtId="0" fontId="5" fillId="48" borderId="188" xfId="0" applyFont="1" applyFill="1" applyBorder="1">
      <alignment horizontal="center" vertical="center"/>
    </xf>
    <xf numFmtId="0" fontId="2" fillId="0" borderId="186" xfId="0" applyFont="1" applyBorder="1" applyAlignment="1">
      <alignment horizontal="left" vertical="center"/>
    </xf>
    <xf numFmtId="0" fontId="0" fillId="0" borderId="188" xfId="0" applyBorder="1">
      <alignment horizontal="center" vertical="center"/>
    </xf>
    <xf numFmtId="0" fontId="0" fillId="0" borderId="189" xfId="0" applyBorder="1">
      <alignment horizontal="center" vertical="center"/>
    </xf>
    <xf numFmtId="0" fontId="2" fillId="0" borderId="187" xfId="0" applyFont="1" applyBorder="1" applyAlignment="1">
      <alignment horizontal="left" vertical="center"/>
    </xf>
    <xf numFmtId="0" fontId="0" fillId="0" borderId="190" xfId="0" applyBorder="1">
      <alignment horizontal="center" vertical="center"/>
    </xf>
    <xf numFmtId="0" fontId="12" fillId="0" borderId="184" xfId="0" applyFont="1" applyBorder="1">
      <alignment horizontal="center" vertical="center"/>
    </xf>
    <xf numFmtId="0" fontId="0" fillId="0" borderId="182" xfId="0" applyBorder="1">
      <alignment horizontal="center" vertical="center"/>
    </xf>
    <xf numFmtId="0" fontId="0" fillId="0" borderId="183" xfId="0" applyBorder="1">
      <alignment horizontal="center" vertical="center"/>
    </xf>
    <xf numFmtId="0" fontId="2" fillId="0" borderId="186" xfId="0" applyFont="1" applyBorder="1">
      <alignment horizontal="center" vertical="center"/>
    </xf>
    <xf numFmtId="0" fontId="0" fillId="0" borderId="191" xfId="0" applyBorder="1" applyAlignment="1" applyProtection="1">
      <alignment horizontal="center"/>
      <protection locked="0"/>
    </xf>
    <xf numFmtId="0" fontId="4" fillId="0" borderId="191" xfId="0" applyFont="1" applyBorder="1" applyAlignment="1">
      <alignment horizontal="center"/>
    </xf>
    <xf numFmtId="0" fontId="0" fillId="71" borderId="191" xfId="0" applyFill="1" applyBorder="1">
      <alignment horizontal="center" vertical="center"/>
    </xf>
    <xf numFmtId="0" fontId="0" fillId="0" borderId="191" xfId="0" applyBorder="1">
      <alignment horizontal="center" vertical="center"/>
    </xf>
    <xf numFmtId="0" fontId="0" fillId="0" borderId="192" xfId="0" applyBorder="1">
      <alignment horizontal="center" vertical="center"/>
    </xf>
    <xf numFmtId="0" fontId="2" fillId="24" borderId="185" xfId="0" applyFont="1" applyFill="1" applyBorder="1" applyAlignment="1">
      <alignment horizontal="left" vertical="center"/>
    </xf>
    <xf numFmtId="0" fontId="0" fillId="24" borderId="185" xfId="0" applyFill="1" applyBorder="1">
      <alignment horizontal="center" vertical="center"/>
    </xf>
    <xf numFmtId="0" fontId="0" fillId="24" borderId="193" xfId="0" applyFill="1" applyBorder="1">
      <alignment horizontal="center" vertical="center"/>
    </xf>
    <xf numFmtId="0" fontId="0" fillId="43" borderId="185" xfId="0" applyFill="1" applyBorder="1" applyAlignment="1" applyProtection="1">
      <alignment horizontal="center"/>
      <protection locked="0"/>
    </xf>
    <xf numFmtId="0" fontId="4" fillId="0" borderId="185" xfId="0" applyFont="1" applyBorder="1" applyAlignment="1">
      <alignment horizontal="left" vertical="center"/>
    </xf>
    <xf numFmtId="0" fontId="0" fillId="51" borderId="185" xfId="43" applyFont="1" applyFill="1" applyBorder="1">
      <alignment horizontal="center" vertical="center"/>
    </xf>
    <xf numFmtId="1" fontId="0" fillId="51" borderId="185" xfId="0" applyNumberFormat="1" applyFill="1" applyBorder="1">
      <alignment horizontal="center" vertical="center"/>
    </xf>
    <xf numFmtId="1" fontId="0" fillId="70" borderId="185" xfId="0" applyNumberFormat="1" applyFill="1" applyBorder="1">
      <alignment horizontal="center" vertical="center"/>
    </xf>
    <xf numFmtId="1" fontId="0" fillId="70" borderId="185" xfId="32" applyNumberFormat="1" applyFont="1" applyFill="1" applyBorder="1" applyAlignment="1">
      <alignment horizontal="center" vertical="center"/>
    </xf>
    <xf numFmtId="0" fontId="0" fillId="70" borderId="185" xfId="0" applyFill="1" applyBorder="1">
      <alignment horizontal="center" vertical="center"/>
    </xf>
    <xf numFmtId="0" fontId="0" fillId="70" borderId="185" xfId="43" applyFont="1" applyFill="1" applyBorder="1">
      <alignment horizontal="center" vertical="center"/>
    </xf>
    <xf numFmtId="0" fontId="0" fillId="51" borderId="185" xfId="44" applyFont="1" applyFill="1" applyBorder="1">
      <alignment horizontal="center" vertical="center"/>
    </xf>
    <xf numFmtId="0" fontId="5" fillId="52" borderId="185" xfId="48" applyBorder="1">
      <alignment horizontal="center" vertical="center"/>
    </xf>
    <xf numFmtId="1" fontId="0" fillId="51" borderId="193" xfId="0" applyNumberFormat="1" applyFill="1" applyBorder="1">
      <alignment horizontal="center" vertical="center"/>
    </xf>
    <xf numFmtId="0" fontId="0" fillId="0" borderId="185" xfId="0" applyBorder="1" applyAlignment="1">
      <alignment horizontal="left" vertical="center"/>
    </xf>
    <xf numFmtId="1" fontId="0" fillId="51" borderId="185" xfId="32" applyNumberFormat="1" applyFont="1" applyFill="1" applyBorder="1" applyAlignment="1">
      <alignment horizontal="center" vertical="center"/>
    </xf>
    <xf numFmtId="0" fontId="5" fillId="53" borderId="185" xfId="43" applyBorder="1">
      <alignment horizontal="center" vertical="center"/>
    </xf>
    <xf numFmtId="1" fontId="0" fillId="53" borderId="185" xfId="0" applyNumberFormat="1" applyFill="1" applyBorder="1">
      <alignment horizontal="center" vertical="center"/>
    </xf>
    <xf numFmtId="0" fontId="0" fillId="51" borderId="185" xfId="49" applyFont="1" applyFill="1" applyBorder="1">
      <alignment horizontal="center" vertical="center"/>
    </xf>
    <xf numFmtId="1" fontId="0" fillId="51" borderId="185" xfId="44" applyNumberFormat="1" applyFont="1" applyFill="1" applyBorder="1">
      <alignment horizontal="center" vertical="center"/>
    </xf>
    <xf numFmtId="0" fontId="2" fillId="24" borderId="191" xfId="0" applyFont="1" applyFill="1" applyBorder="1" applyAlignment="1" applyProtection="1">
      <alignment horizontal="left"/>
      <protection locked="0"/>
    </xf>
    <xf numFmtId="0" fontId="2" fillId="24" borderId="191" xfId="0" applyFont="1" applyFill="1" applyBorder="1">
      <alignment horizontal="center" vertical="center"/>
    </xf>
    <xf numFmtId="1" fontId="0" fillId="24" borderId="191" xfId="0" applyNumberFormat="1" applyFill="1" applyBorder="1">
      <alignment horizontal="center" vertical="center"/>
    </xf>
    <xf numFmtId="0" fontId="0" fillId="24" borderId="192" xfId="0" applyFill="1" applyBorder="1">
      <alignment horizontal="center" vertical="center"/>
    </xf>
    <xf numFmtId="49" fontId="0" fillId="55" borderId="185" xfId="52" applyNumberFormat="1" applyFont="1" applyFill="1" applyBorder="1">
      <alignment horizontal="center" vertical="center"/>
    </xf>
    <xf numFmtId="0" fontId="0" fillId="43" borderId="159" xfId="0" applyFill="1" applyBorder="1" applyAlignment="1" applyProtection="1">
      <alignment horizontal="center"/>
      <protection locked="0"/>
    </xf>
    <xf numFmtId="0" fontId="0" fillId="0" borderId="159" xfId="52" applyFont="1" applyBorder="1" applyAlignment="1">
      <alignment vertical="center"/>
    </xf>
    <xf numFmtId="49" fontId="0" fillId="51" borderId="185" xfId="52" applyNumberFormat="1" applyFont="1" applyFill="1" applyBorder="1">
      <alignment horizontal="center" vertical="center"/>
    </xf>
    <xf numFmtId="0" fontId="0" fillId="51" borderId="159" xfId="52" applyFont="1" applyFill="1" applyBorder="1">
      <alignment horizontal="center" vertical="center"/>
    </xf>
    <xf numFmtId="0" fontId="0" fillId="51" borderId="159" xfId="0" applyFill="1" applyBorder="1">
      <alignment horizontal="center" vertical="center"/>
    </xf>
    <xf numFmtId="0" fontId="0" fillId="51" borderId="159" xfId="44" applyFont="1" applyFill="1" applyBorder="1">
      <alignment horizontal="center" vertical="center"/>
    </xf>
    <xf numFmtId="0" fontId="5" fillId="55" borderId="159" xfId="45" applyBorder="1">
      <alignment horizontal="center" vertical="center"/>
    </xf>
    <xf numFmtId="0" fontId="0" fillId="55" borderId="159" xfId="44" applyFont="1" applyFill="1" applyBorder="1">
      <alignment horizontal="center" vertical="center"/>
    </xf>
    <xf numFmtId="0" fontId="0" fillId="51" borderId="194" xfId="0" applyFill="1" applyBorder="1">
      <alignment horizontal="center" vertical="center"/>
    </xf>
    <xf numFmtId="0" fontId="0" fillId="0" borderId="159" xfId="0" applyBorder="1" applyAlignment="1">
      <alignment horizontal="left" vertical="center"/>
    </xf>
    <xf numFmtId="0" fontId="0" fillId="51" borderId="159" xfId="48" applyFont="1" applyFill="1" applyBorder="1">
      <alignment horizontal="center" vertical="center"/>
    </xf>
    <xf numFmtId="0" fontId="5" fillId="0" borderId="159" xfId="0" applyFont="1" applyBorder="1" applyAlignment="1">
      <alignment horizontal="left" vertical="center"/>
    </xf>
    <xf numFmtId="0" fontId="0" fillId="51" borderId="159" xfId="43" applyFont="1" applyFill="1" applyBorder="1">
      <alignment horizontal="center" vertical="center"/>
    </xf>
    <xf numFmtId="0" fontId="0" fillId="51" borderId="159" xfId="46" applyFont="1" applyFill="1" applyBorder="1">
      <alignment horizontal="center" vertical="center"/>
    </xf>
    <xf numFmtId="0" fontId="2" fillId="0" borderId="195" xfId="0" applyFont="1" applyBorder="1" applyAlignment="1">
      <alignment horizontal="left" vertical="center"/>
    </xf>
    <xf numFmtId="0" fontId="2" fillId="0" borderId="186" xfId="0" applyFont="1" applyBorder="1" applyAlignment="1">
      <alignment vertical="center"/>
    </xf>
    <xf numFmtId="0" fontId="12" fillId="0" borderId="187" xfId="0" applyFont="1" applyBorder="1">
      <alignment horizontal="center" vertical="center"/>
    </xf>
    <xf numFmtId="0" fontId="2" fillId="0" borderId="184" xfId="0" applyFont="1" applyBorder="1" applyAlignment="1">
      <alignment horizontal="left" vertical="center"/>
    </xf>
    <xf numFmtId="0" fontId="12" fillId="0" borderId="182" xfId="0" applyFont="1" applyBorder="1">
      <alignment horizontal="center" vertical="center"/>
    </xf>
    <xf numFmtId="0" fontId="2" fillId="0" borderId="182" xfId="0" applyFont="1" applyBorder="1">
      <alignment horizontal="center" vertical="center"/>
    </xf>
    <xf numFmtId="0" fontId="2" fillId="0" borderId="196" xfId="0" applyFont="1" applyBorder="1" applyAlignment="1">
      <alignment horizontal="left" vertical="center"/>
    </xf>
    <xf numFmtId="0" fontId="0" fillId="0" borderId="186" xfId="0" applyBorder="1" applyAlignment="1">
      <alignment vertical="center"/>
    </xf>
    <xf numFmtId="0" fontId="0" fillId="0" borderId="187" xfId="0" applyBorder="1" applyAlignment="1">
      <alignment horizontal="left" vertical="center"/>
    </xf>
    <xf numFmtId="0" fontId="0" fillId="0" borderId="197" xfId="0" applyBorder="1">
      <alignment horizontal="center" vertical="center"/>
    </xf>
    <xf numFmtId="0" fontId="2" fillId="0" borderId="198" xfId="0" applyFont="1" applyBorder="1" applyAlignment="1">
      <alignment horizontal="left" vertical="center"/>
    </xf>
    <xf numFmtId="0" fontId="0" fillId="0" borderId="199" xfId="0" applyBorder="1">
      <alignment horizontal="center" vertical="center"/>
    </xf>
    <xf numFmtId="0" fontId="0" fillId="0" borderId="200" xfId="0" applyBorder="1" applyAlignment="1">
      <alignment vertical="center"/>
    </xf>
    <xf numFmtId="0" fontId="0" fillId="0" borderId="201" xfId="0" applyBorder="1">
      <alignment horizontal="center" vertical="center"/>
    </xf>
    <xf numFmtId="0" fontId="2" fillId="0" borderId="200" xfId="0" applyFont="1" applyBorder="1">
      <alignment horizontal="center" vertical="center"/>
    </xf>
    <xf numFmtId="0" fontId="0" fillId="0" borderId="199" xfId="0" applyBorder="1" applyAlignment="1">
      <alignment horizontal="left" vertical="center"/>
    </xf>
    <xf numFmtId="0" fontId="12" fillId="0" borderId="199" xfId="0" applyFont="1" applyBorder="1">
      <alignment horizontal="center" vertical="center"/>
    </xf>
    <xf numFmtId="0" fontId="2" fillId="0" borderId="199" xfId="0" applyFont="1" applyBorder="1" applyAlignment="1">
      <alignment horizontal="left" vertical="center"/>
    </xf>
    <xf numFmtId="0" fontId="0" fillId="0" borderId="202" xfId="0" applyBorder="1">
      <alignment horizontal="center" vertical="center"/>
    </xf>
    <xf numFmtId="0" fontId="0" fillId="0" borderId="203" xfId="0" applyBorder="1" applyAlignment="1" applyProtection="1">
      <alignment horizontal="center"/>
      <protection locked="0"/>
    </xf>
    <xf numFmtId="0" fontId="4" fillId="0" borderId="203" xfId="0" applyFont="1" applyBorder="1" applyAlignment="1">
      <alignment horizontal="center"/>
    </xf>
    <xf numFmtId="0" fontId="0" fillId="51" borderId="192" xfId="0" applyFill="1" applyBorder="1">
      <alignment horizontal="center" vertical="center"/>
    </xf>
    <xf numFmtId="0" fontId="0" fillId="43" borderId="204" xfId="0" applyFill="1" applyBorder="1" applyAlignment="1" applyProtection="1">
      <alignment horizontal="center"/>
      <protection locked="0"/>
    </xf>
    <xf numFmtId="0" fontId="0" fillId="0" borderId="159" xfId="0" applyBorder="1" applyAlignment="1">
      <alignment vertical="center"/>
    </xf>
    <xf numFmtId="0" fontId="0" fillId="51" borderId="193" xfId="0" applyFill="1" applyBorder="1">
      <alignment horizontal="center" vertical="center"/>
    </xf>
    <xf numFmtId="0" fontId="0" fillId="43" borderId="205" xfId="0" applyFill="1" applyBorder="1" applyAlignment="1" applyProtection="1">
      <alignment horizontal="center"/>
      <protection locked="0"/>
    </xf>
    <xf numFmtId="0" fontId="0" fillId="0" borderId="191" xfId="0" applyBorder="1" applyAlignment="1">
      <alignment horizontal="left" vertical="center"/>
    </xf>
    <xf numFmtId="0" fontId="0" fillId="51" borderId="191" xfId="0" applyFill="1" applyBorder="1">
      <alignment horizontal="center" vertical="center"/>
    </xf>
    <xf numFmtId="49" fontId="0" fillId="51" borderId="191" xfId="0" applyNumberFormat="1" applyFill="1" applyBorder="1">
      <alignment horizontal="center" vertical="center"/>
    </xf>
    <xf numFmtId="0" fontId="5" fillId="52" borderId="191" xfId="48" applyBorder="1">
      <alignment horizontal="center" vertical="center"/>
    </xf>
    <xf numFmtId="49" fontId="0" fillId="51" borderId="192" xfId="0" applyNumberFormat="1" applyFill="1" applyBorder="1">
      <alignment horizontal="center" vertical="center"/>
    </xf>
    <xf numFmtId="0" fontId="0" fillId="51" borderId="185" xfId="0" applyFill="1" applyBorder="1">
      <alignment horizontal="center" vertical="center"/>
    </xf>
    <xf numFmtId="49" fontId="0" fillId="51" borderId="185" xfId="0" applyNumberFormat="1" applyFill="1" applyBorder="1">
      <alignment horizontal="center" vertical="center"/>
    </xf>
    <xf numFmtId="0" fontId="0" fillId="51" borderId="185" xfId="45" applyFont="1" applyFill="1" applyBorder="1">
      <alignment horizontal="center" vertical="center"/>
    </xf>
    <xf numFmtId="49" fontId="0" fillId="51" borderId="193" xfId="0" applyNumberFormat="1" applyFill="1" applyBorder="1">
      <alignment horizontal="center" vertical="center"/>
    </xf>
    <xf numFmtId="0" fontId="0" fillId="0" borderId="191" xfId="0" applyBorder="1" applyAlignment="1">
      <alignment vertical="center"/>
    </xf>
    <xf numFmtId="0" fontId="0" fillId="51" borderId="191" xfId="44" applyFont="1" applyFill="1" applyBorder="1">
      <alignment horizontal="center" vertical="center"/>
    </xf>
    <xf numFmtId="49" fontId="0" fillId="55" borderId="191" xfId="0" applyNumberFormat="1" applyFill="1" applyBorder="1">
      <alignment horizontal="center" vertical="center"/>
    </xf>
    <xf numFmtId="0" fontId="5" fillId="70" borderId="191" xfId="44" applyBorder="1">
      <alignment horizontal="center" vertical="center"/>
    </xf>
    <xf numFmtId="49" fontId="0" fillId="53" borderId="191" xfId="0" applyNumberFormat="1" applyFill="1" applyBorder="1">
      <alignment horizontal="center" vertical="center"/>
    </xf>
    <xf numFmtId="0" fontId="0" fillId="51" borderId="185" xfId="46" applyFont="1" applyFill="1" applyBorder="1">
      <alignment horizontal="center" vertical="center"/>
    </xf>
    <xf numFmtId="0" fontId="0" fillId="52" borderId="159" xfId="0" applyFill="1" applyBorder="1">
      <alignment horizontal="center" vertical="center"/>
    </xf>
    <xf numFmtId="49" fontId="0" fillId="70" borderId="185" xfId="0" applyNumberFormat="1" applyFill="1" applyBorder="1">
      <alignment horizontal="center" vertical="center"/>
    </xf>
    <xf numFmtId="0" fontId="5" fillId="70" borderId="185" xfId="44" applyBorder="1">
      <alignment horizontal="center" vertical="center"/>
    </xf>
    <xf numFmtId="49" fontId="0" fillId="70" borderId="191" xfId="0" applyNumberFormat="1" applyFill="1" applyBorder="1">
      <alignment horizontal="center" vertical="center"/>
    </xf>
    <xf numFmtId="0" fontId="0" fillId="70" borderId="191" xfId="44" applyFont="1" applyBorder="1">
      <alignment horizontal="center" vertical="center"/>
    </xf>
    <xf numFmtId="0" fontId="0" fillId="51" borderId="192" xfId="44" applyFont="1" applyFill="1" applyBorder="1">
      <alignment horizontal="center" vertical="center"/>
    </xf>
    <xf numFmtId="0" fontId="2" fillId="0" borderId="185" xfId="0" applyFont="1" applyBorder="1" applyAlignment="1">
      <alignment horizontal="center"/>
    </xf>
    <xf numFmtId="0" fontId="0" fillId="0" borderId="185" xfId="0" applyBorder="1">
      <alignment horizontal="center" vertical="center"/>
    </xf>
    <xf numFmtId="0" fontId="5" fillId="0" borderId="185" xfId="0" applyFont="1" applyBorder="1">
      <alignment horizontal="center" vertical="center"/>
    </xf>
    <xf numFmtId="0" fontId="0" fillId="0" borderId="203" xfId="0" applyBorder="1">
      <alignment horizontal="center" vertical="center"/>
    </xf>
    <xf numFmtId="0" fontId="2" fillId="0" borderId="203" xfId="0" applyFont="1" applyBorder="1" applyAlignment="1">
      <alignment horizontal="center"/>
    </xf>
    <xf numFmtId="0" fontId="4" fillId="0" borderId="185" xfId="0" applyFont="1" applyBorder="1" applyAlignment="1">
      <alignment horizontal="left"/>
    </xf>
    <xf numFmtId="0" fontId="5" fillId="0" borderId="186" xfId="0" applyFont="1" applyBorder="1">
      <alignment horizontal="center" vertical="center"/>
    </xf>
    <xf numFmtId="0" fontId="0" fillId="0" borderId="185" xfId="0" applyBorder="1" applyAlignment="1">
      <alignment horizontal="center"/>
    </xf>
    <xf numFmtId="0" fontId="0" fillId="43" borderId="186" xfId="0" applyFill="1" applyBorder="1" applyAlignment="1" applyProtection="1">
      <alignment horizontal="center"/>
      <protection locked="0"/>
    </xf>
    <xf numFmtId="0" fontId="0" fillId="0" borderId="186" xfId="0" applyBorder="1" applyAlignment="1">
      <alignment horizontal="left"/>
    </xf>
    <xf numFmtId="0" fontId="0" fillId="0" borderId="187" xfId="0" applyBorder="1" applyAlignment="1">
      <alignment horizontal="left"/>
    </xf>
    <xf numFmtId="0" fontId="0" fillId="0" borderId="184" xfId="0" applyBorder="1" applyAlignment="1">
      <alignment horizontal="left"/>
    </xf>
    <xf numFmtId="0" fontId="0" fillId="0" borderId="182" xfId="0" applyBorder="1" applyAlignment="1">
      <alignment horizontal="left"/>
    </xf>
    <xf numFmtId="0" fontId="5" fillId="0" borderId="183" xfId="0" applyFont="1" applyBorder="1" applyAlignment="1">
      <alignment horizontal="left"/>
    </xf>
    <xf numFmtId="0" fontId="5" fillId="0" borderId="182" xfId="0" applyFont="1" applyBorder="1" applyAlignment="1">
      <alignment horizontal="left"/>
    </xf>
    <xf numFmtId="0" fontId="5" fillId="0" borderId="188" xfId="0" applyFont="1" applyBorder="1" applyAlignment="1">
      <alignment horizontal="left"/>
    </xf>
    <xf numFmtId="0" fontId="4" fillId="0" borderId="186" xfId="0" applyFont="1" applyBorder="1" applyAlignment="1">
      <alignment horizontal="left"/>
    </xf>
    <xf numFmtId="0" fontId="5" fillId="0" borderId="174" xfId="0" applyFont="1" applyBorder="1" applyAlignment="1">
      <alignment horizontal="left"/>
    </xf>
    <xf numFmtId="0" fontId="20" fillId="0" borderId="185" xfId="0" applyFont="1" applyBorder="1" applyAlignment="1" applyProtection="1">
      <alignment horizontal="center"/>
      <protection locked="0"/>
    </xf>
    <xf numFmtId="0" fontId="0" fillId="0" borderId="185" xfId="0" applyBorder="1" applyAlignment="1">
      <alignment horizontal="left"/>
    </xf>
    <xf numFmtId="0" fontId="5" fillId="0" borderId="185" xfId="0" applyFont="1" applyBorder="1" applyAlignment="1">
      <alignment horizontal="left"/>
    </xf>
    <xf numFmtId="0" fontId="2" fillId="0" borderId="191" xfId="0" applyFont="1" applyBorder="1" applyAlignment="1" applyProtection="1">
      <alignment horizontal="center"/>
      <protection locked="0"/>
    </xf>
    <xf numFmtId="0" fontId="0" fillId="51" borderId="206" xfId="0" applyFill="1" applyBorder="1">
      <alignment horizontal="center" vertical="center"/>
    </xf>
    <xf numFmtId="0" fontId="5" fillId="70" borderId="206" xfId="44" applyBorder="1">
      <alignment horizontal="center" vertical="center"/>
    </xf>
    <xf numFmtId="0" fontId="0" fillId="51" borderId="206" xfId="0" applyFill="1" applyBorder="1" applyAlignment="1" applyProtection="1">
      <alignment horizontal="left" vertical="center"/>
      <protection locked="0"/>
    </xf>
    <xf numFmtId="0" fontId="0" fillId="51" borderId="206" xfId="52" applyFont="1" applyFill="1" applyBorder="1">
      <alignment horizontal="center" vertical="center"/>
    </xf>
    <xf numFmtId="0" fontId="0" fillId="51" borderId="206" xfId="20" applyNumberFormat="1" applyFont="1" applyFill="1" applyBorder="1" applyAlignment="1">
      <alignment horizontal="center" vertical="center"/>
    </xf>
    <xf numFmtId="0" fontId="0" fillId="0" borderId="206" xfId="0" applyBorder="1" applyAlignment="1">
      <alignment horizontal="left" vertical="center"/>
    </xf>
    <xf numFmtId="0" fontId="7" fillId="55" borderId="206" xfId="52" applyFont="1" applyFill="1" applyBorder="1">
      <alignment horizontal="center" vertical="center"/>
    </xf>
    <xf numFmtId="0" fontId="55" fillId="55" borderId="206" xfId="52" applyFont="1" applyFill="1" applyBorder="1">
      <alignment horizontal="center" vertical="center"/>
    </xf>
    <xf numFmtId="0" fontId="0" fillId="51" borderId="206" xfId="0" applyFill="1" applyBorder="1" applyAlignment="1">
      <alignment horizontal="left" vertical="center"/>
    </xf>
    <xf numFmtId="0" fontId="0" fillId="51" borderId="206" xfId="47" applyFont="1" applyFill="1" applyBorder="1">
      <alignment horizontal="center" vertical="center"/>
    </xf>
    <xf numFmtId="49" fontId="0" fillId="51" borderId="206" xfId="0" applyNumberFormat="1" applyFill="1" applyBorder="1">
      <alignment horizontal="center" vertical="center"/>
    </xf>
    <xf numFmtId="0" fontId="0" fillId="55" borderId="206" xfId="52" applyFont="1" applyFill="1" applyBorder="1">
      <alignment horizontal="center" vertical="center"/>
    </xf>
    <xf numFmtId="0" fontId="0" fillId="55" borderId="206" xfId="47" applyFont="1" applyFill="1" applyBorder="1">
      <alignment horizontal="center" vertical="center"/>
    </xf>
    <xf numFmtId="0" fontId="0" fillId="51" borderId="206" xfId="32" applyFont="1" applyFill="1" applyBorder="1" applyAlignment="1">
      <alignment horizontal="center" vertical="center"/>
    </xf>
    <xf numFmtId="49" fontId="0" fillId="51" borderId="206" xfId="54" applyNumberFormat="1" applyFont="1" applyFill="1" applyBorder="1" applyAlignment="1">
      <alignment horizontal="center" vertical="center"/>
    </xf>
    <xf numFmtId="0" fontId="0" fillId="51" borderId="185" xfId="48" applyFont="1" applyFill="1" applyBorder="1">
      <alignment horizontal="center" vertical="center"/>
    </xf>
    <xf numFmtId="0" fontId="0" fillId="51" borderId="194" xfId="52" applyFont="1" applyFill="1" applyBorder="1">
      <alignment horizontal="center" vertical="center"/>
    </xf>
    <xf numFmtId="0" fontId="0" fillId="0" borderId="159" xfId="52" applyFont="1" applyBorder="1" applyAlignment="1">
      <alignment horizontal="left" vertical="center"/>
    </xf>
    <xf numFmtId="0" fontId="0" fillId="51" borderId="159" xfId="45" applyFont="1" applyFill="1" applyBorder="1">
      <alignment horizontal="center" vertical="center"/>
    </xf>
    <xf numFmtId="49" fontId="0" fillId="51" borderId="194" xfId="0" applyNumberFormat="1" applyFill="1" applyBorder="1">
      <alignment horizontal="center" vertical="center"/>
    </xf>
    <xf numFmtId="0" fontId="0" fillId="51" borderId="159" xfId="0" applyFill="1" applyBorder="1" applyAlignment="1">
      <alignment vertical="center"/>
    </xf>
    <xf numFmtId="0" fontId="0" fillId="75" borderId="159" xfId="0" applyFill="1" applyBorder="1">
      <alignment horizontal="center" vertical="center"/>
    </xf>
    <xf numFmtId="0" fontId="5" fillId="0" borderId="159" xfId="52" applyBorder="1">
      <alignment horizontal="center" vertical="center"/>
    </xf>
    <xf numFmtId="0" fontId="0" fillId="70" borderId="159" xfId="52" applyFont="1" applyFill="1" applyBorder="1">
      <alignment horizontal="center" vertical="center"/>
    </xf>
    <xf numFmtId="0" fontId="5" fillId="53" borderId="159" xfId="43" applyBorder="1">
      <alignment horizontal="center" vertical="center"/>
    </xf>
    <xf numFmtId="0" fontId="5" fillId="53" borderId="191" xfId="43" applyBorder="1">
      <alignment horizontal="center" vertical="center"/>
    </xf>
    <xf numFmtId="0" fontId="0" fillId="75" borderId="159" xfId="52" applyFont="1" applyFill="1" applyBorder="1">
      <alignment horizontal="center" vertical="center"/>
    </xf>
    <xf numFmtId="0" fontId="5" fillId="52" borderId="159" xfId="48" applyBorder="1">
      <alignment horizontal="center" vertical="center"/>
    </xf>
    <xf numFmtId="0" fontId="0" fillId="57" borderId="159" xfId="0" applyFill="1" applyBorder="1">
      <alignment horizontal="center" vertical="center"/>
    </xf>
    <xf numFmtId="0" fontId="5" fillId="0" borderId="207" xfId="52" applyBorder="1">
      <alignment horizontal="center" vertical="center"/>
    </xf>
    <xf numFmtId="0" fontId="5" fillId="0" borderId="208" xfId="52" applyBorder="1">
      <alignment horizontal="center" vertical="center"/>
    </xf>
    <xf numFmtId="0" fontId="5" fillId="0" borderId="209" xfId="52" applyBorder="1">
      <alignment horizontal="center" vertical="center"/>
    </xf>
    <xf numFmtId="49" fontId="0" fillId="51" borderId="193" xfId="52" applyNumberFormat="1" applyFont="1" applyFill="1" applyBorder="1">
      <alignment horizontal="center" vertical="center"/>
    </xf>
    <xf numFmtId="0" fontId="0" fillId="72" borderId="159" xfId="0" applyFill="1" applyBorder="1">
      <alignment horizontal="center" vertical="center"/>
    </xf>
    <xf numFmtId="0" fontId="0" fillId="51" borderId="185" xfId="0" applyFill="1" applyBorder="1" applyAlignment="1">
      <alignment horizontal="left" vertical="center"/>
    </xf>
    <xf numFmtId="0" fontId="17" fillId="0" borderId="159" xfId="0" applyFont="1" applyBorder="1" applyAlignment="1" applyProtection="1">
      <alignment horizontal="center"/>
      <protection locked="0"/>
    </xf>
    <xf numFmtId="0" fontId="0" fillId="0" borderId="159" xfId="0" applyBorder="1">
      <alignment horizontal="center" vertical="center"/>
    </xf>
    <xf numFmtId="49" fontId="35" fillId="17" borderId="210" xfId="34" applyNumberFormat="1" applyBorder="1" applyAlignment="1">
      <alignment horizontal="center" vertical="center"/>
    </xf>
    <xf numFmtId="0" fontId="5" fillId="0" borderId="185" xfId="52" applyBorder="1">
      <alignment horizontal="center" vertical="center"/>
    </xf>
    <xf numFmtId="0" fontId="0" fillId="51" borderId="209" xfId="0" applyFill="1" applyBorder="1">
      <alignment horizontal="center" vertical="center"/>
    </xf>
    <xf numFmtId="0" fontId="2" fillId="0" borderId="185" xfId="0" applyFont="1" applyBorder="1" applyAlignment="1" applyProtection="1">
      <alignment horizontal="center"/>
      <protection locked="0"/>
    </xf>
    <xf numFmtId="0" fontId="0" fillId="51" borderId="203" xfId="0" applyFill="1" applyBorder="1">
      <alignment horizontal="center" vertical="center"/>
    </xf>
    <xf numFmtId="0" fontId="0" fillId="51" borderId="203" xfId="43" applyFont="1" applyFill="1" applyBorder="1">
      <alignment horizontal="center" vertical="center"/>
    </xf>
    <xf numFmtId="0" fontId="0" fillId="57" borderId="159" xfId="52" applyFont="1" applyFill="1" applyBorder="1">
      <alignment horizontal="center" vertical="center"/>
    </xf>
    <xf numFmtId="0" fontId="0" fillId="51" borderId="193" xfId="47" applyFont="1" applyFill="1" applyBorder="1">
      <alignment horizontal="center" vertical="center"/>
    </xf>
    <xf numFmtId="0" fontId="0" fillId="51" borderId="203" xfId="47" applyFont="1" applyFill="1" applyBorder="1">
      <alignment horizontal="center" vertical="center"/>
    </xf>
    <xf numFmtId="49" fontId="0" fillId="57" borderId="185" xfId="0" applyNumberFormat="1" applyFill="1" applyBorder="1">
      <alignment horizontal="center" vertical="center"/>
    </xf>
    <xf numFmtId="0" fontId="2" fillId="0" borderId="203" xfId="0" applyFont="1" applyBorder="1" applyAlignment="1" applyProtection="1">
      <alignment horizontal="center"/>
      <protection locked="0"/>
    </xf>
    <xf numFmtId="0" fontId="0" fillId="51" borderId="185" xfId="47" applyFont="1" applyFill="1" applyBorder="1">
      <alignment horizontal="center" vertical="center"/>
    </xf>
    <xf numFmtId="0" fontId="0" fillId="51" borderId="186" xfId="0" applyFill="1" applyBorder="1" applyAlignment="1">
      <alignment horizontal="left" vertical="center"/>
    </xf>
    <xf numFmtId="0" fontId="0" fillId="51" borderId="206" xfId="53" applyFont="1" applyFill="1" applyBorder="1" applyAlignment="1">
      <alignment horizontal="center" vertical="center"/>
    </xf>
    <xf numFmtId="0" fontId="0" fillId="51" borderId="188" xfId="0" applyFill="1" applyBorder="1">
      <alignment horizontal="center" vertical="center"/>
    </xf>
    <xf numFmtId="0" fontId="0" fillId="51" borderId="211" xfId="0" applyFill="1" applyBorder="1">
      <alignment horizontal="center" vertical="center"/>
    </xf>
    <xf numFmtId="0" fontId="0" fillId="51" borderId="212" xfId="52" applyFont="1" applyFill="1" applyBorder="1">
      <alignment horizontal="center" vertical="center"/>
    </xf>
    <xf numFmtId="0" fontId="5" fillId="0" borderId="196" xfId="52" applyBorder="1" applyAlignment="1">
      <alignment horizontal="center"/>
    </xf>
    <xf numFmtId="0" fontId="2" fillId="0" borderId="186" xfId="52" applyFont="1" applyBorder="1" applyAlignment="1">
      <alignment horizontal="left"/>
    </xf>
    <xf numFmtId="0" fontId="5" fillId="0" borderId="187" xfId="52" applyBorder="1">
      <alignment horizontal="center" vertical="center"/>
    </xf>
    <xf numFmtId="0" fontId="5" fillId="0" borderId="188" xfId="52" applyBorder="1" applyAlignment="1">
      <alignment horizontal="left"/>
    </xf>
    <xf numFmtId="0" fontId="5" fillId="0" borderId="187" xfId="52" applyBorder="1" applyAlignment="1">
      <alignment horizontal="left"/>
    </xf>
    <xf numFmtId="0" fontId="2" fillId="0" borderId="187" xfId="52" applyFont="1" applyBorder="1" applyAlignment="1">
      <alignment horizontal="left"/>
    </xf>
    <xf numFmtId="0" fontId="5" fillId="0" borderId="186" xfId="52" applyBorder="1">
      <alignment horizontal="center" vertical="center"/>
    </xf>
    <xf numFmtId="0" fontId="5" fillId="0" borderId="187" xfId="52" applyBorder="1" applyAlignment="1">
      <alignment vertical="center"/>
    </xf>
    <xf numFmtId="0" fontId="5" fillId="0" borderId="187" xfId="52" applyBorder="1" applyAlignment="1">
      <alignment horizontal="left" vertical="center"/>
    </xf>
    <xf numFmtId="0" fontId="5" fillId="0" borderId="189" xfId="52" applyBorder="1" applyAlignment="1">
      <alignment vertical="center"/>
    </xf>
    <xf numFmtId="0" fontId="5" fillId="0" borderId="213" xfId="52" applyBorder="1">
      <alignment horizontal="center" vertical="center"/>
    </xf>
    <xf numFmtId="0" fontId="5" fillId="0" borderId="189" xfId="52" applyBorder="1">
      <alignment horizontal="center" vertical="center"/>
    </xf>
    <xf numFmtId="0" fontId="5" fillId="0" borderId="198" xfId="52" applyBorder="1" applyAlignment="1">
      <alignment horizontal="center"/>
    </xf>
    <xf numFmtId="0" fontId="2" fillId="0" borderId="200" xfId="52" applyFont="1" applyBorder="1" applyAlignment="1">
      <alignment horizontal="left"/>
    </xf>
    <xf numFmtId="0" fontId="5" fillId="0" borderId="214" xfId="52" applyBorder="1">
      <alignment horizontal="center" vertical="center"/>
    </xf>
    <xf numFmtId="0" fontId="5" fillId="0" borderId="199" xfId="52" applyBorder="1">
      <alignment horizontal="center" vertical="center"/>
    </xf>
    <xf numFmtId="0" fontId="5" fillId="0" borderId="201" xfId="52" applyBorder="1" applyAlignment="1">
      <alignment horizontal="left"/>
    </xf>
    <xf numFmtId="0" fontId="5" fillId="0" borderId="199" xfId="52" applyBorder="1" applyAlignment="1">
      <alignment horizontal="left"/>
    </xf>
    <xf numFmtId="0" fontId="5" fillId="0" borderId="215" xfId="52" applyBorder="1" applyAlignment="1">
      <alignment horizontal="left"/>
    </xf>
    <xf numFmtId="0" fontId="2" fillId="0" borderId="216" xfId="52" applyFont="1" applyBorder="1" applyAlignment="1">
      <alignment horizontal="left"/>
    </xf>
    <xf numFmtId="0" fontId="5" fillId="0" borderId="200" xfId="52" applyBorder="1">
      <alignment horizontal="center" vertical="center"/>
    </xf>
    <xf numFmtId="0" fontId="5" fillId="0" borderId="202" xfId="52" applyBorder="1">
      <alignment horizontal="center" vertical="center"/>
    </xf>
    <xf numFmtId="0" fontId="2" fillId="0" borderId="203" xfId="52" applyFont="1" applyBorder="1" applyAlignment="1" applyProtection="1">
      <alignment horizontal="center"/>
      <protection locked="0"/>
    </xf>
    <xf numFmtId="0" fontId="4" fillId="0" borderId="203" xfId="52" applyFont="1" applyBorder="1" applyAlignment="1">
      <alignment horizontal="center"/>
    </xf>
    <xf numFmtId="0" fontId="2" fillId="43" borderId="185" xfId="52" applyFont="1" applyFill="1" applyBorder="1" applyAlignment="1">
      <alignment horizontal="center"/>
    </xf>
    <xf numFmtId="49" fontId="0" fillId="51" borderId="185" xfId="20" applyNumberFormat="1" applyFont="1" applyFill="1" applyBorder="1" applyAlignment="1">
      <alignment horizontal="center" vertical="center"/>
    </xf>
    <xf numFmtId="0" fontId="5" fillId="55" borderId="185" xfId="45" applyBorder="1">
      <alignment horizontal="center" vertical="center"/>
    </xf>
    <xf numFmtId="0" fontId="5" fillId="51" borderId="185" xfId="48" applyFill="1" applyBorder="1">
      <alignment horizontal="center" vertical="center"/>
    </xf>
    <xf numFmtId="49" fontId="0" fillId="51" borderId="193" xfId="20" applyNumberFormat="1" applyFont="1" applyFill="1" applyBorder="1" applyAlignment="1">
      <alignment horizontal="center" vertical="center"/>
    </xf>
    <xf numFmtId="0" fontId="5" fillId="0" borderId="185" xfId="52" applyBorder="1" applyAlignment="1">
      <alignment vertical="center"/>
    </xf>
    <xf numFmtId="0" fontId="0" fillId="51" borderId="185" xfId="52" applyFont="1" applyFill="1" applyBorder="1">
      <alignment horizontal="center" vertical="center"/>
    </xf>
    <xf numFmtId="49" fontId="0" fillId="51" borderId="191" xfId="52" applyNumberFormat="1" applyFont="1" applyFill="1" applyBorder="1">
      <alignment horizontal="center" vertical="center"/>
    </xf>
    <xf numFmtId="0" fontId="2" fillId="43" borderId="191" xfId="52" applyFont="1" applyFill="1" applyBorder="1" applyAlignment="1">
      <alignment horizontal="center"/>
    </xf>
    <xf numFmtId="0" fontId="5" fillId="0" borderId="191" xfId="52" applyBorder="1" applyAlignment="1">
      <alignment vertical="center"/>
    </xf>
    <xf numFmtId="0" fontId="0" fillId="51" borderId="191" xfId="51" applyFont="1" applyFill="1" applyBorder="1">
      <alignment horizontal="center" vertical="center"/>
    </xf>
    <xf numFmtId="49" fontId="0" fillId="51" borderId="192" xfId="52" applyNumberFormat="1" applyFont="1" applyFill="1" applyBorder="1">
      <alignment horizontal="center" vertical="center"/>
    </xf>
    <xf numFmtId="0" fontId="2" fillId="0" borderId="204" xfId="0" applyFont="1" applyBorder="1" applyAlignment="1">
      <alignment horizontal="center"/>
    </xf>
    <xf numFmtId="0" fontId="5" fillId="0" borderId="186" xfId="0" applyFont="1" applyBorder="1" applyAlignment="1">
      <alignment horizontal="left" vertical="center"/>
    </xf>
    <xf numFmtId="0" fontId="5" fillId="0" borderId="187" xfId="0" applyFont="1" applyBorder="1" applyAlignment="1">
      <alignment horizontal="left" vertical="center"/>
    </xf>
    <xf numFmtId="0" fontId="5" fillId="0" borderId="189" xfId="0" applyFont="1" applyBorder="1" applyAlignment="1">
      <alignment horizontal="left" vertical="center"/>
    </xf>
    <xf numFmtId="0" fontId="0" fillId="0" borderId="196" xfId="0" applyBorder="1" applyAlignment="1">
      <alignment horizontal="center"/>
    </xf>
    <xf numFmtId="0" fontId="2" fillId="0" borderId="186" xfId="0" applyFont="1" applyBorder="1" applyAlignment="1">
      <alignment horizontal="left"/>
    </xf>
    <xf numFmtId="0" fontId="0" fillId="0" borderId="187" xfId="0" applyBorder="1" applyAlignment="1"/>
    <xf numFmtId="0" fontId="0" fillId="0" borderId="188" xfId="0" applyBorder="1" applyAlignment="1">
      <alignment horizontal="left"/>
    </xf>
    <xf numFmtId="0" fontId="2" fillId="0" borderId="187" xfId="0" applyFont="1" applyBorder="1" applyAlignment="1"/>
    <xf numFmtId="0" fontId="2" fillId="0" borderId="188" xfId="0" applyFont="1" applyBorder="1" applyAlignment="1">
      <alignment horizontal="left"/>
    </xf>
    <xf numFmtId="0" fontId="0" fillId="0" borderId="186" xfId="0" applyBorder="1" applyAlignment="1">
      <alignment horizontal="center"/>
    </xf>
    <xf numFmtId="0" fontId="0" fillId="0" borderId="189" xfId="0" applyBorder="1" applyAlignment="1"/>
    <xf numFmtId="0" fontId="2" fillId="0" borderId="184" xfId="0" applyFont="1" applyBorder="1" applyAlignment="1">
      <alignment horizontal="left"/>
    </xf>
    <xf numFmtId="0" fontId="0" fillId="0" borderId="182" xfId="0" applyBorder="1" applyAlignment="1"/>
    <xf numFmtId="0" fontId="0" fillId="0" borderId="183" xfId="0" applyBorder="1" applyAlignment="1">
      <alignment horizontal="left"/>
    </xf>
    <xf numFmtId="0" fontId="7" fillId="0" borderId="184" xfId="0" applyFont="1" applyBorder="1" applyAlignment="1">
      <alignment horizontal="center"/>
    </xf>
    <xf numFmtId="0" fontId="0" fillId="0" borderId="197" xfId="0" applyBorder="1" applyAlignment="1"/>
    <xf numFmtId="0" fontId="0" fillId="0" borderId="198" xfId="0" applyBorder="1" applyAlignment="1">
      <alignment horizontal="center"/>
    </xf>
    <xf numFmtId="0" fontId="2" fillId="0" borderId="200" xfId="0" applyFont="1" applyBorder="1" applyAlignment="1">
      <alignment horizontal="left"/>
    </xf>
    <xf numFmtId="0" fontId="5" fillId="0" borderId="199" xfId="0" applyFont="1" applyBorder="1" applyAlignment="1">
      <alignment horizontal="left" vertical="center"/>
    </xf>
    <xf numFmtId="0" fontId="5" fillId="0" borderId="199" xfId="0" applyFont="1" applyBorder="1">
      <alignment horizontal="center" vertical="center"/>
    </xf>
    <xf numFmtId="0" fontId="5" fillId="0" borderId="201" xfId="0" applyFont="1" applyBorder="1">
      <alignment horizontal="center" vertical="center"/>
    </xf>
    <xf numFmtId="0" fontId="5" fillId="0" borderId="200" xfId="0" applyFont="1" applyBorder="1" applyAlignment="1">
      <alignment horizontal="left" vertical="center"/>
    </xf>
    <xf numFmtId="0" fontId="5" fillId="0" borderId="199" xfId="0" applyFont="1" applyBorder="1" applyAlignment="1">
      <alignment horizontal="left"/>
    </xf>
    <xf numFmtId="0" fontId="5" fillId="0" borderId="201" xfId="0" applyFont="1" applyBorder="1" applyAlignment="1">
      <alignment horizontal="left" vertical="center"/>
    </xf>
    <xf numFmtId="0" fontId="0" fillId="0" borderId="199" xfId="0" applyBorder="1" applyAlignment="1">
      <alignment horizontal="left"/>
    </xf>
    <xf numFmtId="0" fontId="0" fillId="0" borderId="202" xfId="0" applyBorder="1" applyAlignment="1"/>
    <xf numFmtId="0" fontId="0" fillId="51" borderId="185" xfId="51" applyFont="1" applyFill="1" applyBorder="1">
      <alignment horizontal="center" vertical="center"/>
    </xf>
    <xf numFmtId="0" fontId="0" fillId="52" borderId="185" xfId="51" applyFont="1" applyFill="1" applyBorder="1">
      <alignment horizontal="center" vertical="center"/>
    </xf>
    <xf numFmtId="0" fontId="2" fillId="43" borderId="185" xfId="0" applyFont="1" applyFill="1" applyBorder="1" applyAlignment="1">
      <alignment horizontal="center"/>
    </xf>
    <xf numFmtId="0" fontId="0" fillId="51" borderId="193" xfId="44" applyFont="1" applyFill="1" applyBorder="1">
      <alignment horizontal="center" vertical="center"/>
    </xf>
    <xf numFmtId="0" fontId="0" fillId="51" borderId="193" xfId="51" applyFont="1" applyFill="1" applyBorder="1">
      <alignment horizontal="center" vertical="center"/>
    </xf>
    <xf numFmtId="0" fontId="0" fillId="51" borderId="193" xfId="48" applyFont="1" applyFill="1" applyBorder="1">
      <alignment horizontal="center" vertical="center"/>
    </xf>
    <xf numFmtId="0" fontId="2" fillId="43" borderId="191" xfId="0" applyFont="1" applyFill="1" applyBorder="1" applyAlignment="1">
      <alignment horizontal="center"/>
    </xf>
    <xf numFmtId="0" fontId="0" fillId="51" borderId="191" xfId="0" applyFill="1" applyBorder="1" applyAlignment="1">
      <alignment horizontal="left" vertical="center"/>
    </xf>
    <xf numFmtId="0" fontId="0" fillId="51" borderId="191" xfId="47" applyFont="1" applyFill="1" applyBorder="1">
      <alignment horizontal="center" vertical="center"/>
    </xf>
    <xf numFmtId="0" fontId="0" fillId="51" borderId="192" xfId="48" applyFont="1" applyFill="1" applyBorder="1">
      <alignment horizontal="center" vertical="center"/>
    </xf>
    <xf numFmtId="0" fontId="0" fillId="0" borderId="200" xfId="0" applyBorder="1" applyAlignment="1">
      <alignment horizontal="left"/>
    </xf>
    <xf numFmtId="0" fontId="0" fillId="0" borderId="199" xfId="0" applyBorder="1" applyAlignment="1"/>
    <xf numFmtId="0" fontId="0" fillId="0" borderId="201" xfId="0" applyBorder="1" applyAlignment="1">
      <alignment horizontal="left"/>
    </xf>
    <xf numFmtId="0" fontId="0" fillId="0" borderId="200" xfId="0" applyBorder="1" applyAlignment="1">
      <alignment horizontal="center"/>
    </xf>
    <xf numFmtId="0" fontId="2" fillId="43" borderId="206" xfId="0" applyFont="1" applyFill="1" applyBorder="1" applyAlignment="1">
      <alignment horizontal="center"/>
    </xf>
    <xf numFmtId="0" fontId="0" fillId="51" borderId="206" xfId="46" applyFont="1" applyFill="1" applyBorder="1">
      <alignment horizontal="center" vertical="center"/>
    </xf>
    <xf numFmtId="0" fontId="0" fillId="51" borderId="206" xfId="45" applyFont="1" applyFill="1" applyBorder="1">
      <alignment horizontal="center" vertical="center"/>
    </xf>
    <xf numFmtId="0" fontId="5" fillId="53" borderId="206" xfId="43" applyBorder="1">
      <alignment horizontal="center" vertical="center"/>
    </xf>
    <xf numFmtId="0" fontId="1" fillId="0" borderId="186" xfId="0" applyFont="1" applyBorder="1" applyAlignment="1">
      <alignment horizontal="left"/>
    </xf>
    <xf numFmtId="0" fontId="2" fillId="0" borderId="187" xfId="0" applyFont="1" applyBorder="1">
      <alignment horizontal="center" vertical="center"/>
    </xf>
    <xf numFmtId="167" fontId="7" fillId="0" borderId="200" xfId="0" applyNumberFormat="1" applyFont="1" applyBorder="1" applyAlignment="1">
      <alignment horizontal="center"/>
    </xf>
    <xf numFmtId="0" fontId="5" fillId="51" borderId="185" xfId="0" applyFont="1" applyFill="1" applyBorder="1" applyAlignment="1">
      <alignment vertical="center"/>
    </xf>
    <xf numFmtId="0" fontId="0" fillId="51" borderId="185" xfId="0" applyFill="1" applyBorder="1" applyAlignment="1">
      <alignment vertical="center"/>
    </xf>
    <xf numFmtId="0" fontId="0" fillId="0" borderId="178" xfId="0" applyBorder="1">
      <alignment horizontal="center" vertical="center"/>
    </xf>
    <xf numFmtId="49" fontId="13" fillId="0" borderId="159" xfId="0" applyNumberFormat="1" applyFont="1" applyBorder="1">
      <alignment horizontal="center" vertical="center"/>
    </xf>
    <xf numFmtId="0" fontId="13" fillId="0" borderId="217" xfId="0" applyFont="1" applyBorder="1" applyAlignment="1">
      <alignment horizontal="left" vertical="center"/>
    </xf>
    <xf numFmtId="0" fontId="13" fillId="0" borderId="217" xfId="0" applyFont="1" applyBorder="1">
      <alignment horizontal="center" vertical="center"/>
    </xf>
    <xf numFmtId="0" fontId="13" fillId="0" borderId="218" xfId="0" applyFont="1" applyBorder="1">
      <alignment horizontal="center" vertical="center"/>
    </xf>
    <xf numFmtId="49" fontId="13" fillId="0" borderId="178" xfId="0" applyNumberFormat="1" applyFont="1" applyBorder="1">
      <alignment horizontal="center" vertical="center"/>
    </xf>
    <xf numFmtId="0" fontId="5" fillId="0" borderId="218" xfId="0" applyFont="1" applyBorder="1">
      <alignment horizontal="center" vertical="center"/>
    </xf>
    <xf numFmtId="49" fontId="5" fillId="0" borderId="178" xfId="0" applyNumberFormat="1" applyFont="1" applyBorder="1">
      <alignment horizontal="center" vertical="center"/>
    </xf>
    <xf numFmtId="0" fontId="5" fillId="0" borderId="217" xfId="0" applyFont="1" applyBorder="1">
      <alignment horizontal="center" vertical="center"/>
    </xf>
    <xf numFmtId="0" fontId="7" fillId="0" borderId="217" xfId="0" applyFont="1" applyBorder="1">
      <alignment horizontal="center" vertical="center"/>
    </xf>
    <xf numFmtId="0" fontId="7" fillId="0" borderId="219" xfId="0" applyFont="1" applyBorder="1">
      <alignment horizontal="center" vertical="center"/>
    </xf>
    <xf numFmtId="0" fontId="0" fillId="0" borderId="220" xfId="0" applyBorder="1">
      <alignment horizontal="center" vertical="center"/>
    </xf>
    <xf numFmtId="49" fontId="5" fillId="0" borderId="220" xfId="0" applyNumberFormat="1" applyFont="1" applyBorder="1">
      <alignment horizontal="center" vertical="center"/>
    </xf>
    <xf numFmtId="0" fontId="7" fillId="0" borderId="221" xfId="0" applyFont="1" applyBorder="1">
      <alignment horizontal="center" vertical="center"/>
    </xf>
    <xf numFmtId="49" fontId="0" fillId="0" borderId="159" xfId="0" applyNumberFormat="1" applyBorder="1">
      <alignment horizontal="center" vertical="center"/>
    </xf>
    <xf numFmtId="0" fontId="5" fillId="0" borderId="178" xfId="0" applyFont="1" applyBorder="1">
      <alignment horizontal="center" vertical="center"/>
    </xf>
    <xf numFmtId="49" fontId="5" fillId="0" borderId="217" xfId="0" applyNumberFormat="1" applyFont="1" applyBorder="1">
      <alignment horizontal="center" vertical="center"/>
    </xf>
    <xf numFmtId="0" fontId="5" fillId="0" borderId="222" xfId="0" applyFont="1" applyBorder="1">
      <alignment horizontal="center" vertical="center"/>
    </xf>
    <xf numFmtId="0" fontId="5" fillId="0" borderId="223" xfId="0" applyFont="1" applyBorder="1">
      <alignment horizontal="center" vertical="center"/>
    </xf>
    <xf numFmtId="49" fontId="5" fillId="0" borderId="222" xfId="0" applyNumberFormat="1" applyFont="1" applyBorder="1">
      <alignment horizontal="center" vertical="center"/>
    </xf>
    <xf numFmtId="0" fontId="7" fillId="0" borderId="222" xfId="0" applyFont="1" applyBorder="1">
      <alignment horizontal="center" vertical="center"/>
    </xf>
    <xf numFmtId="0" fontId="4" fillId="0" borderId="224" xfId="0" applyFont="1" applyBorder="1" applyAlignment="1">
      <alignment horizontal="center"/>
    </xf>
    <xf numFmtId="0" fontId="0" fillId="51" borderId="225" xfId="0" applyFill="1" applyBorder="1">
      <alignment horizontal="center" vertical="center"/>
    </xf>
    <xf numFmtId="0" fontId="0" fillId="51" borderId="226" xfId="0" applyFill="1" applyBorder="1" applyAlignment="1">
      <alignment horizontal="left" vertical="center" wrapText="1"/>
    </xf>
    <xf numFmtId="49" fontId="0" fillId="53" borderId="226" xfId="0" applyNumberFormat="1" applyFill="1" applyBorder="1">
      <alignment horizontal="center" vertical="center"/>
    </xf>
    <xf numFmtId="49" fontId="0" fillId="78" borderId="226" xfId="0" applyNumberFormat="1" applyFill="1" applyBorder="1">
      <alignment horizontal="center" vertical="center"/>
    </xf>
    <xf numFmtId="0" fontId="5" fillId="51" borderId="226" xfId="48" applyFill="1" applyBorder="1">
      <alignment horizontal="center" vertical="center"/>
    </xf>
    <xf numFmtId="49" fontId="0" fillId="76" borderId="226" xfId="0" applyNumberFormat="1" applyFill="1" applyBorder="1">
      <alignment horizontal="center" vertical="center"/>
    </xf>
    <xf numFmtId="0" fontId="5" fillId="51" borderId="226" xfId="43" applyFill="1" applyBorder="1">
      <alignment horizontal="center" vertical="center"/>
    </xf>
    <xf numFmtId="49" fontId="0" fillId="52" borderId="226" xfId="0" applyNumberFormat="1" applyFill="1" applyBorder="1">
      <alignment horizontal="center" vertical="center"/>
    </xf>
    <xf numFmtId="0" fontId="2" fillId="0" borderId="226" xfId="0" applyFont="1" applyBorder="1" applyAlignment="1">
      <alignment horizontal="center"/>
    </xf>
    <xf numFmtId="0" fontId="2" fillId="0" borderId="224" xfId="0" applyFont="1" applyBorder="1" applyAlignment="1">
      <alignment horizontal="center"/>
    </xf>
    <xf numFmtId="0" fontId="0" fillId="0" borderId="227" xfId="0" applyBorder="1" applyAlignment="1">
      <alignment horizontal="left" vertical="center"/>
    </xf>
    <xf numFmtId="0" fontId="0" fillId="0" borderId="228" xfId="0" applyBorder="1" applyAlignment="1">
      <alignment horizontal="left" vertical="center"/>
    </xf>
    <xf numFmtId="0" fontId="2" fillId="0" borderId="229" xfId="0" applyFont="1" applyBorder="1" applyAlignment="1">
      <alignment horizontal="left"/>
    </xf>
    <xf numFmtId="0" fontId="0" fillId="0" borderId="230" xfId="0" applyBorder="1" applyAlignment="1">
      <alignment horizontal="left" vertical="center"/>
    </xf>
    <xf numFmtId="0" fontId="2" fillId="0" borderId="226" xfId="0" applyFont="1" applyBorder="1">
      <alignment horizontal="center" vertical="center"/>
    </xf>
    <xf numFmtId="0" fontId="0" fillId="0" borderId="231" xfId="0" applyBorder="1" applyAlignment="1">
      <alignment horizontal="left" vertical="center"/>
    </xf>
    <xf numFmtId="0" fontId="0" fillId="0" borderId="217" xfId="0" applyBorder="1" applyAlignment="1">
      <alignment horizontal="left" vertical="center"/>
    </xf>
    <xf numFmtId="0" fontId="0" fillId="0" borderId="232" xfId="0" applyBorder="1" applyAlignment="1">
      <alignment horizontal="left" vertical="center"/>
    </xf>
    <xf numFmtId="0" fontId="0" fillId="0" borderId="233" xfId="0" applyBorder="1" applyAlignment="1">
      <alignment horizontal="left" vertical="center"/>
    </xf>
    <xf numFmtId="0" fontId="0" fillId="0" borderId="234" xfId="0" applyBorder="1" applyAlignment="1">
      <alignment horizontal="left" vertical="center"/>
    </xf>
    <xf numFmtId="0" fontId="0" fillId="0" borderId="235" xfId="0" applyBorder="1" applyAlignment="1">
      <alignment horizontal="left" vertical="center"/>
    </xf>
    <xf numFmtId="0" fontId="2" fillId="0" borderId="236" xfId="0" applyFont="1" applyBorder="1" applyAlignment="1">
      <alignment horizontal="left"/>
    </xf>
    <xf numFmtId="0" fontId="0" fillId="0" borderId="236" xfId="0" applyBorder="1" applyAlignment="1">
      <alignment horizontal="left" vertical="center"/>
    </xf>
    <xf numFmtId="0" fontId="0" fillId="0" borderId="237" xfId="0" applyBorder="1" applyAlignment="1">
      <alignment horizontal="left" vertical="center"/>
    </xf>
    <xf numFmtId="0" fontId="0" fillId="0" borderId="238" xfId="0" applyBorder="1" applyAlignment="1">
      <alignment horizontal="left" vertical="center"/>
    </xf>
    <xf numFmtId="49" fontId="0" fillId="0" borderId="239" xfId="0" applyNumberFormat="1" applyBorder="1" applyAlignment="1">
      <alignment horizontal="left"/>
    </xf>
    <xf numFmtId="0" fontId="1" fillId="0" borderId="226" xfId="0" applyFont="1" applyBorder="1" applyAlignment="1">
      <alignment horizontal="center"/>
    </xf>
    <xf numFmtId="0" fontId="0" fillId="0" borderId="240" xfId="0" applyBorder="1" applyAlignment="1">
      <alignment horizontal="left" vertical="center"/>
    </xf>
    <xf numFmtId="0" fontId="0" fillId="0" borderId="241" xfId="0" applyBorder="1" applyAlignment="1">
      <alignment horizontal="left" vertical="center"/>
    </xf>
    <xf numFmtId="49" fontId="0" fillId="0" borderId="241" xfId="0" applyNumberFormat="1" applyBorder="1" applyAlignment="1">
      <alignment horizontal="left"/>
    </xf>
    <xf numFmtId="0" fontId="2" fillId="0" borderId="226" xfId="0" applyFont="1" applyBorder="1" applyAlignment="1" applyProtection="1">
      <alignment horizontal="center"/>
      <protection locked="0"/>
    </xf>
    <xf numFmtId="0" fontId="0" fillId="0" borderId="226" xfId="0" applyBorder="1" applyAlignment="1">
      <alignment horizontal="left"/>
    </xf>
    <xf numFmtId="0" fontId="0" fillId="51" borderId="242" xfId="0" applyFill="1" applyBorder="1">
      <alignment horizontal="center" vertical="center"/>
    </xf>
    <xf numFmtId="0" fontId="0" fillId="0" borderId="226" xfId="0" applyBorder="1" applyAlignment="1" applyProtection="1">
      <alignment horizontal="center"/>
      <protection locked="0"/>
    </xf>
    <xf numFmtId="0" fontId="5" fillId="52" borderId="242" xfId="48" applyBorder="1">
      <alignment horizontal="center" vertical="center"/>
    </xf>
    <xf numFmtId="0" fontId="1" fillId="0" borderId="226" xfId="0" applyFont="1" applyBorder="1" applyAlignment="1" applyProtection="1">
      <alignment horizontal="center"/>
      <protection locked="0"/>
    </xf>
    <xf numFmtId="0" fontId="0" fillId="51" borderId="242" xfId="48" applyFont="1" applyFill="1" applyBorder="1">
      <alignment horizontal="center" vertical="center"/>
    </xf>
    <xf numFmtId="0" fontId="0" fillId="51" borderId="242" xfId="51" applyFont="1" applyFill="1" applyBorder="1">
      <alignment horizontal="center" vertical="center"/>
    </xf>
    <xf numFmtId="0" fontId="5" fillId="0" borderId="226" xfId="0" applyFont="1" applyBorder="1" applyAlignment="1">
      <alignment vertical="center"/>
    </xf>
    <xf numFmtId="0" fontId="5" fillId="53" borderId="242" xfId="43" applyBorder="1">
      <alignment horizontal="center" vertical="center"/>
    </xf>
    <xf numFmtId="0" fontId="13" fillId="0" borderId="226" xfId="0" applyFont="1" applyBorder="1" applyAlignment="1">
      <alignment vertical="center"/>
    </xf>
    <xf numFmtId="49" fontId="0" fillId="51" borderId="242" xfId="0" applyNumberFormat="1" applyFill="1" applyBorder="1">
      <alignment horizontal="center" vertical="center"/>
    </xf>
    <xf numFmtId="0" fontId="2" fillId="0" borderId="243" xfId="0" applyFont="1" applyBorder="1">
      <alignment horizontal="center" vertical="center"/>
    </xf>
    <xf numFmtId="0" fontId="0" fillId="51" borderId="226" xfId="33" applyFont="1" applyFill="1" applyBorder="1">
      <alignment horizontal="center" vertical="center"/>
    </xf>
    <xf numFmtId="0" fontId="5" fillId="51" borderId="226" xfId="0" applyFont="1" applyFill="1" applyBorder="1" applyAlignment="1">
      <alignment vertical="center"/>
    </xf>
    <xf numFmtId="0" fontId="2" fillId="0" borderId="244" xfId="0" applyFont="1" applyBorder="1" applyAlignment="1">
      <alignment horizontal="center"/>
    </xf>
    <xf numFmtId="0" fontId="2" fillId="0" borderId="245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0" fontId="0" fillId="0" borderId="214" xfId="0" applyBorder="1">
      <alignment horizontal="center" vertical="center"/>
    </xf>
    <xf numFmtId="0" fontId="0" fillId="0" borderId="247" xfId="0" applyBorder="1">
      <alignment horizontal="center" vertical="center"/>
    </xf>
    <xf numFmtId="0" fontId="2" fillId="0" borderId="214" xfId="0" applyFont="1" applyBorder="1" applyAlignment="1">
      <alignment horizontal="left"/>
    </xf>
    <xf numFmtId="0" fontId="0" fillId="0" borderId="248" xfId="0" applyBorder="1">
      <alignment horizontal="center" vertical="center"/>
    </xf>
    <xf numFmtId="0" fontId="0" fillId="0" borderId="214" xfId="0" applyBorder="1" applyAlignment="1">
      <alignment horizontal="left" vertical="center"/>
    </xf>
    <xf numFmtId="0" fontId="0" fillId="0" borderId="247" xfId="0" applyBorder="1" applyAlignment="1">
      <alignment horizontal="left" vertical="center"/>
    </xf>
    <xf numFmtId="0" fontId="0" fillId="0" borderId="248" xfId="0" applyBorder="1" applyAlignment="1">
      <alignment horizontal="left" vertical="center"/>
    </xf>
    <xf numFmtId="0" fontId="2" fillId="0" borderId="248" xfId="0" applyFont="1" applyBorder="1" applyAlignment="1">
      <alignment horizontal="left"/>
    </xf>
    <xf numFmtId="0" fontId="0" fillId="0" borderId="249" xfId="0" applyBorder="1">
      <alignment horizontal="center" vertical="center"/>
    </xf>
    <xf numFmtId="0" fontId="0" fillId="0" borderId="250" xfId="0" applyBorder="1" applyAlignment="1" applyProtection="1">
      <alignment horizontal="center"/>
      <protection locked="0"/>
    </xf>
    <xf numFmtId="49" fontId="0" fillId="51" borderId="250" xfId="32" applyNumberFormat="1" applyFont="1" applyFill="1" applyBorder="1" applyAlignment="1">
      <alignment horizontal="center" vertical="center"/>
    </xf>
    <xf numFmtId="0" fontId="0" fillId="43" borderId="251" xfId="0" applyFill="1" applyBorder="1" applyAlignment="1">
      <alignment horizontal="center"/>
    </xf>
    <xf numFmtId="0" fontId="45" fillId="0" borderId="251" xfId="0" applyFont="1" applyBorder="1" applyAlignment="1">
      <alignment horizontal="left" vertical="center"/>
    </xf>
    <xf numFmtId="0" fontId="2" fillId="24" borderId="252" xfId="0" applyFont="1" applyFill="1" applyBorder="1">
      <alignment horizontal="center" vertical="center"/>
    </xf>
    <xf numFmtId="0" fontId="0" fillId="24" borderId="252" xfId="0" applyFill="1" applyBorder="1">
      <alignment horizontal="center" vertical="center"/>
    </xf>
    <xf numFmtId="0" fontId="0" fillId="24" borderId="253" xfId="0" applyFill="1" applyBorder="1">
      <alignment horizontal="center" vertical="center"/>
    </xf>
    <xf numFmtId="49" fontId="0" fillId="51" borderId="228" xfId="0" applyNumberFormat="1" applyFill="1" applyBorder="1">
      <alignment horizontal="center" vertical="center"/>
    </xf>
    <xf numFmtId="0" fontId="0" fillId="0" borderId="254" xfId="0" applyBorder="1" applyAlignment="1" applyProtection="1">
      <alignment horizontal="center"/>
      <protection locked="0"/>
    </xf>
    <xf numFmtId="0" fontId="0" fillId="51" borderId="251" xfId="45" applyFont="1" applyFill="1" applyBorder="1">
      <alignment horizontal="center" vertical="center"/>
    </xf>
    <xf numFmtId="49" fontId="0" fillId="51" borderId="241" xfId="0" applyNumberFormat="1" applyFill="1" applyBorder="1">
      <alignment horizontal="center" vertical="center"/>
    </xf>
    <xf numFmtId="0" fontId="2" fillId="0" borderId="255" xfId="0" applyFont="1" applyBorder="1" applyAlignment="1">
      <alignment horizontal="center"/>
    </xf>
    <xf numFmtId="0" fontId="0" fillId="0" borderId="248" xfId="0" applyBorder="1" applyAlignment="1">
      <alignment horizontal="left"/>
    </xf>
    <xf numFmtId="0" fontId="0" fillId="0" borderId="214" xfId="0" applyBorder="1" applyAlignment="1">
      <alignment horizontal="center"/>
    </xf>
    <xf numFmtId="0" fontId="2" fillId="0" borderId="256" xfId="0" applyFont="1" applyBorder="1" applyAlignment="1" applyProtection="1">
      <alignment horizontal="center"/>
      <protection locked="0"/>
    </xf>
    <xf numFmtId="0" fontId="4" fillId="0" borderId="254" xfId="0" applyFont="1" applyBorder="1" applyAlignment="1">
      <alignment horizontal="center"/>
    </xf>
    <xf numFmtId="0" fontId="0" fillId="0" borderId="250" xfId="0" applyBorder="1" applyAlignment="1">
      <alignment vertical="center"/>
    </xf>
    <xf numFmtId="0" fontId="0" fillId="0" borderId="228" xfId="0" applyBorder="1" applyAlignment="1" applyProtection="1">
      <alignment horizontal="center"/>
      <protection locked="0"/>
    </xf>
    <xf numFmtId="0" fontId="46" fillId="0" borderId="250" xfId="0" applyFont="1" applyBorder="1" applyAlignment="1">
      <alignment vertical="center"/>
    </xf>
    <xf numFmtId="0" fontId="0" fillId="43" borderId="231" xfId="0" applyFill="1" applyBorder="1" applyAlignment="1" applyProtection="1">
      <alignment horizontal="center"/>
      <protection locked="0"/>
    </xf>
    <xf numFmtId="0" fontId="45" fillId="0" borderId="257" xfId="0" applyFont="1" applyBorder="1" applyAlignment="1">
      <alignment vertical="center"/>
    </xf>
    <xf numFmtId="49" fontId="0" fillId="51" borderId="258" xfId="0" applyNumberFormat="1" applyFill="1" applyBorder="1">
      <alignment horizontal="center" vertical="center"/>
    </xf>
    <xf numFmtId="49" fontId="0" fillId="51" borderId="254" xfId="0" applyNumberFormat="1" applyFill="1" applyBorder="1">
      <alignment horizontal="center" vertical="center"/>
    </xf>
    <xf numFmtId="0" fontId="0" fillId="51" borderId="254" xfId="0" applyFill="1" applyBorder="1">
      <alignment horizontal="center" vertical="center"/>
    </xf>
    <xf numFmtId="49" fontId="0" fillId="51" borderId="259" xfId="0" applyNumberFormat="1" applyFill="1" applyBorder="1">
      <alignment horizontal="center" vertical="center"/>
    </xf>
    <xf numFmtId="49" fontId="0" fillId="0" borderId="228" xfId="0" applyNumberFormat="1" applyBorder="1" applyAlignment="1"/>
    <xf numFmtId="0" fontId="2" fillId="0" borderId="254" xfId="0" applyFont="1" applyBorder="1" applyAlignment="1" applyProtection="1">
      <alignment horizontal="center"/>
      <protection locked="0"/>
    </xf>
    <xf numFmtId="0" fontId="5" fillId="56" borderId="226" xfId="46" applyBorder="1">
      <alignment horizontal="center" vertical="center"/>
    </xf>
    <xf numFmtId="0" fontId="0" fillId="0" borderId="250" xfId="0" applyBorder="1" applyAlignment="1" applyProtection="1">
      <alignment horizontal="left"/>
      <protection locked="0"/>
    </xf>
    <xf numFmtId="0" fontId="11" fillId="0" borderId="250" xfId="0" applyFont="1" applyBorder="1" applyAlignment="1">
      <alignment vertical="center"/>
    </xf>
    <xf numFmtId="0" fontId="0" fillId="0" borderId="243" xfId="0" applyBorder="1" applyAlignment="1">
      <alignment vertical="center"/>
    </xf>
    <xf numFmtId="1" fontId="0" fillId="51" borderId="226" xfId="32" applyNumberFormat="1" applyFont="1" applyFill="1" applyBorder="1" applyAlignment="1">
      <alignment horizontal="center" vertical="center"/>
    </xf>
    <xf numFmtId="0" fontId="4" fillId="44" borderId="228" xfId="0" applyFont="1" applyFill="1" applyBorder="1" applyAlignment="1">
      <alignment horizontal="left"/>
    </xf>
    <xf numFmtId="0" fontId="4" fillId="25" borderId="228" xfId="0" applyFont="1" applyFill="1" applyBorder="1">
      <alignment horizontal="center" vertical="center"/>
    </xf>
    <xf numFmtId="0" fontId="5" fillId="25" borderId="229" xfId="0" applyFont="1" applyFill="1" applyBorder="1">
      <alignment horizontal="center" vertical="center"/>
    </xf>
    <xf numFmtId="0" fontId="4" fillId="29" borderId="228" xfId="0" applyFont="1" applyFill="1" applyBorder="1" applyAlignment="1">
      <alignment horizontal="left"/>
    </xf>
    <xf numFmtId="0" fontId="4" fillId="29" borderId="229" xfId="0" applyFont="1" applyFill="1" applyBorder="1" applyAlignment="1">
      <alignment horizontal="left"/>
    </xf>
    <xf numFmtId="0" fontId="5" fillId="29" borderId="229" xfId="0" applyFont="1" applyFill="1" applyBorder="1">
      <alignment horizontal="center" vertical="center"/>
    </xf>
    <xf numFmtId="0" fontId="5" fillId="29" borderId="230" xfId="0" applyFont="1" applyFill="1" applyBorder="1">
      <alignment horizontal="center" vertical="center"/>
    </xf>
    <xf numFmtId="0" fontId="4" fillId="37" borderId="228" xfId="0" applyFont="1" applyFill="1" applyBorder="1" applyAlignment="1">
      <alignment horizontal="left"/>
    </xf>
    <xf numFmtId="0" fontId="4" fillId="37" borderId="229" xfId="0" applyFont="1" applyFill="1" applyBorder="1" applyAlignment="1">
      <alignment horizontal="left"/>
    </xf>
    <xf numFmtId="0" fontId="0" fillId="37" borderId="229" xfId="0" applyFill="1" applyBorder="1">
      <alignment horizontal="center" vertical="center"/>
    </xf>
    <xf numFmtId="0" fontId="4" fillId="45" borderId="228" xfId="0" applyFont="1" applyFill="1" applyBorder="1" applyAlignment="1">
      <alignment horizontal="left"/>
    </xf>
    <xf numFmtId="0" fontId="0" fillId="45" borderId="229" xfId="0" applyFill="1" applyBorder="1">
      <alignment horizontal="center" vertical="center"/>
    </xf>
    <xf numFmtId="0" fontId="5" fillId="45" borderId="229" xfId="0" applyFont="1" applyFill="1" applyBorder="1">
      <alignment horizontal="center" vertical="center"/>
    </xf>
    <xf numFmtId="0" fontId="5" fillId="45" borderId="230" xfId="0" applyFont="1" applyFill="1" applyBorder="1">
      <alignment horizontal="center" vertical="center"/>
    </xf>
    <xf numFmtId="0" fontId="4" fillId="24" borderId="228" xfId="0" applyFont="1" applyFill="1" applyBorder="1">
      <alignment horizontal="center" vertical="center"/>
    </xf>
    <xf numFmtId="0" fontId="0" fillId="24" borderId="229" xfId="0" applyFill="1" applyBorder="1">
      <alignment horizontal="center" vertical="center"/>
    </xf>
    <xf numFmtId="0" fontId="5" fillId="24" borderId="229" xfId="0" applyFont="1" applyFill="1" applyBorder="1">
      <alignment horizontal="center" vertical="center"/>
    </xf>
    <xf numFmtId="0" fontId="4" fillId="40" borderId="228" xfId="0" applyFont="1" applyFill="1" applyBorder="1" applyAlignment="1">
      <alignment horizontal="left"/>
    </xf>
    <xf numFmtId="0" fontId="5" fillId="40" borderId="229" xfId="0" applyFont="1" applyFill="1" applyBorder="1">
      <alignment horizontal="center" vertical="center"/>
    </xf>
    <xf numFmtId="0" fontId="0" fillId="40" borderId="230" xfId="0" applyFill="1" applyBorder="1">
      <alignment horizontal="center" vertical="center"/>
    </xf>
    <xf numFmtId="0" fontId="0" fillId="46" borderId="260" xfId="0" applyFill="1" applyBorder="1">
      <alignment horizontal="center" vertical="center"/>
    </xf>
    <xf numFmtId="0" fontId="5" fillId="46" borderId="260" xfId="0" applyFont="1" applyFill="1" applyBorder="1">
      <alignment horizontal="center" vertical="center"/>
    </xf>
    <xf numFmtId="0" fontId="5" fillId="46" borderId="261" xfId="0" applyFont="1" applyFill="1" applyBorder="1">
      <alignment horizontal="center" vertical="center"/>
    </xf>
    <xf numFmtId="0" fontId="4" fillId="0" borderId="262" xfId="0" applyFont="1" applyBorder="1" applyAlignment="1">
      <alignment horizontal="left" vertical="center"/>
    </xf>
    <xf numFmtId="0" fontId="5" fillId="0" borderId="260" xfId="0" applyFont="1" applyBorder="1">
      <alignment horizontal="center" vertical="center"/>
    </xf>
    <xf numFmtId="0" fontId="5" fillId="0" borderId="261" xfId="0" applyFont="1" applyBorder="1">
      <alignment horizontal="center" vertical="center"/>
    </xf>
    <xf numFmtId="0" fontId="4" fillId="39" borderId="250" xfId="0" applyFont="1" applyFill="1" applyBorder="1" applyAlignment="1">
      <alignment horizontal="left"/>
    </xf>
    <xf numFmtId="0" fontId="4" fillId="47" borderId="228" xfId="0" applyFont="1" applyFill="1" applyBorder="1">
      <alignment horizontal="center" vertical="center"/>
    </xf>
    <xf numFmtId="0" fontId="5" fillId="47" borderId="229" xfId="0" applyFont="1" applyFill="1" applyBorder="1">
      <alignment horizontal="center" vertical="center"/>
    </xf>
    <xf numFmtId="0" fontId="5" fillId="0" borderId="228" xfId="0" applyFont="1" applyBorder="1" applyAlignment="1">
      <alignment horizontal="left"/>
    </xf>
    <xf numFmtId="0" fontId="0" fillId="0" borderId="229" xfId="0" applyBorder="1">
      <alignment horizontal="center" vertical="center"/>
    </xf>
    <xf numFmtId="0" fontId="5" fillId="0" borderId="229" xfId="0" applyFont="1" applyBorder="1" applyAlignment="1">
      <alignment horizontal="left"/>
    </xf>
    <xf numFmtId="0" fontId="5" fillId="0" borderId="229" xfId="0" applyFont="1" applyBorder="1">
      <alignment horizontal="center" vertical="center"/>
    </xf>
    <xf numFmtId="0" fontId="5" fillId="0" borderId="230" xfId="0" applyFont="1" applyBorder="1">
      <alignment horizontal="center" vertical="center"/>
    </xf>
    <xf numFmtId="0" fontId="5" fillId="48" borderId="228" xfId="0" applyFont="1" applyFill="1" applyBorder="1" applyAlignment="1">
      <alignment horizontal="left" vertical="center"/>
    </xf>
    <xf numFmtId="0" fontId="5" fillId="48" borderId="229" xfId="0" applyFont="1" applyFill="1" applyBorder="1">
      <alignment horizontal="center" vertical="center"/>
    </xf>
    <xf numFmtId="0" fontId="5" fillId="48" borderId="230" xfId="0" applyFont="1" applyFill="1" applyBorder="1">
      <alignment horizontal="center" vertical="center"/>
    </xf>
    <xf numFmtId="0" fontId="2" fillId="0" borderId="228" xfId="0" applyFont="1" applyBorder="1" applyAlignment="1">
      <alignment horizontal="left" vertical="center"/>
    </xf>
    <xf numFmtId="0" fontId="0" fillId="0" borderId="230" xfId="0" applyBorder="1">
      <alignment horizontal="center" vertical="center"/>
    </xf>
    <xf numFmtId="0" fontId="0" fillId="0" borderId="263" xfId="0" applyBorder="1">
      <alignment horizontal="center" vertical="center"/>
    </xf>
    <xf numFmtId="0" fontId="2" fillId="0" borderId="229" xfId="0" applyFont="1" applyBorder="1" applyAlignment="1">
      <alignment horizontal="left" vertical="center"/>
    </xf>
    <xf numFmtId="0" fontId="0" fillId="0" borderId="264" xfId="0" applyBorder="1">
      <alignment horizontal="center" vertical="center"/>
    </xf>
    <xf numFmtId="0" fontId="12" fillId="0" borderId="262" xfId="0" applyFont="1" applyBorder="1">
      <alignment horizontal="center" vertical="center"/>
    </xf>
    <xf numFmtId="0" fontId="0" fillId="0" borderId="260" xfId="0" applyBorder="1">
      <alignment horizontal="center" vertical="center"/>
    </xf>
    <xf numFmtId="0" fontId="0" fillId="0" borderId="261" xfId="0" applyBorder="1">
      <alignment horizontal="center" vertical="center"/>
    </xf>
    <xf numFmtId="0" fontId="2" fillId="0" borderId="228" xfId="0" applyFont="1" applyBorder="1">
      <alignment horizontal="center" vertical="center"/>
    </xf>
    <xf numFmtId="0" fontId="0" fillId="0" borderId="251" xfId="0" applyBorder="1" applyAlignment="1" applyProtection="1">
      <alignment horizontal="center"/>
      <protection locked="0"/>
    </xf>
    <xf numFmtId="0" fontId="4" fillId="0" borderId="251" xfId="0" applyFont="1" applyBorder="1" applyAlignment="1">
      <alignment horizontal="center"/>
    </xf>
    <xf numFmtId="0" fontId="0" fillId="0" borderId="251" xfId="0" applyBorder="1">
      <alignment horizontal="center" vertical="center"/>
    </xf>
    <xf numFmtId="0" fontId="0" fillId="71" borderId="251" xfId="0" applyFill="1" applyBorder="1">
      <alignment horizontal="center" vertical="center"/>
    </xf>
    <xf numFmtId="0" fontId="0" fillId="0" borderId="265" xfId="0" applyBorder="1">
      <alignment horizontal="center" vertical="center"/>
    </xf>
    <xf numFmtId="0" fontId="2" fillId="24" borderId="250" xfId="0" applyFont="1" applyFill="1" applyBorder="1" applyAlignment="1">
      <alignment horizontal="left" vertical="center"/>
    </xf>
    <xf numFmtId="0" fontId="0" fillId="24" borderId="250" xfId="0" applyFill="1" applyBorder="1">
      <alignment horizontal="center" vertical="center"/>
    </xf>
    <xf numFmtId="0" fontId="0" fillId="24" borderId="266" xfId="0" applyFill="1" applyBorder="1">
      <alignment horizontal="center" vertical="center"/>
    </xf>
    <xf numFmtId="0" fontId="0" fillId="43" borderId="250" xfId="0" applyFill="1" applyBorder="1" applyAlignment="1" applyProtection="1">
      <alignment horizontal="center"/>
      <protection locked="0"/>
    </xf>
    <xf numFmtId="0" fontId="4" fillId="0" borderId="250" xfId="0" applyFont="1" applyBorder="1" applyAlignment="1">
      <alignment horizontal="left" vertical="center"/>
    </xf>
    <xf numFmtId="0" fontId="5" fillId="52" borderId="250" xfId="48" applyBorder="1">
      <alignment horizontal="center" vertical="center"/>
    </xf>
    <xf numFmtId="1" fontId="0" fillId="51" borderId="250" xfId="0" applyNumberFormat="1" applyFill="1" applyBorder="1">
      <alignment horizontal="center" vertical="center"/>
    </xf>
    <xf numFmtId="1" fontId="0" fillId="51" borderId="250" xfId="32" applyNumberFormat="1" applyFont="1" applyFill="1" applyBorder="1" applyAlignment="1">
      <alignment horizontal="center" vertical="center"/>
    </xf>
    <xf numFmtId="0" fontId="0" fillId="51" borderId="250" xfId="0" applyFill="1" applyBorder="1">
      <alignment horizontal="center" vertical="center"/>
    </xf>
    <xf numFmtId="0" fontId="0" fillId="51" borderId="250" xfId="43" applyFont="1" applyFill="1" applyBorder="1">
      <alignment horizontal="center" vertical="center"/>
    </xf>
    <xf numFmtId="0" fontId="0" fillId="51" borderId="250" xfId="44" applyFont="1" applyFill="1" applyBorder="1">
      <alignment horizontal="center" vertical="center"/>
    </xf>
    <xf numFmtId="0" fontId="0" fillId="51" borderId="250" xfId="46" applyFont="1" applyFill="1" applyBorder="1">
      <alignment horizontal="center" vertical="center"/>
    </xf>
    <xf numFmtId="1" fontId="0" fillId="51" borderId="266" xfId="0" applyNumberFormat="1" applyFill="1" applyBorder="1">
      <alignment horizontal="center" vertical="center"/>
    </xf>
    <xf numFmtId="0" fontId="0" fillId="0" borderId="250" xfId="0" applyBorder="1" applyAlignment="1">
      <alignment horizontal="left" vertical="center"/>
    </xf>
    <xf numFmtId="0" fontId="0" fillId="51" borderId="226" xfId="52" applyFont="1" applyFill="1" applyBorder="1">
      <alignment horizontal="center" vertical="center"/>
    </xf>
    <xf numFmtId="0" fontId="5" fillId="52" borderId="266" xfId="48" applyBorder="1">
      <alignment horizontal="center" vertical="center"/>
    </xf>
    <xf numFmtId="0" fontId="5" fillId="53" borderId="250" xfId="43" applyBorder="1">
      <alignment horizontal="center" vertical="center"/>
    </xf>
    <xf numFmtId="0" fontId="0" fillId="51" borderId="250" xfId="49" applyFont="1" applyFill="1" applyBorder="1">
      <alignment horizontal="center" vertical="center"/>
    </xf>
    <xf numFmtId="1" fontId="0" fillId="51" borderId="250" xfId="44" applyNumberFormat="1" applyFont="1" applyFill="1" applyBorder="1">
      <alignment horizontal="center" vertical="center"/>
    </xf>
    <xf numFmtId="1" fontId="0" fillId="70" borderId="250" xfId="0" applyNumberFormat="1" applyFill="1" applyBorder="1">
      <alignment horizontal="center" vertical="center"/>
    </xf>
    <xf numFmtId="1" fontId="0" fillId="70" borderId="266" xfId="0" applyNumberFormat="1" applyFill="1" applyBorder="1">
      <alignment horizontal="center" vertical="center"/>
    </xf>
    <xf numFmtId="0" fontId="2" fillId="24" borderId="251" xfId="0" applyFont="1" applyFill="1" applyBorder="1" applyAlignment="1" applyProtection="1">
      <alignment horizontal="left"/>
      <protection locked="0"/>
    </xf>
    <xf numFmtId="0" fontId="2" fillId="24" borderId="251" xfId="0" applyFont="1" applyFill="1" applyBorder="1">
      <alignment horizontal="center" vertical="center"/>
    </xf>
    <xf numFmtId="1" fontId="0" fillId="24" borderId="251" xfId="0" applyNumberFormat="1" applyFill="1" applyBorder="1">
      <alignment horizontal="center" vertical="center"/>
    </xf>
    <xf numFmtId="0" fontId="0" fillId="24" borderId="265" xfId="0" applyFill="1" applyBorder="1">
      <alignment horizontal="center" vertical="center"/>
    </xf>
    <xf numFmtId="0" fontId="5" fillId="53" borderId="226" xfId="43" applyBorder="1">
      <alignment horizontal="center" vertical="center"/>
    </xf>
    <xf numFmtId="0" fontId="0" fillId="55" borderId="226" xfId="52" applyFont="1" applyFill="1" applyBorder="1">
      <alignment horizontal="center" vertical="center"/>
    </xf>
    <xf numFmtId="49" fontId="0" fillId="51" borderId="226" xfId="0" applyNumberFormat="1" applyFill="1" applyBorder="1">
      <alignment horizontal="center" vertical="center"/>
    </xf>
    <xf numFmtId="0" fontId="0" fillId="43" borderId="226" xfId="0" applyFill="1" applyBorder="1" applyAlignment="1" applyProtection="1">
      <alignment horizontal="center"/>
      <protection locked="0"/>
    </xf>
    <xf numFmtId="0" fontId="0" fillId="0" borderId="226" xfId="52" applyFont="1" applyBorder="1" applyAlignment="1">
      <alignment vertical="center"/>
    </xf>
    <xf numFmtId="0" fontId="0" fillId="51" borderId="226" xfId="44" applyFont="1" applyFill="1" applyBorder="1">
      <alignment horizontal="center" vertical="center"/>
    </xf>
    <xf numFmtId="0" fontId="0" fillId="51" borderId="226" xfId="0" applyFill="1" applyBorder="1">
      <alignment horizontal="center" vertical="center"/>
    </xf>
    <xf numFmtId="0" fontId="0" fillId="0" borderId="226" xfId="0" applyBorder="1" applyAlignment="1">
      <alignment horizontal="left" vertical="center"/>
    </xf>
    <xf numFmtId="0" fontId="0" fillId="70" borderId="226" xfId="52" applyFont="1" applyFill="1" applyBorder="1">
      <alignment horizontal="center" vertical="center"/>
    </xf>
    <xf numFmtId="0" fontId="0" fillId="70" borderId="226" xfId="0" applyFill="1" applyBorder="1">
      <alignment horizontal="center" vertical="center"/>
    </xf>
    <xf numFmtId="0" fontId="0" fillId="51" borderId="226" xfId="48" applyFont="1" applyFill="1" applyBorder="1">
      <alignment horizontal="center" vertical="center"/>
    </xf>
    <xf numFmtId="0" fontId="0" fillId="51" borderId="267" xfId="0" applyFill="1" applyBorder="1">
      <alignment horizontal="center" vertical="center"/>
    </xf>
    <xf numFmtId="0" fontId="5" fillId="0" borderId="226" xfId="0" applyFont="1" applyBorder="1" applyAlignment="1">
      <alignment horizontal="left" vertical="center"/>
    </xf>
    <xf numFmtId="0" fontId="0" fillId="51" borderId="226" xfId="43" applyFont="1" applyFill="1" applyBorder="1">
      <alignment horizontal="center" vertical="center"/>
    </xf>
    <xf numFmtId="0" fontId="0" fillId="51" borderId="226" xfId="46" applyFont="1" applyFill="1" applyBorder="1">
      <alignment horizontal="center" vertical="center"/>
    </xf>
    <xf numFmtId="0" fontId="0" fillId="51" borderId="250" xfId="51" applyFont="1" applyFill="1" applyBorder="1">
      <alignment horizontal="center" vertical="center"/>
    </xf>
    <xf numFmtId="0" fontId="0" fillId="51" borderId="226" xfId="47" applyFont="1" applyFill="1" applyBorder="1">
      <alignment horizontal="center" vertical="center"/>
    </xf>
    <xf numFmtId="0" fontId="0" fillId="51" borderId="226" xfId="54" applyFont="1" applyFill="1" applyBorder="1" applyAlignment="1">
      <alignment horizontal="center" vertical="center"/>
    </xf>
    <xf numFmtId="49" fontId="0" fillId="51" borderId="226" xfId="54" applyNumberFormat="1" applyFont="1" applyFill="1" applyBorder="1" applyAlignment="1">
      <alignment horizontal="center" vertical="center"/>
    </xf>
    <xf numFmtId="0" fontId="0" fillId="51" borderId="268" xfId="0" applyFill="1" applyBorder="1">
      <alignment horizontal="center" vertical="center"/>
    </xf>
    <xf numFmtId="0" fontId="2" fillId="0" borderId="269" xfId="0" applyFont="1" applyBorder="1" applyAlignment="1">
      <alignment horizontal="left" vertical="center"/>
    </xf>
    <xf numFmtId="0" fontId="2" fillId="0" borderId="228" xfId="0" applyFont="1" applyBorder="1" applyAlignment="1">
      <alignment vertical="center"/>
    </xf>
    <xf numFmtId="0" fontId="12" fillId="0" borderId="229" xfId="0" applyFont="1" applyBorder="1">
      <alignment horizontal="center" vertical="center"/>
    </xf>
    <xf numFmtId="0" fontId="2" fillId="0" borderId="262" xfId="0" applyFont="1" applyBorder="1" applyAlignment="1">
      <alignment horizontal="left" vertical="center"/>
    </xf>
    <xf numFmtId="0" fontId="12" fillId="0" borderId="260" xfId="0" applyFont="1" applyBorder="1">
      <alignment horizontal="center" vertical="center"/>
    </xf>
    <xf numFmtId="0" fontId="2" fillId="0" borderId="260" xfId="0" applyFont="1" applyBorder="1">
      <alignment horizontal="center" vertical="center"/>
    </xf>
    <xf numFmtId="0" fontId="2" fillId="0" borderId="244" xfId="0" applyFont="1" applyBorder="1" applyAlignment="1">
      <alignment horizontal="left" vertical="center"/>
    </xf>
    <xf numFmtId="0" fontId="0" fillId="0" borderId="228" xfId="0" applyBorder="1" applyAlignment="1">
      <alignment vertical="center"/>
    </xf>
    <xf numFmtId="0" fontId="0" fillId="0" borderId="229" xfId="0" applyBorder="1" applyAlignment="1">
      <alignment horizontal="left" vertical="center"/>
    </xf>
    <xf numFmtId="0" fontId="0" fillId="0" borderId="270" xfId="0" applyBorder="1">
      <alignment horizontal="center" vertical="center"/>
    </xf>
    <xf numFmtId="0" fontId="2" fillId="0" borderId="245" xfId="0" applyFont="1" applyBorder="1" applyAlignment="1">
      <alignment horizontal="left" vertical="center"/>
    </xf>
    <xf numFmtId="0" fontId="0" fillId="0" borderId="246" xfId="0" applyBorder="1">
      <alignment horizontal="center" vertical="center"/>
    </xf>
    <xf numFmtId="0" fontId="0" fillId="0" borderId="241" xfId="0" applyBorder="1" applyAlignment="1">
      <alignment vertical="center"/>
    </xf>
    <xf numFmtId="0" fontId="0" fillId="0" borderId="271" xfId="0" applyBorder="1">
      <alignment horizontal="center" vertical="center"/>
    </xf>
    <xf numFmtId="0" fontId="2" fillId="0" borderId="241" xfId="0" applyFont="1" applyBorder="1">
      <alignment horizontal="center" vertical="center"/>
    </xf>
    <xf numFmtId="0" fontId="0" fillId="0" borderId="246" xfId="0" applyBorder="1" applyAlignment="1">
      <alignment horizontal="left" vertical="center"/>
    </xf>
    <xf numFmtId="0" fontId="12" fillId="0" borderId="246" xfId="0" applyFont="1" applyBorder="1">
      <alignment horizontal="center" vertical="center"/>
    </xf>
    <xf numFmtId="0" fontId="2" fillId="0" borderId="246" xfId="0" applyFont="1" applyBorder="1" applyAlignment="1">
      <alignment horizontal="left" vertical="center"/>
    </xf>
    <xf numFmtId="0" fontId="0" fillId="0" borderId="272" xfId="0" applyBorder="1">
      <alignment horizontal="center" vertical="center"/>
    </xf>
    <xf numFmtId="0" fontId="0" fillId="0" borderId="243" xfId="0" applyBorder="1" applyAlignment="1" applyProtection="1">
      <alignment horizontal="center"/>
      <protection locked="0"/>
    </xf>
    <xf numFmtId="0" fontId="4" fillId="0" borderId="243" xfId="0" applyFont="1" applyBorder="1" applyAlignment="1">
      <alignment horizontal="center"/>
    </xf>
    <xf numFmtId="0" fontId="0" fillId="43" borderId="273" xfId="0" applyFill="1" applyBorder="1" applyAlignment="1" applyProtection="1">
      <alignment horizontal="center"/>
      <protection locked="0"/>
    </xf>
    <xf numFmtId="0" fontId="0" fillId="0" borderId="226" xfId="0" applyBorder="1" applyAlignment="1">
      <alignment vertical="center"/>
    </xf>
    <xf numFmtId="0" fontId="0" fillId="51" borderId="266" xfId="0" applyFill="1" applyBorder="1">
      <alignment horizontal="center" vertical="center"/>
    </xf>
    <xf numFmtId="0" fontId="0" fillId="43" borderId="255" xfId="0" applyFill="1" applyBorder="1" applyAlignment="1" applyProtection="1">
      <alignment horizontal="center"/>
      <protection locked="0"/>
    </xf>
    <xf numFmtId="0" fontId="0" fillId="0" borderId="251" xfId="0" applyBorder="1" applyAlignment="1">
      <alignment horizontal="left" vertical="center"/>
    </xf>
    <xf numFmtId="0" fontId="5" fillId="52" borderId="251" xfId="48" applyBorder="1">
      <alignment horizontal="center" vertical="center"/>
    </xf>
    <xf numFmtId="49" fontId="0" fillId="51" borderId="251" xfId="0" applyNumberFormat="1" applyFill="1" applyBorder="1">
      <alignment horizontal="center" vertical="center"/>
    </xf>
    <xf numFmtId="0" fontId="0" fillId="51" borderId="251" xfId="0" applyFill="1" applyBorder="1">
      <alignment horizontal="center" vertical="center"/>
    </xf>
    <xf numFmtId="0" fontId="0" fillId="51" borderId="251" xfId="43" applyFont="1" applyFill="1" applyBorder="1">
      <alignment horizontal="center" vertical="center"/>
    </xf>
    <xf numFmtId="0" fontId="0" fillId="51" borderId="251" xfId="44" applyFont="1" applyFill="1" applyBorder="1">
      <alignment horizontal="center" vertical="center"/>
    </xf>
    <xf numFmtId="49" fontId="0" fillId="51" borderId="265" xfId="0" applyNumberFormat="1" applyFill="1" applyBorder="1">
      <alignment horizontal="center" vertical="center"/>
    </xf>
    <xf numFmtId="49" fontId="0" fillId="51" borderId="250" xfId="0" applyNumberFormat="1" applyFill="1" applyBorder="1">
      <alignment horizontal="center" vertical="center"/>
    </xf>
    <xf numFmtId="0" fontId="0" fillId="51" borderId="250" xfId="45" applyFont="1" applyFill="1" applyBorder="1">
      <alignment horizontal="center" vertical="center"/>
    </xf>
    <xf numFmtId="49" fontId="0" fillId="55" borderId="250" xfId="0" applyNumberFormat="1" applyFill="1" applyBorder="1">
      <alignment horizontal="center" vertical="center"/>
    </xf>
    <xf numFmtId="49" fontId="0" fillId="51" borderId="266" xfId="0" applyNumberFormat="1" applyFill="1" applyBorder="1">
      <alignment horizontal="center" vertical="center"/>
    </xf>
    <xf numFmtId="0" fontId="0" fillId="0" borderId="251" xfId="0" applyBorder="1" applyAlignment="1">
      <alignment vertical="center"/>
    </xf>
    <xf numFmtId="0" fontId="0" fillId="51" borderId="265" xfId="0" applyFill="1" applyBorder="1">
      <alignment horizontal="center" vertical="center"/>
    </xf>
    <xf numFmtId="49" fontId="0" fillId="70" borderId="251" xfId="0" applyNumberFormat="1" applyFill="1" applyBorder="1">
      <alignment horizontal="center" vertical="center"/>
    </xf>
    <xf numFmtId="0" fontId="5" fillId="70" borderId="251" xfId="44" applyBorder="1">
      <alignment horizontal="center" vertical="center"/>
    </xf>
    <xf numFmtId="49" fontId="0" fillId="53" borderId="251" xfId="0" applyNumberFormat="1" applyFill="1" applyBorder="1">
      <alignment horizontal="center" vertical="center"/>
    </xf>
    <xf numFmtId="49" fontId="0" fillId="53" borderId="265" xfId="0" applyNumberFormat="1" applyFill="1" applyBorder="1">
      <alignment horizontal="center" vertical="center"/>
    </xf>
    <xf numFmtId="0" fontId="5" fillId="0" borderId="250" xfId="52" applyBorder="1">
      <alignment horizontal="center" vertical="center"/>
    </xf>
    <xf numFmtId="0" fontId="0" fillId="51" borderId="265" xfId="44" applyFont="1" applyFill="1" applyBorder="1">
      <alignment horizontal="center" vertical="center"/>
    </xf>
    <xf numFmtId="0" fontId="2" fillId="0" borderId="250" xfId="0" applyFont="1" applyBorder="1" applyAlignment="1">
      <alignment horizontal="center"/>
    </xf>
    <xf numFmtId="0" fontId="0" fillId="0" borderId="250" xfId="0" applyBorder="1">
      <alignment horizontal="center" vertical="center"/>
    </xf>
    <xf numFmtId="0" fontId="5" fillId="0" borderId="250" xfId="0" applyFont="1" applyBorder="1">
      <alignment horizontal="center" vertical="center"/>
    </xf>
    <xf numFmtId="0" fontId="0" fillId="0" borderId="243" xfId="0" applyBorder="1">
      <alignment horizontal="center" vertical="center"/>
    </xf>
    <xf numFmtId="0" fontId="2" fillId="0" borderId="243" xfId="0" applyFont="1" applyBorder="1" applyAlignment="1">
      <alignment horizontal="center"/>
    </xf>
    <xf numFmtId="0" fontId="4" fillId="0" borderId="250" xfId="0" applyFont="1" applyBorder="1" applyAlignment="1">
      <alignment horizontal="left"/>
    </xf>
    <xf numFmtId="0" fontId="5" fillId="0" borderId="228" xfId="0" applyFont="1" applyBorder="1">
      <alignment horizontal="center" vertical="center"/>
    </xf>
    <xf numFmtId="0" fontId="0" fillId="0" borderId="250" xfId="0" applyBorder="1" applyAlignment="1">
      <alignment horizontal="center"/>
    </xf>
    <xf numFmtId="0" fontId="0" fillId="43" borderId="228" xfId="0" applyFill="1" applyBorder="1" applyAlignment="1" applyProtection="1">
      <alignment horizontal="center"/>
      <protection locked="0"/>
    </xf>
    <xf numFmtId="0" fontId="0" fillId="0" borderId="228" xfId="0" applyBorder="1" applyAlignment="1">
      <alignment horizontal="left"/>
    </xf>
    <xf numFmtId="0" fontId="0" fillId="0" borderId="229" xfId="0" applyBorder="1" applyAlignment="1">
      <alignment horizontal="left"/>
    </xf>
    <xf numFmtId="0" fontId="0" fillId="0" borderId="262" xfId="0" applyBorder="1" applyAlignment="1">
      <alignment horizontal="left"/>
    </xf>
    <xf numFmtId="0" fontId="0" fillId="0" borderId="260" xfId="0" applyBorder="1" applyAlignment="1">
      <alignment horizontal="left"/>
    </xf>
    <xf numFmtId="0" fontId="5" fillId="0" borderId="261" xfId="0" applyFont="1" applyBorder="1" applyAlignment="1">
      <alignment horizontal="left"/>
    </xf>
    <xf numFmtId="0" fontId="5" fillId="0" borderId="260" xfId="0" applyFont="1" applyBorder="1" applyAlignment="1">
      <alignment horizontal="left"/>
    </xf>
    <xf numFmtId="0" fontId="5" fillId="0" borderId="230" xfId="0" applyFont="1" applyBorder="1" applyAlignment="1">
      <alignment horizontal="left"/>
    </xf>
    <xf numFmtId="0" fontId="4" fillId="0" borderId="228" xfId="0" applyFont="1" applyBorder="1" applyAlignment="1">
      <alignment horizontal="left"/>
    </xf>
    <xf numFmtId="0" fontId="5" fillId="0" borderId="253" xfId="0" applyFont="1" applyBorder="1" applyAlignment="1">
      <alignment horizontal="left"/>
    </xf>
    <xf numFmtId="0" fontId="20" fillId="0" borderId="250" xfId="0" applyFont="1" applyBorder="1" applyAlignment="1" applyProtection="1">
      <alignment horizontal="center"/>
      <protection locked="0"/>
    </xf>
    <xf numFmtId="0" fontId="0" fillId="0" borderId="250" xfId="0" applyBorder="1" applyAlignment="1">
      <alignment horizontal="left"/>
    </xf>
    <xf numFmtId="0" fontId="5" fillId="0" borderId="250" xfId="0" applyFont="1" applyBorder="1" applyAlignment="1">
      <alignment horizontal="left"/>
    </xf>
    <xf numFmtId="0" fontId="2" fillId="0" borderId="251" xfId="0" applyFont="1" applyBorder="1" applyAlignment="1" applyProtection="1">
      <alignment horizontal="center"/>
      <protection locked="0"/>
    </xf>
    <xf numFmtId="0" fontId="0" fillId="51" borderId="226" xfId="0" applyFill="1" applyBorder="1" applyAlignment="1" applyProtection="1">
      <alignment horizontal="left" vertical="center"/>
      <protection locked="0"/>
    </xf>
    <xf numFmtId="0" fontId="0" fillId="55" borderId="226" xfId="0" applyFill="1" applyBorder="1">
      <alignment horizontal="center" vertical="center"/>
    </xf>
    <xf numFmtId="0" fontId="0" fillId="51" borderId="226" xfId="20" applyNumberFormat="1" applyFont="1" applyFill="1" applyBorder="1" applyAlignment="1">
      <alignment horizontal="center" vertical="center"/>
    </xf>
    <xf numFmtId="0" fontId="5" fillId="52" borderId="226" xfId="48" applyBorder="1">
      <alignment horizontal="center" vertical="center"/>
    </xf>
    <xf numFmtId="0" fontId="5" fillId="52" borderId="267" xfId="48" applyBorder="1">
      <alignment horizontal="center" vertical="center"/>
    </xf>
    <xf numFmtId="0" fontId="5" fillId="55" borderId="226" xfId="45" applyBorder="1">
      <alignment horizontal="center" vertical="center"/>
    </xf>
    <xf numFmtId="0" fontId="0" fillId="51" borderId="226" xfId="0" applyFill="1" applyBorder="1" applyAlignment="1">
      <alignment horizontal="left" vertical="center"/>
    </xf>
    <xf numFmtId="0" fontId="0" fillId="51" borderId="226" xfId="45" applyFont="1" applyFill="1" applyBorder="1">
      <alignment horizontal="center" vertical="center"/>
    </xf>
    <xf numFmtId="0" fontId="0" fillId="53" borderId="267" xfId="0" applyFill="1" applyBorder="1">
      <alignment horizontal="center" vertical="center"/>
    </xf>
    <xf numFmtId="0" fontId="0" fillId="70" borderId="267" xfId="0" applyFill="1" applyBorder="1">
      <alignment horizontal="center" vertical="center"/>
    </xf>
    <xf numFmtId="0" fontId="0" fillId="51" borderId="226" xfId="32" applyFont="1" applyFill="1" applyBorder="1" applyAlignment="1">
      <alignment horizontal="center" vertical="center"/>
    </xf>
    <xf numFmtId="0" fontId="0" fillId="53" borderId="226" xfId="52" applyFont="1" applyFill="1" applyBorder="1">
      <alignment horizontal="center" vertical="center"/>
    </xf>
    <xf numFmtId="0" fontId="0" fillId="53" borderId="226" xfId="47" applyFont="1" applyFill="1" applyBorder="1">
      <alignment horizontal="center" vertical="center"/>
    </xf>
    <xf numFmtId="0" fontId="0" fillId="51" borderId="226" xfId="0" applyFill="1" applyBorder="1" applyAlignment="1">
      <alignment vertical="center"/>
    </xf>
    <xf numFmtId="0" fontId="0" fillId="51" borderId="226" xfId="51" applyFont="1" applyFill="1" applyBorder="1">
      <alignment horizontal="center" vertical="center"/>
    </xf>
    <xf numFmtId="0" fontId="5" fillId="54" borderId="267" xfId="50" applyBorder="1">
      <alignment horizontal="center" vertical="center"/>
    </xf>
    <xf numFmtId="0" fontId="5" fillId="0" borderId="226" xfId="52" applyBorder="1">
      <alignment horizontal="center" vertical="center"/>
    </xf>
    <xf numFmtId="0" fontId="0" fillId="55" borderId="267" xfId="52" applyFont="1" applyFill="1" applyBorder="1">
      <alignment horizontal="center" vertical="center"/>
    </xf>
    <xf numFmtId="0" fontId="0" fillId="57" borderId="226" xfId="48" applyFont="1" applyFill="1" applyBorder="1">
      <alignment horizontal="center" vertical="center"/>
    </xf>
    <xf numFmtId="0" fontId="0" fillId="51" borderId="267" xfId="52" applyFont="1" applyFill="1" applyBorder="1">
      <alignment horizontal="center" vertical="center"/>
    </xf>
    <xf numFmtId="0" fontId="0" fillId="0" borderId="226" xfId="52" applyFont="1" applyBorder="1" applyAlignment="1">
      <alignment horizontal="left" vertical="center"/>
    </xf>
    <xf numFmtId="0" fontId="5" fillId="0" borderId="268" xfId="52" applyBorder="1">
      <alignment horizontal="center" vertical="center"/>
    </xf>
    <xf numFmtId="0" fontId="0" fillId="71" borderId="243" xfId="0" applyFill="1" applyBorder="1">
      <alignment horizontal="center" vertical="center"/>
    </xf>
    <xf numFmtId="0" fontId="0" fillId="0" borderId="225" xfId="0" applyBorder="1">
      <alignment horizontal="center" vertical="center"/>
    </xf>
    <xf numFmtId="0" fontId="17" fillId="0" borderId="226" xfId="0" applyFont="1" applyBorder="1" applyAlignment="1" applyProtection="1">
      <alignment horizontal="center"/>
      <protection locked="0"/>
    </xf>
    <xf numFmtId="0" fontId="0" fillId="0" borderId="226" xfId="0" applyBorder="1">
      <alignment horizontal="center" vertical="center"/>
    </xf>
    <xf numFmtId="0" fontId="0" fillId="53" borderId="226" xfId="0" applyFill="1" applyBorder="1">
      <alignment horizontal="center" vertical="center"/>
    </xf>
    <xf numFmtId="0" fontId="5" fillId="58" borderId="226" xfId="33" applyBorder="1">
      <alignment horizontal="center" vertical="center"/>
    </xf>
    <xf numFmtId="0" fontId="0" fillId="53" borderId="226" xfId="48" applyFont="1" applyFill="1" applyBorder="1">
      <alignment horizontal="center" vertical="center"/>
    </xf>
    <xf numFmtId="0" fontId="5" fillId="53" borderId="267" xfId="43" applyBorder="1">
      <alignment horizontal="center" vertical="center"/>
    </xf>
    <xf numFmtId="0" fontId="0" fillId="52" borderId="226" xfId="0" applyFill="1" applyBorder="1">
      <alignment horizontal="center" vertical="center"/>
    </xf>
    <xf numFmtId="0" fontId="0" fillId="52" borderId="226" xfId="44" applyFont="1" applyFill="1" applyBorder="1">
      <alignment horizontal="center" vertical="center"/>
    </xf>
    <xf numFmtId="0" fontId="0" fillId="52" borderId="226" xfId="47" applyFont="1" applyFill="1" applyBorder="1">
      <alignment horizontal="center" vertical="center"/>
    </xf>
    <xf numFmtId="0" fontId="2" fillId="0" borderId="226" xfId="0" applyFont="1" applyBorder="1" applyAlignment="1">
      <alignment horizontal="left"/>
    </xf>
    <xf numFmtId="1" fontId="0" fillId="51" borderId="267" xfId="32" applyNumberFormat="1" applyFont="1" applyFill="1" applyBorder="1" applyAlignment="1">
      <alignment horizontal="center" vertical="center"/>
    </xf>
    <xf numFmtId="49" fontId="0" fillId="57" borderId="226" xfId="0" applyNumberFormat="1" applyFill="1" applyBorder="1">
      <alignment horizontal="center" vertical="center"/>
    </xf>
    <xf numFmtId="0" fontId="0" fillId="52" borderId="267" xfId="47" applyFont="1" applyFill="1" applyBorder="1">
      <alignment horizontal="center" vertical="center"/>
    </xf>
    <xf numFmtId="0" fontId="2" fillId="0" borderId="250" xfId="0" applyFont="1" applyBorder="1" applyAlignment="1" applyProtection="1">
      <alignment horizontal="center"/>
      <protection locked="0"/>
    </xf>
    <xf numFmtId="0" fontId="0" fillId="51" borderId="250" xfId="0" applyFill="1" applyBorder="1" applyAlignment="1">
      <alignment horizontal="left" vertical="center"/>
    </xf>
    <xf numFmtId="0" fontId="0" fillId="51" borderId="243" xfId="0" applyFill="1" applyBorder="1">
      <alignment horizontal="center" vertical="center"/>
    </xf>
    <xf numFmtId="0" fontId="0" fillId="51" borderId="243" xfId="43" applyFont="1" applyFill="1" applyBorder="1">
      <alignment horizontal="center" vertical="center"/>
    </xf>
    <xf numFmtId="0" fontId="0" fillId="51" borderId="243" xfId="47" applyFont="1" applyFill="1" applyBorder="1">
      <alignment horizontal="center" vertical="center"/>
    </xf>
    <xf numFmtId="0" fontId="0" fillId="51" borderId="250" xfId="47" applyFont="1" applyFill="1" applyBorder="1">
      <alignment horizontal="center" vertical="center"/>
    </xf>
    <xf numFmtId="0" fontId="0" fillId="51" borderId="266" xfId="47" applyFont="1" applyFill="1" applyBorder="1">
      <alignment horizontal="center" vertical="center"/>
    </xf>
    <xf numFmtId="0" fontId="0" fillId="51" borderId="228" xfId="0" applyFill="1" applyBorder="1" applyAlignment="1">
      <alignment horizontal="left" vertical="center"/>
    </xf>
    <xf numFmtId="0" fontId="0" fillId="51" borderId="226" xfId="53" applyFont="1" applyFill="1" applyBorder="1" applyAlignment="1">
      <alignment horizontal="center" vertical="center"/>
    </xf>
    <xf numFmtId="0" fontId="0" fillId="51" borderId="230" xfId="0" applyFill="1" applyBorder="1">
      <alignment horizontal="center" vertical="center"/>
    </xf>
    <xf numFmtId="0" fontId="0" fillId="51" borderId="274" xfId="0" applyFill="1" applyBorder="1">
      <alignment horizontal="center" vertical="center"/>
    </xf>
    <xf numFmtId="0" fontId="0" fillId="51" borderId="275" xfId="52" applyFont="1" applyFill="1" applyBorder="1">
      <alignment horizontal="center" vertical="center"/>
    </xf>
    <xf numFmtId="0" fontId="5" fillId="0" borderId="244" xfId="52" applyBorder="1" applyAlignment="1">
      <alignment horizontal="center"/>
    </xf>
    <xf numFmtId="0" fontId="2" fillId="0" borderId="228" xfId="52" applyFont="1" applyBorder="1" applyAlignment="1">
      <alignment horizontal="left"/>
    </xf>
    <xf numFmtId="0" fontId="5" fillId="0" borderId="229" xfId="52" applyBorder="1">
      <alignment horizontal="center" vertical="center"/>
    </xf>
    <xf numFmtId="0" fontId="5" fillId="0" borderId="230" xfId="52" applyBorder="1" applyAlignment="1">
      <alignment horizontal="left"/>
    </xf>
    <xf numFmtId="0" fontId="5" fillId="0" borderId="229" xfId="52" applyBorder="1" applyAlignment="1">
      <alignment horizontal="left"/>
    </xf>
    <xf numFmtId="0" fontId="5" fillId="0" borderId="228" xfId="52" applyBorder="1">
      <alignment horizontal="center" vertical="center"/>
    </xf>
    <xf numFmtId="0" fontId="5" fillId="0" borderId="229" xfId="52" applyBorder="1" applyAlignment="1">
      <alignment vertical="center"/>
    </xf>
    <xf numFmtId="0" fontId="5" fillId="0" borderId="229" xfId="52" applyBorder="1" applyAlignment="1">
      <alignment horizontal="left" vertical="center"/>
    </xf>
    <xf numFmtId="0" fontId="5" fillId="0" borderId="263" xfId="52" applyBorder="1" applyAlignment="1">
      <alignment vertical="center"/>
    </xf>
    <xf numFmtId="0" fontId="5" fillId="0" borderId="276" xfId="52" applyBorder="1">
      <alignment horizontal="center" vertical="center"/>
    </xf>
    <xf numFmtId="0" fontId="5" fillId="0" borderId="263" xfId="52" applyBorder="1">
      <alignment horizontal="center" vertical="center"/>
    </xf>
    <xf numFmtId="0" fontId="5" fillId="0" borderId="245" xfId="52" applyBorder="1" applyAlignment="1">
      <alignment horizontal="center"/>
    </xf>
    <xf numFmtId="0" fontId="2" fillId="0" borderId="241" xfId="52" applyFont="1" applyBorder="1" applyAlignment="1">
      <alignment horizontal="left"/>
    </xf>
    <xf numFmtId="0" fontId="5" fillId="0" borderId="246" xfId="52" applyBorder="1">
      <alignment horizontal="center" vertical="center"/>
    </xf>
    <xf numFmtId="0" fontId="5" fillId="0" borderId="271" xfId="52" applyBorder="1" applyAlignment="1">
      <alignment horizontal="left"/>
    </xf>
    <xf numFmtId="0" fontId="5" fillId="0" borderId="246" xfId="52" applyBorder="1" applyAlignment="1">
      <alignment horizontal="left"/>
    </xf>
    <xf numFmtId="0" fontId="5" fillId="0" borderId="240" xfId="52" applyBorder="1" applyAlignment="1">
      <alignment horizontal="left"/>
    </xf>
    <xf numFmtId="0" fontId="2" fillId="0" borderId="277" xfId="52" applyFont="1" applyBorder="1" applyAlignment="1">
      <alignment horizontal="left"/>
    </xf>
    <xf numFmtId="0" fontId="5" fillId="0" borderId="241" xfId="52" applyBorder="1">
      <alignment horizontal="center" vertical="center"/>
    </xf>
    <xf numFmtId="0" fontId="5" fillId="0" borderId="272" xfId="52" applyBorder="1">
      <alignment horizontal="center" vertical="center"/>
    </xf>
    <xf numFmtId="0" fontId="2" fillId="0" borderId="243" xfId="52" applyFont="1" applyBorder="1" applyAlignment="1" applyProtection="1">
      <alignment horizontal="center"/>
      <protection locked="0"/>
    </xf>
    <xf numFmtId="0" fontId="4" fillId="0" borderId="243" xfId="52" applyFont="1" applyBorder="1" applyAlignment="1">
      <alignment horizontal="center"/>
    </xf>
    <xf numFmtId="0" fontId="2" fillId="43" borderId="250" xfId="52" applyFont="1" applyFill="1" applyBorder="1" applyAlignment="1">
      <alignment horizontal="center"/>
    </xf>
    <xf numFmtId="0" fontId="5" fillId="51" borderId="250" xfId="48" applyFill="1" applyBorder="1">
      <alignment horizontal="center" vertical="center"/>
    </xf>
    <xf numFmtId="49" fontId="0" fillId="51" borderId="250" xfId="20" applyNumberFormat="1" applyFont="1" applyFill="1" applyBorder="1" applyAlignment="1">
      <alignment horizontal="center" vertical="center"/>
    </xf>
    <xf numFmtId="49" fontId="0" fillId="51" borderId="250" xfId="52" applyNumberFormat="1" applyFont="1" applyFill="1" applyBorder="1">
      <alignment horizontal="center" vertical="center"/>
    </xf>
    <xf numFmtId="0" fontId="0" fillId="51" borderId="250" xfId="52" applyFont="1" applyFill="1" applyBorder="1">
      <alignment horizontal="center" vertical="center"/>
    </xf>
    <xf numFmtId="49" fontId="0" fillId="51" borderId="266" xfId="20" applyNumberFormat="1" applyFont="1" applyFill="1" applyBorder="1" applyAlignment="1">
      <alignment horizontal="center" vertical="center"/>
    </xf>
    <xf numFmtId="0" fontId="5" fillId="0" borderId="250" xfId="52" applyBorder="1" applyAlignment="1">
      <alignment vertical="center"/>
    </xf>
    <xf numFmtId="0" fontId="5" fillId="58" borderId="250" xfId="33" applyBorder="1">
      <alignment horizontal="center" vertical="center"/>
    </xf>
    <xf numFmtId="0" fontId="0" fillId="51" borderId="250" xfId="48" applyFont="1" applyFill="1" applyBorder="1">
      <alignment horizontal="center" vertical="center"/>
    </xf>
    <xf numFmtId="0" fontId="2" fillId="43" borderId="251" xfId="52" applyFont="1" applyFill="1" applyBorder="1" applyAlignment="1">
      <alignment horizontal="center"/>
    </xf>
    <xf numFmtId="0" fontId="5" fillId="0" borderId="251" xfId="52" applyBorder="1" applyAlignment="1">
      <alignment vertical="center"/>
    </xf>
    <xf numFmtId="0" fontId="0" fillId="51" borderId="251" xfId="51" applyFont="1" applyFill="1" applyBorder="1">
      <alignment horizontal="center" vertical="center"/>
    </xf>
    <xf numFmtId="49" fontId="0" fillId="51" borderId="251" xfId="52" applyNumberFormat="1" applyFont="1" applyFill="1" applyBorder="1">
      <alignment horizontal="center" vertical="center"/>
    </xf>
    <xf numFmtId="49" fontId="0" fillId="51" borderId="265" xfId="52" applyNumberFormat="1" applyFont="1" applyFill="1" applyBorder="1">
      <alignment horizontal="center" vertical="center"/>
    </xf>
    <xf numFmtId="0" fontId="2" fillId="0" borderId="273" xfId="0" applyFont="1" applyBorder="1" applyAlignment="1">
      <alignment horizontal="center"/>
    </xf>
    <xf numFmtId="0" fontId="5" fillId="0" borderId="228" xfId="0" applyFont="1" applyBorder="1" applyAlignment="1">
      <alignment horizontal="left" vertical="center"/>
    </xf>
    <xf numFmtId="0" fontId="5" fillId="0" borderId="229" xfId="0" applyFont="1" applyBorder="1" applyAlignment="1">
      <alignment horizontal="left" vertical="center"/>
    </xf>
    <xf numFmtId="0" fontId="5" fillId="0" borderId="263" xfId="0" applyFont="1" applyBorder="1" applyAlignment="1">
      <alignment horizontal="left" vertical="center"/>
    </xf>
    <xf numFmtId="0" fontId="2" fillId="0" borderId="243" xfId="0" applyFont="1" applyBorder="1" applyAlignment="1" applyProtection="1">
      <alignment horizontal="center"/>
      <protection locked="0"/>
    </xf>
    <xf numFmtId="0" fontId="0" fillId="0" borderId="244" xfId="0" applyBorder="1" applyAlignment="1">
      <alignment horizontal="center"/>
    </xf>
    <xf numFmtId="0" fontId="2" fillId="0" borderId="228" xfId="0" applyFont="1" applyBorder="1" applyAlignment="1">
      <alignment horizontal="left"/>
    </xf>
    <xf numFmtId="0" fontId="0" fillId="0" borderId="229" xfId="0" applyBorder="1" applyAlignment="1"/>
    <xf numFmtId="0" fontId="0" fillId="0" borderId="230" xfId="0" applyBorder="1" applyAlignment="1">
      <alignment horizontal="left"/>
    </xf>
    <xf numFmtId="0" fontId="2" fillId="0" borderId="229" xfId="0" applyFont="1" applyBorder="1" applyAlignment="1"/>
    <xf numFmtId="0" fontId="2" fillId="0" borderId="230" xfId="0" applyFont="1" applyBorder="1" applyAlignment="1">
      <alignment horizontal="left"/>
    </xf>
    <xf numFmtId="0" fontId="0" fillId="0" borderId="228" xfId="0" applyBorder="1" applyAlignment="1">
      <alignment horizontal="center"/>
    </xf>
    <xf numFmtId="0" fontId="0" fillId="0" borderId="263" xfId="0" applyBorder="1" applyAlignment="1"/>
    <xf numFmtId="0" fontId="2" fillId="0" borderId="262" xfId="0" applyFont="1" applyBorder="1" applyAlignment="1">
      <alignment horizontal="left"/>
    </xf>
    <xf numFmtId="0" fontId="0" fillId="0" borderId="260" xfId="0" applyBorder="1" applyAlignment="1"/>
    <xf numFmtId="0" fontId="0" fillId="0" borderId="261" xfId="0" applyBorder="1" applyAlignment="1">
      <alignment horizontal="left"/>
    </xf>
    <xf numFmtId="0" fontId="7" fillId="0" borderId="262" xfId="0" applyFont="1" applyBorder="1" applyAlignment="1">
      <alignment horizontal="center"/>
    </xf>
    <xf numFmtId="0" fontId="0" fillId="0" borderId="270" xfId="0" applyBorder="1" applyAlignment="1"/>
    <xf numFmtId="0" fontId="0" fillId="0" borderId="245" xfId="0" applyBorder="1" applyAlignment="1">
      <alignment horizontal="center"/>
    </xf>
    <xf numFmtId="0" fontId="2" fillId="0" borderId="241" xfId="0" applyFont="1" applyBorder="1" applyAlignment="1">
      <alignment horizontal="left"/>
    </xf>
    <xf numFmtId="0" fontId="5" fillId="0" borderId="246" xfId="0" applyFont="1" applyBorder="1" applyAlignment="1">
      <alignment horizontal="left" vertical="center"/>
    </xf>
    <xf numFmtId="0" fontId="5" fillId="0" borderId="246" xfId="0" applyFont="1" applyBorder="1">
      <alignment horizontal="center" vertical="center"/>
    </xf>
    <xf numFmtId="0" fontId="5" fillId="0" borderId="271" xfId="0" applyFont="1" applyBorder="1">
      <alignment horizontal="center" vertical="center"/>
    </xf>
    <xf numFmtId="0" fontId="5" fillId="0" borderId="241" xfId="0" applyFont="1" applyBorder="1" applyAlignment="1">
      <alignment horizontal="left" vertical="center"/>
    </xf>
    <xf numFmtId="0" fontId="5" fillId="0" borderId="246" xfId="0" applyFont="1" applyBorder="1" applyAlignment="1">
      <alignment horizontal="left"/>
    </xf>
    <xf numFmtId="0" fontId="5" fillId="0" borderId="271" xfId="0" applyFont="1" applyBorder="1" applyAlignment="1">
      <alignment horizontal="left" vertical="center"/>
    </xf>
    <xf numFmtId="0" fontId="0" fillId="0" borderId="246" xfId="0" applyBorder="1" applyAlignment="1">
      <alignment horizontal="left"/>
    </xf>
    <xf numFmtId="0" fontId="0" fillId="0" borderId="272" xfId="0" applyBorder="1" applyAlignment="1"/>
    <xf numFmtId="0" fontId="2" fillId="43" borderId="250" xfId="0" applyFont="1" applyFill="1" applyBorder="1" applyAlignment="1">
      <alignment horizontal="center"/>
    </xf>
    <xf numFmtId="0" fontId="5" fillId="60" borderId="250" xfId="51" applyBorder="1">
      <alignment horizontal="center" vertical="center"/>
    </xf>
    <xf numFmtId="0" fontId="5" fillId="60" borderId="266" xfId="51" applyBorder="1">
      <alignment horizontal="center" vertical="center"/>
    </xf>
    <xf numFmtId="0" fontId="0" fillId="55" borderId="250" xfId="51" applyFont="1" applyFill="1" applyBorder="1">
      <alignment horizontal="center" vertical="center"/>
    </xf>
    <xf numFmtId="0" fontId="0" fillId="52" borderId="250" xfId="51" applyFont="1" applyFill="1" applyBorder="1">
      <alignment horizontal="center" vertical="center"/>
    </xf>
    <xf numFmtId="0" fontId="0" fillId="51" borderId="266" xfId="51" applyFont="1" applyFill="1" applyBorder="1">
      <alignment horizontal="center" vertical="center"/>
    </xf>
    <xf numFmtId="0" fontId="0" fillId="51" borderId="266" xfId="48" applyFont="1" applyFill="1" applyBorder="1">
      <alignment horizontal="center" vertical="center"/>
    </xf>
    <xf numFmtId="0" fontId="2" fillId="43" borderId="251" xfId="0" applyFont="1" applyFill="1" applyBorder="1" applyAlignment="1">
      <alignment horizontal="center"/>
    </xf>
    <xf numFmtId="0" fontId="0" fillId="51" borderId="251" xfId="0" applyFill="1" applyBorder="1" applyAlignment="1">
      <alignment horizontal="left" vertical="center"/>
    </xf>
    <xf numFmtId="0" fontId="0" fillId="55" borderId="251" xfId="0" applyFill="1" applyBorder="1">
      <alignment horizontal="center" vertical="center"/>
    </xf>
    <xf numFmtId="0" fontId="0" fillId="51" borderId="251" xfId="47" applyFont="1" applyFill="1" applyBorder="1">
      <alignment horizontal="center" vertical="center"/>
    </xf>
    <xf numFmtId="0" fontId="0" fillId="51" borderId="251" xfId="32" applyFont="1" applyFill="1" applyBorder="1" applyAlignment="1">
      <alignment horizontal="center" vertical="center"/>
    </xf>
    <xf numFmtId="0" fontId="0" fillId="51" borderId="251" xfId="48" applyFont="1" applyFill="1" applyBorder="1">
      <alignment horizontal="center" vertical="center"/>
    </xf>
    <xf numFmtId="0" fontId="5" fillId="52" borderId="265" xfId="48" applyBorder="1">
      <alignment horizontal="center" vertical="center"/>
    </xf>
    <xf numFmtId="0" fontId="0" fillId="0" borderId="241" xfId="0" applyBorder="1" applyAlignment="1">
      <alignment horizontal="left"/>
    </xf>
    <xf numFmtId="0" fontId="0" fillId="0" borderId="246" xfId="0" applyBorder="1" applyAlignment="1"/>
    <xf numFmtId="0" fontId="0" fillId="0" borderId="271" xfId="0" applyBorder="1" applyAlignment="1">
      <alignment horizontal="left"/>
    </xf>
    <xf numFmtId="0" fontId="0" fillId="0" borderId="241" xfId="0" applyBorder="1" applyAlignment="1">
      <alignment horizontal="center"/>
    </xf>
    <xf numFmtId="0" fontId="2" fillId="43" borderId="226" xfId="0" applyFont="1" applyFill="1" applyBorder="1" applyAlignment="1">
      <alignment horizontal="center"/>
    </xf>
    <xf numFmtId="49" fontId="0" fillId="52" borderId="267" xfId="0" applyNumberFormat="1" applyFill="1" applyBorder="1">
      <alignment horizontal="center" vertical="center"/>
    </xf>
    <xf numFmtId="49" fontId="0" fillId="51" borderId="267" xfId="0" applyNumberFormat="1" applyFill="1" applyBorder="1">
      <alignment horizontal="center" vertical="center"/>
    </xf>
    <xf numFmtId="0" fontId="1" fillId="0" borderId="228" xfId="0" applyFont="1" applyBorder="1" applyAlignment="1">
      <alignment horizontal="left"/>
    </xf>
    <xf numFmtId="0" fontId="2" fillId="0" borderId="229" xfId="0" applyFont="1" applyBorder="1">
      <alignment horizontal="center" vertical="center"/>
    </xf>
    <xf numFmtId="167" fontId="7" fillId="0" borderId="241" xfId="0" applyNumberFormat="1" applyFont="1" applyBorder="1" applyAlignment="1">
      <alignment horizontal="center"/>
    </xf>
    <xf numFmtId="0" fontId="5" fillId="51" borderId="250" xfId="0" applyFont="1" applyFill="1" applyBorder="1" applyAlignment="1">
      <alignment vertical="center"/>
    </xf>
    <xf numFmtId="0" fontId="5" fillId="51" borderId="250" xfId="43" applyFill="1" applyBorder="1">
      <alignment horizontal="center" vertical="center"/>
    </xf>
    <xf numFmtId="0" fontId="0" fillId="51" borderId="250" xfId="0" applyFill="1" applyBorder="1" applyAlignment="1">
      <alignment vertical="center"/>
    </xf>
    <xf numFmtId="0" fontId="5" fillId="70" borderId="250" xfId="44" applyBorder="1">
      <alignment horizontal="center" vertical="center"/>
    </xf>
    <xf numFmtId="0" fontId="0" fillId="52" borderId="250" xfId="0" applyFill="1" applyBorder="1">
      <alignment horizontal="center" vertical="center"/>
    </xf>
    <xf numFmtId="0" fontId="0" fillId="0" borderId="231" xfId="0" applyBorder="1">
      <alignment horizontal="center" vertical="center"/>
    </xf>
    <xf numFmtId="49" fontId="13" fillId="0" borderId="226" xfId="0" applyNumberFormat="1" applyFont="1" applyBorder="1">
      <alignment horizontal="center" vertical="center"/>
    </xf>
    <xf numFmtId="49" fontId="13" fillId="0" borderId="231" xfId="0" applyNumberFormat="1" applyFont="1" applyBorder="1">
      <alignment horizontal="center" vertical="center"/>
    </xf>
    <xf numFmtId="49" fontId="5" fillId="0" borderId="231" xfId="0" applyNumberFormat="1" applyFont="1" applyBorder="1">
      <alignment horizontal="center" vertical="center"/>
    </xf>
    <xf numFmtId="0" fontId="7" fillId="0" borderId="278" xfId="0" applyFont="1" applyBorder="1">
      <alignment horizontal="center" vertical="center"/>
    </xf>
    <xf numFmtId="49" fontId="0" fillId="0" borderId="226" xfId="0" applyNumberFormat="1" applyBorder="1">
      <alignment horizontal="center" vertical="center"/>
    </xf>
    <xf numFmtId="0" fontId="5" fillId="0" borderId="231" xfId="0" applyFont="1" applyBorder="1">
      <alignment horizontal="center" vertical="center"/>
    </xf>
    <xf numFmtId="0" fontId="5" fillId="0" borderId="279" xfId="0" applyFont="1" applyBorder="1">
      <alignment horizontal="center" vertical="center"/>
    </xf>
    <xf numFmtId="0" fontId="5" fillId="0" borderId="280" xfId="0" applyFont="1" applyBorder="1">
      <alignment horizontal="center" vertical="center"/>
    </xf>
    <xf numFmtId="49" fontId="5" fillId="0" borderId="279" xfId="0" applyNumberFormat="1" applyFont="1" applyBorder="1">
      <alignment horizontal="center" vertical="center"/>
    </xf>
    <xf numFmtId="0" fontId="7" fillId="0" borderId="279" xfId="0" applyFont="1" applyBorder="1">
      <alignment horizontal="center" vertical="center"/>
    </xf>
    <xf numFmtId="49" fontId="0" fillId="51" borderId="226" xfId="34" applyNumberFormat="1" applyFont="1" applyFill="1" applyBorder="1" applyAlignment="1">
      <alignment horizontal="center" vertical="center"/>
    </xf>
    <xf numFmtId="49" fontId="0" fillId="70" borderId="226" xfId="0" applyNumberFormat="1" applyFill="1" applyBorder="1">
      <alignment horizontal="center" vertical="center"/>
    </xf>
    <xf numFmtId="0" fontId="0" fillId="0" borderId="281" xfId="0" applyBorder="1" applyAlignment="1">
      <alignment horizontal="left" vertical="center"/>
    </xf>
    <xf numFmtId="0" fontId="0" fillId="0" borderId="186" xfId="0" applyBorder="1" applyAlignment="1">
      <alignment horizontal="left" vertical="center"/>
    </xf>
    <xf numFmtId="0" fontId="2" fillId="0" borderId="187" xfId="0" applyFont="1" applyBorder="1" applyAlignment="1">
      <alignment horizontal="left"/>
    </xf>
    <xf numFmtId="0" fontId="0" fillId="0" borderId="188" xfId="0" applyBorder="1" applyAlignment="1">
      <alignment horizontal="left" vertical="center"/>
    </xf>
    <xf numFmtId="0" fontId="0" fillId="0" borderId="282" xfId="0" applyBorder="1" applyAlignment="1">
      <alignment horizontal="left" vertical="center"/>
    </xf>
    <xf numFmtId="0" fontId="0" fillId="0" borderId="283" xfId="0" applyBorder="1" applyAlignment="1">
      <alignment horizontal="left" vertical="center"/>
    </xf>
    <xf numFmtId="0" fontId="0" fillId="0" borderId="284" xfId="0" applyBorder="1" applyAlignment="1">
      <alignment horizontal="left" vertical="center"/>
    </xf>
    <xf numFmtId="0" fontId="0" fillId="0" borderId="285" xfId="0" applyBorder="1" applyAlignment="1">
      <alignment horizontal="left" vertical="center"/>
    </xf>
    <xf numFmtId="0" fontId="0" fillId="0" borderId="286" xfId="0" applyBorder="1" applyAlignment="1">
      <alignment horizontal="left" vertical="center"/>
    </xf>
    <xf numFmtId="0" fontId="2" fillId="0" borderId="287" xfId="0" applyFont="1" applyBorder="1" applyAlignment="1">
      <alignment horizontal="left"/>
    </xf>
    <xf numFmtId="0" fontId="0" fillId="0" borderId="287" xfId="0" applyBorder="1" applyAlignment="1">
      <alignment horizontal="left" vertical="center"/>
    </xf>
    <xf numFmtId="0" fontId="0" fillId="0" borderId="288" xfId="0" applyBorder="1" applyAlignment="1">
      <alignment horizontal="left" vertical="center"/>
    </xf>
    <xf numFmtId="0" fontId="0" fillId="0" borderId="213" xfId="0" applyBorder="1" applyAlignment="1">
      <alignment horizontal="left" vertical="center"/>
    </xf>
    <xf numFmtId="49" fontId="0" fillId="0" borderId="186" xfId="0" applyNumberFormat="1" applyBorder="1" applyAlignment="1">
      <alignment horizontal="left"/>
    </xf>
    <xf numFmtId="0" fontId="0" fillId="0" borderId="215" xfId="0" applyBorder="1" applyAlignment="1">
      <alignment horizontal="left" vertical="center"/>
    </xf>
    <xf numFmtId="0" fontId="0" fillId="0" borderId="200" xfId="0" applyBorder="1" applyAlignment="1">
      <alignment horizontal="left" vertical="center"/>
    </xf>
    <xf numFmtId="49" fontId="0" fillId="0" borderId="200" xfId="0" applyNumberFormat="1" applyBorder="1" applyAlignment="1">
      <alignment horizontal="left"/>
    </xf>
    <xf numFmtId="0" fontId="0" fillId="0" borderId="206" xfId="0" applyBorder="1" applyAlignment="1">
      <alignment horizontal="left"/>
    </xf>
    <xf numFmtId="0" fontId="0" fillId="0" borderId="206" xfId="0" applyBorder="1" applyAlignment="1" applyProtection="1">
      <alignment horizontal="center"/>
      <protection locked="0"/>
    </xf>
    <xf numFmtId="0" fontId="5" fillId="70" borderId="242" xfId="44" applyBorder="1">
      <alignment horizontal="center" vertical="center"/>
    </xf>
    <xf numFmtId="0" fontId="5" fillId="56" borderId="206" xfId="46" applyBorder="1">
      <alignment horizontal="center" vertical="center"/>
    </xf>
    <xf numFmtId="0" fontId="1" fillId="0" borderId="206" xfId="0" applyFont="1" applyBorder="1" applyAlignment="1" applyProtection="1">
      <alignment horizontal="center"/>
      <protection locked="0"/>
    </xf>
    <xf numFmtId="0" fontId="5" fillId="54" borderId="206" xfId="50" applyBorder="1">
      <alignment horizontal="center" vertical="center"/>
    </xf>
    <xf numFmtId="0" fontId="5" fillId="0" borderId="206" xfId="0" applyFont="1" applyBorder="1" applyAlignment="1">
      <alignment vertical="center"/>
    </xf>
    <xf numFmtId="0" fontId="13" fillId="0" borderId="206" xfId="0" applyFont="1" applyBorder="1" applyAlignment="1">
      <alignment vertical="center"/>
    </xf>
    <xf numFmtId="0" fontId="2" fillId="0" borderId="203" xfId="0" applyFont="1" applyBorder="1">
      <alignment horizontal="center" vertical="center"/>
    </xf>
    <xf numFmtId="0" fontId="2" fillId="0" borderId="196" xfId="0" applyFont="1" applyBorder="1" applyAlignment="1">
      <alignment horizontal="center"/>
    </xf>
    <xf numFmtId="0" fontId="2" fillId="0" borderId="198" xfId="0" applyFont="1" applyBorder="1" applyAlignment="1">
      <alignment horizontal="center"/>
    </xf>
    <xf numFmtId="0" fontId="0" fillId="0" borderId="199" xfId="0" applyBorder="1" applyAlignment="1">
      <alignment horizontal="center"/>
    </xf>
    <xf numFmtId="0" fontId="0" fillId="0" borderId="185" xfId="0" applyBorder="1" applyAlignment="1" applyProtection="1">
      <alignment horizontal="center"/>
      <protection locked="0"/>
    </xf>
    <xf numFmtId="49" fontId="0" fillId="51" borderId="185" xfId="32" applyNumberFormat="1" applyFont="1" applyFill="1" applyBorder="1" applyAlignment="1">
      <alignment horizontal="center" vertical="center"/>
    </xf>
    <xf numFmtId="0" fontId="0" fillId="43" borderId="191" xfId="0" applyFill="1" applyBorder="1" applyAlignment="1">
      <alignment horizontal="center"/>
    </xf>
    <xf numFmtId="0" fontId="45" fillId="0" borderId="191" xfId="0" applyFont="1" applyBorder="1" applyAlignment="1">
      <alignment horizontal="left" vertical="center"/>
    </xf>
    <xf numFmtId="0" fontId="2" fillId="24" borderId="289" xfId="0" applyFont="1" applyFill="1" applyBorder="1">
      <alignment horizontal="center" vertical="center"/>
    </xf>
    <xf numFmtId="0" fontId="0" fillId="24" borderId="289" xfId="0" applyFill="1" applyBorder="1">
      <alignment horizontal="center" vertical="center"/>
    </xf>
    <xf numFmtId="0" fontId="0" fillId="24" borderId="290" xfId="0" applyFill="1" applyBorder="1">
      <alignment horizontal="center" vertical="center"/>
    </xf>
    <xf numFmtId="0" fontId="5" fillId="51" borderId="191" xfId="43" applyFill="1" applyBorder="1">
      <alignment horizontal="center" vertical="center"/>
    </xf>
    <xf numFmtId="0" fontId="0" fillId="0" borderId="185" xfId="0" applyBorder="1" applyAlignment="1">
      <alignment vertical="center"/>
    </xf>
    <xf numFmtId="0" fontId="0" fillId="0" borderId="186" xfId="0" applyBorder="1" applyAlignment="1" applyProtection="1">
      <alignment horizontal="center"/>
      <protection locked="0"/>
    </xf>
    <xf numFmtId="0" fontId="0" fillId="53" borderId="226" xfId="44" applyFont="1" applyFill="1" applyBorder="1">
      <alignment horizontal="center" vertical="center"/>
    </xf>
    <xf numFmtId="0" fontId="46" fillId="0" borderId="185" xfId="0" applyFont="1" applyBorder="1" applyAlignment="1">
      <alignment vertical="center"/>
    </xf>
    <xf numFmtId="0" fontId="45" fillId="0" borderId="291" xfId="0" applyFont="1" applyBorder="1" applyAlignment="1">
      <alignment vertical="center"/>
    </xf>
    <xf numFmtId="49" fontId="0" fillId="0" borderId="186" xfId="0" applyNumberFormat="1" applyBorder="1" applyAlignment="1"/>
    <xf numFmtId="0" fontId="0" fillId="0" borderId="185" xfId="0" applyBorder="1" applyAlignment="1" applyProtection="1">
      <alignment horizontal="left"/>
      <protection locked="0"/>
    </xf>
    <xf numFmtId="0" fontId="11" fillId="0" borderId="185" xfId="0" applyFont="1" applyBorder="1" applyAlignment="1">
      <alignment vertical="center"/>
    </xf>
    <xf numFmtId="0" fontId="5" fillId="0" borderId="226" xfId="43" applyFill="1" applyBorder="1">
      <alignment horizontal="center" vertical="center"/>
    </xf>
    <xf numFmtId="0" fontId="0" fillId="0" borderId="203" xfId="0" applyBorder="1" applyAlignment="1">
      <alignment vertical="center"/>
    </xf>
    <xf numFmtId="0" fontId="4" fillId="44" borderId="186" xfId="0" applyFont="1" applyFill="1" applyBorder="1" applyAlignment="1">
      <alignment horizontal="left"/>
    </xf>
    <xf numFmtId="0" fontId="4" fillId="25" borderId="186" xfId="0" applyFont="1" applyFill="1" applyBorder="1">
      <alignment horizontal="center" vertical="center"/>
    </xf>
    <xf numFmtId="0" fontId="5" fillId="25" borderId="187" xfId="0" applyFont="1" applyFill="1" applyBorder="1">
      <alignment horizontal="center" vertical="center"/>
    </xf>
    <xf numFmtId="0" fontId="4" fillId="29" borderId="186" xfId="0" applyFont="1" applyFill="1" applyBorder="1" applyAlignment="1">
      <alignment horizontal="left"/>
    </xf>
    <xf numFmtId="0" fontId="4" fillId="29" borderId="187" xfId="0" applyFont="1" applyFill="1" applyBorder="1" applyAlignment="1">
      <alignment horizontal="left"/>
    </xf>
    <xf numFmtId="0" fontId="5" fillId="29" borderId="187" xfId="0" applyFont="1" applyFill="1" applyBorder="1">
      <alignment horizontal="center" vertical="center"/>
    </xf>
    <xf numFmtId="0" fontId="5" fillId="29" borderId="188" xfId="0" applyFont="1" applyFill="1" applyBorder="1">
      <alignment horizontal="center" vertical="center"/>
    </xf>
    <xf numFmtId="0" fontId="4" fillId="37" borderId="186" xfId="0" applyFont="1" applyFill="1" applyBorder="1" applyAlignment="1">
      <alignment horizontal="left"/>
    </xf>
    <xf numFmtId="0" fontId="4" fillId="37" borderId="187" xfId="0" applyFont="1" applyFill="1" applyBorder="1" applyAlignment="1">
      <alignment horizontal="left"/>
    </xf>
    <xf numFmtId="0" fontId="0" fillId="37" borderId="187" xfId="0" applyFill="1" applyBorder="1">
      <alignment horizontal="center" vertical="center"/>
    </xf>
    <xf numFmtId="0" fontId="4" fillId="45" borderId="186" xfId="0" applyFont="1" applyFill="1" applyBorder="1" applyAlignment="1">
      <alignment horizontal="left"/>
    </xf>
    <xf numFmtId="0" fontId="0" fillId="45" borderId="187" xfId="0" applyFill="1" applyBorder="1">
      <alignment horizontal="center" vertical="center"/>
    </xf>
    <xf numFmtId="0" fontId="5" fillId="45" borderId="187" xfId="0" applyFont="1" applyFill="1" applyBorder="1">
      <alignment horizontal="center" vertical="center"/>
    </xf>
    <xf numFmtId="0" fontId="5" fillId="45" borderId="188" xfId="0" applyFont="1" applyFill="1" applyBorder="1">
      <alignment horizontal="center" vertical="center"/>
    </xf>
    <xf numFmtId="0" fontId="4" fillId="24" borderId="186" xfId="0" applyFont="1" applyFill="1" applyBorder="1">
      <alignment horizontal="center" vertical="center"/>
    </xf>
    <xf numFmtId="0" fontId="0" fillId="24" borderId="187" xfId="0" applyFill="1" applyBorder="1">
      <alignment horizontal="center" vertical="center"/>
    </xf>
    <xf numFmtId="0" fontId="5" fillId="24" borderId="187" xfId="0" applyFont="1" applyFill="1" applyBorder="1">
      <alignment horizontal="center" vertical="center"/>
    </xf>
    <xf numFmtId="0" fontId="4" fillId="40" borderId="186" xfId="0" applyFont="1" applyFill="1" applyBorder="1" applyAlignment="1">
      <alignment horizontal="left"/>
    </xf>
    <xf numFmtId="0" fontId="5" fillId="40" borderId="187" xfId="0" applyFont="1" applyFill="1" applyBorder="1">
      <alignment horizontal="center" vertical="center"/>
    </xf>
    <xf numFmtId="0" fontId="0" fillId="40" borderId="188" xfId="0" applyFill="1" applyBorder="1">
      <alignment horizontal="center" vertical="center"/>
    </xf>
    <xf numFmtId="0" fontId="0" fillId="0" borderId="292" xfId="0" applyBorder="1">
      <alignment horizontal="center" vertical="center"/>
    </xf>
    <xf numFmtId="0" fontId="0" fillId="24" borderId="292" xfId="0" applyFill="1" applyBorder="1">
      <alignment horizontal="center" vertical="center"/>
    </xf>
    <xf numFmtId="0" fontId="0" fillId="52" borderId="226" xfId="52" applyFont="1" applyFill="1" applyBorder="1">
      <alignment horizontal="center" vertical="center"/>
    </xf>
    <xf numFmtId="0" fontId="5" fillId="51" borderId="293" xfId="48" applyFill="1" applyBorder="1">
      <alignment horizontal="center" vertical="center"/>
    </xf>
    <xf numFmtId="0" fontId="2" fillId="0" borderId="167" xfId="0" applyFont="1" applyBorder="1" applyAlignment="1">
      <alignment horizontal="left" vertical="center"/>
    </xf>
    <xf numFmtId="0" fontId="0" fillId="43" borderId="176" xfId="0" applyFill="1" applyBorder="1" applyAlignment="1" applyProtection="1">
      <alignment horizontal="center"/>
      <protection locked="0"/>
    </xf>
    <xf numFmtId="0" fontId="0" fillId="55" borderId="191" xfId="0" applyFill="1" applyBorder="1">
      <alignment horizontal="center" vertical="center"/>
    </xf>
    <xf numFmtId="0" fontId="0" fillId="51" borderId="191" xfId="43" applyFont="1" applyFill="1" applyBorder="1">
      <alignment horizontal="center" vertical="center"/>
    </xf>
    <xf numFmtId="49" fontId="0" fillId="55" borderId="292" xfId="0" applyNumberFormat="1" applyFill="1" applyBorder="1">
      <alignment horizontal="center" vertical="center"/>
    </xf>
    <xf numFmtId="0" fontId="0" fillId="55" borderId="185" xfId="0" applyFill="1" applyBorder="1">
      <alignment horizontal="center" vertical="center"/>
    </xf>
    <xf numFmtId="0" fontId="0" fillId="70" borderId="191" xfId="0" applyFill="1" applyBorder="1">
      <alignment horizontal="center" vertical="center"/>
    </xf>
    <xf numFmtId="0" fontId="5" fillId="53" borderId="292" xfId="43" applyBorder="1">
      <alignment horizontal="center" vertical="center"/>
    </xf>
    <xf numFmtId="0" fontId="0" fillId="53" borderId="191" xfId="0" applyFill="1" applyBorder="1">
      <alignment horizontal="center" vertical="center"/>
    </xf>
    <xf numFmtId="0" fontId="5" fillId="52" borderId="292" xfId="48" applyBorder="1">
      <alignment horizontal="center" vertical="center"/>
    </xf>
    <xf numFmtId="0" fontId="0" fillId="51" borderId="292" xfId="0" applyFill="1" applyBorder="1">
      <alignment horizontal="center" vertical="center"/>
    </xf>
    <xf numFmtId="0" fontId="5" fillId="53" borderId="193" xfId="43" applyBorder="1">
      <alignment horizontal="center" vertical="center"/>
    </xf>
    <xf numFmtId="0" fontId="5" fillId="0" borderId="290" xfId="0" applyFont="1" applyBorder="1" applyAlignment="1">
      <alignment horizontal="left"/>
    </xf>
    <xf numFmtId="0" fontId="0" fillId="55" borderId="226" xfId="20" applyNumberFormat="1" applyFont="1" applyFill="1" applyBorder="1" applyAlignment="1">
      <alignment horizontal="center" vertical="center"/>
    </xf>
    <xf numFmtId="49" fontId="0" fillId="55" borderId="226" xfId="0" applyNumberFormat="1" applyFill="1" applyBorder="1">
      <alignment horizontal="center" vertical="center"/>
    </xf>
    <xf numFmtId="0" fontId="5" fillId="51" borderId="226" xfId="45" applyFill="1" applyBorder="1">
      <alignment horizontal="center" vertical="center"/>
    </xf>
    <xf numFmtId="0" fontId="0" fillId="55" borderId="226" xfId="47" applyFont="1" applyFill="1" applyBorder="1">
      <alignment horizontal="center" vertical="center"/>
    </xf>
    <xf numFmtId="0" fontId="5" fillId="51" borderId="226" xfId="44" applyFill="1" applyBorder="1">
      <alignment horizontal="center" vertical="center"/>
    </xf>
    <xf numFmtId="0" fontId="0" fillId="55" borderId="226" xfId="20" applyFont="1" applyFill="1" applyBorder="1" applyAlignment="1">
      <alignment horizontal="center" vertical="center"/>
    </xf>
    <xf numFmtId="0" fontId="0" fillId="55" borderId="267" xfId="0" applyFill="1" applyBorder="1">
      <alignment horizontal="center" vertical="center"/>
    </xf>
    <xf numFmtId="0" fontId="5" fillId="55" borderId="267" xfId="45" applyBorder="1">
      <alignment horizontal="center" vertical="center"/>
    </xf>
    <xf numFmtId="0" fontId="0" fillId="55" borderId="226" xfId="51" applyFont="1" applyFill="1" applyBorder="1">
      <alignment horizontal="center" vertical="center"/>
    </xf>
    <xf numFmtId="0" fontId="5" fillId="54" borderId="226" xfId="50" applyBorder="1">
      <alignment horizontal="center" vertical="center"/>
    </xf>
    <xf numFmtId="0" fontId="5" fillId="70" borderId="226" xfId="44" applyBorder="1">
      <alignment horizontal="center" vertical="center"/>
    </xf>
    <xf numFmtId="0" fontId="5" fillId="0" borderId="293" xfId="52" applyBorder="1">
      <alignment horizontal="center" vertical="center"/>
    </xf>
    <xf numFmtId="0" fontId="5" fillId="0" borderId="294" xfId="52" applyBorder="1">
      <alignment horizontal="center" vertical="center"/>
    </xf>
    <xf numFmtId="0" fontId="5" fillId="0" borderId="295" xfId="52" applyBorder="1">
      <alignment horizontal="center" vertical="center"/>
    </xf>
    <xf numFmtId="0" fontId="0" fillId="71" borderId="203" xfId="0" applyFill="1" applyBorder="1">
      <alignment horizontal="center" vertical="center"/>
    </xf>
    <xf numFmtId="0" fontId="0" fillId="0" borderId="296" xfId="0" applyBorder="1">
      <alignment horizontal="center" vertical="center"/>
    </xf>
    <xf numFmtId="0" fontId="0" fillId="51" borderId="231" xfId="0" applyFill="1" applyBorder="1" applyAlignment="1">
      <alignment horizontal="left" vertical="center"/>
    </xf>
    <xf numFmtId="0" fontId="0" fillId="51" borderId="267" xfId="48" applyFont="1" applyFill="1" applyBorder="1">
      <alignment horizontal="center" vertical="center"/>
    </xf>
    <xf numFmtId="0" fontId="17" fillId="0" borderId="231" xfId="0" applyFont="1" applyBorder="1" applyAlignment="1" applyProtection="1">
      <alignment horizontal="center"/>
      <protection locked="0"/>
    </xf>
    <xf numFmtId="1" fontId="0" fillId="52" borderId="226" xfId="32" applyNumberFormat="1" applyFont="1" applyFill="1" applyBorder="1" applyAlignment="1">
      <alignment horizontal="center" vertical="center"/>
    </xf>
    <xf numFmtId="0" fontId="0" fillId="52" borderId="231" xfId="0" applyFill="1" applyBorder="1">
      <alignment horizontal="center" vertical="center"/>
    </xf>
    <xf numFmtId="0" fontId="2" fillId="0" borderId="184" xfId="0" applyFont="1" applyBorder="1" applyAlignment="1" applyProtection="1">
      <alignment horizontal="center"/>
      <protection locked="0"/>
    </xf>
    <xf numFmtId="0" fontId="0" fillId="51" borderId="297" xfId="0" applyFill="1" applyBorder="1">
      <alignment horizontal="center" vertical="center"/>
    </xf>
    <xf numFmtId="0" fontId="17" fillId="0" borderId="293" xfId="0" applyFont="1" applyBorder="1" applyAlignment="1" applyProtection="1">
      <alignment horizontal="center"/>
      <protection locked="0"/>
    </xf>
    <xf numFmtId="0" fontId="0" fillId="51" borderId="294" xfId="0" applyFill="1" applyBorder="1">
      <alignment horizontal="center" vertical="center"/>
    </xf>
    <xf numFmtId="0" fontId="0" fillId="71" borderId="201" xfId="0" applyFill="1" applyBorder="1">
      <alignment horizontal="center" vertical="center"/>
    </xf>
    <xf numFmtId="0" fontId="19" fillId="51" borderId="185" xfId="0" applyFont="1" applyFill="1" applyBorder="1" applyAlignment="1">
      <alignment horizontal="left" vertical="center"/>
    </xf>
    <xf numFmtId="0" fontId="0" fillId="0" borderId="193" xfId="0" applyBorder="1">
      <alignment horizontal="center" vertical="center"/>
    </xf>
    <xf numFmtId="0" fontId="0" fillId="51" borderId="183" xfId="0" applyFill="1" applyBorder="1">
      <alignment horizontal="center" vertical="center"/>
    </xf>
    <xf numFmtId="0" fontId="0" fillId="51" borderId="218" xfId="53" applyFont="1" applyFill="1" applyBorder="1" applyAlignment="1">
      <alignment horizontal="center" vertical="center"/>
    </xf>
    <xf numFmtId="0" fontId="0" fillId="51" borderId="247" xfId="0" applyFill="1" applyBorder="1">
      <alignment horizontal="center" vertical="center"/>
    </xf>
    <xf numFmtId="0" fontId="5" fillId="0" borderId="167" xfId="52" applyBorder="1" applyAlignment="1">
      <alignment horizontal="center"/>
    </xf>
    <xf numFmtId="0" fontId="5" fillId="0" borderId="160" xfId="52" applyBorder="1" applyAlignment="1">
      <alignment horizontal="left"/>
    </xf>
    <xf numFmtId="49" fontId="0" fillId="52" borderId="185" xfId="52" applyNumberFormat="1" applyFont="1" applyFill="1" applyBorder="1">
      <alignment horizontal="center" vertical="center"/>
    </xf>
    <xf numFmtId="0" fontId="0" fillId="52" borderId="185" xfId="52" applyFont="1" applyFill="1" applyBorder="1">
      <alignment horizontal="center" vertical="center"/>
    </xf>
    <xf numFmtId="0" fontId="0" fillId="52" borderId="185" xfId="48" applyFont="1" applyBorder="1">
      <alignment horizontal="center" vertical="center"/>
    </xf>
    <xf numFmtId="49" fontId="0" fillId="51" borderId="185" xfId="34" applyNumberFormat="1" applyFont="1" applyFill="1" applyBorder="1" applyAlignment="1">
      <alignment horizontal="center" vertical="center"/>
    </xf>
    <xf numFmtId="0" fontId="0" fillId="55" borderId="185" xfId="48" applyFont="1" applyFill="1" applyBorder="1">
      <alignment horizontal="center" vertical="center"/>
    </xf>
    <xf numFmtId="49" fontId="0" fillId="52" borderId="185" xfId="0" applyNumberFormat="1" applyFill="1" applyBorder="1">
      <alignment horizontal="center" vertical="center"/>
    </xf>
    <xf numFmtId="49" fontId="0" fillId="52" borderId="193" xfId="52" applyNumberFormat="1" applyFont="1" applyFill="1" applyBorder="1">
      <alignment horizontal="center" vertical="center"/>
    </xf>
    <xf numFmtId="49" fontId="0" fillId="51" borderId="292" xfId="52" applyNumberFormat="1" applyFont="1" applyFill="1" applyBorder="1">
      <alignment horizontal="center" vertical="center"/>
    </xf>
    <xf numFmtId="0" fontId="0" fillId="0" borderId="167" xfId="0" applyBorder="1" applyAlignment="1">
      <alignment horizontal="center"/>
    </xf>
    <xf numFmtId="0" fontId="5" fillId="60" borderId="185" xfId="51" applyBorder="1">
      <alignment horizontal="center" vertical="center"/>
    </xf>
    <xf numFmtId="0" fontId="0" fillId="77" borderId="185" xfId="0" applyFill="1" applyBorder="1">
      <alignment horizontal="center" vertical="center"/>
    </xf>
    <xf numFmtId="49" fontId="0" fillId="77" borderId="185" xfId="0" applyNumberFormat="1" applyFill="1" applyBorder="1">
      <alignment horizontal="center" vertical="center"/>
    </xf>
    <xf numFmtId="49" fontId="0" fillId="53" borderId="185" xfId="0" applyNumberFormat="1" applyFill="1" applyBorder="1">
      <alignment horizontal="center" vertical="center"/>
    </xf>
    <xf numFmtId="0" fontId="0" fillId="53" borderId="185" xfId="0" applyFill="1" applyBorder="1">
      <alignment horizontal="center" vertical="center"/>
    </xf>
    <xf numFmtId="0" fontId="0" fillId="53" borderId="185" xfId="51" applyFont="1" applyFill="1" applyBorder="1">
      <alignment horizontal="center" vertical="center"/>
    </xf>
    <xf numFmtId="0" fontId="5" fillId="53" borderId="185" xfId="44" applyFill="1" applyBorder="1">
      <alignment horizontal="center" vertical="center"/>
    </xf>
    <xf numFmtId="0" fontId="0" fillId="51" borderId="191" xfId="32" applyFont="1" applyFill="1" applyBorder="1" applyAlignment="1">
      <alignment horizontal="center" vertical="center"/>
    </xf>
    <xf numFmtId="0" fontId="0" fillId="51" borderId="191" xfId="48" applyFont="1" applyFill="1" applyBorder="1">
      <alignment horizontal="center" vertical="center"/>
    </xf>
    <xf numFmtId="0" fontId="0" fillId="51" borderId="292" xfId="48" applyFont="1" applyFill="1" applyBorder="1">
      <alignment horizontal="center" vertical="center"/>
    </xf>
    <xf numFmtId="0" fontId="0" fillId="52" borderId="226" xfId="45" applyFont="1" applyFill="1" applyBorder="1">
      <alignment horizontal="center" vertical="center"/>
    </xf>
    <xf numFmtId="0" fontId="13" fillId="0" borderId="282" xfId="0" applyFont="1" applyBorder="1">
      <alignment horizontal="center" vertical="center"/>
    </xf>
    <xf numFmtId="0" fontId="5" fillId="0" borderId="282" xfId="0" applyFont="1" applyBorder="1">
      <alignment horizontal="center" vertical="center"/>
    </xf>
    <xf numFmtId="0" fontId="0" fillId="52" borderId="226" xfId="46" applyFont="1" applyFill="1" applyBorder="1">
      <alignment horizontal="center" vertical="center"/>
    </xf>
    <xf numFmtId="0" fontId="0" fillId="52" borderId="226" xfId="48" applyFont="1" applyBorder="1">
      <alignment horizontal="center" vertical="center"/>
    </xf>
    <xf numFmtId="0" fontId="5" fillId="58" borderId="267" xfId="33" applyBorder="1">
      <alignment horizontal="center" vertical="center"/>
    </xf>
    <xf numFmtId="0" fontId="0" fillId="52" borderId="226" xfId="43" applyFont="1" applyFill="1" applyBorder="1">
      <alignment horizontal="center" vertical="center"/>
    </xf>
    <xf numFmtId="49" fontId="0" fillId="80" borderId="226" xfId="0" applyNumberFormat="1" applyFill="1" applyBorder="1">
      <alignment horizontal="center" vertical="center"/>
    </xf>
    <xf numFmtId="49" fontId="0" fillId="53" borderId="267" xfId="0" applyNumberFormat="1" applyFill="1" applyBorder="1">
      <alignment horizontal="center" vertical="center"/>
    </xf>
    <xf numFmtId="0" fontId="0" fillId="0" borderId="298" xfId="0" applyBorder="1" applyAlignment="1">
      <alignment horizontal="left" vertical="center"/>
    </xf>
    <xf numFmtId="0" fontId="2" fillId="0" borderId="206" xfId="0" applyFont="1" applyBorder="1">
      <alignment horizontal="center" vertical="center"/>
    </xf>
    <xf numFmtId="0" fontId="0" fillId="0" borderId="297" xfId="0" applyBorder="1" applyAlignment="1">
      <alignment horizontal="left" vertical="center"/>
    </xf>
    <xf numFmtId="0" fontId="2" fillId="0" borderId="299" xfId="0" applyFont="1" applyBorder="1">
      <alignment horizontal="center" vertical="center"/>
    </xf>
    <xf numFmtId="0" fontId="2" fillId="0" borderId="299" xfId="0" applyFont="1" applyBorder="1" applyAlignment="1">
      <alignment horizontal="center"/>
    </xf>
    <xf numFmtId="0" fontId="1" fillId="0" borderId="206" xfId="0" applyFont="1" applyBorder="1" applyAlignment="1">
      <alignment horizontal="center"/>
    </xf>
    <xf numFmtId="0" fontId="5" fillId="54" borderId="242" xfId="50" applyBorder="1">
      <alignment horizontal="center" vertical="center"/>
    </xf>
    <xf numFmtId="0" fontId="0" fillId="72" borderId="226" xfId="0" applyFill="1" applyBorder="1">
      <alignment horizontal="center" vertical="center"/>
    </xf>
    <xf numFmtId="1" fontId="0" fillId="55" borderId="185" xfId="0" applyNumberFormat="1" applyFill="1" applyBorder="1">
      <alignment horizontal="center" vertical="center"/>
    </xf>
    <xf numFmtId="0" fontId="0" fillId="55" borderId="185" xfId="49" applyFont="1" applyFill="1" applyBorder="1">
      <alignment horizontal="center" vertical="center"/>
    </xf>
    <xf numFmtId="0" fontId="0" fillId="51" borderId="293" xfId="0" applyFill="1" applyBorder="1">
      <alignment horizontal="center" vertical="center"/>
    </xf>
    <xf numFmtId="0" fontId="0" fillId="51" borderId="293" xfId="47" applyFont="1" applyFill="1" applyBorder="1">
      <alignment horizontal="center" vertical="center"/>
    </xf>
    <xf numFmtId="49" fontId="0" fillId="51" borderId="292" xfId="0" applyNumberFormat="1" applyFill="1" applyBorder="1">
      <alignment horizontal="center" vertical="center"/>
    </xf>
    <xf numFmtId="49" fontId="0" fillId="54" borderId="191" xfId="0" applyNumberFormat="1" applyFill="1" applyBorder="1">
      <alignment horizontal="center" vertical="center"/>
    </xf>
    <xf numFmtId="0" fontId="0" fillId="54" borderId="191" xfId="0" applyFill="1" applyBorder="1">
      <alignment horizontal="center" vertical="center"/>
    </xf>
    <xf numFmtId="0" fontId="5" fillId="55" borderId="191" xfId="45" applyBorder="1">
      <alignment horizontal="center" vertical="center"/>
    </xf>
    <xf numFmtId="0" fontId="0" fillId="52" borderId="185" xfId="43" applyFont="1" applyFill="1" applyBorder="1">
      <alignment horizontal="center" vertical="center"/>
    </xf>
    <xf numFmtId="0" fontId="0" fillId="51" borderId="292" xfId="44" applyFont="1" applyFill="1" applyBorder="1">
      <alignment horizontal="center" vertical="center"/>
    </xf>
    <xf numFmtId="0" fontId="5" fillId="55" borderId="226" xfId="52" applyFill="1" applyBorder="1">
      <alignment horizontal="center" vertical="center"/>
    </xf>
    <xf numFmtId="0" fontId="0" fillId="51" borderId="293" xfId="52" applyFont="1" applyFill="1" applyBorder="1">
      <alignment horizontal="center" vertical="center"/>
    </xf>
    <xf numFmtId="0" fontId="0" fillId="55" borderId="191" xfId="47" applyFont="1" applyFill="1" applyBorder="1">
      <alignment horizontal="center" vertical="center"/>
    </xf>
    <xf numFmtId="49" fontId="0" fillId="51" borderId="226" xfId="52" applyNumberFormat="1" applyFont="1" applyFill="1" applyBorder="1">
      <alignment horizontal="center" vertical="center"/>
    </xf>
    <xf numFmtId="0" fontId="0" fillId="72" borderId="226" xfId="52" applyFont="1" applyFill="1" applyBorder="1">
      <alignment horizontal="center" vertical="center"/>
    </xf>
    <xf numFmtId="0" fontId="0" fillId="58" borderId="226" xfId="43" applyFont="1" applyFill="1" applyBorder="1">
      <alignment horizontal="center" vertical="center"/>
    </xf>
    <xf numFmtId="0" fontId="0" fillId="57" borderId="226" xfId="0" applyFill="1" applyBorder="1">
      <alignment horizontal="center" vertical="center"/>
    </xf>
    <xf numFmtId="0" fontId="58" fillId="51" borderId="226" xfId="52" applyFont="1" applyFill="1" applyBorder="1">
      <alignment horizontal="center" vertical="center"/>
    </xf>
    <xf numFmtId="0" fontId="0" fillId="51" borderId="296" xfId="0" applyFill="1" applyBorder="1">
      <alignment horizontal="center" vertical="center"/>
    </xf>
    <xf numFmtId="0" fontId="0" fillId="57" borderId="226" xfId="52" applyFont="1" applyFill="1" applyBorder="1">
      <alignment horizontal="center" vertical="center"/>
    </xf>
    <xf numFmtId="0" fontId="0" fillId="0" borderId="226" xfId="43" applyFont="1" applyFill="1" applyBorder="1">
      <alignment horizontal="center" vertical="center"/>
    </xf>
    <xf numFmtId="0" fontId="0" fillId="70" borderId="185" xfId="51" applyFont="1" applyFill="1" applyBorder="1">
      <alignment horizontal="center" vertical="center"/>
    </xf>
    <xf numFmtId="0" fontId="0" fillId="0" borderId="293" xfId="0" applyBorder="1" applyAlignment="1">
      <alignment horizontal="left" vertical="center"/>
    </xf>
    <xf numFmtId="0" fontId="5" fillId="57" borderId="183" xfId="47" applyBorder="1">
      <alignment horizontal="center" vertical="center"/>
    </xf>
    <xf numFmtId="0" fontId="5" fillId="57" borderId="203" xfId="47" applyBorder="1">
      <alignment horizontal="center" vertical="center"/>
    </xf>
    <xf numFmtId="0" fontId="5" fillId="53" borderId="183" xfId="43" applyBorder="1">
      <alignment horizontal="center" vertical="center"/>
    </xf>
    <xf numFmtId="0" fontId="5" fillId="57" borderId="282" xfId="47" applyBorder="1">
      <alignment horizontal="center" vertical="center"/>
    </xf>
    <xf numFmtId="0" fontId="5" fillId="57" borderId="206" xfId="47" applyBorder="1">
      <alignment horizontal="center" vertical="center"/>
    </xf>
    <xf numFmtId="0" fontId="5" fillId="53" borderId="206" xfId="47" applyFill="1" applyBorder="1">
      <alignment horizontal="center" vertical="center"/>
    </xf>
    <xf numFmtId="0" fontId="0" fillId="55" borderId="185" xfId="52" applyFont="1" applyFill="1" applyBorder="1">
      <alignment horizontal="center" vertical="center"/>
    </xf>
    <xf numFmtId="49" fontId="0" fillId="52" borderId="185" xfId="34" applyNumberFormat="1" applyFont="1" applyFill="1" applyBorder="1" applyAlignment="1">
      <alignment horizontal="center" vertical="center"/>
    </xf>
    <xf numFmtId="0" fontId="0" fillId="52" borderId="185" xfId="46" applyFont="1" applyFill="1" applyBorder="1">
      <alignment horizontal="center" vertical="center"/>
    </xf>
    <xf numFmtId="0" fontId="0" fillId="52" borderId="185" xfId="45" applyFont="1" applyFill="1" applyBorder="1">
      <alignment horizontal="center" vertical="center"/>
    </xf>
    <xf numFmtId="0" fontId="0" fillId="55" borderId="185" xfId="45" applyFont="1" applyBorder="1">
      <alignment horizontal="center" vertical="center"/>
    </xf>
    <xf numFmtId="0" fontId="5" fillId="55" borderId="185" xfId="52" applyFill="1" applyBorder="1">
      <alignment horizontal="center" vertical="center"/>
    </xf>
    <xf numFmtId="0" fontId="0" fillId="55" borderId="185" xfId="51" applyFont="1" applyFill="1" applyBorder="1">
      <alignment horizontal="center" vertical="center"/>
    </xf>
    <xf numFmtId="0" fontId="0" fillId="81" borderId="185" xfId="51" applyFont="1" applyFill="1" applyBorder="1">
      <alignment horizontal="center" vertical="center"/>
    </xf>
    <xf numFmtId="0" fontId="0" fillId="70" borderId="206" xfId="0" applyFill="1" applyBorder="1">
      <alignment horizontal="center" vertical="center"/>
    </xf>
    <xf numFmtId="49" fontId="0" fillId="51" borderId="300" xfId="0" applyNumberFormat="1" applyFill="1" applyBorder="1">
      <alignment horizontal="center" vertical="center"/>
    </xf>
    <xf numFmtId="0" fontId="0" fillId="51" borderId="206" xfId="44" applyFont="1" applyFill="1" applyBorder="1">
      <alignment horizontal="center" vertical="center"/>
    </xf>
    <xf numFmtId="0" fontId="5" fillId="53" borderId="226" xfId="52" applyFill="1" applyBorder="1">
      <alignment horizontal="center" vertical="center"/>
    </xf>
    <xf numFmtId="49" fontId="0" fillId="82" borderId="226" xfId="0" applyNumberFormat="1" applyFill="1" applyBorder="1">
      <alignment horizontal="center" vertical="center"/>
    </xf>
    <xf numFmtId="0" fontId="2" fillId="24" borderId="301" xfId="0" applyFont="1" applyFill="1" applyBorder="1">
      <alignment horizontal="center" vertical="center"/>
    </xf>
    <xf numFmtId="0" fontId="0" fillId="24" borderId="301" xfId="0" applyFill="1" applyBorder="1">
      <alignment horizontal="center" vertical="center"/>
    </xf>
    <xf numFmtId="0" fontId="0" fillId="24" borderId="302" xfId="0" applyFill="1" applyBorder="1">
      <alignment horizontal="center" vertical="center"/>
    </xf>
    <xf numFmtId="49" fontId="0" fillId="51" borderId="186" xfId="0" applyNumberFormat="1" applyFill="1" applyBorder="1">
      <alignment horizontal="center" vertical="center"/>
    </xf>
    <xf numFmtId="49" fontId="0" fillId="51" borderId="200" xfId="0" applyNumberFormat="1" applyFill="1" applyBorder="1">
      <alignment horizontal="center" vertical="center"/>
    </xf>
    <xf numFmtId="0" fontId="0" fillId="71" borderId="292" xfId="0" applyFill="1" applyBorder="1">
      <alignment horizontal="center" vertical="center"/>
    </xf>
    <xf numFmtId="0" fontId="0" fillId="70" borderId="185" xfId="44" applyFont="1" applyBorder="1">
      <alignment horizontal="center" vertical="center"/>
    </xf>
    <xf numFmtId="0" fontId="0" fillId="51" borderId="301" xfId="0" applyFill="1" applyBorder="1">
      <alignment horizontal="center" vertical="center"/>
    </xf>
    <xf numFmtId="0" fontId="5" fillId="54" borderId="191" xfId="50" applyBorder="1">
      <alignment horizontal="center" vertical="center"/>
    </xf>
    <xf numFmtId="0" fontId="0" fillId="79" borderId="191" xfId="0" applyFill="1" applyBorder="1">
      <alignment horizontal="center" vertical="center"/>
    </xf>
    <xf numFmtId="0" fontId="5" fillId="0" borderId="302" xfId="0" applyFont="1" applyBorder="1" applyAlignment="1">
      <alignment horizontal="left"/>
    </xf>
    <xf numFmtId="0" fontId="5" fillId="51" borderId="185" xfId="47" applyFill="1" applyBorder="1">
      <alignment horizontal="center" vertical="center"/>
    </xf>
    <xf numFmtId="0" fontId="0" fillId="53" borderId="226" xfId="54" applyFont="1" applyFill="1" applyBorder="1" applyAlignment="1">
      <alignment horizontal="center" vertical="center"/>
    </xf>
    <xf numFmtId="0" fontId="0" fillId="53" borderId="267" xfId="52" applyFont="1" applyFill="1" applyBorder="1">
      <alignment horizontal="center" vertical="center"/>
    </xf>
    <xf numFmtId="0" fontId="0" fillId="75" borderId="191" xfId="51" applyFont="1" applyFill="1" applyBorder="1">
      <alignment horizontal="center" vertical="center"/>
    </xf>
    <xf numFmtId="0" fontId="5" fillId="0" borderId="303" xfId="52" applyBorder="1">
      <alignment horizontal="center" vertical="center"/>
    </xf>
    <xf numFmtId="0" fontId="5" fillId="57" borderId="226" xfId="47" applyBorder="1">
      <alignment horizontal="center" vertical="center"/>
    </xf>
    <xf numFmtId="0" fontId="0" fillId="51" borderId="136" xfId="0" applyFill="1" applyBorder="1">
      <alignment horizontal="center" vertical="center"/>
    </xf>
    <xf numFmtId="0" fontId="0" fillId="57" borderId="183" xfId="47" applyFont="1" applyBorder="1">
      <alignment horizontal="center" vertical="center"/>
    </xf>
    <xf numFmtId="0" fontId="5" fillId="57" borderId="185" xfId="47" applyBorder="1">
      <alignment horizontal="center" vertical="center"/>
    </xf>
    <xf numFmtId="0" fontId="0" fillId="0" borderId="211" xfId="0" applyBorder="1">
      <alignment horizontal="center" vertical="center"/>
    </xf>
    <xf numFmtId="0" fontId="0" fillId="57" borderId="211" xfId="0" applyFill="1" applyBorder="1">
      <alignment horizontal="center" vertical="center"/>
    </xf>
    <xf numFmtId="0" fontId="0" fillId="57" borderId="212" xfId="52" applyFont="1" applyFill="1" applyBorder="1">
      <alignment horizontal="center" vertical="center"/>
    </xf>
    <xf numFmtId="0" fontId="0" fillId="57" borderId="191" xfId="0" applyFill="1" applyBorder="1">
      <alignment horizontal="center" vertical="center"/>
    </xf>
    <xf numFmtId="0" fontId="0" fillId="72" borderId="185" xfId="51" applyFont="1" applyFill="1" applyBorder="1">
      <alignment horizontal="center" vertical="center"/>
    </xf>
    <xf numFmtId="0" fontId="5" fillId="0" borderId="206" xfId="43" applyFill="1" applyBorder="1">
      <alignment horizontal="center" vertical="center"/>
    </xf>
    <xf numFmtId="0" fontId="0" fillId="0" borderId="206" xfId="0" applyBorder="1">
      <alignment horizontal="center" vertical="center"/>
    </xf>
    <xf numFmtId="0" fontId="7" fillId="0" borderId="304" xfId="0" applyFont="1" applyBorder="1">
      <alignment horizontal="center" vertical="center"/>
    </xf>
    <xf numFmtId="0" fontId="5" fillId="0" borderId="297" xfId="0" applyFont="1" applyBorder="1">
      <alignment horizontal="center" vertical="center"/>
    </xf>
    <xf numFmtId="49" fontId="0" fillId="71" borderId="226" xfId="0" applyNumberFormat="1" applyFill="1" applyBorder="1">
      <alignment horizontal="center" vertical="center"/>
    </xf>
    <xf numFmtId="0" fontId="0" fillId="0" borderId="305" xfId="0" applyBorder="1" applyAlignment="1">
      <alignment horizontal="left" vertical="center"/>
    </xf>
    <xf numFmtId="0" fontId="0" fillId="54" borderId="226" xfId="50" applyFont="1" applyBorder="1">
      <alignment horizontal="center" vertical="center"/>
    </xf>
    <xf numFmtId="1" fontId="0" fillId="52" borderId="185" xfId="0" applyNumberFormat="1" applyFill="1" applyBorder="1">
      <alignment horizontal="center" vertical="center"/>
    </xf>
    <xf numFmtId="0" fontId="0" fillId="52" borderId="185" xfId="44" applyFont="1" applyFill="1" applyBorder="1">
      <alignment horizontal="center" vertical="center"/>
    </xf>
    <xf numFmtId="0" fontId="5" fillId="51" borderId="185" xfId="43" applyFill="1" applyBorder="1">
      <alignment horizontal="center" vertical="center"/>
    </xf>
    <xf numFmtId="0" fontId="0" fillId="71" borderId="185" xfId="49" applyFont="1" applyFill="1" applyBorder="1">
      <alignment horizontal="center" vertical="center"/>
    </xf>
    <xf numFmtId="0" fontId="0" fillId="51" borderId="303" xfId="52" applyFont="1" applyFill="1" applyBorder="1">
      <alignment horizontal="center" vertical="center"/>
    </xf>
    <xf numFmtId="0" fontId="0" fillId="51" borderId="303" xfId="48" applyFont="1" applyFill="1" applyBorder="1">
      <alignment horizontal="center" vertical="center"/>
    </xf>
    <xf numFmtId="49" fontId="0" fillId="57" borderId="191" xfId="0" applyNumberFormat="1" applyFill="1" applyBorder="1">
      <alignment horizontal="center" vertical="center"/>
    </xf>
    <xf numFmtId="49" fontId="0" fillId="55" borderId="185" xfId="0" applyNumberFormat="1" applyFill="1" applyBorder="1">
      <alignment horizontal="center" vertical="center"/>
    </xf>
    <xf numFmtId="0" fontId="0" fillId="56" borderId="185" xfId="43" applyFont="1" applyFill="1" applyBorder="1">
      <alignment horizontal="center" vertical="center"/>
    </xf>
    <xf numFmtId="0" fontId="0" fillId="56" borderId="191" xfId="44" applyFont="1" applyFill="1" applyBorder="1">
      <alignment horizontal="center" vertical="center"/>
    </xf>
    <xf numFmtId="0" fontId="0" fillId="71" borderId="226" xfId="52" applyFont="1" applyFill="1" applyBorder="1">
      <alignment horizontal="center" vertical="center"/>
    </xf>
    <xf numFmtId="49" fontId="0" fillId="53" borderId="226" xfId="54" applyNumberFormat="1" applyFont="1" applyFill="1" applyBorder="1" applyAlignment="1">
      <alignment horizontal="center" vertical="center"/>
    </xf>
    <xf numFmtId="0" fontId="0" fillId="0" borderId="306" xfId="52" applyFont="1" applyBorder="1">
      <alignment horizontal="center" vertical="center"/>
    </xf>
    <xf numFmtId="0" fontId="0" fillId="57" borderId="226" xfId="45" applyFont="1" applyFill="1" applyBorder="1">
      <alignment horizontal="center" vertical="center"/>
    </xf>
    <xf numFmtId="0" fontId="0" fillId="51" borderId="306" xfId="52" applyFont="1" applyFill="1" applyBorder="1">
      <alignment horizontal="center" vertical="center"/>
    </xf>
    <xf numFmtId="0" fontId="5" fillId="0" borderId="306" xfId="52" applyBorder="1">
      <alignment horizontal="center" vertical="center"/>
    </xf>
    <xf numFmtId="0" fontId="0" fillId="0" borderId="306" xfId="52" applyFont="1" applyBorder="1" applyAlignment="1">
      <alignment horizontal="left" vertical="center"/>
    </xf>
    <xf numFmtId="0" fontId="5" fillId="0" borderId="226" xfId="52" applyBorder="1" applyAlignment="1">
      <alignment vertical="center"/>
    </xf>
    <xf numFmtId="0" fontId="43" fillId="51" borderId="303" xfId="0" applyFont="1" applyFill="1" applyBorder="1" applyAlignment="1">
      <alignment horizontal="left" vertical="center"/>
    </xf>
    <xf numFmtId="0" fontId="0" fillId="71" borderId="211" xfId="0" applyFill="1" applyBorder="1">
      <alignment horizontal="center" vertical="center"/>
    </xf>
    <xf numFmtId="0" fontId="5" fillId="51" borderId="211" xfId="44" applyFill="1" applyBorder="1">
      <alignment horizontal="center" vertical="center"/>
    </xf>
    <xf numFmtId="0" fontId="5" fillId="53" borderId="203" xfId="43" applyBorder="1">
      <alignment horizontal="center" vertical="center"/>
    </xf>
    <xf numFmtId="0" fontId="5" fillId="70" borderId="203" xfId="44" applyBorder="1">
      <alignment horizontal="center" vertical="center"/>
    </xf>
    <xf numFmtId="0" fontId="0" fillId="0" borderId="203" xfId="0" applyBorder="1" applyAlignment="1">
      <alignment horizontal="left" vertical="center"/>
    </xf>
    <xf numFmtId="0" fontId="0" fillId="57" borderId="301" xfId="0" applyFill="1" applyBorder="1">
      <alignment horizontal="center" vertical="center"/>
    </xf>
    <xf numFmtId="0" fontId="5" fillId="57" borderId="301" xfId="47" applyBorder="1">
      <alignment horizontal="center" vertical="center"/>
    </xf>
    <xf numFmtId="0" fontId="0" fillId="51" borderId="185" xfId="20" applyNumberFormat="1" applyFont="1" applyFill="1" applyBorder="1" applyAlignment="1">
      <alignment horizontal="center" vertical="center"/>
    </xf>
    <xf numFmtId="0" fontId="0" fillId="52" borderId="206" xfId="0" applyFill="1" applyBorder="1">
      <alignment horizontal="center" vertical="center"/>
    </xf>
    <xf numFmtId="49" fontId="0" fillId="70" borderId="206" xfId="0" applyNumberFormat="1" applyFill="1" applyBorder="1">
      <alignment horizontal="center" vertical="center"/>
    </xf>
    <xf numFmtId="0" fontId="0" fillId="52" borderId="206" xfId="52" applyFont="1" applyFill="1" applyBorder="1">
      <alignment horizontal="center" vertical="center"/>
    </xf>
    <xf numFmtId="0" fontId="5" fillId="51" borderId="206" xfId="48" applyFill="1" applyBorder="1">
      <alignment horizontal="center" vertical="center"/>
    </xf>
    <xf numFmtId="49" fontId="0" fillId="56" borderId="226" xfId="0" applyNumberFormat="1" applyFill="1" applyBorder="1">
      <alignment horizontal="center" vertical="center"/>
    </xf>
    <xf numFmtId="49" fontId="0" fillId="72" borderId="226" xfId="0" applyNumberFormat="1" applyFill="1" applyBorder="1">
      <alignment horizontal="center" vertical="center"/>
    </xf>
    <xf numFmtId="49" fontId="59" fillId="53" borderId="226" xfId="0" applyNumberFormat="1" applyFont="1" applyFill="1" applyBorder="1">
      <alignment horizontal="center" vertical="center"/>
    </xf>
    <xf numFmtId="0" fontId="0" fillId="0" borderId="279" xfId="0" applyBorder="1" applyAlignment="1">
      <alignment horizontal="left" vertical="center"/>
    </xf>
    <xf numFmtId="0" fontId="0" fillId="0" borderId="280" xfId="0" applyBorder="1" applyAlignment="1">
      <alignment horizontal="left" vertical="center"/>
    </xf>
    <xf numFmtId="0" fontId="0" fillId="0" borderId="307" xfId="0" applyBorder="1" applyAlignment="1">
      <alignment horizontal="left" vertical="center"/>
    </xf>
    <xf numFmtId="0" fontId="2" fillId="0" borderId="308" xfId="0" applyFont="1" applyBorder="1" applyAlignment="1">
      <alignment horizontal="left"/>
    </xf>
    <xf numFmtId="0" fontId="0" fillId="0" borderId="308" xfId="0" applyBorder="1" applyAlignment="1">
      <alignment horizontal="left" vertical="center"/>
    </xf>
    <xf numFmtId="0" fontId="0" fillId="0" borderId="309" xfId="0" applyBorder="1" applyAlignment="1">
      <alignment horizontal="left" vertical="center"/>
    </xf>
    <xf numFmtId="0" fontId="0" fillId="0" borderId="310" xfId="0" applyBorder="1" applyAlignment="1">
      <alignment horizontal="left" vertical="center"/>
    </xf>
    <xf numFmtId="49" fontId="0" fillId="0" borderId="311" xfId="0" applyNumberFormat="1" applyBorder="1" applyAlignment="1">
      <alignment horizontal="left"/>
    </xf>
    <xf numFmtId="0" fontId="45" fillId="0" borderId="299" xfId="0" applyFont="1" applyBorder="1" applyAlignment="1">
      <alignment vertical="center"/>
    </xf>
    <xf numFmtId="0" fontId="44" fillId="0" borderId="185" xfId="0" applyFont="1" applyBorder="1" applyAlignment="1">
      <alignment vertical="center"/>
    </xf>
    <xf numFmtId="0" fontId="13" fillId="0" borderId="185" xfId="0" applyFont="1" applyBorder="1" applyAlignment="1">
      <alignment vertical="center"/>
    </xf>
    <xf numFmtId="0" fontId="13" fillId="0" borderId="203" xfId="0" applyFont="1" applyBorder="1" applyAlignment="1">
      <alignment vertical="center"/>
    </xf>
    <xf numFmtId="1" fontId="0" fillId="71" borderId="185" xfId="0" applyNumberFormat="1" applyFill="1" applyBorder="1">
      <alignment horizontal="center" vertical="center"/>
    </xf>
    <xf numFmtId="0" fontId="0" fillId="51" borderId="312" xfId="0" applyFill="1" applyBorder="1">
      <alignment horizontal="center" vertical="center"/>
    </xf>
    <xf numFmtId="0" fontId="5" fillId="0" borderId="313" xfId="0" applyFont="1" applyBorder="1" applyAlignment="1">
      <alignment horizontal="left" vertical="center"/>
    </xf>
    <xf numFmtId="0" fontId="0" fillId="51" borderId="313" xfId="43" applyFont="1" applyFill="1" applyBorder="1">
      <alignment horizontal="center" vertical="center"/>
    </xf>
    <xf numFmtId="0" fontId="0" fillId="51" borderId="313" xfId="46" applyFont="1" applyFill="1" applyBorder="1">
      <alignment horizontal="center" vertical="center"/>
    </xf>
    <xf numFmtId="0" fontId="0" fillId="0" borderId="313" xfId="0" applyBorder="1" applyAlignment="1">
      <alignment vertical="center"/>
    </xf>
    <xf numFmtId="0" fontId="0" fillId="79" borderId="313" xfId="48" applyFont="1" applyFill="1" applyBorder="1">
      <alignment horizontal="center" vertical="center"/>
    </xf>
    <xf numFmtId="0" fontId="0" fillId="79" borderId="313" xfId="0" applyFill="1" applyBorder="1">
      <alignment horizontal="center" vertical="center"/>
    </xf>
    <xf numFmtId="0" fontId="0" fillId="79" borderId="313" xfId="52" applyFont="1" applyFill="1" applyBorder="1">
      <alignment horizontal="center" vertical="center"/>
    </xf>
    <xf numFmtId="0" fontId="0" fillId="0" borderId="313" xfId="52" applyFont="1" applyBorder="1">
      <alignment horizontal="center" vertical="center"/>
    </xf>
    <xf numFmtId="0" fontId="0" fillId="52" borderId="185" xfId="0" applyFill="1" applyBorder="1">
      <alignment horizontal="center" vertical="center"/>
    </xf>
    <xf numFmtId="0" fontId="0" fillId="55" borderId="185" xfId="44" applyFont="1" applyFill="1" applyBorder="1">
      <alignment horizontal="center" vertical="center"/>
    </xf>
    <xf numFmtId="0" fontId="5" fillId="51" borderId="185" xfId="45" applyFill="1" applyBorder="1">
      <alignment horizontal="center" vertical="center"/>
    </xf>
    <xf numFmtId="0" fontId="0" fillId="55" borderId="226" xfId="48" applyFont="1" applyFill="1" applyBorder="1">
      <alignment horizontal="center" vertical="center"/>
    </xf>
    <xf numFmtId="0" fontId="5" fillId="0" borderId="312" xfId="52" applyBorder="1">
      <alignment horizontal="center" vertical="center"/>
    </xf>
    <xf numFmtId="0" fontId="0" fillId="55" borderId="312" xfId="0" applyFill="1" applyBorder="1">
      <alignment horizontal="center" vertical="center"/>
    </xf>
    <xf numFmtId="0" fontId="0" fillId="55" borderId="185" xfId="43" applyFont="1" applyFill="1" applyBorder="1">
      <alignment horizontal="center" vertical="center"/>
    </xf>
    <xf numFmtId="0" fontId="0" fillId="55" borderId="226" xfId="44" applyFont="1" applyFill="1" applyBorder="1">
      <alignment horizontal="center" vertical="center"/>
    </xf>
    <xf numFmtId="0" fontId="5" fillId="53" borderId="312" xfId="43" applyBorder="1">
      <alignment horizontal="center" vertical="center"/>
    </xf>
    <xf numFmtId="49" fontId="0" fillId="51" borderId="312" xfId="0" applyNumberFormat="1" applyFill="1" applyBorder="1">
      <alignment horizontal="center" vertical="center"/>
    </xf>
    <xf numFmtId="0" fontId="0" fillId="58" borderId="226" xfId="48" applyFont="1" applyFill="1" applyBorder="1">
      <alignment horizontal="center" vertical="center"/>
    </xf>
    <xf numFmtId="0" fontId="0" fillId="0" borderId="226" xfId="48" applyFont="1" applyFill="1" applyBorder="1">
      <alignment horizontal="center" vertical="center"/>
    </xf>
    <xf numFmtId="0" fontId="0" fillId="51" borderId="312" xfId="52" applyFont="1" applyFill="1" applyBorder="1">
      <alignment horizontal="center" vertical="center"/>
    </xf>
    <xf numFmtId="0" fontId="0" fillId="85" borderId="226" xfId="0" applyFill="1" applyBorder="1">
      <alignment horizontal="center" vertical="center"/>
    </xf>
    <xf numFmtId="0" fontId="0" fillId="0" borderId="224" xfId="52" applyFont="1" applyBorder="1">
      <alignment horizontal="center" vertical="center"/>
    </xf>
    <xf numFmtId="0" fontId="0" fillId="55" borderId="224" xfId="52" applyFont="1" applyFill="1" applyBorder="1">
      <alignment horizontal="center" vertical="center"/>
    </xf>
    <xf numFmtId="0" fontId="0" fillId="51" borderId="224" xfId="52" applyFont="1" applyFill="1" applyBorder="1">
      <alignment horizontal="center" vertical="center"/>
    </xf>
    <xf numFmtId="0" fontId="0" fillId="0" borderId="314" xfId="52" applyFont="1" applyBorder="1">
      <alignment horizontal="center" vertical="center"/>
    </xf>
    <xf numFmtId="0" fontId="0" fillId="0" borderId="294" xfId="52" applyFont="1" applyBorder="1" applyAlignment="1">
      <alignment horizontal="left" vertical="center"/>
    </xf>
    <xf numFmtId="0" fontId="0" fillId="0" borderId="231" xfId="52" applyFont="1" applyBorder="1">
      <alignment horizontal="center" vertical="center"/>
    </xf>
    <xf numFmtId="0" fontId="5" fillId="0" borderId="294" xfId="52" applyBorder="1" applyAlignment="1">
      <alignment horizontal="left" vertical="center"/>
    </xf>
    <xf numFmtId="0" fontId="0" fillId="51" borderId="295" xfId="0" applyFill="1" applyBorder="1">
      <alignment horizontal="center" vertical="center"/>
    </xf>
    <xf numFmtId="0" fontId="0" fillId="57" borderId="203" xfId="0" applyFill="1" applyBorder="1">
      <alignment horizontal="center" vertical="center"/>
    </xf>
    <xf numFmtId="0" fontId="0" fillId="57" borderId="203" xfId="43" applyFont="1" applyFill="1" applyBorder="1">
      <alignment horizontal="center" vertical="center"/>
    </xf>
    <xf numFmtId="0" fontId="0" fillId="57" borderId="203" xfId="47" applyFont="1" applyBorder="1">
      <alignment horizontal="center" vertical="center"/>
    </xf>
    <xf numFmtId="0" fontId="0" fillId="57" borderId="185" xfId="47" applyFont="1" applyBorder="1">
      <alignment horizontal="center" vertical="center"/>
    </xf>
    <xf numFmtId="0" fontId="0" fillId="57" borderId="226" xfId="53" applyFont="1" applyFill="1" applyBorder="1" applyAlignment="1">
      <alignment horizontal="center" vertical="center"/>
    </xf>
    <xf numFmtId="0" fontId="0" fillId="57" borderId="188" xfId="0" applyFill="1" applyBorder="1">
      <alignment horizontal="center" vertical="center"/>
    </xf>
    <xf numFmtId="0" fontId="5" fillId="0" borderId="315" xfId="52" applyBorder="1">
      <alignment horizontal="center" vertical="center"/>
    </xf>
    <xf numFmtId="49" fontId="0" fillId="56" borderId="185" xfId="52" applyNumberFormat="1" applyFont="1" applyFill="1" applyBorder="1">
      <alignment horizontal="center" vertical="center"/>
    </xf>
    <xf numFmtId="49" fontId="0" fillId="84" borderId="185" xfId="0" applyNumberFormat="1" applyFill="1" applyBorder="1">
      <alignment horizontal="center" vertical="center"/>
    </xf>
    <xf numFmtId="0" fontId="0" fillId="84" borderId="185" xfId="0" applyFill="1" applyBorder="1">
      <alignment horizontal="center" vertical="center"/>
    </xf>
    <xf numFmtId="0" fontId="5" fillId="58" borderId="185" xfId="33" applyBorder="1">
      <alignment horizontal="center" vertical="center"/>
    </xf>
    <xf numFmtId="0" fontId="5" fillId="84" borderId="185" xfId="48" applyFill="1" applyBorder="1">
      <alignment horizontal="center" vertical="center"/>
    </xf>
    <xf numFmtId="0" fontId="0" fillId="55" borderId="193" xfId="51" applyFont="1" applyFill="1" applyBorder="1">
      <alignment horizontal="center" vertical="center"/>
    </xf>
    <xf numFmtId="0" fontId="5" fillId="51" borderId="185" xfId="52" applyFill="1" applyBorder="1">
      <alignment horizontal="center" vertical="center"/>
    </xf>
    <xf numFmtId="0" fontId="0" fillId="70" borderId="191" xfId="47" applyFont="1" applyFill="1" applyBorder="1">
      <alignment horizontal="center" vertical="center"/>
    </xf>
    <xf numFmtId="0" fontId="0" fillId="0" borderId="316" xfId="0" applyBorder="1" applyAlignment="1">
      <alignment horizontal="center"/>
    </xf>
    <xf numFmtId="0" fontId="5" fillId="0" borderId="317" xfId="0" applyFont="1" applyBorder="1">
      <alignment horizontal="center" vertical="center"/>
    </xf>
    <xf numFmtId="0" fontId="5" fillId="0" borderId="318" xfId="0" applyFont="1" applyBorder="1">
      <alignment horizontal="center" vertical="center"/>
    </xf>
    <xf numFmtId="49" fontId="5" fillId="0" borderId="317" xfId="0" applyNumberFormat="1" applyFont="1" applyBorder="1">
      <alignment horizontal="center" vertical="center"/>
    </xf>
    <xf numFmtId="0" fontId="7" fillId="0" borderId="317" xfId="0" applyFont="1" applyBorder="1">
      <alignment horizontal="center" vertical="center"/>
    </xf>
    <xf numFmtId="0" fontId="0" fillId="55" borderId="226" xfId="45" applyFont="1" applyBorder="1">
      <alignment horizontal="center" vertical="center"/>
    </xf>
    <xf numFmtId="0" fontId="0" fillId="56" borderId="226" xfId="52" applyFont="1" applyFill="1" applyBorder="1">
      <alignment horizontal="center" vertical="center"/>
    </xf>
    <xf numFmtId="0" fontId="5" fillId="58" borderId="226" xfId="43" applyFill="1" applyBorder="1">
      <alignment horizontal="center" vertical="center"/>
    </xf>
    <xf numFmtId="49" fontId="0" fillId="54" borderId="226" xfId="0" applyNumberFormat="1" applyFill="1" applyBorder="1">
      <alignment horizontal="center" vertical="center"/>
    </xf>
    <xf numFmtId="0" fontId="0" fillId="51" borderId="319" xfId="0" applyFill="1" applyBorder="1">
      <alignment horizontal="center" vertical="center"/>
    </xf>
    <xf numFmtId="0" fontId="0" fillId="0" borderId="313" xfId="0" applyBorder="1" applyAlignment="1" applyProtection="1">
      <alignment horizontal="center"/>
      <protection locked="0"/>
    </xf>
    <xf numFmtId="0" fontId="5" fillId="54" borderId="313" xfId="50" applyBorder="1">
      <alignment horizontal="center" vertical="center"/>
    </xf>
    <xf numFmtId="0" fontId="5" fillId="56" borderId="313" xfId="46" applyBorder="1">
      <alignment horizontal="center" vertical="center"/>
    </xf>
    <xf numFmtId="0" fontId="35" fillId="17" borderId="320" xfId="34" applyBorder="1" applyAlignment="1">
      <alignment horizontal="center" vertical="center"/>
    </xf>
    <xf numFmtId="0" fontId="1" fillId="0" borderId="313" xfId="0" applyFont="1" applyBorder="1" applyAlignment="1" applyProtection="1">
      <alignment horizontal="center"/>
      <protection locked="0"/>
    </xf>
    <xf numFmtId="0" fontId="0" fillId="51" borderId="319" xfId="48" applyFont="1" applyFill="1" applyBorder="1">
      <alignment horizontal="center" vertical="center"/>
    </xf>
    <xf numFmtId="0" fontId="0" fillId="51" borderId="319" xfId="51" applyFont="1" applyFill="1" applyBorder="1">
      <alignment horizontal="center" vertical="center"/>
    </xf>
    <xf numFmtId="0" fontId="5" fillId="0" borderId="313" xfId="0" applyFont="1" applyBorder="1" applyAlignment="1">
      <alignment vertical="center"/>
    </xf>
    <xf numFmtId="0" fontId="13" fillId="0" borderId="313" xfId="0" applyFont="1" applyBorder="1" applyAlignment="1">
      <alignment vertical="center"/>
    </xf>
    <xf numFmtId="49" fontId="0" fillId="51" borderId="319" xfId="0" applyNumberFormat="1" applyFill="1" applyBorder="1">
      <alignment horizontal="center" vertical="center"/>
    </xf>
    <xf numFmtId="0" fontId="0" fillId="0" borderId="313" xfId="0" applyBorder="1">
      <alignment horizontal="center" vertical="center"/>
    </xf>
    <xf numFmtId="0" fontId="0" fillId="51" borderId="313" xfId="33" applyFont="1" applyFill="1" applyBorder="1">
      <alignment horizontal="center" vertical="center"/>
    </xf>
    <xf numFmtId="0" fontId="5" fillId="51" borderId="313" xfId="0" applyFont="1" applyFill="1" applyBorder="1" applyAlignment="1">
      <alignment vertical="center"/>
    </xf>
    <xf numFmtId="0" fontId="0" fillId="0" borderId="315" xfId="0" applyBorder="1">
      <alignment horizontal="center" vertical="center"/>
    </xf>
    <xf numFmtId="0" fontId="0" fillId="0" borderId="321" xfId="0" applyBorder="1">
      <alignment horizontal="center" vertical="center"/>
    </xf>
    <xf numFmtId="0" fontId="2" fillId="0" borderId="315" xfId="0" applyFont="1" applyBorder="1" applyAlignment="1">
      <alignment horizontal="left"/>
    </xf>
    <xf numFmtId="0" fontId="0" fillId="0" borderId="322" xfId="0" applyBorder="1">
      <alignment horizontal="center" vertical="center"/>
    </xf>
    <xf numFmtId="0" fontId="0" fillId="0" borderId="315" xfId="0" applyBorder="1" applyAlignment="1">
      <alignment horizontal="left" vertical="center"/>
    </xf>
    <xf numFmtId="0" fontId="0" fillId="0" borderId="321" xfId="0" applyBorder="1" applyAlignment="1">
      <alignment horizontal="left" vertical="center"/>
    </xf>
    <xf numFmtId="0" fontId="0" fillId="0" borderId="322" xfId="0" applyBorder="1" applyAlignment="1">
      <alignment horizontal="left" vertical="center"/>
    </xf>
    <xf numFmtId="0" fontId="2" fillId="0" borderId="322" xfId="0" applyFont="1" applyBorder="1" applyAlignment="1">
      <alignment horizontal="left"/>
    </xf>
    <xf numFmtId="0" fontId="0" fillId="0" borderId="323" xfId="0" applyBorder="1">
      <alignment horizontal="center" vertical="center"/>
    </xf>
    <xf numFmtId="0" fontId="0" fillId="0" borderId="322" xfId="0" applyBorder="1" applyAlignment="1">
      <alignment horizontal="left"/>
    </xf>
    <xf numFmtId="0" fontId="0" fillId="0" borderId="315" xfId="0" applyBorder="1" applyAlignment="1">
      <alignment horizontal="center"/>
    </xf>
    <xf numFmtId="1" fontId="0" fillId="51" borderId="313" xfId="32" applyNumberFormat="1" applyFont="1" applyFill="1" applyBorder="1" applyAlignment="1">
      <alignment horizontal="center" vertical="center"/>
    </xf>
    <xf numFmtId="0" fontId="0" fillId="53" borderId="185" xfId="44" applyFont="1" applyFill="1" applyBorder="1">
      <alignment horizontal="center" vertical="center"/>
    </xf>
    <xf numFmtId="0" fontId="0" fillId="43" borderId="313" xfId="0" applyFill="1" applyBorder="1" applyAlignment="1" applyProtection="1">
      <alignment horizontal="center"/>
      <protection locked="0"/>
    </xf>
    <xf numFmtId="0" fontId="0" fillId="0" borderId="313" xfId="52" applyFont="1" applyBorder="1" applyAlignment="1">
      <alignment vertical="center"/>
    </xf>
    <xf numFmtId="0" fontId="0" fillId="51" borderId="313" xfId="52" applyFont="1" applyFill="1" applyBorder="1">
      <alignment horizontal="center" vertical="center"/>
    </xf>
    <xf numFmtId="0" fontId="0" fillId="55" borderId="313" xfId="52" applyFont="1" applyFill="1" applyBorder="1">
      <alignment horizontal="center" vertical="center"/>
    </xf>
    <xf numFmtId="0" fontId="0" fillId="51" borderId="313" xfId="0" applyFill="1" applyBorder="1">
      <alignment horizontal="center" vertical="center"/>
    </xf>
    <xf numFmtId="0" fontId="0" fillId="55" borderId="313" xfId="44" applyFont="1" applyFill="1" applyBorder="1">
      <alignment horizontal="center" vertical="center"/>
    </xf>
    <xf numFmtId="0" fontId="0" fillId="55" borderId="313" xfId="45" applyFont="1" applyBorder="1">
      <alignment horizontal="center" vertical="center"/>
    </xf>
    <xf numFmtId="0" fontId="0" fillId="0" borderId="313" xfId="0" applyBorder="1" applyAlignment="1">
      <alignment horizontal="left" vertical="center"/>
    </xf>
    <xf numFmtId="0" fontId="5" fillId="52" borderId="313" xfId="48" applyBorder="1">
      <alignment horizontal="center" vertical="center"/>
    </xf>
    <xf numFmtId="0" fontId="0" fillId="51" borderId="313" xfId="48" applyFont="1" applyFill="1" applyBorder="1">
      <alignment horizontal="center" vertical="center"/>
    </xf>
    <xf numFmtId="0" fontId="0" fillId="51" borderId="313" xfId="44" applyFont="1" applyFill="1" applyBorder="1">
      <alignment horizontal="center" vertical="center"/>
    </xf>
    <xf numFmtId="0" fontId="0" fillId="51" borderId="313" xfId="45" applyFont="1" applyFill="1" applyBorder="1">
      <alignment horizontal="center" vertical="center"/>
    </xf>
    <xf numFmtId="0" fontId="0" fillId="53" borderId="185" xfId="43" applyFont="1" applyBorder="1">
      <alignment horizontal="center" vertical="center"/>
    </xf>
    <xf numFmtId="49" fontId="0" fillId="56" borderId="191" xfId="0" applyNumberFormat="1" applyFill="1" applyBorder="1">
      <alignment horizontal="center" vertical="center"/>
    </xf>
    <xf numFmtId="0" fontId="0" fillId="51" borderId="313" xfId="0" applyFill="1" applyBorder="1" applyAlignment="1" applyProtection="1">
      <alignment horizontal="left" vertical="center"/>
      <protection locked="0"/>
    </xf>
    <xf numFmtId="0" fontId="0" fillId="51" borderId="313" xfId="0" applyFill="1" applyBorder="1" applyAlignment="1">
      <alignment horizontal="left" vertical="center"/>
    </xf>
    <xf numFmtId="0" fontId="0" fillId="51" borderId="313" xfId="47" applyFont="1" applyFill="1" applyBorder="1">
      <alignment horizontal="center" vertical="center"/>
    </xf>
    <xf numFmtId="0" fontId="0" fillId="70" borderId="313" xfId="0" applyFill="1" applyBorder="1">
      <alignment horizontal="center" vertical="center"/>
    </xf>
    <xf numFmtId="0" fontId="0" fillId="55" borderId="313" xfId="0" applyFill="1" applyBorder="1">
      <alignment horizontal="center" vertical="center"/>
    </xf>
    <xf numFmtId="0" fontId="0" fillId="52" borderId="313" xfId="48" applyFont="1" applyBorder="1">
      <alignment horizontal="center" vertical="center"/>
    </xf>
    <xf numFmtId="0" fontId="0" fillId="51" borderId="313" xfId="0" applyFill="1" applyBorder="1" applyAlignment="1">
      <alignment vertical="center"/>
    </xf>
    <xf numFmtId="0" fontId="5" fillId="0" borderId="313" xfId="48" applyFill="1" applyBorder="1">
      <alignment horizontal="center" vertical="center"/>
    </xf>
    <xf numFmtId="0" fontId="0" fillId="0" borderId="313" xfId="48" applyFont="1" applyFill="1" applyBorder="1">
      <alignment horizontal="center" vertical="center"/>
    </xf>
    <xf numFmtId="0" fontId="0" fillId="51" borderId="313" xfId="32" applyFont="1" applyFill="1" applyBorder="1" applyAlignment="1">
      <alignment horizontal="center" vertical="center"/>
    </xf>
    <xf numFmtId="0" fontId="0" fillId="57" borderId="313" xfId="0" applyFill="1" applyBorder="1">
      <alignment horizontal="center" vertical="center"/>
    </xf>
    <xf numFmtId="0" fontId="0" fillId="53" borderId="313" xfId="0" applyFill="1" applyBorder="1">
      <alignment horizontal="center" vertical="center"/>
    </xf>
    <xf numFmtId="0" fontId="0" fillId="53" borderId="313" xfId="47" applyFont="1" applyFill="1" applyBorder="1">
      <alignment horizontal="center" vertical="center"/>
    </xf>
    <xf numFmtId="0" fontId="0" fillId="53" borderId="313" xfId="52" applyFont="1" applyFill="1" applyBorder="1">
      <alignment horizontal="center" vertical="center"/>
    </xf>
    <xf numFmtId="0" fontId="0" fillId="53" borderId="313" xfId="54" applyFont="1" applyFill="1" applyBorder="1" applyAlignment="1">
      <alignment horizontal="center" vertical="center"/>
    </xf>
    <xf numFmtId="49" fontId="0" fillId="53" borderId="313" xfId="54" applyNumberFormat="1" applyFont="1" applyFill="1" applyBorder="1" applyAlignment="1">
      <alignment horizontal="center" vertical="center"/>
    </xf>
    <xf numFmtId="49" fontId="0" fillId="53" borderId="313" xfId="0" applyNumberFormat="1" applyFill="1" applyBorder="1">
      <alignment horizontal="center" vertical="center"/>
    </xf>
    <xf numFmtId="0" fontId="0" fillId="53" borderId="312" xfId="52" applyFont="1" applyFill="1" applyBorder="1">
      <alignment horizontal="center" vertical="center"/>
    </xf>
    <xf numFmtId="0" fontId="0" fillId="0" borderId="313" xfId="52" applyFont="1" applyBorder="1" applyAlignment="1">
      <alignment horizontal="left" vertical="center"/>
    </xf>
    <xf numFmtId="0" fontId="0" fillId="52" borderId="313" xfId="0" applyFill="1" applyBorder="1">
      <alignment horizontal="center" vertical="center"/>
    </xf>
    <xf numFmtId="0" fontId="5" fillId="53" borderId="313" xfId="43" applyBorder="1">
      <alignment horizontal="center" vertical="center"/>
    </xf>
    <xf numFmtId="0" fontId="5" fillId="0" borderId="313" xfId="52" applyBorder="1">
      <alignment horizontal="center" vertical="center"/>
    </xf>
    <xf numFmtId="0" fontId="5" fillId="55" borderId="313" xfId="45" applyBorder="1">
      <alignment horizontal="center" vertical="center"/>
    </xf>
    <xf numFmtId="0" fontId="0" fillId="57" borderId="313" xfId="52" applyFont="1" applyFill="1" applyBorder="1">
      <alignment horizontal="center" vertical="center"/>
    </xf>
    <xf numFmtId="0" fontId="0" fillId="52" borderId="313" xfId="45" applyFont="1" applyFill="1" applyBorder="1">
      <alignment horizontal="center" vertical="center"/>
    </xf>
    <xf numFmtId="0" fontId="0" fillId="52" borderId="313" xfId="52" applyFont="1" applyFill="1" applyBorder="1">
      <alignment horizontal="center" vertical="center"/>
    </xf>
    <xf numFmtId="0" fontId="5" fillId="0" borderId="313" xfId="52" applyBorder="1" applyAlignment="1">
      <alignment vertical="center"/>
    </xf>
    <xf numFmtId="49" fontId="0" fillId="51" borderId="313" xfId="0" applyNumberFormat="1" applyFill="1" applyBorder="1">
      <alignment horizontal="center" vertical="center"/>
    </xf>
    <xf numFmtId="0" fontId="17" fillId="0" borderId="313" xfId="0" applyFont="1" applyBorder="1" applyAlignment="1" applyProtection="1">
      <alignment horizontal="center"/>
      <protection locked="0"/>
    </xf>
    <xf numFmtId="0" fontId="0" fillId="51" borderId="313" xfId="53" applyFont="1" applyFill="1" applyBorder="1" applyAlignment="1">
      <alignment horizontal="center" vertical="center"/>
    </xf>
    <xf numFmtId="0" fontId="0" fillId="57" borderId="313" xfId="53" applyFont="1" applyFill="1" applyBorder="1" applyAlignment="1">
      <alignment horizontal="center" vertical="center"/>
    </xf>
    <xf numFmtId="0" fontId="0" fillId="51" borderId="324" xfId="0" applyFill="1" applyBorder="1">
      <alignment horizontal="center" vertical="center"/>
    </xf>
    <xf numFmtId="0" fontId="0" fillId="57" borderId="324" xfId="0" applyFill="1" applyBorder="1">
      <alignment horizontal="center" vertical="center"/>
    </xf>
    <xf numFmtId="0" fontId="0" fillId="57" borderId="325" xfId="52" applyFont="1" applyFill="1" applyBorder="1">
      <alignment horizontal="center" vertical="center"/>
    </xf>
    <xf numFmtId="0" fontId="0" fillId="57" borderId="185" xfId="43" applyFont="1" applyFill="1" applyBorder="1">
      <alignment horizontal="center" vertical="center"/>
    </xf>
    <xf numFmtId="0" fontId="0" fillId="53" borderId="185" xfId="45" applyFont="1" applyFill="1" applyBorder="1">
      <alignment horizontal="center" vertical="center"/>
    </xf>
    <xf numFmtId="49" fontId="0" fillId="53" borderId="185" xfId="20" applyNumberFormat="1" applyFont="1" applyFill="1" applyBorder="1" applyAlignment="1">
      <alignment horizontal="center" vertical="center"/>
    </xf>
    <xf numFmtId="0" fontId="2" fillId="43" borderId="313" xfId="0" applyFont="1" applyFill="1" applyBorder="1" applyAlignment="1">
      <alignment horizontal="center"/>
    </xf>
    <xf numFmtId="49" fontId="0" fillId="71" borderId="313" xfId="0" applyNumberFormat="1" applyFill="1" applyBorder="1">
      <alignment horizontal="center" vertical="center"/>
    </xf>
    <xf numFmtId="49" fontId="13" fillId="0" borderId="313" xfId="0" applyNumberFormat="1" applyFont="1" applyBorder="1">
      <alignment horizontal="center" vertical="center"/>
    </xf>
    <xf numFmtId="49" fontId="0" fillId="0" borderId="313" xfId="0" applyNumberFormat="1" applyBorder="1">
      <alignment horizontal="center" vertical="center"/>
    </xf>
    <xf numFmtId="0" fontId="0" fillId="51" borderId="313" xfId="0" applyFill="1" applyBorder="1" applyAlignment="1">
      <alignment horizontal="left" vertical="center" wrapText="1"/>
    </xf>
    <xf numFmtId="49" fontId="0" fillId="52" borderId="313" xfId="0" applyNumberFormat="1" applyFill="1" applyBorder="1">
      <alignment horizontal="center" vertical="center"/>
    </xf>
    <xf numFmtId="49" fontId="0" fillId="51" borderId="313" xfId="34" applyNumberFormat="1" applyFont="1" applyFill="1" applyBorder="1" applyAlignment="1">
      <alignment horizontal="center" vertical="center"/>
    </xf>
    <xf numFmtId="0" fontId="0" fillId="51" borderId="313" xfId="0" quotePrefix="1" applyFill="1" applyBorder="1" applyAlignment="1">
      <alignment horizontal="left" vertical="center"/>
    </xf>
    <xf numFmtId="0" fontId="2" fillId="0" borderId="313" xfId="0" applyFont="1" applyBorder="1" applyAlignment="1">
      <alignment horizontal="center"/>
    </xf>
    <xf numFmtId="0" fontId="2" fillId="0" borderId="313" xfId="0" applyFont="1" applyBorder="1">
      <alignment horizontal="center" vertical="center"/>
    </xf>
    <xf numFmtId="0" fontId="1" fillId="0" borderId="313" xfId="0" applyFont="1" applyBorder="1" applyAlignment="1">
      <alignment horizontal="center"/>
    </xf>
    <xf numFmtId="0" fontId="2" fillId="0" borderId="313" xfId="0" applyFont="1" applyBorder="1" applyAlignment="1" applyProtection="1">
      <alignment horizontal="center"/>
      <protection locked="0"/>
    </xf>
    <xf numFmtId="0" fontId="0" fillId="0" borderId="313" xfId="0" applyBorder="1" applyAlignment="1">
      <alignment horizontal="left"/>
    </xf>
    <xf numFmtId="49" fontId="0" fillId="0" borderId="313" xfId="0" applyNumberFormat="1" applyBorder="1" applyAlignment="1">
      <alignment vertical="center"/>
    </xf>
    <xf numFmtId="0" fontId="0" fillId="0" borderId="326" xfId="0" applyBorder="1" applyAlignment="1" applyProtection="1">
      <alignment horizontal="center"/>
      <protection locked="0"/>
    </xf>
    <xf numFmtId="49" fontId="0" fillId="51" borderId="326" xfId="32" applyNumberFormat="1" applyFont="1" applyFill="1" applyBorder="1" applyAlignment="1">
      <alignment horizontal="center" vertical="center"/>
    </xf>
    <xf numFmtId="0" fontId="0" fillId="43" borderId="327" xfId="0" applyFill="1" applyBorder="1" applyAlignment="1">
      <alignment horizontal="center"/>
    </xf>
    <xf numFmtId="0" fontId="45" fillId="0" borderId="327" xfId="0" applyFont="1" applyBorder="1" applyAlignment="1">
      <alignment horizontal="left" vertical="center"/>
    </xf>
    <xf numFmtId="0" fontId="2" fillId="24" borderId="328" xfId="0" applyFont="1" applyFill="1" applyBorder="1">
      <alignment horizontal="center" vertical="center"/>
    </xf>
    <xf numFmtId="0" fontId="0" fillId="24" borderId="328" xfId="0" applyFill="1" applyBorder="1">
      <alignment horizontal="center" vertical="center"/>
    </xf>
    <xf numFmtId="0" fontId="0" fillId="24" borderId="329" xfId="0" applyFill="1" applyBorder="1">
      <alignment horizontal="center" vertical="center"/>
    </xf>
    <xf numFmtId="49" fontId="0" fillId="51" borderId="330" xfId="0" applyNumberFormat="1" applyFill="1" applyBorder="1">
      <alignment horizontal="center" vertical="center"/>
    </xf>
    <xf numFmtId="0" fontId="0" fillId="0" borderId="331" xfId="0" applyBorder="1" applyAlignment="1" applyProtection="1">
      <alignment horizontal="center"/>
      <protection locked="0"/>
    </xf>
    <xf numFmtId="0" fontId="5" fillId="53" borderId="327" xfId="43" applyBorder="1">
      <alignment horizontal="center" vertical="center"/>
    </xf>
    <xf numFmtId="0" fontId="0" fillId="51" borderId="327" xfId="45" applyFont="1" applyFill="1" applyBorder="1">
      <alignment horizontal="center" vertical="center"/>
    </xf>
    <xf numFmtId="49" fontId="0" fillId="51" borderId="332" xfId="0" applyNumberFormat="1" applyFill="1" applyBorder="1">
      <alignment horizontal="center" vertical="center"/>
    </xf>
    <xf numFmtId="0" fontId="2" fillId="0" borderId="333" xfId="0" applyFont="1" applyBorder="1" applyAlignment="1">
      <alignment horizontal="center"/>
    </xf>
    <xf numFmtId="0" fontId="2" fillId="0" borderId="334" xfId="0" applyFont="1" applyBorder="1" applyAlignment="1" applyProtection="1">
      <alignment horizontal="center"/>
      <protection locked="0"/>
    </xf>
    <xf numFmtId="0" fontId="4" fillId="0" borderId="331" xfId="0" applyFont="1" applyBorder="1" applyAlignment="1">
      <alignment horizontal="center"/>
    </xf>
    <xf numFmtId="0" fontId="0" fillId="0" borderId="326" xfId="0" applyBorder="1" applyAlignment="1">
      <alignment vertical="center"/>
    </xf>
    <xf numFmtId="0" fontId="0" fillId="0" borderId="330" xfId="0" applyBorder="1" applyAlignment="1" applyProtection="1">
      <alignment horizontal="center"/>
      <protection locked="0"/>
    </xf>
    <xf numFmtId="0" fontId="46" fillId="0" borderId="326" xfId="0" applyFont="1" applyBorder="1" applyAlignment="1">
      <alignment vertical="center"/>
    </xf>
    <xf numFmtId="0" fontId="45" fillId="0" borderId="335" xfId="0" applyFont="1" applyBorder="1" applyAlignment="1">
      <alignment vertical="center"/>
    </xf>
    <xf numFmtId="0" fontId="45" fillId="0" borderId="336" xfId="0" applyFont="1" applyBorder="1" applyAlignment="1">
      <alignment vertical="center"/>
    </xf>
    <xf numFmtId="49" fontId="0" fillId="51" borderId="337" xfId="0" applyNumberFormat="1" applyFill="1" applyBorder="1">
      <alignment horizontal="center" vertical="center"/>
    </xf>
    <xf numFmtId="49" fontId="0" fillId="51" borderId="331" xfId="0" applyNumberFormat="1" applyFill="1" applyBorder="1">
      <alignment horizontal="center" vertical="center"/>
    </xf>
    <xf numFmtId="0" fontId="0" fillId="51" borderId="331" xfId="0" applyFill="1" applyBorder="1">
      <alignment horizontal="center" vertical="center"/>
    </xf>
    <xf numFmtId="49" fontId="0" fillId="51" borderId="338" xfId="0" applyNumberFormat="1" applyFill="1" applyBorder="1">
      <alignment horizontal="center" vertical="center"/>
    </xf>
    <xf numFmtId="49" fontId="0" fillId="0" borderId="330" xfId="0" applyNumberFormat="1" applyBorder="1" applyAlignment="1"/>
    <xf numFmtId="0" fontId="2" fillId="0" borderId="331" xfId="0" applyFont="1" applyBorder="1" applyAlignment="1" applyProtection="1">
      <alignment horizontal="center"/>
      <protection locked="0"/>
    </xf>
    <xf numFmtId="0" fontId="0" fillId="0" borderId="326" xfId="0" applyBorder="1" applyAlignment="1" applyProtection="1">
      <alignment horizontal="left"/>
      <protection locked="0"/>
    </xf>
    <xf numFmtId="0" fontId="11" fillId="0" borderId="326" xfId="0" applyFont="1" applyBorder="1" applyAlignment="1">
      <alignment vertical="center"/>
    </xf>
    <xf numFmtId="0" fontId="0" fillId="0" borderId="339" xfId="0" applyBorder="1" applyAlignment="1">
      <alignment vertical="center"/>
    </xf>
    <xf numFmtId="0" fontId="4" fillId="44" borderId="330" xfId="0" applyFont="1" applyFill="1" applyBorder="1" applyAlignment="1">
      <alignment horizontal="left"/>
    </xf>
    <xf numFmtId="0" fontId="4" fillId="25" borderId="330" xfId="0" applyFont="1" applyFill="1" applyBorder="1">
      <alignment horizontal="center" vertical="center"/>
    </xf>
    <xf numFmtId="0" fontId="5" fillId="25" borderId="340" xfId="0" applyFont="1" applyFill="1" applyBorder="1">
      <alignment horizontal="center" vertical="center"/>
    </xf>
    <xf numFmtId="0" fontId="4" fillId="29" borderId="330" xfId="0" applyFont="1" applyFill="1" applyBorder="1" applyAlignment="1">
      <alignment horizontal="left"/>
    </xf>
    <xf numFmtId="0" fontId="4" fillId="29" borderId="340" xfId="0" applyFont="1" applyFill="1" applyBorder="1" applyAlignment="1">
      <alignment horizontal="left"/>
    </xf>
    <xf numFmtId="0" fontId="5" fillId="29" borderId="340" xfId="0" applyFont="1" applyFill="1" applyBorder="1">
      <alignment horizontal="center" vertical="center"/>
    </xf>
    <xf numFmtId="0" fontId="5" fillId="29" borderId="341" xfId="0" applyFont="1" applyFill="1" applyBorder="1">
      <alignment horizontal="center" vertical="center"/>
    </xf>
    <xf numFmtId="0" fontId="4" fillId="37" borderId="330" xfId="0" applyFont="1" applyFill="1" applyBorder="1" applyAlignment="1">
      <alignment horizontal="left"/>
    </xf>
    <xf numFmtId="0" fontId="4" fillId="37" borderId="340" xfId="0" applyFont="1" applyFill="1" applyBorder="1" applyAlignment="1">
      <alignment horizontal="left"/>
    </xf>
    <xf numFmtId="0" fontId="0" fillId="37" borderId="340" xfId="0" applyFill="1" applyBorder="1">
      <alignment horizontal="center" vertical="center"/>
    </xf>
    <xf numFmtId="0" fontId="4" fillId="45" borderId="330" xfId="0" applyFont="1" applyFill="1" applyBorder="1" applyAlignment="1">
      <alignment horizontal="left"/>
    </xf>
    <xf numFmtId="0" fontId="0" fillId="45" borderId="340" xfId="0" applyFill="1" applyBorder="1">
      <alignment horizontal="center" vertical="center"/>
    </xf>
    <xf numFmtId="0" fontId="5" fillId="45" borderId="340" xfId="0" applyFont="1" applyFill="1" applyBorder="1">
      <alignment horizontal="center" vertical="center"/>
    </xf>
    <xf numFmtId="0" fontId="5" fillId="45" borderId="341" xfId="0" applyFont="1" applyFill="1" applyBorder="1">
      <alignment horizontal="center" vertical="center"/>
    </xf>
    <xf numFmtId="0" fontId="4" fillId="24" borderId="330" xfId="0" applyFont="1" applyFill="1" applyBorder="1">
      <alignment horizontal="center" vertical="center"/>
    </xf>
    <xf numFmtId="0" fontId="0" fillId="24" borderId="340" xfId="0" applyFill="1" applyBorder="1">
      <alignment horizontal="center" vertical="center"/>
    </xf>
    <xf numFmtId="0" fontId="5" fillId="24" borderId="340" xfId="0" applyFont="1" applyFill="1" applyBorder="1">
      <alignment horizontal="center" vertical="center"/>
    </xf>
    <xf numFmtId="0" fontId="4" fillId="40" borderId="330" xfId="0" applyFont="1" applyFill="1" applyBorder="1" applyAlignment="1">
      <alignment horizontal="left"/>
    </xf>
    <xf numFmtId="0" fontId="5" fillId="40" borderId="340" xfId="0" applyFont="1" applyFill="1" applyBorder="1">
      <alignment horizontal="center" vertical="center"/>
    </xf>
    <xf numFmtId="0" fontId="0" fillId="40" borderId="341" xfId="0" applyFill="1" applyBorder="1">
      <alignment horizontal="center" vertical="center"/>
    </xf>
    <xf numFmtId="0" fontId="0" fillId="46" borderId="342" xfId="0" applyFill="1" applyBorder="1">
      <alignment horizontal="center" vertical="center"/>
    </xf>
    <xf numFmtId="0" fontId="5" fillId="46" borderId="342" xfId="0" applyFont="1" applyFill="1" applyBorder="1">
      <alignment horizontal="center" vertical="center"/>
    </xf>
    <xf numFmtId="0" fontId="5" fillId="46" borderId="343" xfId="0" applyFont="1" applyFill="1" applyBorder="1">
      <alignment horizontal="center" vertical="center"/>
    </xf>
    <xf numFmtId="0" fontId="4" fillId="0" borderId="344" xfId="0" applyFont="1" applyBorder="1" applyAlignment="1">
      <alignment horizontal="left" vertical="center"/>
    </xf>
    <xf numFmtId="0" fontId="5" fillId="0" borderId="342" xfId="0" applyFont="1" applyBorder="1">
      <alignment horizontal="center" vertical="center"/>
    </xf>
    <xf numFmtId="0" fontId="5" fillId="0" borderId="343" xfId="0" applyFont="1" applyBorder="1">
      <alignment horizontal="center" vertical="center"/>
    </xf>
    <xf numFmtId="0" fontId="4" fillId="39" borderId="326" xfId="0" applyFont="1" applyFill="1" applyBorder="1" applyAlignment="1">
      <alignment horizontal="left"/>
    </xf>
    <xf numFmtId="0" fontId="4" fillId="47" borderId="330" xfId="0" applyFont="1" applyFill="1" applyBorder="1">
      <alignment horizontal="center" vertical="center"/>
    </xf>
    <xf numFmtId="0" fontId="5" fillId="47" borderId="340" xfId="0" applyFont="1" applyFill="1" applyBorder="1">
      <alignment horizontal="center" vertical="center"/>
    </xf>
    <xf numFmtId="0" fontId="5" fillId="0" borderId="330" xfId="0" applyFont="1" applyBorder="1" applyAlignment="1">
      <alignment horizontal="left"/>
    </xf>
    <xf numFmtId="0" fontId="0" fillId="0" borderId="340" xfId="0" applyBorder="1">
      <alignment horizontal="center" vertical="center"/>
    </xf>
    <xf numFmtId="0" fontId="5" fillId="0" borderId="340" xfId="0" applyFont="1" applyBorder="1" applyAlignment="1">
      <alignment horizontal="left"/>
    </xf>
    <xf numFmtId="0" fontId="5" fillId="0" borderId="340" xfId="0" applyFont="1" applyBorder="1">
      <alignment horizontal="center" vertical="center"/>
    </xf>
    <xf numFmtId="0" fontId="5" fillId="0" borderId="341" xfId="0" applyFont="1" applyBorder="1">
      <alignment horizontal="center" vertical="center"/>
    </xf>
    <xf numFmtId="0" fontId="5" fillId="48" borderId="330" xfId="0" applyFont="1" applyFill="1" applyBorder="1" applyAlignment="1">
      <alignment horizontal="left" vertical="center"/>
    </xf>
    <xf numFmtId="0" fontId="5" fillId="48" borderId="340" xfId="0" applyFont="1" applyFill="1" applyBorder="1">
      <alignment horizontal="center" vertical="center"/>
    </xf>
    <xf numFmtId="0" fontId="5" fillId="48" borderId="341" xfId="0" applyFont="1" applyFill="1" applyBorder="1">
      <alignment horizontal="center" vertical="center"/>
    </xf>
    <xf numFmtId="0" fontId="2" fillId="0" borderId="330" xfId="0" applyFont="1" applyBorder="1" applyAlignment="1">
      <alignment horizontal="left" vertical="center"/>
    </xf>
    <xf numFmtId="0" fontId="0" fillId="0" borderId="341" xfId="0" applyBorder="1">
      <alignment horizontal="center" vertical="center"/>
    </xf>
    <xf numFmtId="0" fontId="0" fillId="0" borderId="345" xfId="0" applyBorder="1">
      <alignment horizontal="center" vertical="center"/>
    </xf>
    <xf numFmtId="0" fontId="2" fillId="0" borderId="340" xfId="0" applyFont="1" applyBorder="1" applyAlignment="1">
      <alignment horizontal="left" vertical="center"/>
    </xf>
    <xf numFmtId="0" fontId="0" fillId="0" borderId="346" xfId="0" applyBorder="1">
      <alignment horizontal="center" vertical="center"/>
    </xf>
    <xf numFmtId="0" fontId="12" fillId="0" borderId="344" xfId="0" applyFont="1" applyBorder="1">
      <alignment horizontal="center" vertical="center"/>
    </xf>
    <xf numFmtId="0" fontId="0" fillId="0" borderId="342" xfId="0" applyBorder="1">
      <alignment horizontal="center" vertical="center"/>
    </xf>
    <xf numFmtId="0" fontId="0" fillId="0" borderId="343" xfId="0" applyBorder="1">
      <alignment horizontal="center" vertical="center"/>
    </xf>
    <xf numFmtId="0" fontId="2" fillId="0" borderId="330" xfId="0" applyFont="1" applyBorder="1">
      <alignment horizontal="center" vertical="center"/>
    </xf>
    <xf numFmtId="0" fontId="0" fillId="0" borderId="327" xfId="0" applyBorder="1" applyAlignment="1" applyProtection="1">
      <alignment horizontal="center"/>
      <protection locked="0"/>
    </xf>
    <xf numFmtId="0" fontId="4" fillId="0" borderId="327" xfId="0" applyFont="1" applyBorder="1" applyAlignment="1">
      <alignment horizontal="center"/>
    </xf>
    <xf numFmtId="0" fontId="0" fillId="51" borderId="327" xfId="0" applyFill="1" applyBorder="1">
      <alignment horizontal="center" vertical="center"/>
    </xf>
    <xf numFmtId="0" fontId="0" fillId="71" borderId="327" xfId="0" applyFill="1" applyBorder="1">
      <alignment horizontal="center" vertical="center"/>
    </xf>
    <xf numFmtId="0" fontId="0" fillId="51" borderId="347" xfId="0" applyFill="1" applyBorder="1">
      <alignment horizontal="center" vertical="center"/>
    </xf>
    <xf numFmtId="0" fontId="2" fillId="24" borderId="326" xfId="0" applyFont="1" applyFill="1" applyBorder="1" applyAlignment="1">
      <alignment horizontal="left" vertical="center"/>
    </xf>
    <xf numFmtId="0" fontId="0" fillId="24" borderId="326" xfId="0" applyFill="1" applyBorder="1">
      <alignment horizontal="center" vertical="center"/>
    </xf>
    <xf numFmtId="0" fontId="0" fillId="24" borderId="348" xfId="0" applyFill="1" applyBorder="1">
      <alignment horizontal="center" vertical="center"/>
    </xf>
    <xf numFmtId="0" fontId="0" fillId="43" borderId="326" xfId="0" applyFill="1" applyBorder="1" applyAlignment="1" applyProtection="1">
      <alignment horizontal="center"/>
      <protection locked="0"/>
    </xf>
    <xf numFmtId="0" fontId="4" fillId="0" borderId="326" xfId="0" applyFont="1" applyBorder="1" applyAlignment="1">
      <alignment horizontal="left" vertical="center"/>
    </xf>
    <xf numFmtId="0" fontId="0" fillId="51" borderId="326" xfId="43" applyFont="1" applyFill="1" applyBorder="1">
      <alignment horizontal="center" vertical="center"/>
    </xf>
    <xf numFmtId="1" fontId="0" fillId="51" borderId="326" xfId="0" applyNumberFormat="1" applyFill="1" applyBorder="1">
      <alignment horizontal="center" vertical="center"/>
    </xf>
    <xf numFmtId="1" fontId="0" fillId="51" borderId="326" xfId="32" applyNumberFormat="1" applyFont="1" applyFill="1" applyBorder="1" applyAlignment="1">
      <alignment horizontal="center" vertical="center"/>
    </xf>
    <xf numFmtId="0" fontId="0" fillId="51" borderId="326" xfId="0" applyFill="1" applyBorder="1">
      <alignment horizontal="center" vertical="center"/>
    </xf>
    <xf numFmtId="0" fontId="0" fillId="51" borderId="326" xfId="44" applyFont="1" applyFill="1" applyBorder="1">
      <alignment horizontal="center" vertical="center"/>
    </xf>
    <xf numFmtId="0" fontId="0" fillId="51" borderId="326" xfId="46" applyFont="1" applyFill="1" applyBorder="1">
      <alignment horizontal="center" vertical="center"/>
    </xf>
    <xf numFmtId="1" fontId="0" fillId="51" borderId="348" xfId="0" applyNumberFormat="1" applyFill="1" applyBorder="1">
      <alignment horizontal="center" vertical="center"/>
    </xf>
    <xf numFmtId="0" fontId="0" fillId="0" borderId="326" xfId="0" applyBorder="1" applyAlignment="1">
      <alignment horizontal="left" vertical="center"/>
    </xf>
    <xf numFmtId="0" fontId="5" fillId="52" borderId="326" xfId="48" applyBorder="1">
      <alignment horizontal="center" vertical="center"/>
    </xf>
    <xf numFmtId="0" fontId="0" fillId="51" borderId="326" xfId="49" applyFont="1" applyFill="1" applyBorder="1">
      <alignment horizontal="center" vertical="center"/>
    </xf>
    <xf numFmtId="1" fontId="0" fillId="70" borderId="326" xfId="0" applyNumberFormat="1" applyFill="1" applyBorder="1">
      <alignment horizontal="center" vertical="center"/>
    </xf>
    <xf numFmtId="1" fontId="0" fillId="51" borderId="326" xfId="44" applyNumberFormat="1" applyFont="1" applyFill="1" applyBorder="1">
      <alignment horizontal="center" vertical="center"/>
    </xf>
    <xf numFmtId="0" fontId="2" fillId="24" borderId="327" xfId="0" applyFont="1" applyFill="1" applyBorder="1" applyAlignment="1" applyProtection="1">
      <alignment horizontal="left"/>
      <protection locked="0"/>
    </xf>
    <xf numFmtId="0" fontId="2" fillId="24" borderId="327" xfId="0" applyFont="1" applyFill="1" applyBorder="1">
      <alignment horizontal="center" vertical="center"/>
    </xf>
    <xf numFmtId="1" fontId="0" fillId="24" borderId="327" xfId="0" applyNumberFormat="1" applyFill="1" applyBorder="1">
      <alignment horizontal="center" vertical="center"/>
    </xf>
    <xf numFmtId="0" fontId="0" fillId="24" borderId="347" xfId="0" applyFill="1" applyBorder="1">
      <alignment horizontal="center" vertical="center"/>
    </xf>
    <xf numFmtId="0" fontId="0" fillId="83" borderId="313" xfId="52" applyFont="1" applyFill="1" applyBorder="1">
      <alignment horizontal="center" vertical="center"/>
    </xf>
    <xf numFmtId="0" fontId="0" fillId="83" borderId="313" xfId="44" applyFont="1" applyFill="1" applyBorder="1">
      <alignment horizontal="center" vertical="center"/>
    </xf>
    <xf numFmtId="0" fontId="2" fillId="0" borderId="349" xfId="0" applyFont="1" applyBorder="1" applyAlignment="1">
      <alignment horizontal="left" vertical="center"/>
    </xf>
    <xf numFmtId="0" fontId="2" fillId="0" borderId="330" xfId="0" applyFont="1" applyBorder="1" applyAlignment="1">
      <alignment vertical="center"/>
    </xf>
    <xf numFmtId="0" fontId="12" fillId="0" borderId="340" xfId="0" applyFont="1" applyBorder="1">
      <alignment horizontal="center" vertical="center"/>
    </xf>
    <xf numFmtId="0" fontId="2" fillId="0" borderId="344" xfId="0" applyFont="1" applyBorder="1" applyAlignment="1">
      <alignment horizontal="left" vertical="center"/>
    </xf>
    <xf numFmtId="0" fontId="12" fillId="0" borderId="342" xfId="0" applyFont="1" applyBorder="1">
      <alignment horizontal="center" vertical="center"/>
    </xf>
    <xf numFmtId="0" fontId="2" fillId="0" borderId="342" xfId="0" applyFont="1" applyBorder="1">
      <alignment horizontal="center" vertical="center"/>
    </xf>
    <xf numFmtId="0" fontId="2" fillId="0" borderId="350" xfId="0" applyFont="1" applyBorder="1" applyAlignment="1">
      <alignment horizontal="left" vertical="center"/>
    </xf>
    <xf numFmtId="0" fontId="0" fillId="0" borderId="330" xfId="0" applyBorder="1" applyAlignment="1">
      <alignment vertical="center"/>
    </xf>
    <xf numFmtId="0" fontId="0" fillId="0" borderId="340" xfId="0" applyBorder="1" applyAlignment="1">
      <alignment horizontal="left" vertical="center"/>
    </xf>
    <xf numFmtId="0" fontId="0" fillId="0" borderId="351" xfId="0" applyBorder="1">
      <alignment horizontal="center" vertical="center"/>
    </xf>
    <xf numFmtId="0" fontId="2" fillId="0" borderId="352" xfId="0" applyFont="1" applyBorder="1" applyAlignment="1">
      <alignment horizontal="left" vertical="center"/>
    </xf>
    <xf numFmtId="0" fontId="0" fillId="0" borderId="353" xfId="0" applyBorder="1">
      <alignment horizontal="center" vertical="center"/>
    </xf>
    <xf numFmtId="0" fontId="0" fillId="0" borderId="332" xfId="0" applyBorder="1" applyAlignment="1">
      <alignment vertical="center"/>
    </xf>
    <xf numFmtId="0" fontId="0" fillId="0" borderId="354" xfId="0" applyBorder="1">
      <alignment horizontal="center" vertical="center"/>
    </xf>
    <xf numFmtId="0" fontId="2" fillId="0" borderId="332" xfId="0" applyFont="1" applyBorder="1">
      <alignment horizontal="center" vertical="center"/>
    </xf>
    <xf numFmtId="0" fontId="0" fillId="0" borderId="353" xfId="0" applyBorder="1" applyAlignment="1">
      <alignment horizontal="left" vertical="center"/>
    </xf>
    <xf numFmtId="0" fontId="12" fillId="0" borderId="353" xfId="0" applyFont="1" applyBorder="1">
      <alignment horizontal="center" vertical="center"/>
    </xf>
    <xf numFmtId="0" fontId="2" fillId="0" borderId="353" xfId="0" applyFont="1" applyBorder="1" applyAlignment="1">
      <alignment horizontal="left" vertical="center"/>
    </xf>
    <xf numFmtId="0" fontId="0" fillId="0" borderId="355" xfId="0" applyBorder="1">
      <alignment horizontal="center" vertical="center"/>
    </xf>
    <xf numFmtId="0" fontId="0" fillId="0" borderId="339" xfId="0" applyBorder="1" applyAlignment="1" applyProtection="1">
      <alignment horizontal="center"/>
      <protection locked="0"/>
    </xf>
    <xf numFmtId="0" fontId="4" fillId="0" borderId="339" xfId="0" applyFont="1" applyBorder="1" applyAlignment="1">
      <alignment horizontal="center"/>
    </xf>
    <xf numFmtId="0" fontId="0" fillId="43" borderId="356" xfId="0" applyFill="1" applyBorder="1" applyAlignment="1" applyProtection="1">
      <alignment horizontal="center"/>
      <protection locked="0"/>
    </xf>
    <xf numFmtId="0" fontId="0" fillId="51" borderId="348" xfId="0" applyFill="1" applyBorder="1">
      <alignment horizontal="center" vertical="center"/>
    </xf>
    <xf numFmtId="0" fontId="0" fillId="43" borderId="333" xfId="0" applyFill="1" applyBorder="1" applyAlignment="1" applyProtection="1">
      <alignment horizontal="center"/>
      <protection locked="0"/>
    </xf>
    <xf numFmtId="0" fontId="0" fillId="0" borderId="327" xfId="0" applyBorder="1" applyAlignment="1">
      <alignment horizontal="left" vertical="center"/>
    </xf>
    <xf numFmtId="49" fontId="0" fillId="51" borderId="327" xfId="0" applyNumberFormat="1" applyFill="1" applyBorder="1">
      <alignment horizontal="center" vertical="center"/>
    </xf>
    <xf numFmtId="0" fontId="0" fillId="51" borderId="327" xfId="43" applyFont="1" applyFill="1" applyBorder="1">
      <alignment horizontal="center" vertical="center"/>
    </xf>
    <xf numFmtId="0" fontId="0" fillId="51" borderId="327" xfId="44" applyFont="1" applyFill="1" applyBorder="1">
      <alignment horizontal="center" vertical="center"/>
    </xf>
    <xf numFmtId="49" fontId="0" fillId="51" borderId="347" xfId="0" applyNumberFormat="1" applyFill="1" applyBorder="1">
      <alignment horizontal="center" vertical="center"/>
    </xf>
    <xf numFmtId="49" fontId="0" fillId="51" borderId="326" xfId="0" applyNumberFormat="1" applyFill="1" applyBorder="1">
      <alignment horizontal="center" vertical="center"/>
    </xf>
    <xf numFmtId="0" fontId="0" fillId="51" borderId="326" xfId="45" applyFont="1" applyFill="1" applyBorder="1">
      <alignment horizontal="center" vertical="center"/>
    </xf>
    <xf numFmtId="49" fontId="0" fillId="51" borderId="348" xfId="0" applyNumberFormat="1" applyFill="1" applyBorder="1">
      <alignment horizontal="center" vertical="center"/>
    </xf>
    <xf numFmtId="0" fontId="0" fillId="0" borderId="327" xfId="0" applyBorder="1" applyAlignment="1">
      <alignment vertical="center"/>
    </xf>
    <xf numFmtId="0" fontId="0" fillId="56" borderId="326" xfId="43" applyFont="1" applyFill="1" applyBorder="1">
      <alignment horizontal="center" vertical="center"/>
    </xf>
    <xf numFmtId="0" fontId="0" fillId="56" borderId="326" xfId="44" applyFont="1" applyFill="1" applyBorder="1">
      <alignment horizontal="center" vertical="center"/>
    </xf>
    <xf numFmtId="0" fontId="5" fillId="52" borderId="327" xfId="48" applyBorder="1">
      <alignment horizontal="center" vertical="center"/>
    </xf>
    <xf numFmtId="0" fontId="0" fillId="51" borderId="347" xfId="44" applyFont="1" applyFill="1" applyBorder="1">
      <alignment horizontal="center" vertical="center"/>
    </xf>
    <xf numFmtId="0" fontId="2" fillId="0" borderId="326" xfId="0" applyFont="1" applyBorder="1" applyAlignment="1">
      <alignment horizontal="center"/>
    </xf>
    <xf numFmtId="0" fontId="0" fillId="0" borderId="326" xfId="0" applyBorder="1">
      <alignment horizontal="center" vertical="center"/>
    </xf>
    <xf numFmtId="0" fontId="5" fillId="0" borderId="326" xfId="0" applyFont="1" applyBorder="1">
      <alignment horizontal="center" vertical="center"/>
    </xf>
    <xf numFmtId="0" fontId="0" fillId="0" borderId="339" xfId="0" applyBorder="1">
      <alignment horizontal="center" vertical="center"/>
    </xf>
    <xf numFmtId="0" fontId="2" fillId="0" borderId="339" xfId="0" applyFont="1" applyBorder="1" applyAlignment="1">
      <alignment horizontal="center"/>
    </xf>
    <xf numFmtId="0" fontId="4" fillId="0" borderId="326" xfId="0" applyFont="1" applyBorder="1" applyAlignment="1">
      <alignment horizontal="left"/>
    </xf>
    <xf numFmtId="0" fontId="5" fillId="0" borderId="330" xfId="0" applyFont="1" applyBorder="1">
      <alignment horizontal="center" vertical="center"/>
    </xf>
    <xf numFmtId="0" fontId="0" fillId="0" borderId="326" xfId="0" applyBorder="1" applyAlignment="1">
      <alignment horizontal="center"/>
    </xf>
    <xf numFmtId="0" fontId="0" fillId="43" borderId="330" xfId="0" applyFill="1" applyBorder="1" applyAlignment="1" applyProtection="1">
      <alignment horizontal="center"/>
      <protection locked="0"/>
    </xf>
    <xf numFmtId="0" fontId="0" fillId="0" borderId="330" xfId="0" applyBorder="1" applyAlignment="1">
      <alignment horizontal="left"/>
    </xf>
    <xf numFmtId="0" fontId="0" fillId="0" borderId="340" xfId="0" applyBorder="1" applyAlignment="1">
      <alignment horizontal="left"/>
    </xf>
    <xf numFmtId="0" fontId="0" fillId="0" borderId="344" xfId="0" applyBorder="1" applyAlignment="1">
      <alignment horizontal="left"/>
    </xf>
    <xf numFmtId="0" fontId="0" fillId="0" borderId="342" xfId="0" applyBorder="1" applyAlignment="1">
      <alignment horizontal="left"/>
    </xf>
    <xf numFmtId="0" fontId="5" fillId="0" borderId="343" xfId="0" applyFont="1" applyBorder="1" applyAlignment="1">
      <alignment horizontal="left"/>
    </xf>
    <xf numFmtId="0" fontId="5" fillId="0" borderId="342" xfId="0" applyFont="1" applyBorder="1" applyAlignment="1">
      <alignment horizontal="left"/>
    </xf>
    <xf numFmtId="0" fontId="5" fillId="0" borderId="341" xfId="0" applyFont="1" applyBorder="1" applyAlignment="1">
      <alignment horizontal="left"/>
    </xf>
    <xf numFmtId="0" fontId="4" fillId="0" borderId="330" xfId="0" applyFont="1" applyBorder="1" applyAlignment="1">
      <alignment horizontal="left"/>
    </xf>
    <xf numFmtId="0" fontId="5" fillId="0" borderId="329" xfId="0" applyFont="1" applyBorder="1" applyAlignment="1">
      <alignment horizontal="left"/>
    </xf>
    <xf numFmtId="0" fontId="20" fillId="0" borderId="326" xfId="0" applyFont="1" applyBorder="1" applyAlignment="1" applyProtection="1">
      <alignment horizontal="center"/>
      <protection locked="0"/>
    </xf>
    <xf numFmtId="0" fontId="0" fillId="0" borderId="326" xfId="0" applyBorder="1" applyAlignment="1">
      <alignment horizontal="left"/>
    </xf>
    <xf numFmtId="0" fontId="5" fillId="0" borderId="326" xfId="0" applyFont="1" applyBorder="1" applyAlignment="1">
      <alignment horizontal="left"/>
    </xf>
    <xf numFmtId="0" fontId="2" fillId="0" borderId="327" xfId="0" applyFont="1" applyBorder="1" applyAlignment="1" applyProtection="1">
      <alignment horizontal="center"/>
      <protection locked="0"/>
    </xf>
    <xf numFmtId="0" fontId="5" fillId="0" borderId="357" xfId="52" applyBorder="1">
      <alignment horizontal="center" vertical="center"/>
    </xf>
    <xf numFmtId="0" fontId="5" fillId="0" borderId="358" xfId="52" applyBorder="1">
      <alignment horizontal="center" vertical="center"/>
    </xf>
    <xf numFmtId="0" fontId="5" fillId="0" borderId="359" xfId="52" applyBorder="1">
      <alignment horizontal="center" vertical="center"/>
    </xf>
    <xf numFmtId="0" fontId="0" fillId="51" borderId="359" xfId="0" applyFill="1" applyBorder="1">
      <alignment horizontal="center" vertical="center"/>
    </xf>
    <xf numFmtId="0" fontId="2" fillId="0" borderId="339" xfId="0" applyFont="1" applyBorder="1" applyAlignment="1" applyProtection="1">
      <alignment horizontal="center"/>
      <protection locked="0"/>
    </xf>
    <xf numFmtId="0" fontId="2" fillId="0" borderId="326" xfId="0" applyFont="1" applyBorder="1" applyAlignment="1" applyProtection="1">
      <alignment horizontal="center"/>
      <protection locked="0"/>
    </xf>
    <xf numFmtId="0" fontId="0" fillId="51" borderId="326" xfId="0" applyFill="1" applyBorder="1" applyAlignment="1">
      <alignment horizontal="left" vertical="center"/>
    </xf>
    <xf numFmtId="0" fontId="0" fillId="51" borderId="339" xfId="0" applyFill="1" applyBorder="1">
      <alignment horizontal="center" vertical="center"/>
    </xf>
    <xf numFmtId="0" fontId="0" fillId="51" borderId="339" xfId="43" applyFont="1" applyFill="1" applyBorder="1">
      <alignment horizontal="center" vertical="center"/>
    </xf>
    <xf numFmtId="0" fontId="0" fillId="51" borderId="339" xfId="47" applyFont="1" applyFill="1" applyBorder="1">
      <alignment horizontal="center" vertical="center"/>
    </xf>
    <xf numFmtId="0" fontId="0" fillId="51" borderId="326" xfId="47" applyFont="1" applyFill="1" applyBorder="1">
      <alignment horizontal="center" vertical="center"/>
    </xf>
    <xf numFmtId="0" fontId="0" fillId="51" borderId="348" xfId="47" applyFont="1" applyFill="1" applyBorder="1">
      <alignment horizontal="center" vertical="center"/>
    </xf>
    <xf numFmtId="0" fontId="0" fillId="51" borderId="330" xfId="0" applyFill="1" applyBorder="1" applyAlignment="1">
      <alignment horizontal="left" vertical="center"/>
    </xf>
    <xf numFmtId="0" fontId="0" fillId="51" borderId="360" xfId="53" applyFont="1" applyFill="1" applyBorder="1" applyAlignment="1">
      <alignment horizontal="center" vertical="center"/>
    </xf>
    <xf numFmtId="0" fontId="0" fillId="51" borderId="341" xfId="0" applyFill="1" applyBorder="1">
      <alignment horizontal="center" vertical="center"/>
    </xf>
    <xf numFmtId="0" fontId="0" fillId="51" borderId="361" xfId="0" applyFill="1" applyBorder="1">
      <alignment horizontal="center" vertical="center"/>
    </xf>
    <xf numFmtId="0" fontId="0" fillId="51" borderId="362" xfId="52" applyFont="1" applyFill="1" applyBorder="1">
      <alignment horizontal="center" vertical="center"/>
    </xf>
    <xf numFmtId="0" fontId="5" fillId="0" borderId="350" xfId="52" applyBorder="1" applyAlignment="1">
      <alignment horizontal="center"/>
    </xf>
    <xf numFmtId="0" fontId="2" fillId="0" borderId="330" xfId="52" applyFont="1" applyBorder="1" applyAlignment="1">
      <alignment horizontal="left"/>
    </xf>
    <xf numFmtId="0" fontId="5" fillId="0" borderId="340" xfId="52" applyBorder="1">
      <alignment horizontal="center" vertical="center"/>
    </xf>
    <xf numFmtId="0" fontId="5" fillId="0" borderId="341" xfId="52" applyBorder="1" applyAlignment="1">
      <alignment horizontal="left"/>
    </xf>
    <xf numFmtId="0" fontId="5" fillId="0" borderId="340" xfId="52" applyBorder="1" applyAlignment="1">
      <alignment horizontal="left"/>
    </xf>
    <xf numFmtId="0" fontId="5" fillId="0" borderId="330" xfId="52" applyBorder="1">
      <alignment horizontal="center" vertical="center"/>
    </xf>
    <xf numFmtId="0" fontId="5" fillId="0" borderId="340" xfId="52" applyBorder="1" applyAlignment="1">
      <alignment vertical="center"/>
    </xf>
    <xf numFmtId="0" fontId="5" fillId="0" borderId="340" xfId="52" applyBorder="1" applyAlignment="1">
      <alignment horizontal="left" vertical="center"/>
    </xf>
    <xf numFmtId="0" fontId="5" fillId="0" borderId="345" xfId="52" applyBorder="1" applyAlignment="1">
      <alignment vertical="center"/>
    </xf>
    <xf numFmtId="0" fontId="5" fillId="0" borderId="363" xfId="52" applyBorder="1">
      <alignment horizontal="center" vertical="center"/>
    </xf>
    <xf numFmtId="0" fontId="5" fillId="0" borderId="345" xfId="52" applyBorder="1">
      <alignment horizontal="center" vertical="center"/>
    </xf>
    <xf numFmtId="0" fontId="5" fillId="0" borderId="352" xfId="52" applyBorder="1" applyAlignment="1">
      <alignment horizontal="center"/>
    </xf>
    <xf numFmtId="0" fontId="2" fillId="0" borderId="332" xfId="52" applyFont="1" applyBorder="1" applyAlignment="1">
      <alignment horizontal="left"/>
    </xf>
    <xf numFmtId="0" fontId="5" fillId="0" borderId="364" xfId="52" applyBorder="1">
      <alignment horizontal="center" vertical="center"/>
    </xf>
    <xf numFmtId="0" fontId="5" fillId="0" borderId="353" xfId="52" applyBorder="1">
      <alignment horizontal="center" vertical="center"/>
    </xf>
    <xf numFmtId="0" fontId="5" fillId="0" borderId="354" xfId="52" applyBorder="1" applyAlignment="1">
      <alignment horizontal="left"/>
    </xf>
    <xf numFmtId="0" fontId="5" fillId="0" borderId="353" xfId="52" applyBorder="1" applyAlignment="1">
      <alignment horizontal="left"/>
    </xf>
    <xf numFmtId="0" fontId="5" fillId="0" borderId="365" xfId="52" applyBorder="1" applyAlignment="1">
      <alignment horizontal="left"/>
    </xf>
    <xf numFmtId="0" fontId="2" fillId="0" borderId="366" xfId="52" applyFont="1" applyBorder="1" applyAlignment="1">
      <alignment horizontal="left"/>
    </xf>
    <xf numFmtId="0" fontId="5" fillId="0" borderId="332" xfId="52" applyBorder="1">
      <alignment horizontal="center" vertical="center"/>
    </xf>
    <xf numFmtId="0" fontId="5" fillId="0" borderId="355" xfId="52" applyBorder="1">
      <alignment horizontal="center" vertical="center"/>
    </xf>
    <xf numFmtId="0" fontId="2" fillId="0" borderId="339" xfId="52" applyFont="1" applyBorder="1" applyAlignment="1" applyProtection="1">
      <alignment horizontal="center"/>
      <protection locked="0"/>
    </xf>
    <xf numFmtId="0" fontId="4" fillId="0" borderId="339" xfId="52" applyFont="1" applyBorder="1" applyAlignment="1">
      <alignment horizontal="center"/>
    </xf>
    <xf numFmtId="0" fontId="2" fillId="43" borderId="326" xfId="52" applyFont="1" applyFill="1" applyBorder="1" applyAlignment="1">
      <alignment horizontal="center"/>
    </xf>
    <xf numFmtId="49" fontId="0" fillId="51" borderId="326" xfId="20" applyNumberFormat="1" applyFont="1" applyFill="1" applyBorder="1" applyAlignment="1">
      <alignment horizontal="center" vertical="center"/>
    </xf>
    <xf numFmtId="49" fontId="0" fillId="51" borderId="326" xfId="52" applyNumberFormat="1" applyFont="1" applyFill="1" applyBorder="1">
      <alignment horizontal="center" vertical="center"/>
    </xf>
    <xf numFmtId="0" fontId="0" fillId="51" borderId="326" xfId="52" applyFont="1" applyFill="1" applyBorder="1">
      <alignment horizontal="center" vertical="center"/>
    </xf>
    <xf numFmtId="0" fontId="0" fillId="51" borderId="326" xfId="48" applyFont="1" applyFill="1" applyBorder="1">
      <alignment horizontal="center" vertical="center"/>
    </xf>
    <xf numFmtId="49" fontId="0" fillId="51" borderId="348" xfId="20" applyNumberFormat="1" applyFont="1" applyFill="1" applyBorder="1" applyAlignment="1">
      <alignment horizontal="center" vertical="center"/>
    </xf>
    <xf numFmtId="0" fontId="5" fillId="0" borderId="326" xfId="52" applyBorder="1" applyAlignment="1">
      <alignment vertical="center"/>
    </xf>
    <xf numFmtId="49" fontId="0" fillId="51" borderId="326" xfId="34" applyNumberFormat="1" applyFont="1" applyFill="1" applyBorder="1" applyAlignment="1">
      <alignment horizontal="center" vertical="center"/>
    </xf>
    <xf numFmtId="0" fontId="5" fillId="51" borderId="326" xfId="48" applyFill="1" applyBorder="1">
      <alignment horizontal="center" vertical="center"/>
    </xf>
    <xf numFmtId="49" fontId="0" fillId="51" borderId="348" xfId="52" applyNumberFormat="1" applyFont="1" applyFill="1" applyBorder="1">
      <alignment horizontal="center" vertical="center"/>
    </xf>
    <xf numFmtId="0" fontId="2" fillId="43" borderId="327" xfId="52" applyFont="1" applyFill="1" applyBorder="1" applyAlignment="1">
      <alignment horizontal="center"/>
    </xf>
    <xf numFmtId="0" fontId="5" fillId="0" borderId="327" xfId="52" applyBorder="1" applyAlignment="1">
      <alignment vertical="center"/>
    </xf>
    <xf numFmtId="0" fontId="0" fillId="51" borderId="327" xfId="51" applyFont="1" applyFill="1" applyBorder="1">
      <alignment horizontal="center" vertical="center"/>
    </xf>
    <xf numFmtId="49" fontId="0" fillId="51" borderId="327" xfId="52" applyNumberFormat="1" applyFont="1" applyFill="1" applyBorder="1">
      <alignment horizontal="center" vertical="center"/>
    </xf>
    <xf numFmtId="49" fontId="0" fillId="51" borderId="347" xfId="52" applyNumberFormat="1" applyFont="1" applyFill="1" applyBorder="1">
      <alignment horizontal="center" vertical="center"/>
    </xf>
    <xf numFmtId="0" fontId="2" fillId="0" borderId="356" xfId="0" applyFont="1" applyBorder="1" applyAlignment="1">
      <alignment horizontal="center"/>
    </xf>
    <xf numFmtId="0" fontId="5" fillId="0" borderId="330" xfId="0" applyFont="1" applyBorder="1" applyAlignment="1">
      <alignment horizontal="left" vertical="center"/>
    </xf>
    <xf numFmtId="0" fontId="5" fillId="0" borderId="340" xfId="0" applyFont="1" applyBorder="1" applyAlignment="1">
      <alignment horizontal="left" vertical="center"/>
    </xf>
    <xf numFmtId="0" fontId="5" fillId="0" borderId="345" xfId="0" applyFont="1" applyBorder="1" applyAlignment="1">
      <alignment horizontal="left" vertical="center"/>
    </xf>
    <xf numFmtId="0" fontId="0" fillId="0" borderId="350" xfId="0" applyBorder="1" applyAlignment="1">
      <alignment horizontal="center"/>
    </xf>
    <xf numFmtId="0" fontId="2" fillId="0" borderId="330" xfId="0" applyFont="1" applyBorder="1" applyAlignment="1">
      <alignment horizontal="left"/>
    </xf>
    <xf numFmtId="0" fontId="0" fillId="0" borderId="340" xfId="0" applyBorder="1" applyAlignment="1"/>
    <xf numFmtId="0" fontId="0" fillId="0" borderId="341" xfId="0" applyBorder="1" applyAlignment="1">
      <alignment horizontal="left"/>
    </xf>
    <xf numFmtId="0" fontId="2" fillId="0" borderId="340" xfId="0" applyFont="1" applyBorder="1" applyAlignment="1"/>
    <xf numFmtId="0" fontId="2" fillId="0" borderId="341" xfId="0" applyFont="1" applyBorder="1" applyAlignment="1">
      <alignment horizontal="left"/>
    </xf>
    <xf numFmtId="0" fontId="0" fillId="0" borderId="330" xfId="0" applyBorder="1" applyAlignment="1">
      <alignment horizontal="center"/>
    </xf>
    <xf numFmtId="0" fontId="0" fillId="0" borderId="345" xfId="0" applyBorder="1" applyAlignment="1"/>
    <xf numFmtId="0" fontId="2" fillId="0" borderId="344" xfId="0" applyFont="1" applyBorder="1" applyAlignment="1">
      <alignment horizontal="left"/>
    </xf>
    <xf numFmtId="0" fontId="0" fillId="0" borderId="342" xfId="0" applyBorder="1" applyAlignment="1"/>
    <xf numFmtId="0" fontId="0" fillId="0" borderId="343" xfId="0" applyBorder="1" applyAlignment="1">
      <alignment horizontal="left"/>
    </xf>
    <xf numFmtId="0" fontId="7" fillId="0" borderId="344" xfId="0" applyFont="1" applyBorder="1" applyAlignment="1">
      <alignment horizontal="center"/>
    </xf>
    <xf numFmtId="0" fontId="0" fillId="0" borderId="351" xfId="0" applyBorder="1" applyAlignment="1"/>
    <xf numFmtId="0" fontId="0" fillId="0" borderId="352" xfId="0" applyBorder="1" applyAlignment="1">
      <alignment horizontal="center"/>
    </xf>
    <xf numFmtId="0" fontId="2" fillId="0" borderId="332" xfId="0" applyFont="1" applyBorder="1" applyAlignment="1">
      <alignment horizontal="left"/>
    </xf>
    <xf numFmtId="0" fontId="5" fillId="0" borderId="353" xfId="0" applyFont="1" applyBorder="1" applyAlignment="1">
      <alignment horizontal="left" vertical="center"/>
    </xf>
    <xf numFmtId="0" fontId="5" fillId="0" borderId="353" xfId="0" applyFont="1" applyBorder="1">
      <alignment horizontal="center" vertical="center"/>
    </xf>
    <xf numFmtId="0" fontId="5" fillId="0" borderId="354" xfId="0" applyFont="1" applyBorder="1">
      <alignment horizontal="center" vertical="center"/>
    </xf>
    <xf numFmtId="0" fontId="5" fillId="0" borderId="332" xfId="0" applyFont="1" applyBorder="1" applyAlignment="1">
      <alignment horizontal="left" vertical="center"/>
    </xf>
    <xf numFmtId="0" fontId="5" fillId="0" borderId="353" xfId="0" applyFont="1" applyBorder="1" applyAlignment="1">
      <alignment horizontal="left"/>
    </xf>
    <xf numFmtId="0" fontId="5" fillId="0" borderId="354" xfId="0" applyFont="1" applyBorder="1" applyAlignment="1">
      <alignment horizontal="left" vertical="center"/>
    </xf>
    <xf numFmtId="0" fontId="0" fillId="0" borderId="353" xfId="0" applyBorder="1" applyAlignment="1">
      <alignment horizontal="left"/>
    </xf>
    <xf numFmtId="0" fontId="0" fillId="0" borderId="355" xfId="0" applyBorder="1" applyAlignment="1"/>
    <xf numFmtId="0" fontId="2" fillId="43" borderId="326" xfId="0" applyFont="1" applyFill="1" applyBorder="1" applyAlignment="1">
      <alignment horizontal="center"/>
    </xf>
    <xf numFmtId="0" fontId="0" fillId="51" borderId="348" xfId="44" applyFont="1" applyFill="1" applyBorder="1">
      <alignment horizontal="center" vertical="center"/>
    </xf>
    <xf numFmtId="0" fontId="0" fillId="51" borderId="326" xfId="51" applyFont="1" applyFill="1" applyBorder="1">
      <alignment horizontal="center" vertical="center"/>
    </xf>
    <xf numFmtId="0" fontId="0" fillId="51" borderId="348" xfId="51" applyFont="1" applyFill="1" applyBorder="1">
      <alignment horizontal="center" vertical="center"/>
    </xf>
    <xf numFmtId="0" fontId="0" fillId="51" borderId="348" xfId="48" applyFont="1" applyFill="1" applyBorder="1">
      <alignment horizontal="center" vertical="center"/>
    </xf>
    <xf numFmtId="0" fontId="2" fillId="43" borderId="327" xfId="0" applyFont="1" applyFill="1" applyBorder="1" applyAlignment="1">
      <alignment horizontal="center"/>
    </xf>
    <xf numFmtId="0" fontId="0" fillId="51" borderId="327" xfId="0" applyFill="1" applyBorder="1" applyAlignment="1">
      <alignment horizontal="left" vertical="center"/>
    </xf>
    <xf numFmtId="0" fontId="0" fillId="51" borderId="327" xfId="47" applyFont="1" applyFill="1" applyBorder="1">
      <alignment horizontal="center" vertical="center"/>
    </xf>
    <xf numFmtId="0" fontId="0" fillId="51" borderId="327" xfId="32" applyFont="1" applyFill="1" applyBorder="1" applyAlignment="1">
      <alignment horizontal="center" vertical="center"/>
    </xf>
    <xf numFmtId="0" fontId="0" fillId="51" borderId="327" xfId="48" applyFont="1" applyFill="1" applyBorder="1">
      <alignment horizontal="center" vertical="center"/>
    </xf>
    <xf numFmtId="0" fontId="0" fillId="51" borderId="347" xfId="48" applyFont="1" applyFill="1" applyBorder="1">
      <alignment horizontal="center" vertical="center"/>
    </xf>
    <xf numFmtId="0" fontId="0" fillId="0" borderId="332" xfId="0" applyBorder="1" applyAlignment="1">
      <alignment horizontal="left"/>
    </xf>
    <xf numFmtId="0" fontId="0" fillId="0" borderId="353" xfId="0" applyBorder="1" applyAlignment="1"/>
    <xf numFmtId="0" fontId="0" fillId="0" borderId="354" xfId="0" applyBorder="1" applyAlignment="1">
      <alignment horizontal="left"/>
    </xf>
    <xf numFmtId="0" fontId="0" fillId="0" borderId="332" xfId="0" applyBorder="1" applyAlignment="1">
      <alignment horizontal="center"/>
    </xf>
    <xf numFmtId="0" fontId="2" fillId="43" borderId="360" xfId="0" applyFont="1" applyFill="1" applyBorder="1" applyAlignment="1">
      <alignment horizontal="center"/>
    </xf>
    <xf numFmtId="0" fontId="0" fillId="0" borderId="360" xfId="0" applyBorder="1" applyAlignment="1">
      <alignment horizontal="left" vertical="center"/>
    </xf>
    <xf numFmtId="0" fontId="0" fillId="51" borderId="360" xfId="0" applyFill="1" applyBorder="1">
      <alignment horizontal="center" vertical="center"/>
    </xf>
    <xf numFmtId="0" fontId="0" fillId="51" borderId="360" xfId="46" applyFont="1" applyFill="1" applyBorder="1">
      <alignment horizontal="center" vertical="center"/>
    </xf>
    <xf numFmtId="0" fontId="0" fillId="51" borderId="360" xfId="45" applyFont="1" applyFill="1" applyBorder="1">
      <alignment horizontal="center" vertical="center"/>
    </xf>
    <xf numFmtId="0" fontId="1" fillId="0" borderId="330" xfId="0" applyFont="1" applyBorder="1" applyAlignment="1">
      <alignment horizontal="left"/>
    </xf>
    <xf numFmtId="0" fontId="2" fillId="0" borderId="340" xfId="0" applyFont="1" applyBorder="1">
      <alignment horizontal="center" vertical="center"/>
    </xf>
    <xf numFmtId="0" fontId="0" fillId="0" borderId="367" xfId="0" applyBorder="1" applyAlignment="1">
      <alignment horizontal="center"/>
    </xf>
    <xf numFmtId="167" fontId="7" fillId="0" borderId="332" xfId="0" applyNumberFormat="1" applyFont="1" applyBorder="1" applyAlignment="1">
      <alignment horizontal="center"/>
    </xf>
    <xf numFmtId="0" fontId="5" fillId="51" borderId="326" xfId="0" applyFont="1" applyFill="1" applyBorder="1" applyAlignment="1">
      <alignment vertical="center"/>
    </xf>
    <xf numFmtId="0" fontId="0" fillId="51" borderId="326" xfId="0" applyFill="1" applyBorder="1" applyAlignment="1">
      <alignment vertical="center"/>
    </xf>
    <xf numFmtId="0" fontId="5" fillId="0" borderId="326" xfId="52" applyBorder="1">
      <alignment horizontal="center" vertical="center"/>
    </xf>
    <xf numFmtId="0" fontId="13" fillId="0" borderId="368" xfId="0" applyFont="1" applyBorder="1" applyAlignment="1">
      <alignment horizontal="left" vertical="center"/>
    </xf>
    <xf numFmtId="0" fontId="13" fillId="0" borderId="368" xfId="0" applyFont="1" applyBorder="1">
      <alignment horizontal="center" vertical="center"/>
    </xf>
    <xf numFmtId="0" fontId="13" fillId="0" borderId="369" xfId="0" applyFont="1" applyBorder="1">
      <alignment horizontal="center" vertical="center"/>
    </xf>
    <xf numFmtId="49" fontId="13" fillId="0" borderId="370" xfId="0" applyNumberFormat="1" applyFont="1" applyBorder="1">
      <alignment horizontal="center" vertical="center"/>
    </xf>
    <xf numFmtId="0" fontId="5" fillId="0" borderId="369" xfId="0" applyFont="1" applyBorder="1">
      <alignment horizontal="center" vertical="center"/>
    </xf>
    <xf numFmtId="49" fontId="5" fillId="0" borderId="370" xfId="0" applyNumberFormat="1" applyFont="1" applyBorder="1">
      <alignment horizontal="center" vertical="center"/>
    </xf>
    <xf numFmtId="0" fontId="5" fillId="0" borderId="368" xfId="0" applyFont="1" applyBorder="1">
      <alignment horizontal="center" vertical="center"/>
    </xf>
    <xf numFmtId="0" fontId="7" fillId="0" borderId="368" xfId="0" applyFont="1" applyBorder="1">
      <alignment horizontal="center" vertical="center"/>
    </xf>
    <xf numFmtId="0" fontId="7" fillId="0" borderId="371" xfId="0" applyFont="1" applyBorder="1">
      <alignment horizontal="center" vertical="center"/>
    </xf>
    <xf numFmtId="0" fontId="0" fillId="0" borderId="372" xfId="0" applyBorder="1">
      <alignment horizontal="center" vertical="center"/>
    </xf>
    <xf numFmtId="49" fontId="5" fillId="0" borderId="372" xfId="0" applyNumberFormat="1" applyFont="1" applyBorder="1">
      <alignment horizontal="center" vertical="center"/>
    </xf>
    <xf numFmtId="0" fontId="7" fillId="0" borderId="373" xfId="0" applyFont="1" applyBorder="1">
      <alignment horizontal="center" vertical="center"/>
    </xf>
    <xf numFmtId="49" fontId="0" fillId="0" borderId="360" xfId="0" applyNumberFormat="1" applyBorder="1">
      <alignment horizontal="center" vertical="center"/>
    </xf>
    <xf numFmtId="0" fontId="5" fillId="0" borderId="370" xfId="0" applyFont="1" applyBorder="1">
      <alignment horizontal="center" vertical="center"/>
    </xf>
    <xf numFmtId="49" fontId="5" fillId="0" borderId="368" xfId="0" applyNumberFormat="1" applyFont="1" applyBorder="1">
      <alignment horizontal="center" vertical="center"/>
    </xf>
    <xf numFmtId="0" fontId="5" fillId="0" borderId="374" xfId="0" applyFont="1" applyBorder="1">
      <alignment horizontal="center" vertical="center"/>
    </xf>
    <xf numFmtId="0" fontId="5" fillId="0" borderId="375" xfId="0" applyFont="1" applyBorder="1">
      <alignment horizontal="center" vertical="center"/>
    </xf>
    <xf numFmtId="0" fontId="5" fillId="0" borderId="376" xfId="0" applyFont="1" applyBorder="1">
      <alignment horizontal="center" vertical="center"/>
    </xf>
    <xf numFmtId="49" fontId="5" fillId="0" borderId="374" xfId="0" applyNumberFormat="1" applyFont="1" applyBorder="1">
      <alignment horizontal="center" vertical="center"/>
    </xf>
    <xf numFmtId="49" fontId="5" fillId="0" borderId="375" xfId="0" applyNumberFormat="1" applyFont="1" applyBorder="1">
      <alignment horizontal="center" vertical="center"/>
    </xf>
    <xf numFmtId="0" fontId="7" fillId="0" borderId="374" xfId="0" applyFont="1" applyBorder="1">
      <alignment horizontal="center" vertical="center"/>
    </xf>
    <xf numFmtId="0" fontId="7" fillId="0" borderId="377" xfId="0" applyFont="1" applyBorder="1">
      <alignment horizontal="center" vertical="center"/>
    </xf>
    <xf numFmtId="0" fontId="4" fillId="0" borderId="378" xfId="0" applyFont="1" applyBorder="1" applyAlignment="1">
      <alignment horizontal="center"/>
    </xf>
    <xf numFmtId="0" fontId="0" fillId="51" borderId="360" xfId="0" applyFill="1" applyBorder="1" applyAlignment="1">
      <alignment horizontal="left" vertical="center" wrapText="1"/>
    </xf>
    <xf numFmtId="49" fontId="0" fillId="52" borderId="360" xfId="0" applyNumberFormat="1" applyFill="1" applyBorder="1">
      <alignment horizontal="center" vertical="center"/>
    </xf>
    <xf numFmtId="0" fontId="5" fillId="52" borderId="336" xfId="48" applyBorder="1">
      <alignment horizontal="center" vertical="center"/>
    </xf>
    <xf numFmtId="0" fontId="2" fillId="0" borderId="360" xfId="0" applyFont="1" applyBorder="1" applyAlignment="1">
      <alignment horizontal="center"/>
    </xf>
    <xf numFmtId="0" fontId="2" fillId="0" borderId="378" xfId="0" applyFont="1" applyBorder="1" applyAlignment="1">
      <alignment horizontal="center"/>
    </xf>
    <xf numFmtId="0" fontId="0" fillId="0" borderId="379" xfId="0" applyBorder="1" applyAlignment="1">
      <alignment horizontal="left" vertical="center"/>
    </xf>
    <xf numFmtId="0" fontId="0" fillId="0" borderId="330" xfId="0" applyBorder="1" applyAlignment="1">
      <alignment horizontal="left" vertical="center"/>
    </xf>
    <xf numFmtId="0" fontId="2" fillId="0" borderId="340" xfId="0" applyFont="1" applyBorder="1" applyAlignment="1">
      <alignment horizontal="left"/>
    </xf>
    <xf numFmtId="0" fontId="0" fillId="0" borderId="341" xfId="0" applyBorder="1" applyAlignment="1">
      <alignment horizontal="left" vertical="center"/>
    </xf>
    <xf numFmtId="0" fontId="2" fillId="0" borderId="360" xfId="0" applyFont="1" applyBorder="1">
      <alignment horizontal="center" vertical="center"/>
    </xf>
    <xf numFmtId="0" fontId="0" fillId="0" borderId="370" xfId="0" applyBorder="1" applyAlignment="1">
      <alignment horizontal="left" vertical="center"/>
    </xf>
    <xf numFmtId="0" fontId="0" fillId="0" borderId="368" xfId="0" applyBorder="1" applyAlignment="1">
      <alignment horizontal="left" vertical="center"/>
    </xf>
    <xf numFmtId="0" fontId="0" fillId="0" borderId="369" xfId="0" applyBorder="1" applyAlignment="1">
      <alignment horizontal="left" vertical="center"/>
    </xf>
    <xf numFmtId="0" fontId="2" fillId="0" borderId="336" xfId="0" applyFont="1" applyBorder="1">
      <alignment horizontal="center" vertical="center"/>
    </xf>
    <xf numFmtId="0" fontId="2" fillId="0" borderId="336" xfId="0" applyFont="1" applyBorder="1" applyAlignment="1">
      <alignment horizontal="center"/>
    </xf>
    <xf numFmtId="0" fontId="0" fillId="0" borderId="375" xfId="0" applyBorder="1" applyAlignment="1">
      <alignment horizontal="left" vertical="center"/>
    </xf>
    <xf numFmtId="0" fontId="0" fillId="0" borderId="374" xfId="0" applyBorder="1" applyAlignment="1">
      <alignment horizontal="left" vertical="center"/>
    </xf>
    <xf numFmtId="0" fontId="0" fillId="0" borderId="376" xfId="0" applyBorder="1" applyAlignment="1">
      <alignment horizontal="left" vertical="center"/>
    </xf>
    <xf numFmtId="0" fontId="0" fillId="0" borderId="380" xfId="0" applyBorder="1" applyAlignment="1">
      <alignment horizontal="left" vertical="center"/>
    </xf>
    <xf numFmtId="0" fontId="2" fillId="0" borderId="381" xfId="0" applyFont="1" applyBorder="1" applyAlignment="1">
      <alignment horizontal="left"/>
    </xf>
    <xf numFmtId="0" fontId="0" fillId="0" borderId="381" xfId="0" applyBorder="1" applyAlignment="1">
      <alignment horizontal="left" vertical="center"/>
    </xf>
    <xf numFmtId="0" fontId="0" fillId="0" borderId="382" xfId="0" applyBorder="1" applyAlignment="1">
      <alignment horizontal="left" vertical="center"/>
    </xf>
    <xf numFmtId="0" fontId="0" fillId="0" borderId="383" xfId="0" applyBorder="1" applyAlignment="1">
      <alignment horizontal="left" vertical="center"/>
    </xf>
    <xf numFmtId="49" fontId="0" fillId="0" borderId="384" xfId="0" applyNumberFormat="1" applyBorder="1" applyAlignment="1">
      <alignment horizontal="left"/>
    </xf>
    <xf numFmtId="0" fontId="1" fillId="0" borderId="360" xfId="0" applyFont="1" applyBorder="1" applyAlignment="1">
      <alignment horizontal="center"/>
    </xf>
    <xf numFmtId="0" fontId="0" fillId="0" borderId="385" xfId="0" applyBorder="1" applyAlignment="1">
      <alignment horizontal="left" vertical="center"/>
    </xf>
    <xf numFmtId="0" fontId="0" fillId="0" borderId="386" xfId="0" applyBorder="1" applyAlignment="1">
      <alignment horizontal="left" vertical="center"/>
    </xf>
    <xf numFmtId="49" fontId="0" fillId="0" borderId="386" xfId="0" applyNumberFormat="1" applyBorder="1" applyAlignment="1">
      <alignment horizontal="left"/>
    </xf>
    <xf numFmtId="0" fontId="2" fillId="0" borderId="387" xfId="0" applyFont="1" applyBorder="1" applyAlignment="1" applyProtection="1">
      <alignment horizontal="center"/>
      <protection locked="0"/>
    </xf>
    <xf numFmtId="0" fontId="0" fillId="0" borderId="387" xfId="0" applyBorder="1" applyAlignment="1">
      <alignment horizontal="left"/>
    </xf>
    <xf numFmtId="0" fontId="0" fillId="51" borderId="388" xfId="0" applyFill="1" applyBorder="1">
      <alignment horizontal="center" vertical="center"/>
    </xf>
    <xf numFmtId="0" fontId="0" fillId="0" borderId="387" xfId="0" applyBorder="1" applyAlignment="1" applyProtection="1">
      <alignment horizontal="center"/>
      <protection locked="0"/>
    </xf>
    <xf numFmtId="0" fontId="1" fillId="0" borderId="387" xfId="0" applyFont="1" applyBorder="1" applyAlignment="1" applyProtection="1">
      <alignment horizontal="center"/>
      <protection locked="0"/>
    </xf>
    <xf numFmtId="0" fontId="0" fillId="51" borderId="388" xfId="48" applyFont="1" applyFill="1" applyBorder="1">
      <alignment horizontal="center" vertical="center"/>
    </xf>
    <xf numFmtId="0" fontId="0" fillId="51" borderId="388" xfId="51" applyFont="1" applyFill="1" applyBorder="1">
      <alignment horizontal="center" vertical="center"/>
    </xf>
    <xf numFmtId="0" fontId="5" fillId="0" borderId="387" xfId="0" applyFont="1" applyBorder="1" applyAlignment="1">
      <alignment vertical="center"/>
    </xf>
    <xf numFmtId="0" fontId="13" fillId="0" borderId="387" xfId="0" applyFont="1" applyBorder="1" applyAlignment="1">
      <alignment vertical="center"/>
    </xf>
    <xf numFmtId="49" fontId="0" fillId="51" borderId="388" xfId="0" applyNumberFormat="1" applyFill="1" applyBorder="1">
      <alignment horizontal="center" vertical="center"/>
    </xf>
    <xf numFmtId="0" fontId="0" fillId="0" borderId="387" xfId="0" applyBorder="1">
      <alignment horizontal="center" vertical="center"/>
    </xf>
    <xf numFmtId="0" fontId="2" fillId="0" borderId="389" xfId="0" applyFont="1" applyBorder="1">
      <alignment horizontal="center" vertical="center"/>
    </xf>
    <xf numFmtId="0" fontId="0" fillId="51" borderId="387" xfId="33" applyFont="1" applyFill="1" applyBorder="1">
      <alignment horizontal="center" vertical="center"/>
    </xf>
    <xf numFmtId="0" fontId="5" fillId="51" borderId="387" xfId="0" applyFont="1" applyFill="1" applyBorder="1" applyAlignment="1">
      <alignment vertical="center"/>
    </xf>
    <xf numFmtId="0" fontId="2" fillId="0" borderId="390" xfId="0" applyFont="1" applyBorder="1" applyAlignment="1">
      <alignment horizontal="center"/>
    </xf>
    <xf numFmtId="0" fontId="2" fillId="0" borderId="391" xfId="0" applyFont="1" applyBorder="1" applyAlignment="1">
      <alignment horizontal="center"/>
    </xf>
    <xf numFmtId="0" fontId="0" fillId="0" borderId="392" xfId="0" applyBorder="1" applyAlignment="1">
      <alignment horizontal="center"/>
    </xf>
    <xf numFmtId="0" fontId="0" fillId="0" borderId="364" xfId="0" applyBorder="1">
      <alignment horizontal="center" vertical="center"/>
    </xf>
    <xf numFmtId="0" fontId="0" fillId="0" borderId="393" xfId="0" applyBorder="1">
      <alignment horizontal="center" vertical="center"/>
    </xf>
    <xf numFmtId="0" fontId="2" fillId="0" borderId="364" xfId="0" applyFont="1" applyBorder="1" applyAlignment="1">
      <alignment horizontal="left"/>
    </xf>
    <xf numFmtId="0" fontId="0" fillId="0" borderId="394" xfId="0" applyBorder="1">
      <alignment horizontal="center" vertical="center"/>
    </xf>
    <xf numFmtId="0" fontId="0" fillId="0" borderId="364" xfId="0" applyBorder="1" applyAlignment="1">
      <alignment horizontal="left" vertical="center"/>
    </xf>
    <xf numFmtId="0" fontId="0" fillId="0" borderId="393" xfId="0" applyBorder="1" applyAlignment="1">
      <alignment horizontal="left" vertical="center"/>
    </xf>
    <xf numFmtId="0" fontId="0" fillId="0" borderId="394" xfId="0" applyBorder="1" applyAlignment="1">
      <alignment horizontal="left" vertical="center"/>
    </xf>
    <xf numFmtId="0" fontId="2" fillId="0" borderId="394" xfId="0" applyFont="1" applyBorder="1" applyAlignment="1">
      <alignment horizontal="left"/>
    </xf>
    <xf numFmtId="0" fontId="0" fillId="0" borderId="395" xfId="0" applyBorder="1">
      <alignment horizontal="center" vertical="center"/>
    </xf>
    <xf numFmtId="0" fontId="0" fillId="0" borderId="396" xfId="0" applyBorder="1" applyAlignment="1" applyProtection="1">
      <alignment horizontal="center"/>
      <protection locked="0"/>
    </xf>
    <xf numFmtId="49" fontId="0" fillId="51" borderId="396" xfId="32" applyNumberFormat="1" applyFont="1" applyFill="1" applyBorder="1" applyAlignment="1">
      <alignment horizontal="center" vertical="center"/>
    </xf>
    <xf numFmtId="0" fontId="0" fillId="43" borderId="397" xfId="0" applyFill="1" applyBorder="1" applyAlignment="1">
      <alignment horizontal="center"/>
    </xf>
    <xf numFmtId="0" fontId="45" fillId="0" borderId="397" xfId="0" applyFont="1" applyBorder="1" applyAlignment="1">
      <alignment horizontal="left" vertical="center"/>
    </xf>
    <xf numFmtId="49" fontId="0" fillId="51" borderId="384" xfId="0" applyNumberFormat="1" applyFill="1" applyBorder="1">
      <alignment horizontal="center" vertical="center"/>
    </xf>
    <xf numFmtId="0" fontId="0" fillId="0" borderId="398" xfId="0" applyBorder="1" applyAlignment="1" applyProtection="1">
      <alignment horizontal="center"/>
      <protection locked="0"/>
    </xf>
    <xf numFmtId="0" fontId="0" fillId="51" borderId="397" xfId="45" applyFont="1" applyFill="1" applyBorder="1">
      <alignment horizontal="center" vertical="center"/>
    </xf>
    <xf numFmtId="49" fontId="0" fillId="51" borderId="386" xfId="0" applyNumberFormat="1" applyFill="1" applyBorder="1">
      <alignment horizontal="center" vertical="center"/>
    </xf>
    <xf numFmtId="0" fontId="2" fillId="0" borderId="399" xfId="0" applyFont="1" applyBorder="1" applyAlignment="1">
      <alignment horizontal="center"/>
    </xf>
    <xf numFmtId="0" fontId="0" fillId="0" borderId="394" xfId="0" applyBorder="1" applyAlignment="1">
      <alignment horizontal="left"/>
    </xf>
    <xf numFmtId="0" fontId="0" fillId="0" borderId="364" xfId="0" applyBorder="1" applyAlignment="1">
      <alignment horizontal="center"/>
    </xf>
    <xf numFmtId="0" fontId="2" fillId="0" borderId="400" xfId="0" applyFont="1" applyBorder="1" applyAlignment="1" applyProtection="1">
      <alignment horizontal="center"/>
      <protection locked="0"/>
    </xf>
    <xf numFmtId="0" fontId="4" fillId="0" borderId="398" xfId="0" applyFont="1" applyBorder="1" applyAlignment="1">
      <alignment horizontal="center"/>
    </xf>
    <xf numFmtId="0" fontId="0" fillId="0" borderId="396" xfId="0" applyBorder="1" applyAlignment="1">
      <alignment vertical="center"/>
    </xf>
    <xf numFmtId="0" fontId="0" fillId="0" borderId="384" xfId="0" applyBorder="1" applyAlignment="1" applyProtection="1">
      <alignment horizontal="center"/>
      <protection locked="0"/>
    </xf>
    <xf numFmtId="0" fontId="46" fillId="0" borderId="396" xfId="0" applyFont="1" applyBorder="1" applyAlignment="1">
      <alignment vertical="center"/>
    </xf>
    <xf numFmtId="0" fontId="0" fillId="43" borderId="401" xfId="0" applyFill="1" applyBorder="1" applyAlignment="1" applyProtection="1">
      <alignment horizontal="center"/>
      <protection locked="0"/>
    </xf>
    <xf numFmtId="0" fontId="45" fillId="0" borderId="402" xfId="0" applyFont="1" applyBorder="1" applyAlignment="1">
      <alignment vertical="center"/>
    </xf>
    <xf numFmtId="0" fontId="45" fillId="0" borderId="403" xfId="0" applyFont="1" applyBorder="1" applyAlignment="1">
      <alignment vertical="center"/>
    </xf>
    <xf numFmtId="49" fontId="0" fillId="51" borderId="404" xfId="0" applyNumberFormat="1" applyFill="1" applyBorder="1">
      <alignment horizontal="center" vertical="center"/>
    </xf>
    <xf numFmtId="49" fontId="0" fillId="51" borderId="398" xfId="0" applyNumberFormat="1" applyFill="1" applyBorder="1">
      <alignment horizontal="center" vertical="center"/>
    </xf>
    <xf numFmtId="0" fontId="0" fillId="51" borderId="398" xfId="0" applyFill="1" applyBorder="1">
      <alignment horizontal="center" vertical="center"/>
    </xf>
    <xf numFmtId="49" fontId="0" fillId="51" borderId="405" xfId="0" applyNumberFormat="1" applyFill="1" applyBorder="1">
      <alignment horizontal="center" vertical="center"/>
    </xf>
    <xf numFmtId="49" fontId="0" fillId="0" borderId="384" xfId="0" applyNumberFormat="1" applyBorder="1" applyAlignment="1"/>
    <xf numFmtId="0" fontId="2" fillId="0" borderId="398" xfId="0" applyFont="1" applyBorder="1" applyAlignment="1" applyProtection="1">
      <alignment horizontal="center"/>
      <protection locked="0"/>
    </xf>
    <xf numFmtId="0" fontId="0" fillId="0" borderId="396" xfId="0" applyBorder="1" applyAlignment="1" applyProtection="1">
      <alignment horizontal="left"/>
      <protection locked="0"/>
    </xf>
    <xf numFmtId="0" fontId="11" fillId="0" borderId="396" xfId="0" applyFont="1" applyBorder="1" applyAlignment="1">
      <alignment vertical="center"/>
    </xf>
    <xf numFmtId="0" fontId="0" fillId="0" borderId="389" xfId="0" applyBorder="1" applyAlignment="1">
      <alignment vertical="center"/>
    </xf>
    <xf numFmtId="1" fontId="0" fillId="51" borderId="387" xfId="32" applyNumberFormat="1" applyFont="1" applyFill="1" applyBorder="1" applyAlignment="1">
      <alignment horizontal="center" vertical="center"/>
    </xf>
    <xf numFmtId="0" fontId="4" fillId="44" borderId="384" xfId="0" applyFont="1" applyFill="1" applyBorder="1" applyAlignment="1">
      <alignment horizontal="left"/>
    </xf>
    <xf numFmtId="0" fontId="4" fillId="25" borderId="384" xfId="0" applyFont="1" applyFill="1" applyBorder="1">
      <alignment horizontal="center" vertical="center"/>
    </xf>
    <xf numFmtId="0" fontId="5" fillId="25" borderId="406" xfId="0" applyFont="1" applyFill="1" applyBorder="1">
      <alignment horizontal="center" vertical="center"/>
    </xf>
    <xf numFmtId="0" fontId="4" fillId="29" borderId="384" xfId="0" applyFont="1" applyFill="1" applyBorder="1" applyAlignment="1">
      <alignment horizontal="left"/>
    </xf>
    <xf numFmtId="0" fontId="4" fillId="29" borderId="406" xfId="0" applyFont="1" applyFill="1" applyBorder="1" applyAlignment="1">
      <alignment horizontal="left"/>
    </xf>
    <xf numFmtId="0" fontId="5" fillId="29" borderId="406" xfId="0" applyFont="1" applyFill="1" applyBorder="1">
      <alignment horizontal="center" vertical="center"/>
    </xf>
    <xf numFmtId="0" fontId="5" fillId="29" borderId="407" xfId="0" applyFont="1" applyFill="1" applyBorder="1">
      <alignment horizontal="center" vertical="center"/>
    </xf>
    <xf numFmtId="0" fontId="4" fillId="37" borderId="384" xfId="0" applyFont="1" applyFill="1" applyBorder="1" applyAlignment="1">
      <alignment horizontal="left"/>
    </xf>
    <xf numFmtId="0" fontId="4" fillId="37" borderId="406" xfId="0" applyFont="1" applyFill="1" applyBorder="1" applyAlignment="1">
      <alignment horizontal="left"/>
    </xf>
    <xf numFmtId="0" fontId="0" fillId="37" borderId="406" xfId="0" applyFill="1" applyBorder="1">
      <alignment horizontal="center" vertical="center"/>
    </xf>
    <xf numFmtId="0" fontId="4" fillId="45" borderId="384" xfId="0" applyFont="1" applyFill="1" applyBorder="1" applyAlignment="1">
      <alignment horizontal="left"/>
    </xf>
    <xf numFmtId="0" fontId="0" fillId="45" borderId="406" xfId="0" applyFill="1" applyBorder="1">
      <alignment horizontal="center" vertical="center"/>
    </xf>
    <xf numFmtId="0" fontId="5" fillId="45" borderId="406" xfId="0" applyFont="1" applyFill="1" applyBorder="1">
      <alignment horizontal="center" vertical="center"/>
    </xf>
    <xf numFmtId="0" fontId="5" fillId="45" borderId="407" xfId="0" applyFont="1" applyFill="1" applyBorder="1">
      <alignment horizontal="center" vertical="center"/>
    </xf>
    <xf numFmtId="0" fontId="4" fillId="24" borderId="384" xfId="0" applyFont="1" applyFill="1" applyBorder="1">
      <alignment horizontal="center" vertical="center"/>
    </xf>
    <xf numFmtId="0" fontId="0" fillId="24" borderId="406" xfId="0" applyFill="1" applyBorder="1">
      <alignment horizontal="center" vertical="center"/>
    </xf>
    <xf numFmtId="0" fontId="5" fillId="24" borderId="406" xfId="0" applyFont="1" applyFill="1" applyBorder="1">
      <alignment horizontal="center" vertical="center"/>
    </xf>
    <xf numFmtId="0" fontId="4" fillId="40" borderId="384" xfId="0" applyFont="1" applyFill="1" applyBorder="1" applyAlignment="1">
      <alignment horizontal="left"/>
    </xf>
    <xf numFmtId="0" fontId="5" fillId="40" borderId="406" xfId="0" applyFont="1" applyFill="1" applyBorder="1">
      <alignment horizontal="center" vertical="center"/>
    </xf>
    <xf numFmtId="0" fontId="0" fillId="40" borderId="407" xfId="0" applyFill="1" applyBorder="1">
      <alignment horizontal="center" vertical="center"/>
    </xf>
    <xf numFmtId="0" fontId="0" fillId="46" borderId="408" xfId="0" applyFill="1" applyBorder="1">
      <alignment horizontal="center" vertical="center"/>
    </xf>
    <xf numFmtId="0" fontId="5" fillId="46" borderId="408" xfId="0" applyFont="1" applyFill="1" applyBorder="1">
      <alignment horizontal="center" vertical="center"/>
    </xf>
    <xf numFmtId="0" fontId="5" fillId="46" borderId="409" xfId="0" applyFont="1" applyFill="1" applyBorder="1">
      <alignment horizontal="center" vertical="center"/>
    </xf>
    <xf numFmtId="0" fontId="4" fillId="0" borderId="410" xfId="0" applyFont="1" applyBorder="1" applyAlignment="1">
      <alignment horizontal="left" vertical="center"/>
    </xf>
    <xf numFmtId="0" fontId="5" fillId="0" borderId="408" xfId="0" applyFont="1" applyBorder="1">
      <alignment horizontal="center" vertical="center"/>
    </xf>
    <xf numFmtId="0" fontId="5" fillId="0" borderId="409" xfId="0" applyFont="1" applyBorder="1">
      <alignment horizontal="center" vertical="center"/>
    </xf>
    <xf numFmtId="0" fontId="4" fillId="39" borderId="396" xfId="0" applyFont="1" applyFill="1" applyBorder="1" applyAlignment="1">
      <alignment horizontal="left"/>
    </xf>
    <xf numFmtId="0" fontId="4" fillId="47" borderId="384" xfId="0" applyFont="1" applyFill="1" applyBorder="1">
      <alignment horizontal="center" vertical="center"/>
    </xf>
    <xf numFmtId="0" fontId="5" fillId="47" borderId="406" xfId="0" applyFont="1" applyFill="1" applyBorder="1">
      <alignment horizontal="center" vertical="center"/>
    </xf>
    <xf numFmtId="0" fontId="5" fillId="0" borderId="384" xfId="0" applyFont="1" applyBorder="1" applyAlignment="1">
      <alignment horizontal="left"/>
    </xf>
    <xf numFmtId="0" fontId="0" fillId="0" borderId="406" xfId="0" applyBorder="1">
      <alignment horizontal="center" vertical="center"/>
    </xf>
    <xf numFmtId="0" fontId="5" fillId="0" borderId="406" xfId="0" applyFont="1" applyBorder="1" applyAlignment="1">
      <alignment horizontal="left"/>
    </xf>
    <xf numFmtId="0" fontId="5" fillId="0" borderId="406" xfId="0" applyFont="1" applyBorder="1">
      <alignment horizontal="center" vertical="center"/>
    </xf>
    <xf numFmtId="0" fontId="5" fillId="0" borderId="407" xfId="0" applyFont="1" applyBorder="1">
      <alignment horizontal="center" vertical="center"/>
    </xf>
    <xf numFmtId="0" fontId="5" fillId="48" borderId="384" xfId="0" applyFont="1" applyFill="1" applyBorder="1" applyAlignment="1">
      <alignment horizontal="left" vertical="center"/>
    </xf>
    <xf numFmtId="0" fontId="5" fillId="48" borderId="406" xfId="0" applyFont="1" applyFill="1" applyBorder="1">
      <alignment horizontal="center" vertical="center"/>
    </xf>
    <xf numFmtId="0" fontId="5" fillId="48" borderId="407" xfId="0" applyFont="1" applyFill="1" applyBorder="1">
      <alignment horizontal="center" vertical="center"/>
    </xf>
    <xf numFmtId="0" fontId="2" fillId="0" borderId="384" xfId="0" applyFont="1" applyBorder="1" applyAlignment="1">
      <alignment horizontal="left" vertical="center"/>
    </xf>
    <xf numFmtId="0" fontId="0" fillId="0" borderId="407" xfId="0" applyBorder="1">
      <alignment horizontal="center" vertical="center"/>
    </xf>
    <xf numFmtId="0" fontId="0" fillId="0" borderId="411" xfId="0" applyBorder="1">
      <alignment horizontal="center" vertical="center"/>
    </xf>
    <xf numFmtId="0" fontId="2" fillId="0" borderId="406" xfId="0" applyFont="1" applyBorder="1" applyAlignment="1">
      <alignment horizontal="left" vertical="center"/>
    </xf>
    <xf numFmtId="0" fontId="0" fillId="0" borderId="412" xfId="0" applyBorder="1">
      <alignment horizontal="center" vertical="center"/>
    </xf>
    <xf numFmtId="0" fontId="12" fillId="0" borderId="410" xfId="0" applyFont="1" applyBorder="1">
      <alignment horizontal="center" vertical="center"/>
    </xf>
    <xf numFmtId="0" fontId="0" fillId="0" borderId="408" xfId="0" applyBorder="1">
      <alignment horizontal="center" vertical="center"/>
    </xf>
    <xf numFmtId="0" fontId="0" fillId="0" borderId="409" xfId="0" applyBorder="1">
      <alignment horizontal="center" vertical="center"/>
    </xf>
    <xf numFmtId="0" fontId="2" fillId="0" borderId="384" xfId="0" applyFont="1" applyBorder="1">
      <alignment horizontal="center" vertical="center"/>
    </xf>
    <xf numFmtId="0" fontId="0" fillId="0" borderId="397" xfId="0" applyBorder="1" applyAlignment="1" applyProtection="1">
      <alignment horizontal="center"/>
      <protection locked="0"/>
    </xf>
    <xf numFmtId="0" fontId="4" fillId="0" borderId="397" xfId="0" applyFont="1" applyBorder="1" applyAlignment="1">
      <alignment horizontal="center"/>
    </xf>
    <xf numFmtId="0" fontId="0" fillId="51" borderId="397" xfId="0" applyFill="1" applyBorder="1">
      <alignment horizontal="center" vertical="center"/>
    </xf>
    <xf numFmtId="0" fontId="0" fillId="71" borderId="397" xfId="0" applyFill="1" applyBorder="1">
      <alignment horizontal="center" vertical="center"/>
    </xf>
    <xf numFmtId="0" fontId="0" fillId="51" borderId="413" xfId="0" applyFill="1" applyBorder="1">
      <alignment horizontal="center" vertical="center"/>
    </xf>
    <xf numFmtId="0" fontId="2" fillId="24" borderId="396" xfId="0" applyFont="1" applyFill="1" applyBorder="1" applyAlignment="1">
      <alignment horizontal="left" vertical="center"/>
    </xf>
    <xf numFmtId="0" fontId="0" fillId="24" borderId="396" xfId="0" applyFill="1" applyBorder="1">
      <alignment horizontal="center" vertical="center"/>
    </xf>
    <xf numFmtId="0" fontId="0" fillId="24" borderId="414" xfId="0" applyFill="1" applyBorder="1">
      <alignment horizontal="center" vertical="center"/>
    </xf>
    <xf numFmtId="0" fontId="0" fillId="43" borderId="396" xfId="0" applyFill="1" applyBorder="1" applyAlignment="1" applyProtection="1">
      <alignment horizontal="center"/>
      <protection locked="0"/>
    </xf>
    <xf numFmtId="0" fontId="4" fillId="0" borderId="396" xfId="0" applyFont="1" applyBorder="1" applyAlignment="1">
      <alignment horizontal="left" vertical="center"/>
    </xf>
    <xf numFmtId="0" fontId="0" fillId="51" borderId="396" xfId="43" applyFont="1" applyFill="1" applyBorder="1">
      <alignment horizontal="center" vertical="center"/>
    </xf>
    <xf numFmtId="1" fontId="0" fillId="51" borderId="396" xfId="0" applyNumberFormat="1" applyFill="1" applyBorder="1">
      <alignment horizontal="center" vertical="center"/>
    </xf>
    <xf numFmtId="1" fontId="0" fillId="51" borderId="396" xfId="32" applyNumberFormat="1" applyFont="1" applyFill="1" applyBorder="1" applyAlignment="1">
      <alignment horizontal="center" vertical="center"/>
    </xf>
    <xf numFmtId="0" fontId="0" fillId="51" borderId="396" xfId="0" applyFill="1" applyBorder="1">
      <alignment horizontal="center" vertical="center"/>
    </xf>
    <xf numFmtId="0" fontId="0" fillId="51" borderId="396" xfId="44" applyFont="1" applyFill="1" applyBorder="1">
      <alignment horizontal="center" vertical="center"/>
    </xf>
    <xf numFmtId="0" fontId="0" fillId="51" borderId="396" xfId="46" applyFont="1" applyFill="1" applyBorder="1">
      <alignment horizontal="center" vertical="center"/>
    </xf>
    <xf numFmtId="1" fontId="0" fillId="51" borderId="414" xfId="0" applyNumberFormat="1" applyFill="1" applyBorder="1">
      <alignment horizontal="center" vertical="center"/>
    </xf>
    <xf numFmtId="0" fontId="0" fillId="0" borderId="396" xfId="0" applyBorder="1" applyAlignment="1">
      <alignment horizontal="left" vertical="center"/>
    </xf>
    <xf numFmtId="0" fontId="0" fillId="51" borderId="396" xfId="49" applyFont="1" applyFill="1" applyBorder="1">
      <alignment horizontal="center" vertical="center"/>
    </xf>
    <xf numFmtId="1" fontId="0" fillId="51" borderId="396" xfId="44" applyNumberFormat="1" applyFont="1" applyFill="1" applyBorder="1">
      <alignment horizontal="center" vertical="center"/>
    </xf>
    <xf numFmtId="0" fontId="2" fillId="24" borderId="397" xfId="0" applyFont="1" applyFill="1" applyBorder="1" applyAlignment="1" applyProtection="1">
      <alignment horizontal="left"/>
      <protection locked="0"/>
    </xf>
    <xf numFmtId="0" fontId="2" fillId="24" borderId="397" xfId="0" applyFont="1" applyFill="1" applyBorder="1">
      <alignment horizontal="center" vertical="center"/>
    </xf>
    <xf numFmtId="1" fontId="0" fillId="24" borderId="397" xfId="0" applyNumberFormat="1" applyFill="1" applyBorder="1">
      <alignment horizontal="center" vertical="center"/>
    </xf>
    <xf numFmtId="0" fontId="0" fillId="24" borderId="413" xfId="0" applyFill="1" applyBorder="1">
      <alignment horizontal="center" vertical="center"/>
    </xf>
    <xf numFmtId="0" fontId="0" fillId="43" borderId="387" xfId="0" applyFill="1" applyBorder="1" applyAlignment="1" applyProtection="1">
      <alignment horizontal="center"/>
      <protection locked="0"/>
    </xf>
    <xf numFmtId="0" fontId="0" fillId="0" borderId="387" xfId="52" applyFont="1" applyBorder="1" applyAlignment="1">
      <alignment vertical="center"/>
    </xf>
    <xf numFmtId="0" fontId="0" fillId="51" borderId="387" xfId="52" applyFont="1" applyFill="1" applyBorder="1">
      <alignment horizontal="center" vertical="center"/>
    </xf>
    <xf numFmtId="0" fontId="0" fillId="51" borderId="387" xfId="0" applyFill="1" applyBorder="1">
      <alignment horizontal="center" vertical="center"/>
    </xf>
    <xf numFmtId="0" fontId="0" fillId="51" borderId="387" xfId="44" applyFont="1" applyFill="1" applyBorder="1">
      <alignment horizontal="center" vertical="center"/>
    </xf>
    <xf numFmtId="0" fontId="0" fillId="83" borderId="387" xfId="44" applyFont="1" applyFill="1" applyBorder="1">
      <alignment horizontal="center" vertical="center"/>
    </xf>
    <xf numFmtId="0" fontId="0" fillId="83" borderId="387" xfId="52" applyFont="1" applyFill="1" applyBorder="1">
      <alignment horizontal="center" vertical="center"/>
    </xf>
    <xf numFmtId="0" fontId="0" fillId="0" borderId="387" xfId="0" applyBorder="1" applyAlignment="1">
      <alignment horizontal="left" vertical="center"/>
    </xf>
    <xf numFmtId="0" fontId="0" fillId="51" borderId="387" xfId="48" applyFont="1" applyFill="1" applyBorder="1">
      <alignment horizontal="center" vertical="center"/>
    </xf>
    <xf numFmtId="0" fontId="5" fillId="0" borderId="387" xfId="0" applyFont="1" applyBorder="1" applyAlignment="1">
      <alignment horizontal="left" vertical="center"/>
    </xf>
    <xf numFmtId="0" fontId="0" fillId="51" borderId="387" xfId="43" applyFont="1" applyFill="1" applyBorder="1">
      <alignment horizontal="center" vertical="center"/>
    </xf>
    <xf numFmtId="0" fontId="0" fillId="51" borderId="387" xfId="46" applyFont="1" applyFill="1" applyBorder="1">
      <alignment horizontal="center" vertical="center"/>
    </xf>
    <xf numFmtId="0" fontId="2" fillId="0" borderId="415" xfId="0" applyFont="1" applyBorder="1" applyAlignment="1">
      <alignment horizontal="left" vertical="center"/>
    </xf>
    <xf numFmtId="0" fontId="2" fillId="0" borderId="384" xfId="0" applyFont="1" applyBorder="1" applyAlignment="1">
      <alignment vertical="center"/>
    </xf>
    <xf numFmtId="0" fontId="12" fillId="0" borderId="406" xfId="0" applyFont="1" applyBorder="1">
      <alignment horizontal="center" vertical="center"/>
    </xf>
    <xf numFmtId="0" fontId="2" fillId="0" borderId="410" xfId="0" applyFont="1" applyBorder="1" applyAlignment="1">
      <alignment horizontal="left" vertical="center"/>
    </xf>
    <xf numFmtId="0" fontId="12" fillId="0" borderId="408" xfId="0" applyFont="1" applyBorder="1">
      <alignment horizontal="center" vertical="center"/>
    </xf>
    <xf numFmtId="0" fontId="2" fillId="0" borderId="408" xfId="0" applyFont="1" applyBorder="1">
      <alignment horizontal="center" vertical="center"/>
    </xf>
    <xf numFmtId="0" fontId="2" fillId="0" borderId="390" xfId="0" applyFont="1" applyBorder="1" applyAlignment="1">
      <alignment horizontal="left" vertical="center"/>
    </xf>
    <xf numFmtId="0" fontId="0" fillId="0" borderId="384" xfId="0" applyBorder="1" applyAlignment="1">
      <alignment vertical="center"/>
    </xf>
    <xf numFmtId="0" fontId="0" fillId="0" borderId="406" xfId="0" applyBorder="1" applyAlignment="1">
      <alignment horizontal="left" vertical="center"/>
    </xf>
    <xf numFmtId="0" fontId="0" fillId="0" borderId="416" xfId="0" applyBorder="1">
      <alignment horizontal="center" vertical="center"/>
    </xf>
    <xf numFmtId="0" fontId="2" fillId="0" borderId="391" xfId="0" applyFont="1" applyBorder="1" applyAlignment="1">
      <alignment horizontal="left" vertical="center"/>
    </xf>
    <xf numFmtId="0" fontId="0" fillId="0" borderId="392" xfId="0" applyBorder="1">
      <alignment horizontal="center" vertical="center"/>
    </xf>
    <xf numFmtId="0" fontId="0" fillId="0" borderId="386" xfId="0" applyBorder="1" applyAlignment="1">
      <alignment vertical="center"/>
    </xf>
    <xf numFmtId="0" fontId="0" fillId="0" borderId="417" xfId="0" applyBorder="1">
      <alignment horizontal="center" vertical="center"/>
    </xf>
    <xf numFmtId="0" fontId="2" fillId="0" borderId="386" xfId="0" applyFont="1" applyBorder="1">
      <alignment horizontal="center" vertical="center"/>
    </xf>
    <xf numFmtId="0" fontId="0" fillId="0" borderId="392" xfId="0" applyBorder="1" applyAlignment="1">
      <alignment horizontal="left" vertical="center"/>
    </xf>
    <xf numFmtId="0" fontId="12" fillId="0" borderId="392" xfId="0" applyFont="1" applyBorder="1">
      <alignment horizontal="center" vertical="center"/>
    </xf>
    <xf numFmtId="0" fontId="2" fillId="0" borderId="392" xfId="0" applyFont="1" applyBorder="1" applyAlignment="1">
      <alignment horizontal="left" vertical="center"/>
    </xf>
    <xf numFmtId="0" fontId="0" fillId="0" borderId="418" xfId="0" applyBorder="1">
      <alignment horizontal="center" vertical="center"/>
    </xf>
    <xf numFmtId="0" fontId="0" fillId="0" borderId="389" xfId="0" applyBorder="1" applyAlignment="1" applyProtection="1">
      <alignment horizontal="center"/>
      <protection locked="0"/>
    </xf>
    <xf numFmtId="0" fontId="4" fillId="0" borderId="389" xfId="0" applyFont="1" applyBorder="1" applyAlignment="1">
      <alignment horizontal="center"/>
    </xf>
    <xf numFmtId="0" fontId="0" fillId="43" borderId="419" xfId="0" applyFill="1" applyBorder="1" applyAlignment="1" applyProtection="1">
      <alignment horizontal="center"/>
      <protection locked="0"/>
    </xf>
    <xf numFmtId="0" fontId="0" fillId="0" borderId="387" xfId="0" applyBorder="1" applyAlignment="1">
      <alignment vertical="center"/>
    </xf>
    <xf numFmtId="0" fontId="5" fillId="52" borderId="396" xfId="48" applyBorder="1">
      <alignment horizontal="center" vertical="center"/>
    </xf>
    <xf numFmtId="0" fontId="5" fillId="52" borderId="414" xfId="48" applyBorder="1">
      <alignment horizontal="center" vertical="center"/>
    </xf>
    <xf numFmtId="0" fontId="0" fillId="43" borderId="399" xfId="0" applyFill="1" applyBorder="1" applyAlignment="1" applyProtection="1">
      <alignment horizontal="center"/>
      <protection locked="0"/>
    </xf>
    <xf numFmtId="0" fontId="0" fillId="0" borderId="397" xfId="0" applyBorder="1" applyAlignment="1">
      <alignment horizontal="left" vertical="center"/>
    </xf>
    <xf numFmtId="49" fontId="0" fillId="51" borderId="397" xfId="0" applyNumberFormat="1" applyFill="1" applyBorder="1">
      <alignment horizontal="center" vertical="center"/>
    </xf>
    <xf numFmtId="0" fontId="0" fillId="51" borderId="397" xfId="43" applyFont="1" applyFill="1" applyBorder="1">
      <alignment horizontal="center" vertical="center"/>
    </xf>
    <xf numFmtId="0" fontId="0" fillId="51" borderId="397" xfId="44" applyFont="1" applyFill="1" applyBorder="1">
      <alignment horizontal="center" vertical="center"/>
    </xf>
    <xf numFmtId="49" fontId="0" fillId="51" borderId="413" xfId="0" applyNumberFormat="1" applyFill="1" applyBorder="1">
      <alignment horizontal="center" vertical="center"/>
    </xf>
    <xf numFmtId="49" fontId="0" fillId="51" borderId="396" xfId="0" applyNumberFormat="1" applyFill="1" applyBorder="1">
      <alignment horizontal="center" vertical="center"/>
    </xf>
    <xf numFmtId="0" fontId="0" fillId="51" borderId="396" xfId="45" applyFont="1" applyFill="1" applyBorder="1">
      <alignment horizontal="center" vertical="center"/>
    </xf>
    <xf numFmtId="49" fontId="0" fillId="51" borderId="414" xfId="0" applyNumberFormat="1" applyFill="1" applyBorder="1">
      <alignment horizontal="center" vertical="center"/>
    </xf>
    <xf numFmtId="0" fontId="0" fillId="0" borderId="397" xfId="0" applyBorder="1" applyAlignment="1">
      <alignment vertical="center"/>
    </xf>
    <xf numFmtId="0" fontId="5" fillId="52" borderId="397" xfId="48" applyBorder="1">
      <alignment horizontal="center" vertical="center"/>
    </xf>
    <xf numFmtId="0" fontId="0" fillId="51" borderId="413" xfId="44" applyFont="1" applyFill="1" applyBorder="1">
      <alignment horizontal="center" vertical="center"/>
    </xf>
    <xf numFmtId="0" fontId="2" fillId="0" borderId="396" xfId="0" applyFont="1" applyBorder="1" applyAlignment="1">
      <alignment horizontal="center"/>
    </xf>
    <xf numFmtId="0" fontId="0" fillId="0" borderId="396" xfId="0" applyBorder="1">
      <alignment horizontal="center" vertical="center"/>
    </xf>
    <xf numFmtId="0" fontId="5" fillId="0" borderId="396" xfId="0" applyFont="1" applyBorder="1">
      <alignment horizontal="center" vertical="center"/>
    </xf>
    <xf numFmtId="0" fontId="0" fillId="0" borderId="389" xfId="0" applyBorder="1">
      <alignment horizontal="center" vertical="center"/>
    </xf>
    <xf numFmtId="0" fontId="2" fillId="0" borderId="389" xfId="0" applyFont="1" applyBorder="1" applyAlignment="1">
      <alignment horizontal="center"/>
    </xf>
    <xf numFmtId="0" fontId="4" fillId="0" borderId="396" xfId="0" applyFont="1" applyBorder="1" applyAlignment="1">
      <alignment horizontal="left"/>
    </xf>
    <xf numFmtId="0" fontId="5" fillId="0" borderId="384" xfId="0" applyFont="1" applyBorder="1">
      <alignment horizontal="center" vertical="center"/>
    </xf>
    <xf numFmtId="0" fontId="0" fillId="0" borderId="396" xfId="0" applyBorder="1" applyAlignment="1">
      <alignment horizontal="center"/>
    </xf>
    <xf numFmtId="0" fontId="0" fillId="43" borderId="384" xfId="0" applyFill="1" applyBorder="1" applyAlignment="1" applyProtection="1">
      <alignment horizontal="center"/>
      <protection locked="0"/>
    </xf>
    <xf numFmtId="0" fontId="0" fillId="0" borderId="384" xfId="0" applyBorder="1" applyAlignment="1">
      <alignment horizontal="left"/>
    </xf>
    <xf numFmtId="0" fontId="0" fillId="0" borderId="406" xfId="0" applyBorder="1" applyAlignment="1">
      <alignment horizontal="left"/>
    </xf>
    <xf numFmtId="0" fontId="0" fillId="0" borderId="410" xfId="0" applyBorder="1" applyAlignment="1">
      <alignment horizontal="left"/>
    </xf>
    <xf numFmtId="0" fontId="0" fillId="0" borderId="408" xfId="0" applyBorder="1" applyAlignment="1">
      <alignment horizontal="left"/>
    </xf>
    <xf numFmtId="0" fontId="5" fillId="0" borderId="409" xfId="0" applyFont="1" applyBorder="1" applyAlignment="1">
      <alignment horizontal="left"/>
    </xf>
    <xf numFmtId="0" fontId="5" fillId="0" borderId="408" xfId="0" applyFont="1" applyBorder="1" applyAlignment="1">
      <alignment horizontal="left"/>
    </xf>
    <xf numFmtId="0" fontId="5" fillId="0" borderId="407" xfId="0" applyFont="1" applyBorder="1" applyAlignment="1">
      <alignment horizontal="left"/>
    </xf>
    <xf numFmtId="0" fontId="4" fillId="0" borderId="384" xfId="0" applyFont="1" applyBorder="1" applyAlignment="1">
      <alignment horizontal="left"/>
    </xf>
    <xf numFmtId="0" fontId="5" fillId="0" borderId="420" xfId="0" applyFont="1" applyBorder="1" applyAlignment="1">
      <alignment horizontal="left"/>
    </xf>
    <xf numFmtId="0" fontId="20" fillId="0" borderId="396" xfId="0" applyFont="1" applyBorder="1" applyAlignment="1" applyProtection="1">
      <alignment horizontal="center"/>
      <protection locked="0"/>
    </xf>
    <xf numFmtId="0" fontId="0" fillId="0" borderId="396" xfId="0" applyBorder="1" applyAlignment="1">
      <alignment horizontal="left"/>
    </xf>
    <xf numFmtId="0" fontId="5" fillId="0" borderId="396" xfId="0" applyFont="1" applyBorder="1" applyAlignment="1">
      <alignment horizontal="left"/>
    </xf>
    <xf numFmtId="0" fontId="2" fillId="0" borderId="397" xfId="0" applyFont="1" applyBorder="1" applyAlignment="1" applyProtection="1">
      <alignment horizontal="center"/>
      <protection locked="0"/>
    </xf>
    <xf numFmtId="0" fontId="0" fillId="51" borderId="387" xfId="0" applyFill="1" applyBorder="1" applyAlignment="1" applyProtection="1">
      <alignment horizontal="left" vertical="center"/>
      <protection locked="0"/>
    </xf>
    <xf numFmtId="0" fontId="0" fillId="51" borderId="396" xfId="52" applyFont="1" applyFill="1" applyBorder="1">
      <alignment horizontal="center" vertical="center"/>
    </xf>
    <xf numFmtId="0" fontId="0" fillId="51" borderId="396" xfId="48" applyFont="1" applyFill="1" applyBorder="1">
      <alignment horizontal="center" vertical="center"/>
    </xf>
    <xf numFmtId="0" fontId="0" fillId="51" borderId="414" xfId="0" applyFill="1" applyBorder="1">
      <alignment horizontal="center" vertical="center"/>
    </xf>
    <xf numFmtId="0" fontId="0" fillId="51" borderId="387" xfId="0" applyFill="1" applyBorder="1" applyAlignment="1">
      <alignment horizontal="left" vertical="center"/>
    </xf>
    <xf numFmtId="0" fontId="0" fillId="52" borderId="387" xfId="52" applyFont="1" applyFill="1" applyBorder="1">
      <alignment horizontal="center" vertical="center"/>
    </xf>
    <xf numFmtId="0" fontId="0" fillId="52" borderId="387" xfId="0" applyFill="1" applyBorder="1">
      <alignment horizontal="center" vertical="center"/>
    </xf>
    <xf numFmtId="0" fontId="0" fillId="51" borderId="387" xfId="0" applyFill="1" applyBorder="1" applyAlignment="1">
      <alignment vertical="center"/>
    </xf>
    <xf numFmtId="0" fontId="0" fillId="0" borderId="387" xfId="52" applyFont="1" applyBorder="1" applyAlignment="1">
      <alignment horizontal="left" vertical="center"/>
    </xf>
    <xf numFmtId="0" fontId="5" fillId="0" borderId="387" xfId="52" applyBorder="1">
      <alignment horizontal="center" vertical="center"/>
    </xf>
    <xf numFmtId="0" fontId="0" fillId="0" borderId="421" xfId="52" applyFont="1" applyBorder="1" applyAlignment="1">
      <alignment horizontal="left" vertical="center"/>
    </xf>
    <xf numFmtId="0" fontId="5" fillId="0" borderId="422" xfId="52" applyBorder="1">
      <alignment horizontal="center" vertical="center"/>
    </xf>
    <xf numFmtId="0" fontId="5" fillId="0" borderId="423" xfId="52" applyBorder="1">
      <alignment horizontal="center" vertical="center"/>
    </xf>
    <xf numFmtId="0" fontId="5" fillId="0" borderId="424" xfId="52" applyBorder="1">
      <alignment horizontal="center" vertical="center"/>
    </xf>
    <xf numFmtId="49" fontId="0" fillId="51" borderId="387" xfId="0" applyNumberFormat="1" applyFill="1" applyBorder="1">
      <alignment horizontal="center" vertical="center"/>
    </xf>
    <xf numFmtId="0" fontId="5" fillId="52" borderId="387" xfId="48" applyBorder="1">
      <alignment horizontal="center" vertical="center"/>
    </xf>
    <xf numFmtId="0" fontId="5" fillId="52" borderId="312" xfId="48" applyBorder="1">
      <alignment horizontal="center" vertical="center"/>
    </xf>
    <xf numFmtId="0" fontId="17" fillId="0" borderId="387" xfId="0" applyFont="1" applyBorder="1" applyAlignment="1" applyProtection="1">
      <alignment horizontal="center"/>
      <protection locked="0"/>
    </xf>
    <xf numFmtId="0" fontId="0" fillId="51" borderId="424" xfId="0" applyFill="1" applyBorder="1">
      <alignment horizontal="center" vertical="center"/>
    </xf>
    <xf numFmtId="0" fontId="2" fillId="0" borderId="389" xfId="0" applyFont="1" applyBorder="1" applyAlignment="1" applyProtection="1">
      <alignment horizontal="center"/>
      <protection locked="0"/>
    </xf>
    <xf numFmtId="0" fontId="2" fillId="0" borderId="396" xfId="0" applyFont="1" applyBorder="1" applyAlignment="1" applyProtection="1">
      <alignment horizontal="center"/>
      <protection locked="0"/>
    </xf>
    <xf numFmtId="0" fontId="0" fillId="51" borderId="396" xfId="0" applyFill="1" applyBorder="1" applyAlignment="1">
      <alignment horizontal="left" vertical="center"/>
    </xf>
    <xf numFmtId="0" fontId="0" fillId="51" borderId="389" xfId="0" applyFill="1" applyBorder="1">
      <alignment horizontal="center" vertical="center"/>
    </xf>
    <xf numFmtId="0" fontId="0" fillId="51" borderId="389" xfId="43" applyFont="1" applyFill="1" applyBorder="1">
      <alignment horizontal="center" vertical="center"/>
    </xf>
    <xf numFmtId="0" fontId="0" fillId="51" borderId="389" xfId="47" applyFont="1" applyFill="1" applyBorder="1">
      <alignment horizontal="center" vertical="center"/>
    </xf>
    <xf numFmtId="0" fontId="0" fillId="51" borderId="396" xfId="47" applyFont="1" applyFill="1" applyBorder="1">
      <alignment horizontal="center" vertical="center"/>
    </xf>
    <xf numFmtId="0" fontId="0" fillId="51" borderId="414" xfId="47" applyFont="1" applyFill="1" applyBorder="1">
      <alignment horizontal="center" vertical="center"/>
    </xf>
    <xf numFmtId="0" fontId="0" fillId="51" borderId="384" xfId="0" applyFill="1" applyBorder="1" applyAlignment="1">
      <alignment horizontal="left" vertical="center"/>
    </xf>
    <xf numFmtId="0" fontId="0" fillId="51" borderId="407" xfId="0" applyFill="1" applyBorder="1">
      <alignment horizontal="center" vertical="center"/>
    </xf>
    <xf numFmtId="0" fontId="0" fillId="51" borderId="425" xfId="0" applyFill="1" applyBorder="1">
      <alignment horizontal="center" vertical="center"/>
    </xf>
    <xf numFmtId="0" fontId="0" fillId="51" borderId="426" xfId="52" applyFont="1" applyFill="1" applyBorder="1">
      <alignment horizontal="center" vertical="center"/>
    </xf>
    <xf numFmtId="0" fontId="5" fillId="0" borderId="390" xfId="52" applyBorder="1" applyAlignment="1">
      <alignment horizontal="center"/>
    </xf>
    <xf numFmtId="0" fontId="2" fillId="0" borderId="384" xfId="52" applyFont="1" applyBorder="1" applyAlignment="1">
      <alignment horizontal="left"/>
    </xf>
    <xf numFmtId="0" fontId="5" fillId="0" borderId="406" xfId="52" applyBorder="1">
      <alignment horizontal="center" vertical="center"/>
    </xf>
    <xf numFmtId="0" fontId="5" fillId="0" borderId="407" xfId="52" applyBorder="1" applyAlignment="1">
      <alignment horizontal="left"/>
    </xf>
    <xf numFmtId="0" fontId="5" fillId="0" borderId="406" xfId="52" applyBorder="1" applyAlignment="1">
      <alignment horizontal="left"/>
    </xf>
    <xf numFmtId="0" fontId="5" fillId="0" borderId="384" xfId="52" applyBorder="1">
      <alignment horizontal="center" vertical="center"/>
    </xf>
    <xf numFmtId="0" fontId="5" fillId="0" borderId="406" xfId="52" applyBorder="1" applyAlignment="1">
      <alignment vertical="center"/>
    </xf>
    <xf numFmtId="0" fontId="5" fillId="0" borderId="406" xfId="52" applyBorder="1" applyAlignment="1">
      <alignment horizontal="left" vertical="center"/>
    </xf>
    <xf numFmtId="0" fontId="5" fillId="0" borderId="411" xfId="52" applyBorder="1" applyAlignment="1">
      <alignment vertical="center"/>
    </xf>
    <xf numFmtId="0" fontId="5" fillId="0" borderId="383" xfId="52" applyBorder="1">
      <alignment horizontal="center" vertical="center"/>
    </xf>
    <xf numFmtId="0" fontId="5" fillId="0" borderId="411" xfId="52" applyBorder="1">
      <alignment horizontal="center" vertical="center"/>
    </xf>
    <xf numFmtId="0" fontId="5" fillId="0" borderId="391" xfId="52" applyBorder="1" applyAlignment="1">
      <alignment horizontal="center"/>
    </xf>
    <xf numFmtId="0" fontId="2" fillId="0" borderId="386" xfId="52" applyFont="1" applyBorder="1" applyAlignment="1">
      <alignment horizontal="left"/>
    </xf>
    <xf numFmtId="0" fontId="5" fillId="0" borderId="427" xfId="52" applyBorder="1">
      <alignment horizontal="center" vertical="center"/>
    </xf>
    <xf numFmtId="0" fontId="5" fillId="0" borderId="392" xfId="52" applyBorder="1">
      <alignment horizontal="center" vertical="center"/>
    </xf>
    <xf numFmtId="0" fontId="5" fillId="0" borderId="417" xfId="52" applyBorder="1" applyAlignment="1">
      <alignment horizontal="left"/>
    </xf>
    <xf numFmtId="0" fontId="5" fillId="0" borderId="392" xfId="52" applyBorder="1" applyAlignment="1">
      <alignment horizontal="left"/>
    </xf>
    <xf numFmtId="0" fontId="5" fillId="0" borderId="385" xfId="52" applyBorder="1" applyAlignment="1">
      <alignment horizontal="left"/>
    </xf>
    <xf numFmtId="0" fontId="2" fillId="0" borderId="428" xfId="52" applyFont="1" applyBorder="1" applyAlignment="1">
      <alignment horizontal="left"/>
    </xf>
    <xf numFmtId="0" fontId="5" fillId="0" borderId="386" xfId="52" applyBorder="1">
      <alignment horizontal="center" vertical="center"/>
    </xf>
    <xf numFmtId="0" fontId="5" fillId="0" borderId="418" xfId="52" applyBorder="1">
      <alignment horizontal="center" vertical="center"/>
    </xf>
    <xf numFmtId="0" fontId="2" fillId="0" borderId="389" xfId="52" applyFont="1" applyBorder="1" applyAlignment="1" applyProtection="1">
      <alignment horizontal="center"/>
      <protection locked="0"/>
    </xf>
    <xf numFmtId="0" fontId="4" fillId="0" borderId="389" xfId="52" applyFont="1" applyBorder="1" applyAlignment="1">
      <alignment horizontal="center"/>
    </xf>
    <xf numFmtId="0" fontId="2" fillId="43" borderId="396" xfId="52" applyFont="1" applyFill="1" applyBorder="1" applyAlignment="1">
      <alignment horizontal="center"/>
    </xf>
    <xf numFmtId="49" fontId="0" fillId="51" borderId="396" xfId="20" applyNumberFormat="1" applyFont="1" applyFill="1" applyBorder="1" applyAlignment="1">
      <alignment horizontal="center" vertical="center"/>
    </xf>
    <xf numFmtId="49" fontId="0" fillId="51" borderId="396" xfId="52" applyNumberFormat="1" applyFont="1" applyFill="1" applyBorder="1">
      <alignment horizontal="center" vertical="center"/>
    </xf>
    <xf numFmtId="49" fontId="0" fillId="52" borderId="396" xfId="52" applyNumberFormat="1" applyFont="1" applyFill="1" applyBorder="1">
      <alignment horizontal="center" vertical="center"/>
    </xf>
    <xf numFmtId="0" fontId="0" fillId="52" borderId="396" xfId="52" applyFont="1" applyFill="1" applyBorder="1">
      <alignment horizontal="center" vertical="center"/>
    </xf>
    <xf numFmtId="49" fontId="0" fillId="52" borderId="414" xfId="20" applyNumberFormat="1" applyFont="1" applyFill="1" applyBorder="1" applyAlignment="1">
      <alignment horizontal="center" vertical="center"/>
    </xf>
    <xf numFmtId="0" fontId="5" fillId="0" borderId="396" xfId="52" applyBorder="1" applyAlignment="1">
      <alignment vertical="center"/>
    </xf>
    <xf numFmtId="49" fontId="0" fillId="51" borderId="396" xfId="34" applyNumberFormat="1" applyFont="1" applyFill="1" applyBorder="1" applyAlignment="1">
      <alignment horizontal="center" vertical="center"/>
    </xf>
    <xf numFmtId="49" fontId="0" fillId="51" borderId="414" xfId="52" applyNumberFormat="1" applyFont="1" applyFill="1" applyBorder="1">
      <alignment horizontal="center" vertical="center"/>
    </xf>
    <xf numFmtId="0" fontId="2" fillId="43" borderId="397" xfId="52" applyFont="1" applyFill="1" applyBorder="1" applyAlignment="1">
      <alignment horizontal="center"/>
    </xf>
    <xf numFmtId="0" fontId="5" fillId="0" borderId="397" xfId="52" applyBorder="1" applyAlignment="1">
      <alignment vertical="center"/>
    </xf>
    <xf numFmtId="0" fontId="0" fillId="51" borderId="397" xfId="51" applyFont="1" applyFill="1" applyBorder="1">
      <alignment horizontal="center" vertical="center"/>
    </xf>
    <xf numFmtId="49" fontId="0" fillId="51" borderId="397" xfId="52" applyNumberFormat="1" applyFont="1" applyFill="1" applyBorder="1">
      <alignment horizontal="center" vertical="center"/>
    </xf>
    <xf numFmtId="49" fontId="0" fillId="51" borderId="413" xfId="52" applyNumberFormat="1" applyFont="1" applyFill="1" applyBorder="1">
      <alignment horizontal="center" vertical="center"/>
    </xf>
    <xf numFmtId="0" fontId="2" fillId="0" borderId="419" xfId="0" applyFont="1" applyBorder="1" applyAlignment="1">
      <alignment horizontal="center"/>
    </xf>
    <xf numFmtId="0" fontId="5" fillId="0" borderId="384" xfId="0" applyFont="1" applyBorder="1" applyAlignment="1">
      <alignment horizontal="left" vertical="center"/>
    </xf>
    <xf numFmtId="0" fontId="5" fillId="0" borderId="406" xfId="0" applyFont="1" applyBorder="1" applyAlignment="1">
      <alignment horizontal="left" vertical="center"/>
    </xf>
    <xf numFmtId="0" fontId="5" fillId="0" borderId="411" xfId="0" applyFont="1" applyBorder="1" applyAlignment="1">
      <alignment horizontal="left" vertical="center"/>
    </xf>
    <xf numFmtId="0" fontId="0" fillId="0" borderId="390" xfId="0" applyBorder="1" applyAlignment="1">
      <alignment horizontal="center"/>
    </xf>
    <xf numFmtId="0" fontId="2" fillId="0" borderId="384" xfId="0" applyFont="1" applyBorder="1" applyAlignment="1">
      <alignment horizontal="left"/>
    </xf>
    <xf numFmtId="0" fontId="0" fillId="0" borderId="406" xfId="0" applyBorder="1" applyAlignment="1"/>
    <xf numFmtId="0" fontId="0" fillId="0" borderId="407" xfId="0" applyBorder="1" applyAlignment="1">
      <alignment horizontal="left"/>
    </xf>
    <xf numFmtId="0" fontId="2" fillId="0" borderId="406" xfId="0" applyFont="1" applyBorder="1" applyAlignment="1"/>
    <xf numFmtId="0" fontId="2" fillId="0" borderId="407" xfId="0" applyFont="1" applyBorder="1" applyAlignment="1">
      <alignment horizontal="left"/>
    </xf>
    <xf numFmtId="0" fontId="0" fillId="0" borderId="384" xfId="0" applyBorder="1" applyAlignment="1">
      <alignment horizontal="center"/>
    </xf>
    <xf numFmtId="0" fontId="0" fillId="0" borderId="411" xfId="0" applyBorder="1" applyAlignment="1"/>
    <xf numFmtId="0" fontId="2" fillId="0" borderId="410" xfId="0" applyFont="1" applyBorder="1" applyAlignment="1">
      <alignment horizontal="left"/>
    </xf>
    <xf numFmtId="0" fontId="0" fillId="0" borderId="408" xfId="0" applyBorder="1" applyAlignment="1"/>
    <xf numFmtId="0" fontId="0" fillId="0" borderId="409" xfId="0" applyBorder="1" applyAlignment="1">
      <alignment horizontal="left"/>
    </xf>
    <xf numFmtId="0" fontId="7" fillId="0" borderId="410" xfId="0" applyFont="1" applyBorder="1" applyAlignment="1">
      <alignment horizontal="center"/>
    </xf>
    <xf numFmtId="0" fontId="0" fillId="0" borderId="416" xfId="0" applyBorder="1" applyAlignment="1"/>
    <xf numFmtId="0" fontId="0" fillId="0" borderId="391" xfId="0" applyBorder="1" applyAlignment="1">
      <alignment horizontal="center"/>
    </xf>
    <xf numFmtId="0" fontId="2" fillId="0" borderId="386" xfId="0" applyFont="1" applyBorder="1" applyAlignment="1">
      <alignment horizontal="left"/>
    </xf>
    <xf numFmtId="0" fontId="5" fillId="0" borderId="392" xfId="0" applyFont="1" applyBorder="1" applyAlignment="1">
      <alignment horizontal="left" vertical="center"/>
    </xf>
    <xf numFmtId="0" fontId="5" fillId="0" borderId="392" xfId="0" applyFont="1" applyBorder="1">
      <alignment horizontal="center" vertical="center"/>
    </xf>
    <xf numFmtId="0" fontId="5" fillId="0" borderId="417" xfId="0" applyFont="1" applyBorder="1">
      <alignment horizontal="center" vertical="center"/>
    </xf>
    <xf numFmtId="0" fontId="5" fillId="0" borderId="386" xfId="0" applyFont="1" applyBorder="1" applyAlignment="1">
      <alignment horizontal="left" vertical="center"/>
    </xf>
    <xf numFmtId="0" fontId="5" fillId="0" borderId="392" xfId="0" applyFont="1" applyBorder="1" applyAlignment="1">
      <alignment horizontal="left"/>
    </xf>
    <xf numFmtId="0" fontId="5" fillId="0" borderId="417" xfId="0" applyFont="1" applyBorder="1" applyAlignment="1">
      <alignment horizontal="left" vertical="center"/>
    </xf>
    <xf numFmtId="0" fontId="0" fillId="0" borderId="392" xfId="0" applyBorder="1" applyAlignment="1">
      <alignment horizontal="left"/>
    </xf>
    <xf numFmtId="0" fontId="0" fillId="0" borderId="418" xfId="0" applyBorder="1" applyAlignment="1"/>
    <xf numFmtId="0" fontId="2" fillId="43" borderId="396" xfId="0" applyFont="1" applyFill="1" applyBorder="1" applyAlignment="1">
      <alignment horizontal="center"/>
    </xf>
    <xf numFmtId="0" fontId="0" fillId="51" borderId="414" xfId="44" applyFont="1" applyFill="1" applyBorder="1">
      <alignment horizontal="center" vertical="center"/>
    </xf>
    <xf numFmtId="0" fontId="0" fillId="51" borderId="396" xfId="51" applyFont="1" applyFill="1" applyBorder="1">
      <alignment horizontal="center" vertical="center"/>
    </xf>
    <xf numFmtId="0" fontId="5" fillId="0" borderId="396" xfId="52" applyBorder="1">
      <alignment horizontal="center" vertical="center"/>
    </xf>
    <xf numFmtId="0" fontId="5" fillId="0" borderId="414" xfId="52" applyBorder="1">
      <alignment horizontal="center" vertical="center"/>
    </xf>
    <xf numFmtId="0" fontId="0" fillId="51" borderId="414" xfId="48" applyFont="1" applyFill="1" applyBorder="1">
      <alignment horizontal="center" vertical="center"/>
    </xf>
    <xf numFmtId="0" fontId="2" fillId="43" borderId="397" xfId="0" applyFont="1" applyFill="1" applyBorder="1" applyAlignment="1">
      <alignment horizontal="center"/>
    </xf>
    <xf numFmtId="0" fontId="0" fillId="51" borderId="397" xfId="0" applyFill="1" applyBorder="1" applyAlignment="1">
      <alignment horizontal="left" vertical="center"/>
    </xf>
    <xf numFmtId="0" fontId="0" fillId="51" borderId="397" xfId="47" applyFont="1" applyFill="1" applyBorder="1">
      <alignment horizontal="center" vertical="center"/>
    </xf>
    <xf numFmtId="0" fontId="0" fillId="51" borderId="397" xfId="32" applyFont="1" applyFill="1" applyBorder="1" applyAlignment="1">
      <alignment horizontal="center" vertical="center"/>
    </xf>
    <xf numFmtId="0" fontId="0" fillId="51" borderId="397" xfId="48" applyFont="1" applyFill="1" applyBorder="1">
      <alignment horizontal="center" vertical="center"/>
    </xf>
    <xf numFmtId="0" fontId="0" fillId="51" borderId="413" xfId="48" applyFont="1" applyFill="1" applyBorder="1">
      <alignment horizontal="center" vertical="center"/>
    </xf>
    <xf numFmtId="0" fontId="0" fillId="0" borderId="386" xfId="0" applyBorder="1" applyAlignment="1">
      <alignment horizontal="left"/>
    </xf>
    <xf numFmtId="0" fontId="0" fillId="0" borderId="392" xfId="0" applyBorder="1" applyAlignment="1"/>
    <xf numFmtId="0" fontId="0" fillId="0" borderId="417" xfId="0" applyBorder="1" applyAlignment="1">
      <alignment horizontal="left"/>
    </xf>
    <xf numFmtId="0" fontId="0" fillId="0" borderId="386" xfId="0" applyBorder="1" applyAlignment="1">
      <alignment horizontal="center"/>
    </xf>
    <xf numFmtId="0" fontId="1" fillId="0" borderId="384" xfId="0" applyFont="1" applyBorder="1" applyAlignment="1">
      <alignment horizontal="left"/>
    </xf>
    <xf numFmtId="0" fontId="2" fillId="0" borderId="406" xfId="0" applyFont="1" applyBorder="1">
      <alignment horizontal="center" vertical="center"/>
    </xf>
    <xf numFmtId="0" fontId="0" fillId="0" borderId="429" xfId="0" applyBorder="1" applyAlignment="1">
      <alignment horizontal="center"/>
    </xf>
    <xf numFmtId="167" fontId="7" fillId="0" borderId="386" xfId="0" applyNumberFormat="1" applyFont="1" applyBorder="1" applyAlignment="1">
      <alignment horizontal="center"/>
    </xf>
    <xf numFmtId="0" fontId="5" fillId="51" borderId="396" xfId="0" applyFont="1" applyFill="1" applyBorder="1" applyAlignment="1">
      <alignment vertical="center"/>
    </xf>
    <xf numFmtId="0" fontId="0" fillId="51" borderId="396" xfId="0" applyFill="1" applyBorder="1" applyAlignment="1">
      <alignment vertical="center"/>
    </xf>
    <xf numFmtId="0" fontId="0" fillId="0" borderId="401" xfId="0" applyBorder="1">
      <alignment horizontal="center" vertical="center"/>
    </xf>
    <xf numFmtId="49" fontId="13" fillId="0" borderId="387" xfId="0" applyNumberFormat="1" applyFont="1" applyBorder="1">
      <alignment horizontal="center" vertical="center"/>
    </xf>
    <xf numFmtId="49" fontId="13" fillId="0" borderId="401" xfId="0" applyNumberFormat="1" applyFont="1" applyBorder="1">
      <alignment horizontal="center" vertical="center"/>
    </xf>
    <xf numFmtId="49" fontId="5" fillId="0" borderId="401" xfId="0" applyNumberFormat="1" applyFont="1" applyBorder="1">
      <alignment horizontal="center" vertical="center"/>
    </xf>
    <xf numFmtId="0" fontId="7" fillId="0" borderId="430" xfId="0" applyFont="1" applyBorder="1">
      <alignment horizontal="center" vertical="center"/>
    </xf>
    <xf numFmtId="49" fontId="0" fillId="0" borderId="387" xfId="0" applyNumberFormat="1" applyBorder="1">
      <alignment horizontal="center" vertical="center"/>
    </xf>
    <xf numFmtId="0" fontId="5" fillId="0" borderId="401" xfId="0" applyFont="1" applyBorder="1">
      <alignment horizontal="center" vertical="center"/>
    </xf>
    <xf numFmtId="49" fontId="5" fillId="0" borderId="431" xfId="0" applyNumberFormat="1" applyFont="1" applyBorder="1">
      <alignment horizontal="center" vertical="center"/>
    </xf>
    <xf numFmtId="0" fontId="4" fillId="0" borderId="421" xfId="0" applyFont="1" applyBorder="1" applyAlignment="1">
      <alignment horizontal="center"/>
    </xf>
    <xf numFmtId="0" fontId="0" fillId="51" borderId="387" xfId="0" applyFill="1" applyBorder="1" applyAlignment="1">
      <alignment horizontal="left" vertical="center" wrapText="1"/>
    </xf>
    <xf numFmtId="0" fontId="2" fillId="0" borderId="387" xfId="0" applyFont="1" applyBorder="1" applyAlignment="1">
      <alignment horizontal="center"/>
    </xf>
    <xf numFmtId="0" fontId="2" fillId="0" borderId="421" xfId="0" applyFont="1" applyBorder="1" applyAlignment="1">
      <alignment horizontal="center"/>
    </xf>
    <xf numFmtId="0" fontId="0" fillId="0" borderId="432" xfId="0" applyBorder="1" applyAlignment="1">
      <alignment horizontal="left" vertical="center"/>
    </xf>
    <xf numFmtId="0" fontId="2" fillId="0" borderId="433" xfId="0" applyFont="1" applyBorder="1" applyAlignment="1">
      <alignment horizontal="left"/>
    </xf>
    <xf numFmtId="0" fontId="0" fillId="0" borderId="434" xfId="0" applyBorder="1" applyAlignment="1">
      <alignment horizontal="left" vertical="center"/>
    </xf>
    <xf numFmtId="0" fontId="2" fillId="0" borderId="435" xfId="0" applyFont="1" applyBorder="1">
      <alignment horizontal="center" vertical="center"/>
    </xf>
    <xf numFmtId="0" fontId="0" fillId="0" borderId="436" xfId="0" applyBorder="1" applyAlignment="1">
      <alignment horizontal="left" vertical="center"/>
    </xf>
    <xf numFmtId="0" fontId="0" fillId="0" borderId="437" xfId="0" applyBorder="1" applyAlignment="1">
      <alignment horizontal="left" vertical="center"/>
    </xf>
    <xf numFmtId="0" fontId="0" fillId="0" borderId="438" xfId="0" applyBorder="1" applyAlignment="1">
      <alignment horizontal="left" vertical="center"/>
    </xf>
    <xf numFmtId="0" fontId="2" fillId="0" borderId="439" xfId="0" applyFont="1" applyBorder="1">
      <alignment horizontal="center" vertical="center"/>
    </xf>
    <xf numFmtId="0" fontId="2" fillId="0" borderId="439" xfId="0" applyFont="1" applyBorder="1" applyAlignment="1">
      <alignment horizontal="center"/>
    </xf>
    <xf numFmtId="0" fontId="0" fillId="0" borderId="440" xfId="0" applyBorder="1" applyAlignment="1">
      <alignment horizontal="left" vertical="center"/>
    </xf>
    <xf numFmtId="0" fontId="0" fillId="0" borderId="441" xfId="0" applyBorder="1" applyAlignment="1">
      <alignment horizontal="left" vertical="center"/>
    </xf>
    <xf numFmtId="0" fontId="0" fillId="0" borderId="442" xfId="0" applyBorder="1" applyAlignment="1">
      <alignment horizontal="left" vertical="center"/>
    </xf>
    <xf numFmtId="0" fontId="0" fillId="0" borderId="443" xfId="0" applyBorder="1" applyAlignment="1">
      <alignment horizontal="left" vertical="center"/>
    </xf>
    <xf numFmtId="0" fontId="2" fillId="0" borderId="444" xfId="0" applyFont="1" applyBorder="1" applyAlignment="1">
      <alignment horizontal="left"/>
    </xf>
    <xf numFmtId="0" fontId="0" fillId="0" borderId="444" xfId="0" applyBorder="1" applyAlignment="1">
      <alignment horizontal="left" vertical="center"/>
    </xf>
    <xf numFmtId="0" fontId="0" fillId="0" borderId="445" xfId="0" applyBorder="1" applyAlignment="1">
      <alignment horizontal="left" vertical="center"/>
    </xf>
    <xf numFmtId="0" fontId="0" fillId="0" borderId="446" xfId="0" applyBorder="1" applyAlignment="1">
      <alignment horizontal="left" vertical="center"/>
    </xf>
    <xf numFmtId="49" fontId="0" fillId="0" borderId="432" xfId="0" applyNumberFormat="1" applyBorder="1" applyAlignment="1">
      <alignment horizontal="left"/>
    </xf>
    <xf numFmtId="0" fontId="1" fillId="0" borderId="435" xfId="0" applyFont="1" applyBorder="1" applyAlignment="1">
      <alignment horizontal="center"/>
    </xf>
    <xf numFmtId="0" fontId="0" fillId="0" borderId="447" xfId="0" applyBorder="1" applyAlignment="1">
      <alignment horizontal="left" vertical="center"/>
    </xf>
    <xf numFmtId="0" fontId="0" fillId="0" borderId="448" xfId="0" applyBorder="1" applyAlignment="1">
      <alignment horizontal="left" vertical="center"/>
    </xf>
    <xf numFmtId="49" fontId="0" fillId="0" borderId="448" xfId="0" applyNumberFormat="1" applyBorder="1" applyAlignment="1">
      <alignment horizontal="left"/>
    </xf>
    <xf numFmtId="0" fontId="2" fillId="0" borderId="435" xfId="0" applyFont="1" applyBorder="1" applyAlignment="1" applyProtection="1">
      <alignment horizontal="center"/>
      <protection locked="0"/>
    </xf>
    <xf numFmtId="0" fontId="0" fillId="0" borderId="435" xfId="0" applyBorder="1" applyAlignment="1">
      <alignment horizontal="left"/>
    </xf>
    <xf numFmtId="0" fontId="0" fillId="0" borderId="435" xfId="0" applyBorder="1" applyAlignment="1" applyProtection="1">
      <alignment horizontal="center"/>
      <protection locked="0"/>
    </xf>
    <xf numFmtId="0" fontId="1" fillId="0" borderId="435" xfId="0" applyFont="1" applyBorder="1" applyAlignment="1" applyProtection="1">
      <alignment horizontal="center"/>
      <protection locked="0"/>
    </xf>
    <xf numFmtId="0" fontId="5" fillId="0" borderId="435" xfId="0" applyFont="1" applyBorder="1" applyAlignment="1">
      <alignment vertical="center"/>
    </xf>
    <xf numFmtId="0" fontId="13" fillId="0" borderId="435" xfId="0" applyFont="1" applyBorder="1" applyAlignment="1">
      <alignment vertical="center"/>
    </xf>
    <xf numFmtId="0" fontId="0" fillId="0" borderId="435" xfId="0" applyBorder="1">
      <alignment horizontal="center" vertical="center"/>
    </xf>
    <xf numFmtId="0" fontId="2" fillId="0" borderId="449" xfId="0" applyFont="1" applyBorder="1">
      <alignment horizontal="center" vertical="center"/>
    </xf>
    <xf numFmtId="0" fontId="2" fillId="0" borderId="450" xfId="0" applyFont="1" applyBorder="1" applyAlignment="1">
      <alignment horizontal="center"/>
    </xf>
    <xf numFmtId="0" fontId="2" fillId="0" borderId="451" xfId="0" applyFont="1" applyBorder="1" applyAlignment="1">
      <alignment horizontal="center"/>
    </xf>
    <xf numFmtId="0" fontId="0" fillId="0" borderId="452" xfId="0" applyBorder="1" applyAlignment="1">
      <alignment horizontal="center"/>
    </xf>
    <xf numFmtId="0" fontId="0" fillId="0" borderId="427" xfId="0" applyBorder="1">
      <alignment horizontal="center" vertical="center"/>
    </xf>
    <xf numFmtId="0" fontId="0" fillId="0" borderId="453" xfId="0" applyBorder="1">
      <alignment horizontal="center" vertical="center"/>
    </xf>
    <xf numFmtId="0" fontId="2" fillId="0" borderId="427" xfId="0" applyFont="1" applyBorder="1" applyAlignment="1">
      <alignment horizontal="left"/>
    </xf>
    <xf numFmtId="0" fontId="0" fillId="0" borderId="454" xfId="0" applyBorder="1">
      <alignment horizontal="center" vertical="center"/>
    </xf>
    <xf numFmtId="0" fontId="0" fillId="0" borderId="427" xfId="0" applyBorder="1" applyAlignment="1">
      <alignment horizontal="left" vertical="center"/>
    </xf>
    <xf numFmtId="0" fontId="0" fillId="0" borderId="453" xfId="0" applyBorder="1" applyAlignment="1">
      <alignment horizontal="left" vertical="center"/>
    </xf>
    <xf numFmtId="0" fontId="0" fillId="0" borderId="454" xfId="0" applyBorder="1" applyAlignment="1">
      <alignment horizontal="left" vertical="center"/>
    </xf>
    <xf numFmtId="0" fontId="2" fillId="0" borderId="454" xfId="0" applyFont="1" applyBorder="1" applyAlignment="1">
      <alignment horizontal="left"/>
    </xf>
    <xf numFmtId="0" fontId="0" fillId="0" borderId="455" xfId="0" applyBorder="1">
      <alignment horizontal="center" vertical="center"/>
    </xf>
    <xf numFmtId="0" fontId="0" fillId="0" borderId="456" xfId="0" applyBorder="1" applyAlignment="1" applyProtection="1">
      <alignment horizontal="center"/>
      <protection locked="0"/>
    </xf>
    <xf numFmtId="49" fontId="0" fillId="51" borderId="456" xfId="32" applyNumberFormat="1" applyFont="1" applyFill="1" applyBorder="1" applyAlignment="1">
      <alignment horizontal="center" vertical="center"/>
    </xf>
    <xf numFmtId="0" fontId="0" fillId="43" borderId="457" xfId="0" applyFill="1" applyBorder="1" applyAlignment="1">
      <alignment horizontal="center"/>
    </xf>
    <xf numFmtId="0" fontId="45" fillId="0" borderId="457" xfId="0" applyFont="1" applyBorder="1" applyAlignment="1">
      <alignment horizontal="left" vertical="center"/>
    </xf>
    <xf numFmtId="0" fontId="2" fillId="24" borderId="458" xfId="0" applyFont="1" applyFill="1" applyBorder="1">
      <alignment horizontal="center" vertical="center"/>
    </xf>
    <xf numFmtId="0" fontId="0" fillId="24" borderId="458" xfId="0" applyFill="1" applyBorder="1">
      <alignment horizontal="center" vertical="center"/>
    </xf>
    <xf numFmtId="0" fontId="0" fillId="24" borderId="420" xfId="0" applyFill="1" applyBorder="1">
      <alignment horizontal="center" vertical="center"/>
    </xf>
    <xf numFmtId="0" fontId="0" fillId="0" borderId="459" xfId="0" applyBorder="1" applyAlignment="1" applyProtection="1">
      <alignment horizontal="center"/>
      <protection locked="0"/>
    </xf>
    <xf numFmtId="0" fontId="2" fillId="0" borderId="460" xfId="0" applyFont="1" applyBorder="1" applyAlignment="1">
      <alignment horizontal="center"/>
    </xf>
    <xf numFmtId="0" fontId="0" fillId="0" borderId="454" xfId="0" applyBorder="1" applyAlignment="1">
      <alignment horizontal="left"/>
    </xf>
    <xf numFmtId="0" fontId="0" fillId="0" borderId="427" xfId="0" applyBorder="1" applyAlignment="1">
      <alignment horizontal="center"/>
    </xf>
    <xf numFmtId="0" fontId="2" fillId="0" borderId="461" xfId="0" applyFont="1" applyBorder="1" applyAlignment="1" applyProtection="1">
      <alignment horizontal="center"/>
      <protection locked="0"/>
    </xf>
    <xf numFmtId="0" fontId="4" fillId="0" borderId="459" xfId="0" applyFont="1" applyBorder="1" applyAlignment="1">
      <alignment horizontal="center"/>
    </xf>
    <xf numFmtId="0" fontId="0" fillId="0" borderId="456" xfId="0" applyBorder="1" applyAlignment="1">
      <alignment vertical="center"/>
    </xf>
    <xf numFmtId="0" fontId="0" fillId="0" borderId="432" xfId="0" applyBorder="1" applyAlignment="1" applyProtection="1">
      <alignment horizontal="center"/>
      <protection locked="0"/>
    </xf>
    <xf numFmtId="0" fontId="46" fillId="0" borderId="456" xfId="0" applyFont="1" applyBorder="1" applyAlignment="1">
      <alignment vertical="center"/>
    </xf>
    <xf numFmtId="0" fontId="45" fillId="0" borderId="462" xfId="0" applyFont="1" applyBorder="1" applyAlignment="1">
      <alignment vertical="center"/>
    </xf>
    <xf numFmtId="49" fontId="0" fillId="51" borderId="463" xfId="0" applyNumberFormat="1" applyFill="1" applyBorder="1">
      <alignment horizontal="center" vertical="center"/>
    </xf>
    <xf numFmtId="49" fontId="0" fillId="51" borderId="459" xfId="0" applyNumberFormat="1" applyFill="1" applyBorder="1">
      <alignment horizontal="center" vertical="center"/>
    </xf>
    <xf numFmtId="0" fontId="0" fillId="51" borderId="459" xfId="0" applyFill="1" applyBorder="1">
      <alignment horizontal="center" vertical="center"/>
    </xf>
    <xf numFmtId="49" fontId="0" fillId="51" borderId="464" xfId="0" applyNumberFormat="1" applyFill="1" applyBorder="1">
      <alignment horizontal="center" vertical="center"/>
    </xf>
    <xf numFmtId="49" fontId="0" fillId="0" borderId="432" xfId="0" applyNumberFormat="1" applyBorder="1" applyAlignment="1"/>
    <xf numFmtId="0" fontId="2" fillId="0" borderId="459" xfId="0" applyFont="1" applyBorder="1" applyAlignment="1" applyProtection="1">
      <alignment horizontal="center"/>
      <protection locked="0"/>
    </xf>
    <xf numFmtId="0" fontId="0" fillId="0" borderId="456" xfId="0" applyBorder="1" applyAlignment="1" applyProtection="1">
      <alignment horizontal="left"/>
      <protection locked="0"/>
    </xf>
    <xf numFmtId="0" fontId="11" fillId="0" borderId="456" xfId="0" applyFont="1" applyBorder="1" applyAlignment="1">
      <alignment vertical="center"/>
    </xf>
    <xf numFmtId="0" fontId="0" fillId="0" borderId="449" xfId="0" applyBorder="1" applyAlignment="1">
      <alignment vertical="center"/>
    </xf>
    <xf numFmtId="0" fontId="4" fillId="44" borderId="432" xfId="0" applyFont="1" applyFill="1" applyBorder="1" applyAlignment="1">
      <alignment horizontal="left"/>
    </xf>
    <xf numFmtId="0" fontId="4" fillId="25" borderId="432" xfId="0" applyFont="1" applyFill="1" applyBorder="1">
      <alignment horizontal="center" vertical="center"/>
    </xf>
    <xf numFmtId="0" fontId="5" fillId="25" borderId="433" xfId="0" applyFont="1" applyFill="1" applyBorder="1">
      <alignment horizontal="center" vertical="center"/>
    </xf>
    <xf numFmtId="0" fontId="4" fillId="29" borderId="432" xfId="0" applyFont="1" applyFill="1" applyBorder="1" applyAlignment="1">
      <alignment horizontal="left"/>
    </xf>
    <xf numFmtId="0" fontId="4" fillId="29" borderId="433" xfId="0" applyFont="1" applyFill="1" applyBorder="1" applyAlignment="1">
      <alignment horizontal="left"/>
    </xf>
    <xf numFmtId="0" fontId="5" fillId="29" borderId="433" xfId="0" applyFont="1" applyFill="1" applyBorder="1">
      <alignment horizontal="center" vertical="center"/>
    </xf>
    <xf numFmtId="0" fontId="5" fillId="29" borderId="434" xfId="0" applyFont="1" applyFill="1" applyBorder="1">
      <alignment horizontal="center" vertical="center"/>
    </xf>
    <xf numFmtId="0" fontId="4" fillId="37" borderId="432" xfId="0" applyFont="1" applyFill="1" applyBorder="1" applyAlignment="1">
      <alignment horizontal="left"/>
    </xf>
    <xf numFmtId="0" fontId="4" fillId="37" borderId="433" xfId="0" applyFont="1" applyFill="1" applyBorder="1" applyAlignment="1">
      <alignment horizontal="left"/>
    </xf>
    <xf numFmtId="0" fontId="0" fillId="37" borderId="433" xfId="0" applyFill="1" applyBorder="1">
      <alignment horizontal="center" vertical="center"/>
    </xf>
    <xf numFmtId="0" fontId="4" fillId="45" borderId="432" xfId="0" applyFont="1" applyFill="1" applyBorder="1" applyAlignment="1">
      <alignment horizontal="left"/>
    </xf>
    <xf numFmtId="0" fontId="0" fillId="45" borderId="433" xfId="0" applyFill="1" applyBorder="1">
      <alignment horizontal="center" vertical="center"/>
    </xf>
    <xf numFmtId="0" fontId="5" fillId="45" borderId="433" xfId="0" applyFont="1" applyFill="1" applyBorder="1">
      <alignment horizontal="center" vertical="center"/>
    </xf>
    <xf numFmtId="0" fontId="5" fillId="45" borderId="434" xfId="0" applyFont="1" applyFill="1" applyBorder="1">
      <alignment horizontal="center" vertical="center"/>
    </xf>
    <xf numFmtId="0" fontId="4" fillId="24" borderId="432" xfId="0" applyFont="1" applyFill="1" applyBorder="1">
      <alignment horizontal="center" vertical="center"/>
    </xf>
    <xf numFmtId="0" fontId="0" fillId="24" borderId="433" xfId="0" applyFill="1" applyBorder="1">
      <alignment horizontal="center" vertical="center"/>
    </xf>
    <xf numFmtId="0" fontId="5" fillId="24" borderId="433" xfId="0" applyFont="1" applyFill="1" applyBorder="1">
      <alignment horizontal="center" vertical="center"/>
    </xf>
    <xf numFmtId="0" fontId="4" fillId="40" borderId="432" xfId="0" applyFont="1" applyFill="1" applyBorder="1" applyAlignment="1">
      <alignment horizontal="left"/>
    </xf>
    <xf numFmtId="0" fontId="5" fillId="40" borderId="433" xfId="0" applyFont="1" applyFill="1" applyBorder="1">
      <alignment horizontal="center" vertical="center"/>
    </xf>
    <xf numFmtId="0" fontId="0" fillId="40" borderId="434" xfId="0" applyFill="1" applyBorder="1">
      <alignment horizontal="center" vertical="center"/>
    </xf>
    <xf numFmtId="0" fontId="0" fillId="46" borderId="465" xfId="0" applyFill="1" applyBorder="1">
      <alignment horizontal="center" vertical="center"/>
    </xf>
    <xf numFmtId="0" fontId="5" fillId="46" borderId="465" xfId="0" applyFont="1" applyFill="1" applyBorder="1">
      <alignment horizontal="center" vertical="center"/>
    </xf>
    <xf numFmtId="0" fontId="5" fillId="46" borderId="466" xfId="0" applyFont="1" applyFill="1" applyBorder="1">
      <alignment horizontal="center" vertical="center"/>
    </xf>
    <xf numFmtId="0" fontId="4" fillId="0" borderId="467" xfId="0" applyFont="1" applyBorder="1" applyAlignment="1">
      <alignment horizontal="left" vertical="center"/>
    </xf>
    <xf numFmtId="0" fontId="5" fillId="0" borderId="465" xfId="0" applyFont="1" applyBorder="1">
      <alignment horizontal="center" vertical="center"/>
    </xf>
    <xf numFmtId="0" fontId="5" fillId="0" borderId="466" xfId="0" applyFont="1" applyBorder="1">
      <alignment horizontal="center" vertical="center"/>
    </xf>
    <xf numFmtId="0" fontId="4" fillId="39" borderId="456" xfId="0" applyFont="1" applyFill="1" applyBorder="1" applyAlignment="1">
      <alignment horizontal="left"/>
    </xf>
    <xf numFmtId="0" fontId="4" fillId="47" borderId="432" xfId="0" applyFont="1" applyFill="1" applyBorder="1">
      <alignment horizontal="center" vertical="center"/>
    </xf>
    <xf numFmtId="0" fontId="5" fillId="47" borderId="433" xfId="0" applyFont="1" applyFill="1" applyBorder="1">
      <alignment horizontal="center" vertical="center"/>
    </xf>
    <xf numFmtId="0" fontId="5" fillId="0" borderId="432" xfId="0" applyFont="1" applyBorder="1" applyAlignment="1">
      <alignment horizontal="left"/>
    </xf>
    <xf numFmtId="0" fontId="0" fillId="0" borderId="433" xfId="0" applyBorder="1">
      <alignment horizontal="center" vertical="center"/>
    </xf>
    <xf numFmtId="0" fontId="5" fillId="0" borderId="433" xfId="0" applyFont="1" applyBorder="1" applyAlignment="1">
      <alignment horizontal="left"/>
    </xf>
    <xf numFmtId="0" fontId="5" fillId="0" borderId="433" xfId="0" applyFont="1" applyBorder="1">
      <alignment horizontal="center" vertical="center"/>
    </xf>
    <xf numFmtId="0" fontId="5" fillId="0" borderId="434" xfId="0" applyFont="1" applyBorder="1">
      <alignment horizontal="center" vertical="center"/>
    </xf>
    <xf numFmtId="0" fontId="5" fillId="48" borderId="432" xfId="0" applyFont="1" applyFill="1" applyBorder="1" applyAlignment="1">
      <alignment horizontal="left" vertical="center"/>
    </xf>
    <xf numFmtId="0" fontId="5" fillId="48" borderId="433" xfId="0" applyFont="1" applyFill="1" applyBorder="1">
      <alignment horizontal="center" vertical="center"/>
    </xf>
    <xf numFmtId="0" fontId="5" fillId="48" borderId="434" xfId="0" applyFont="1" applyFill="1" applyBorder="1">
      <alignment horizontal="center" vertical="center"/>
    </xf>
    <xf numFmtId="0" fontId="2" fillId="0" borderId="432" xfId="0" applyFont="1" applyBorder="1" applyAlignment="1">
      <alignment horizontal="left" vertical="center"/>
    </xf>
    <xf numFmtId="0" fontId="0" fillId="0" borderId="434" xfId="0" applyBorder="1">
      <alignment horizontal="center" vertical="center"/>
    </xf>
    <xf numFmtId="0" fontId="0" fillId="0" borderId="468" xfId="0" applyBorder="1">
      <alignment horizontal="center" vertical="center"/>
    </xf>
    <xf numFmtId="0" fontId="2" fillId="0" borderId="433" xfId="0" applyFont="1" applyBorder="1" applyAlignment="1">
      <alignment horizontal="left" vertical="center"/>
    </xf>
    <xf numFmtId="0" fontId="0" fillId="0" borderId="469" xfId="0" applyBorder="1">
      <alignment horizontal="center" vertical="center"/>
    </xf>
    <xf numFmtId="0" fontId="12" fillId="0" borderId="467" xfId="0" applyFont="1" applyBorder="1">
      <alignment horizontal="center" vertical="center"/>
    </xf>
    <xf numFmtId="0" fontId="0" fillId="0" borderId="465" xfId="0" applyBorder="1">
      <alignment horizontal="center" vertical="center"/>
    </xf>
    <xf numFmtId="0" fontId="0" fillId="0" borderId="466" xfId="0" applyBorder="1">
      <alignment horizontal="center" vertical="center"/>
    </xf>
    <xf numFmtId="0" fontId="2" fillId="0" borderId="432" xfId="0" applyFont="1" applyBorder="1">
      <alignment horizontal="center" vertical="center"/>
    </xf>
    <xf numFmtId="0" fontId="0" fillId="0" borderId="457" xfId="0" applyBorder="1" applyAlignment="1" applyProtection="1">
      <alignment horizontal="center"/>
      <protection locked="0"/>
    </xf>
    <xf numFmtId="0" fontId="4" fillId="0" borderId="457" xfId="0" applyFont="1" applyBorder="1" applyAlignment="1">
      <alignment horizontal="center"/>
    </xf>
    <xf numFmtId="0" fontId="0" fillId="71" borderId="457" xfId="0" applyFill="1" applyBorder="1">
      <alignment horizontal="center" vertical="center"/>
    </xf>
    <xf numFmtId="0" fontId="0" fillId="51" borderId="457" xfId="0" applyFill="1" applyBorder="1">
      <alignment horizontal="center" vertical="center"/>
    </xf>
    <xf numFmtId="0" fontId="0" fillId="51" borderId="470" xfId="0" applyFill="1" applyBorder="1">
      <alignment horizontal="center" vertical="center"/>
    </xf>
    <xf numFmtId="0" fontId="2" fillId="24" borderId="456" xfId="0" applyFont="1" applyFill="1" applyBorder="1" applyAlignment="1">
      <alignment horizontal="left" vertical="center"/>
    </xf>
    <xf numFmtId="0" fontId="0" fillId="24" borderId="456" xfId="0" applyFill="1" applyBorder="1">
      <alignment horizontal="center" vertical="center"/>
    </xf>
    <xf numFmtId="0" fontId="0" fillId="24" borderId="471" xfId="0" applyFill="1" applyBorder="1">
      <alignment horizontal="center" vertical="center"/>
    </xf>
    <xf numFmtId="0" fontId="0" fillId="43" borderId="456" xfId="0" applyFill="1" applyBorder="1" applyAlignment="1" applyProtection="1">
      <alignment horizontal="center"/>
      <protection locked="0"/>
    </xf>
    <xf numFmtId="0" fontId="4" fillId="0" borderId="456" xfId="0" applyFont="1" applyBorder="1" applyAlignment="1">
      <alignment horizontal="left" vertical="center"/>
    </xf>
    <xf numFmtId="0" fontId="0" fillId="51" borderId="456" xfId="43" applyFont="1" applyFill="1" applyBorder="1">
      <alignment horizontal="center" vertical="center"/>
    </xf>
    <xf numFmtId="1" fontId="0" fillId="51" borderId="456" xfId="0" applyNumberFormat="1" applyFill="1" applyBorder="1">
      <alignment horizontal="center" vertical="center"/>
    </xf>
    <xf numFmtId="1" fontId="0" fillId="51" borderId="456" xfId="32" applyNumberFormat="1" applyFont="1" applyFill="1" applyBorder="1" applyAlignment="1">
      <alignment horizontal="center" vertical="center"/>
    </xf>
    <xf numFmtId="0" fontId="0" fillId="51" borderId="456" xfId="0" applyFill="1" applyBorder="1">
      <alignment horizontal="center" vertical="center"/>
    </xf>
    <xf numFmtId="0" fontId="0" fillId="51" borderId="456" xfId="44" applyFont="1" applyFill="1" applyBorder="1">
      <alignment horizontal="center" vertical="center"/>
    </xf>
    <xf numFmtId="0" fontId="0" fillId="51" borderId="456" xfId="46" applyFont="1" applyFill="1" applyBorder="1">
      <alignment horizontal="center" vertical="center"/>
    </xf>
    <xf numFmtId="1" fontId="0" fillId="51" borderId="471" xfId="0" applyNumberFormat="1" applyFill="1" applyBorder="1">
      <alignment horizontal="center" vertical="center"/>
    </xf>
    <xf numFmtId="0" fontId="0" fillId="0" borderId="456" xfId="0" applyBorder="1" applyAlignment="1">
      <alignment horizontal="left" vertical="center"/>
    </xf>
    <xf numFmtId="0" fontId="0" fillId="51" borderId="456" xfId="49" applyFont="1" applyFill="1" applyBorder="1">
      <alignment horizontal="center" vertical="center"/>
    </xf>
    <xf numFmtId="0" fontId="5" fillId="52" borderId="456" xfId="48" applyBorder="1">
      <alignment horizontal="center" vertical="center"/>
    </xf>
    <xf numFmtId="1" fontId="0" fillId="51" borderId="456" xfId="44" applyNumberFormat="1" applyFont="1" applyFill="1" applyBorder="1">
      <alignment horizontal="center" vertical="center"/>
    </xf>
    <xf numFmtId="0" fontId="2" fillId="24" borderId="457" xfId="0" applyFont="1" applyFill="1" applyBorder="1" applyAlignment="1" applyProtection="1">
      <alignment horizontal="left"/>
      <protection locked="0"/>
    </xf>
    <xf numFmtId="0" fontId="2" fillId="24" borderId="457" xfId="0" applyFont="1" applyFill="1" applyBorder="1">
      <alignment horizontal="center" vertical="center"/>
    </xf>
    <xf numFmtId="1" fontId="0" fillId="24" borderId="457" xfId="0" applyNumberFormat="1" applyFill="1" applyBorder="1">
      <alignment horizontal="center" vertical="center"/>
    </xf>
    <xf numFmtId="0" fontId="0" fillId="24" borderId="470" xfId="0" applyFill="1" applyBorder="1">
      <alignment horizontal="center" vertical="center"/>
    </xf>
    <xf numFmtId="0" fontId="2" fillId="0" borderId="472" xfId="0" applyFont="1" applyBorder="1" applyAlignment="1">
      <alignment horizontal="left" vertical="center"/>
    </xf>
    <xf numFmtId="0" fontId="2" fillId="0" borderId="432" xfId="0" applyFont="1" applyBorder="1" applyAlignment="1">
      <alignment vertical="center"/>
    </xf>
    <xf numFmtId="0" fontId="12" fillId="0" borderId="433" xfId="0" applyFont="1" applyBorder="1">
      <alignment horizontal="center" vertical="center"/>
    </xf>
    <xf numFmtId="0" fontId="2" fillId="0" borderId="467" xfId="0" applyFont="1" applyBorder="1" applyAlignment="1">
      <alignment horizontal="left" vertical="center"/>
    </xf>
    <xf numFmtId="0" fontId="12" fillId="0" borderId="465" xfId="0" applyFont="1" applyBorder="1">
      <alignment horizontal="center" vertical="center"/>
    </xf>
    <xf numFmtId="0" fontId="2" fillId="0" borderId="465" xfId="0" applyFont="1" applyBorder="1">
      <alignment horizontal="center" vertical="center"/>
    </xf>
    <xf numFmtId="0" fontId="2" fillId="0" borderId="450" xfId="0" applyFont="1" applyBorder="1" applyAlignment="1">
      <alignment horizontal="left" vertical="center"/>
    </xf>
    <xf numFmtId="0" fontId="0" fillId="0" borderId="432" xfId="0" applyBorder="1" applyAlignment="1">
      <alignment vertical="center"/>
    </xf>
    <xf numFmtId="0" fontId="0" fillId="0" borderId="433" xfId="0" applyBorder="1" applyAlignment="1">
      <alignment horizontal="left" vertical="center"/>
    </xf>
    <xf numFmtId="0" fontId="0" fillId="0" borderId="473" xfId="0" applyBorder="1">
      <alignment horizontal="center" vertical="center"/>
    </xf>
    <xf numFmtId="0" fontId="2" fillId="0" borderId="451" xfId="0" applyFont="1" applyBorder="1" applyAlignment="1">
      <alignment horizontal="left" vertical="center"/>
    </xf>
    <xf numFmtId="0" fontId="0" fillId="0" borderId="452" xfId="0" applyBorder="1">
      <alignment horizontal="center" vertical="center"/>
    </xf>
    <xf numFmtId="0" fontId="0" fillId="0" borderId="448" xfId="0" applyBorder="1" applyAlignment="1">
      <alignment vertical="center"/>
    </xf>
    <xf numFmtId="0" fontId="0" fillId="0" borderId="474" xfId="0" applyBorder="1">
      <alignment horizontal="center" vertical="center"/>
    </xf>
    <xf numFmtId="0" fontId="2" fillId="0" borderId="448" xfId="0" applyFont="1" applyBorder="1">
      <alignment horizontal="center" vertical="center"/>
    </xf>
    <xf numFmtId="0" fontId="0" fillId="0" borderId="452" xfId="0" applyBorder="1" applyAlignment="1">
      <alignment horizontal="left" vertical="center"/>
    </xf>
    <xf numFmtId="0" fontId="12" fillId="0" borderId="452" xfId="0" applyFont="1" applyBorder="1">
      <alignment horizontal="center" vertical="center"/>
    </xf>
    <xf numFmtId="0" fontId="2" fillId="0" borderId="452" xfId="0" applyFont="1" applyBorder="1" applyAlignment="1">
      <alignment horizontal="left" vertical="center"/>
    </xf>
    <xf numFmtId="0" fontId="0" fillId="0" borderId="475" xfId="0" applyBorder="1">
      <alignment horizontal="center" vertical="center"/>
    </xf>
    <xf numFmtId="0" fontId="0" fillId="0" borderId="449" xfId="0" applyBorder="1" applyAlignment="1" applyProtection="1">
      <alignment horizontal="center"/>
      <protection locked="0"/>
    </xf>
    <xf numFmtId="0" fontId="4" fillId="0" borderId="449" xfId="0" applyFont="1" applyBorder="1" applyAlignment="1">
      <alignment horizontal="center"/>
    </xf>
    <xf numFmtId="0" fontId="0" fillId="43" borderId="476" xfId="0" applyFill="1" applyBorder="1" applyAlignment="1" applyProtection="1">
      <alignment horizontal="center"/>
      <protection locked="0"/>
    </xf>
    <xf numFmtId="0" fontId="0" fillId="51" borderId="471" xfId="0" applyFill="1" applyBorder="1">
      <alignment horizontal="center" vertical="center"/>
    </xf>
    <xf numFmtId="0" fontId="0" fillId="43" borderId="460" xfId="0" applyFill="1" applyBorder="1" applyAlignment="1" applyProtection="1">
      <alignment horizontal="center"/>
      <protection locked="0"/>
    </xf>
    <xf numFmtId="0" fontId="0" fillId="0" borderId="457" xfId="0" applyBorder="1" applyAlignment="1">
      <alignment horizontal="left" vertical="center"/>
    </xf>
    <xf numFmtId="49" fontId="0" fillId="51" borderId="457" xfId="0" applyNumberFormat="1" applyFill="1" applyBorder="1">
      <alignment horizontal="center" vertical="center"/>
    </xf>
    <xf numFmtId="0" fontId="0" fillId="51" borderId="457" xfId="43" applyFont="1" applyFill="1" applyBorder="1">
      <alignment horizontal="center" vertical="center"/>
    </xf>
    <xf numFmtId="0" fontId="0" fillId="51" borderId="457" xfId="44" applyFont="1" applyFill="1" applyBorder="1">
      <alignment horizontal="center" vertical="center"/>
    </xf>
    <xf numFmtId="49" fontId="0" fillId="51" borderId="470" xfId="0" applyNumberFormat="1" applyFill="1" applyBorder="1">
      <alignment horizontal="center" vertical="center"/>
    </xf>
    <xf numFmtId="49" fontId="0" fillId="51" borderId="456" xfId="0" applyNumberFormat="1" applyFill="1" applyBorder="1">
      <alignment horizontal="center" vertical="center"/>
    </xf>
    <xf numFmtId="0" fontId="0" fillId="51" borderId="456" xfId="45" applyFont="1" applyFill="1" applyBorder="1">
      <alignment horizontal="center" vertical="center"/>
    </xf>
    <xf numFmtId="49" fontId="0" fillId="51" borderId="471" xfId="0" applyNumberFormat="1" applyFill="1" applyBorder="1">
      <alignment horizontal="center" vertical="center"/>
    </xf>
    <xf numFmtId="0" fontId="0" fillId="0" borderId="457" xfId="0" applyBorder="1" applyAlignment="1">
      <alignment vertical="center"/>
    </xf>
    <xf numFmtId="0" fontId="5" fillId="52" borderId="457" xfId="48" applyBorder="1">
      <alignment horizontal="center" vertical="center"/>
    </xf>
    <xf numFmtId="0" fontId="0" fillId="51" borderId="470" xfId="44" applyFont="1" applyFill="1" applyBorder="1">
      <alignment horizontal="center" vertical="center"/>
    </xf>
    <xf numFmtId="0" fontId="2" fillId="0" borderId="456" xfId="0" applyFont="1" applyBorder="1" applyAlignment="1">
      <alignment horizontal="center"/>
    </xf>
    <xf numFmtId="0" fontId="0" fillId="0" borderId="456" xfId="0" applyBorder="1">
      <alignment horizontal="center" vertical="center"/>
    </xf>
    <xf numFmtId="0" fontId="5" fillId="0" borderId="456" xfId="0" applyFont="1" applyBorder="1">
      <alignment horizontal="center" vertical="center"/>
    </xf>
    <xf numFmtId="0" fontId="0" fillId="0" borderId="449" xfId="0" applyBorder="1">
      <alignment horizontal="center" vertical="center"/>
    </xf>
    <xf numFmtId="0" fontId="2" fillId="0" borderId="449" xfId="0" applyFont="1" applyBorder="1" applyAlignment="1">
      <alignment horizontal="center"/>
    </xf>
    <xf numFmtId="0" fontId="4" fillId="0" borderId="456" xfId="0" applyFont="1" applyBorder="1" applyAlignment="1">
      <alignment horizontal="left"/>
    </xf>
    <xf numFmtId="0" fontId="5" fillId="0" borderId="432" xfId="0" applyFont="1" applyBorder="1">
      <alignment horizontal="center" vertical="center"/>
    </xf>
    <xf numFmtId="0" fontId="0" fillId="0" borderId="456" xfId="0" applyBorder="1" applyAlignment="1">
      <alignment horizontal="center"/>
    </xf>
    <xf numFmtId="0" fontId="0" fillId="43" borderId="432" xfId="0" applyFill="1" applyBorder="1" applyAlignment="1" applyProtection="1">
      <alignment horizontal="center"/>
      <protection locked="0"/>
    </xf>
    <xf numFmtId="0" fontId="0" fillId="0" borderId="432" xfId="0" applyBorder="1" applyAlignment="1">
      <alignment horizontal="left"/>
    </xf>
    <xf numFmtId="0" fontId="0" fillId="0" borderId="433" xfId="0" applyBorder="1" applyAlignment="1">
      <alignment horizontal="left"/>
    </xf>
    <xf numFmtId="0" fontId="0" fillId="0" borderId="467" xfId="0" applyBorder="1" applyAlignment="1">
      <alignment horizontal="left"/>
    </xf>
    <xf numFmtId="0" fontId="0" fillId="0" borderId="465" xfId="0" applyBorder="1" applyAlignment="1">
      <alignment horizontal="left"/>
    </xf>
    <xf numFmtId="0" fontId="5" fillId="0" borderId="466" xfId="0" applyFont="1" applyBorder="1" applyAlignment="1">
      <alignment horizontal="left"/>
    </xf>
    <xf numFmtId="0" fontId="5" fillId="0" borderId="465" xfId="0" applyFont="1" applyBorder="1" applyAlignment="1">
      <alignment horizontal="left"/>
    </xf>
    <xf numFmtId="0" fontId="5" fillId="0" borderId="434" xfId="0" applyFont="1" applyBorder="1" applyAlignment="1">
      <alignment horizontal="left"/>
    </xf>
    <xf numFmtId="0" fontId="4" fillId="0" borderId="432" xfId="0" applyFont="1" applyBorder="1" applyAlignment="1">
      <alignment horizontal="left"/>
    </xf>
    <xf numFmtId="0" fontId="20" fillId="0" borderId="456" xfId="0" applyFont="1" applyBorder="1" applyAlignment="1" applyProtection="1">
      <alignment horizontal="center"/>
      <protection locked="0"/>
    </xf>
    <xf numFmtId="0" fontId="0" fillId="0" borderId="456" xfId="0" applyBorder="1" applyAlignment="1">
      <alignment horizontal="left"/>
    </xf>
    <xf numFmtId="0" fontId="5" fillId="0" borderId="456" xfId="0" applyFont="1" applyBorder="1" applyAlignment="1">
      <alignment horizontal="left"/>
    </xf>
    <xf numFmtId="0" fontId="2" fillId="0" borderId="457" xfId="0" applyFont="1" applyBorder="1" applyAlignment="1" applyProtection="1">
      <alignment horizontal="center"/>
      <protection locked="0"/>
    </xf>
    <xf numFmtId="0" fontId="0" fillId="51" borderId="456" xfId="52" applyFont="1" applyFill="1" applyBorder="1">
      <alignment horizontal="center" vertical="center"/>
    </xf>
    <xf numFmtId="0" fontId="0" fillId="51" borderId="456" xfId="48" applyFont="1" applyFill="1" applyBorder="1">
      <alignment horizontal="center" vertical="center"/>
    </xf>
    <xf numFmtId="0" fontId="0" fillId="52" borderId="387" xfId="48" applyFont="1" applyBorder="1">
      <alignment horizontal="center" vertical="center"/>
    </xf>
    <xf numFmtId="0" fontId="0" fillId="52" borderId="387" xfId="44" applyFont="1" applyFill="1" applyBorder="1">
      <alignment horizontal="center" vertical="center"/>
    </xf>
    <xf numFmtId="0" fontId="5" fillId="0" borderId="477" xfId="52" applyBorder="1">
      <alignment horizontal="center" vertical="center"/>
    </xf>
    <xf numFmtId="0" fontId="5" fillId="0" borderId="478" xfId="52" applyBorder="1">
      <alignment horizontal="center" vertical="center"/>
    </xf>
    <xf numFmtId="0" fontId="0" fillId="51" borderId="478" xfId="0" applyFill="1" applyBorder="1">
      <alignment horizontal="center" vertical="center"/>
    </xf>
    <xf numFmtId="0" fontId="2" fillId="0" borderId="449" xfId="0" applyFont="1" applyBorder="1" applyAlignment="1" applyProtection="1">
      <alignment horizontal="center"/>
      <protection locked="0"/>
    </xf>
    <xf numFmtId="0" fontId="2" fillId="0" borderId="456" xfId="0" applyFont="1" applyBorder="1" applyAlignment="1" applyProtection="1">
      <alignment horizontal="center"/>
      <protection locked="0"/>
    </xf>
    <xf numFmtId="0" fontId="0" fillId="51" borderId="456" xfId="0" applyFill="1" applyBorder="1" applyAlignment="1">
      <alignment horizontal="left" vertical="center"/>
    </xf>
    <xf numFmtId="0" fontId="0" fillId="51" borderId="449" xfId="0" applyFill="1" applyBorder="1">
      <alignment horizontal="center" vertical="center"/>
    </xf>
    <xf numFmtId="0" fontId="0" fillId="51" borderId="449" xfId="43" applyFont="1" applyFill="1" applyBorder="1">
      <alignment horizontal="center" vertical="center"/>
    </xf>
    <xf numFmtId="0" fontId="0" fillId="51" borderId="449" xfId="47" applyFont="1" applyFill="1" applyBorder="1">
      <alignment horizontal="center" vertical="center"/>
    </xf>
    <xf numFmtId="0" fontId="0" fillId="51" borderId="456" xfId="47" applyFont="1" applyFill="1" applyBorder="1">
      <alignment horizontal="center" vertical="center"/>
    </xf>
    <xf numFmtId="0" fontId="0" fillId="51" borderId="471" xfId="47" applyFont="1" applyFill="1" applyBorder="1">
      <alignment horizontal="center" vertical="center"/>
    </xf>
    <xf numFmtId="0" fontId="0" fillId="51" borderId="432" xfId="0" applyFill="1" applyBorder="1" applyAlignment="1">
      <alignment horizontal="left" vertical="center"/>
    </xf>
    <xf numFmtId="0" fontId="0" fillId="51" borderId="387" xfId="53" applyFont="1" applyFill="1" applyBorder="1" applyAlignment="1">
      <alignment horizontal="center" vertical="center"/>
    </xf>
    <xf numFmtId="0" fontId="0" fillId="51" borderId="434" xfId="0" applyFill="1" applyBorder="1">
      <alignment horizontal="center" vertical="center"/>
    </xf>
    <xf numFmtId="0" fontId="0" fillId="51" borderId="479" xfId="0" applyFill="1" applyBorder="1">
      <alignment horizontal="center" vertical="center"/>
    </xf>
    <xf numFmtId="0" fontId="0" fillId="51" borderId="480" xfId="52" applyFont="1" applyFill="1" applyBorder="1">
      <alignment horizontal="center" vertical="center"/>
    </xf>
    <xf numFmtId="0" fontId="5" fillId="0" borderId="450" xfId="52" applyBorder="1" applyAlignment="1">
      <alignment horizontal="center"/>
    </xf>
    <xf numFmtId="0" fontId="2" fillId="0" borderId="432" xfId="52" applyFont="1" applyBorder="1" applyAlignment="1">
      <alignment horizontal="left"/>
    </xf>
    <xf numFmtId="0" fontId="5" fillId="0" borderId="433" xfId="52" applyBorder="1">
      <alignment horizontal="center" vertical="center"/>
    </xf>
    <xf numFmtId="0" fontId="5" fillId="0" borderId="434" xfId="52" applyBorder="1" applyAlignment="1">
      <alignment horizontal="left"/>
    </xf>
    <xf numFmtId="0" fontId="5" fillId="0" borderId="433" xfId="52" applyBorder="1" applyAlignment="1">
      <alignment horizontal="left"/>
    </xf>
    <xf numFmtId="0" fontId="5" fillId="0" borderId="432" xfId="52" applyBorder="1">
      <alignment horizontal="center" vertical="center"/>
    </xf>
    <xf numFmtId="0" fontId="5" fillId="0" borderId="433" xfId="52" applyBorder="1" applyAlignment="1">
      <alignment vertical="center"/>
    </xf>
    <xf numFmtId="0" fontId="5" fillId="0" borderId="433" xfId="52" applyBorder="1" applyAlignment="1">
      <alignment horizontal="left" vertical="center"/>
    </xf>
    <xf numFmtId="0" fontId="5" fillId="0" borderId="468" xfId="52" applyBorder="1" applyAlignment="1">
      <alignment vertical="center"/>
    </xf>
    <xf numFmtId="0" fontId="5" fillId="0" borderId="446" xfId="52" applyBorder="1">
      <alignment horizontal="center" vertical="center"/>
    </xf>
    <xf numFmtId="0" fontId="5" fillId="0" borderId="468" xfId="52" applyBorder="1">
      <alignment horizontal="center" vertical="center"/>
    </xf>
    <xf numFmtId="0" fontId="5" fillId="0" borderId="451" xfId="52" applyBorder="1" applyAlignment="1">
      <alignment horizontal="center"/>
    </xf>
    <xf numFmtId="0" fontId="2" fillId="0" borderId="448" xfId="52" applyFont="1" applyBorder="1" applyAlignment="1">
      <alignment horizontal="left"/>
    </xf>
    <xf numFmtId="0" fontId="5" fillId="0" borderId="481" xfId="52" applyBorder="1">
      <alignment horizontal="center" vertical="center"/>
    </xf>
    <xf numFmtId="0" fontId="5" fillId="0" borderId="452" xfId="52" applyBorder="1">
      <alignment horizontal="center" vertical="center"/>
    </xf>
    <xf numFmtId="0" fontId="5" fillId="0" borderId="474" xfId="52" applyBorder="1" applyAlignment="1">
      <alignment horizontal="left"/>
    </xf>
    <xf numFmtId="0" fontId="5" fillId="0" borderId="452" xfId="52" applyBorder="1" applyAlignment="1">
      <alignment horizontal="left"/>
    </xf>
    <xf numFmtId="0" fontId="5" fillId="0" borderId="447" xfId="52" applyBorder="1" applyAlignment="1">
      <alignment horizontal="left"/>
    </xf>
    <xf numFmtId="0" fontId="2" fillId="0" borderId="482" xfId="52" applyFont="1" applyBorder="1" applyAlignment="1">
      <alignment horizontal="left"/>
    </xf>
    <xf numFmtId="0" fontId="5" fillId="0" borderId="448" xfId="52" applyBorder="1">
      <alignment horizontal="center" vertical="center"/>
    </xf>
    <xf numFmtId="0" fontId="5" fillId="0" borderId="475" xfId="52" applyBorder="1">
      <alignment horizontal="center" vertical="center"/>
    </xf>
    <xf numFmtId="0" fontId="2" fillId="0" borderId="449" xfId="52" applyFont="1" applyBorder="1" applyAlignment="1" applyProtection="1">
      <alignment horizontal="center"/>
      <protection locked="0"/>
    </xf>
    <xf numFmtId="0" fontId="4" fillId="0" borderId="449" xfId="52" applyFont="1" applyBorder="1" applyAlignment="1">
      <alignment horizontal="center"/>
    </xf>
    <xf numFmtId="0" fontId="2" fillId="43" borderId="456" xfId="52" applyFont="1" applyFill="1" applyBorder="1" applyAlignment="1">
      <alignment horizontal="center"/>
    </xf>
    <xf numFmtId="49" fontId="0" fillId="51" borderId="456" xfId="20" applyNumberFormat="1" applyFont="1" applyFill="1" applyBorder="1" applyAlignment="1">
      <alignment horizontal="center" vertical="center"/>
    </xf>
    <xf numFmtId="49" fontId="0" fillId="51" borderId="456" xfId="52" applyNumberFormat="1" applyFont="1" applyFill="1" applyBorder="1">
      <alignment horizontal="center" vertical="center"/>
    </xf>
    <xf numFmtId="49" fontId="0" fillId="51" borderId="471" xfId="20" applyNumberFormat="1" applyFont="1" applyFill="1" applyBorder="1" applyAlignment="1">
      <alignment horizontal="center" vertical="center"/>
    </xf>
    <xf numFmtId="0" fontId="5" fillId="0" borderId="456" xfId="52" applyBorder="1" applyAlignment="1">
      <alignment vertical="center"/>
    </xf>
    <xf numFmtId="49" fontId="0" fillId="51" borderId="456" xfId="34" applyNumberFormat="1" applyFont="1" applyFill="1" applyBorder="1" applyAlignment="1">
      <alignment horizontal="center" vertical="center"/>
    </xf>
    <xf numFmtId="49" fontId="0" fillId="51" borderId="471" xfId="52" applyNumberFormat="1" applyFont="1" applyFill="1" applyBorder="1">
      <alignment horizontal="center" vertical="center"/>
    </xf>
    <xf numFmtId="0" fontId="2" fillId="43" borderId="457" xfId="52" applyFont="1" applyFill="1" applyBorder="1" applyAlignment="1">
      <alignment horizontal="center"/>
    </xf>
    <xf numFmtId="0" fontId="5" fillId="0" borderId="457" xfId="52" applyBorder="1" applyAlignment="1">
      <alignment vertical="center"/>
    </xf>
    <xf numFmtId="0" fontId="0" fillId="51" borderId="457" xfId="51" applyFont="1" applyFill="1" applyBorder="1">
      <alignment horizontal="center" vertical="center"/>
    </xf>
    <xf numFmtId="49" fontId="0" fillId="51" borderId="457" xfId="52" applyNumberFormat="1" applyFont="1" applyFill="1" applyBorder="1">
      <alignment horizontal="center" vertical="center"/>
    </xf>
    <xf numFmtId="49" fontId="0" fillId="51" borderId="470" xfId="52" applyNumberFormat="1" applyFont="1" applyFill="1" applyBorder="1">
      <alignment horizontal="center" vertical="center"/>
    </xf>
    <xf numFmtId="0" fontId="2" fillId="0" borderId="476" xfId="0" applyFont="1" applyBorder="1" applyAlignment="1">
      <alignment horizontal="center"/>
    </xf>
    <xf numFmtId="0" fontId="5" fillId="0" borderId="432" xfId="0" applyFont="1" applyBorder="1" applyAlignment="1">
      <alignment horizontal="left" vertical="center"/>
    </xf>
    <xf numFmtId="0" fontId="5" fillId="0" borderId="433" xfId="0" applyFont="1" applyBorder="1" applyAlignment="1">
      <alignment horizontal="left" vertical="center"/>
    </xf>
    <xf numFmtId="0" fontId="5" fillId="0" borderId="468" xfId="0" applyFont="1" applyBorder="1" applyAlignment="1">
      <alignment horizontal="left" vertical="center"/>
    </xf>
    <xf numFmtId="0" fontId="0" fillId="0" borderId="450" xfId="0" applyBorder="1" applyAlignment="1">
      <alignment horizontal="center"/>
    </xf>
    <xf numFmtId="0" fontId="2" fillId="0" borderId="432" xfId="0" applyFont="1" applyBorder="1" applyAlignment="1">
      <alignment horizontal="left"/>
    </xf>
    <xf numFmtId="0" fontId="0" fillId="0" borderId="433" xfId="0" applyBorder="1" applyAlignment="1"/>
    <xf numFmtId="0" fontId="0" fillId="0" borderId="434" xfId="0" applyBorder="1" applyAlignment="1">
      <alignment horizontal="left"/>
    </xf>
    <xf numFmtId="0" fontId="2" fillId="0" borderId="433" xfId="0" applyFont="1" applyBorder="1" applyAlignment="1"/>
    <xf numFmtId="0" fontId="2" fillId="0" borderId="434" xfId="0" applyFont="1" applyBorder="1" applyAlignment="1">
      <alignment horizontal="left"/>
    </xf>
    <xf numFmtId="0" fontId="0" fillId="0" borderId="432" xfId="0" applyBorder="1" applyAlignment="1">
      <alignment horizontal="center"/>
    </xf>
    <xf numFmtId="0" fontId="0" fillId="0" borderId="468" xfId="0" applyBorder="1" applyAlignment="1"/>
    <xf numFmtId="0" fontId="2" fillId="0" borderId="467" xfId="0" applyFont="1" applyBorder="1" applyAlignment="1">
      <alignment horizontal="left"/>
    </xf>
    <xf numFmtId="0" fontId="0" fillId="0" borderId="465" xfId="0" applyBorder="1" applyAlignment="1"/>
    <xf numFmtId="0" fontId="0" fillId="0" borderId="466" xfId="0" applyBorder="1" applyAlignment="1">
      <alignment horizontal="left"/>
    </xf>
    <xf numFmtId="0" fontId="7" fillId="0" borderId="467" xfId="0" applyFont="1" applyBorder="1" applyAlignment="1">
      <alignment horizontal="center"/>
    </xf>
    <xf numFmtId="0" fontId="0" fillId="0" borderId="473" xfId="0" applyBorder="1" applyAlignment="1"/>
    <xf numFmtId="0" fontId="0" fillId="0" borderId="451" xfId="0" applyBorder="1" applyAlignment="1">
      <alignment horizontal="center"/>
    </xf>
    <xf numFmtId="0" fontId="2" fillId="0" borderId="448" xfId="0" applyFont="1" applyBorder="1" applyAlignment="1">
      <alignment horizontal="left"/>
    </xf>
    <xf numFmtId="0" fontId="5" fillId="0" borderId="452" xfId="0" applyFont="1" applyBorder="1" applyAlignment="1">
      <alignment horizontal="left" vertical="center"/>
    </xf>
    <xf numFmtId="0" fontId="5" fillId="0" borderId="452" xfId="0" applyFont="1" applyBorder="1">
      <alignment horizontal="center" vertical="center"/>
    </xf>
    <xf numFmtId="0" fontId="5" fillId="0" borderId="474" xfId="0" applyFont="1" applyBorder="1">
      <alignment horizontal="center" vertical="center"/>
    </xf>
    <xf numFmtId="0" fontId="5" fillId="0" borderId="448" xfId="0" applyFont="1" applyBorder="1" applyAlignment="1">
      <alignment horizontal="left" vertical="center"/>
    </xf>
    <xf numFmtId="0" fontId="5" fillId="0" borderId="452" xfId="0" applyFont="1" applyBorder="1" applyAlignment="1">
      <alignment horizontal="left"/>
    </xf>
    <xf numFmtId="0" fontId="5" fillId="0" borderId="474" xfId="0" applyFont="1" applyBorder="1" applyAlignment="1">
      <alignment horizontal="left" vertical="center"/>
    </xf>
    <xf numFmtId="0" fontId="0" fillId="0" borderId="452" xfId="0" applyBorder="1" applyAlignment="1">
      <alignment horizontal="left"/>
    </xf>
    <xf numFmtId="0" fontId="0" fillId="0" borderId="475" xfId="0" applyBorder="1" applyAlignment="1"/>
    <xf numFmtId="0" fontId="2" fillId="43" borderId="456" xfId="0" applyFont="1" applyFill="1" applyBorder="1" applyAlignment="1">
      <alignment horizontal="center"/>
    </xf>
    <xf numFmtId="0" fontId="0" fillId="51" borderId="471" xfId="44" applyFont="1" applyFill="1" applyBorder="1">
      <alignment horizontal="center" vertical="center"/>
    </xf>
    <xf numFmtId="0" fontId="5" fillId="0" borderId="456" xfId="52" applyBorder="1">
      <alignment horizontal="center" vertical="center"/>
    </xf>
    <xf numFmtId="0" fontId="0" fillId="51" borderId="456" xfId="51" applyFont="1" applyFill="1" applyBorder="1">
      <alignment horizontal="center" vertical="center"/>
    </xf>
    <xf numFmtId="0" fontId="0" fillId="51" borderId="471" xfId="51" applyFont="1" applyFill="1" applyBorder="1">
      <alignment horizontal="center" vertical="center"/>
    </xf>
    <xf numFmtId="0" fontId="0" fillId="51" borderId="471" xfId="48" applyFont="1" applyFill="1" applyBorder="1">
      <alignment horizontal="center" vertical="center"/>
    </xf>
    <xf numFmtId="0" fontId="2" fillId="43" borderId="457" xfId="0" applyFont="1" applyFill="1" applyBorder="1" applyAlignment="1">
      <alignment horizontal="center"/>
    </xf>
    <xf numFmtId="0" fontId="0" fillId="51" borderId="457" xfId="0" applyFill="1" applyBorder="1" applyAlignment="1">
      <alignment horizontal="left" vertical="center"/>
    </xf>
    <xf numFmtId="0" fontId="0" fillId="51" borderId="457" xfId="47" applyFont="1" applyFill="1" applyBorder="1">
      <alignment horizontal="center" vertical="center"/>
    </xf>
    <xf numFmtId="0" fontId="0" fillId="51" borderId="457" xfId="32" applyFont="1" applyFill="1" applyBorder="1" applyAlignment="1">
      <alignment horizontal="center" vertical="center"/>
    </xf>
    <xf numFmtId="0" fontId="0" fillId="51" borderId="457" xfId="48" applyFont="1" applyFill="1" applyBorder="1">
      <alignment horizontal="center" vertical="center"/>
    </xf>
    <xf numFmtId="0" fontId="0" fillId="51" borderId="470" xfId="48" applyFont="1" applyFill="1" applyBorder="1">
      <alignment horizontal="center" vertical="center"/>
    </xf>
    <xf numFmtId="0" fontId="0" fillId="0" borderId="448" xfId="0" applyBorder="1" applyAlignment="1">
      <alignment horizontal="left"/>
    </xf>
    <xf numFmtId="0" fontId="0" fillId="0" borderId="452" xfId="0" applyBorder="1" applyAlignment="1"/>
    <xf numFmtId="0" fontId="0" fillId="0" borderId="474" xfId="0" applyBorder="1" applyAlignment="1">
      <alignment horizontal="left"/>
    </xf>
    <xf numFmtId="0" fontId="0" fillId="0" borderId="448" xfId="0" applyBorder="1" applyAlignment="1">
      <alignment horizontal="center"/>
    </xf>
    <xf numFmtId="0" fontId="2" fillId="43" borderId="435" xfId="0" applyFont="1" applyFill="1" applyBorder="1" applyAlignment="1">
      <alignment horizontal="center"/>
    </xf>
    <xf numFmtId="0" fontId="0" fillId="0" borderId="435" xfId="0" applyBorder="1" applyAlignment="1">
      <alignment horizontal="left" vertical="center"/>
    </xf>
    <xf numFmtId="0" fontId="0" fillId="51" borderId="435" xfId="0" applyFill="1" applyBorder="1">
      <alignment horizontal="center" vertical="center"/>
    </xf>
    <xf numFmtId="0" fontId="0" fillId="51" borderId="435" xfId="46" applyFont="1" applyFill="1" applyBorder="1">
      <alignment horizontal="center" vertical="center"/>
    </xf>
    <xf numFmtId="0" fontId="0" fillId="51" borderId="435" xfId="45" applyFont="1" applyFill="1" applyBorder="1">
      <alignment horizontal="center" vertical="center"/>
    </xf>
    <xf numFmtId="0" fontId="1" fillId="0" borderId="432" xfId="0" applyFont="1" applyBorder="1" applyAlignment="1">
      <alignment horizontal="left"/>
    </xf>
    <xf numFmtId="0" fontId="2" fillId="0" borderId="433" xfId="0" applyFont="1" applyBorder="1">
      <alignment horizontal="center" vertical="center"/>
    </xf>
    <xf numFmtId="0" fontId="0" fillId="0" borderId="483" xfId="0" applyBorder="1" applyAlignment="1">
      <alignment horizontal="center"/>
    </xf>
    <xf numFmtId="167" fontId="7" fillId="0" borderId="448" xfId="0" applyNumberFormat="1" applyFont="1" applyBorder="1" applyAlignment="1">
      <alignment horizontal="center"/>
    </xf>
    <xf numFmtId="0" fontId="5" fillId="51" borderId="456" xfId="0" applyFont="1" applyFill="1" applyBorder="1" applyAlignment="1">
      <alignment vertical="center"/>
    </xf>
    <xf numFmtId="0" fontId="0" fillId="51" borderId="456" xfId="0" applyFill="1" applyBorder="1" applyAlignment="1">
      <alignment vertical="center"/>
    </xf>
    <xf numFmtId="0" fontId="13" fillId="0" borderId="437" xfId="0" applyFont="1" applyBorder="1" applyAlignment="1">
      <alignment horizontal="left" vertical="center"/>
    </xf>
    <xf numFmtId="0" fontId="13" fillId="0" borderId="437" xfId="0" applyFont="1" applyBorder="1">
      <alignment horizontal="center" vertical="center"/>
    </xf>
    <xf numFmtId="0" fontId="13" fillId="0" borderId="438" xfId="0" applyFont="1" applyBorder="1">
      <alignment horizontal="center" vertical="center"/>
    </xf>
    <xf numFmtId="0" fontId="5" fillId="0" borderId="438" xfId="0" applyFont="1" applyBorder="1">
      <alignment horizontal="center" vertical="center"/>
    </xf>
    <xf numFmtId="0" fontId="5" fillId="0" borderId="437" xfId="0" applyFont="1" applyBorder="1">
      <alignment horizontal="center" vertical="center"/>
    </xf>
    <xf numFmtId="0" fontId="7" fillId="0" borderId="437" xfId="0" applyFont="1" applyBorder="1">
      <alignment horizontal="center" vertical="center"/>
    </xf>
    <xf numFmtId="0" fontId="0" fillId="0" borderId="484" xfId="0" applyBorder="1">
      <alignment horizontal="center" vertical="center"/>
    </xf>
    <xf numFmtId="49" fontId="5" fillId="0" borderId="484" xfId="0" applyNumberFormat="1" applyFont="1" applyBorder="1">
      <alignment horizontal="center" vertical="center"/>
    </xf>
    <xf numFmtId="0" fontId="7" fillId="0" borderId="485" xfId="0" applyFont="1" applyBorder="1">
      <alignment horizontal="center" vertical="center"/>
    </xf>
    <xf numFmtId="49" fontId="5" fillId="0" borderId="437" xfId="0" applyNumberFormat="1" applyFont="1" applyBorder="1">
      <alignment horizontal="center" vertical="center"/>
    </xf>
    <xf numFmtId="0" fontId="4" fillId="0" borderId="486" xfId="0" applyFont="1" applyBorder="1" applyAlignment="1">
      <alignment horizontal="center"/>
    </xf>
    <xf numFmtId="0" fontId="0" fillId="51" borderId="387" xfId="47" applyFont="1" applyFill="1" applyBorder="1">
      <alignment horizontal="center" vertical="center"/>
    </xf>
    <xf numFmtId="0" fontId="2" fillId="0" borderId="486" xfId="0" applyFont="1" applyBorder="1" applyAlignment="1">
      <alignment horizontal="center"/>
    </xf>
    <xf numFmtId="0" fontId="0" fillId="0" borderId="487" xfId="0" applyBorder="1" applyAlignment="1">
      <alignment horizontal="left" vertical="center"/>
    </xf>
    <xf numFmtId="0" fontId="0" fillId="0" borderId="481" xfId="0" applyBorder="1">
      <alignment horizontal="center" vertical="center"/>
    </xf>
    <xf numFmtId="0" fontId="0" fillId="0" borderId="488" xfId="0" applyBorder="1">
      <alignment horizontal="center" vertical="center"/>
    </xf>
    <xf numFmtId="0" fontId="2" fillId="0" borderId="481" xfId="0" applyFont="1" applyBorder="1" applyAlignment="1">
      <alignment horizontal="left"/>
    </xf>
    <xf numFmtId="0" fontId="0" fillId="0" borderId="489" xfId="0" applyBorder="1">
      <alignment horizontal="center" vertical="center"/>
    </xf>
    <xf numFmtId="0" fontId="0" fillId="0" borderId="481" xfId="0" applyBorder="1" applyAlignment="1">
      <alignment horizontal="left" vertical="center"/>
    </xf>
    <xf numFmtId="0" fontId="0" fillId="0" borderId="488" xfId="0" applyBorder="1" applyAlignment="1">
      <alignment horizontal="left" vertical="center"/>
    </xf>
    <xf numFmtId="0" fontId="0" fillId="0" borderId="489" xfId="0" applyBorder="1" applyAlignment="1">
      <alignment horizontal="left" vertical="center"/>
    </xf>
    <xf numFmtId="0" fontId="2" fillId="0" borderId="489" xfId="0" applyFont="1" applyBorder="1" applyAlignment="1">
      <alignment horizontal="left"/>
    </xf>
    <xf numFmtId="0" fontId="0" fillId="0" borderId="490" xfId="0" applyBorder="1">
      <alignment horizontal="center" vertical="center"/>
    </xf>
    <xf numFmtId="0" fontId="2" fillId="24" borderId="491" xfId="0" applyFont="1" applyFill="1" applyBorder="1">
      <alignment horizontal="center" vertical="center"/>
    </xf>
    <xf numFmtId="0" fontId="0" fillId="24" borderId="491" xfId="0" applyFill="1" applyBorder="1">
      <alignment horizontal="center" vertical="center"/>
    </xf>
    <xf numFmtId="0" fontId="0" fillId="24" borderId="492" xfId="0" applyFill="1" applyBorder="1">
      <alignment horizontal="center" vertical="center"/>
    </xf>
    <xf numFmtId="49" fontId="0" fillId="51" borderId="432" xfId="0" applyNumberFormat="1" applyFill="1" applyBorder="1">
      <alignment horizontal="center" vertical="center"/>
    </xf>
    <xf numFmtId="0" fontId="0" fillId="0" borderId="493" xfId="0" applyBorder="1" applyAlignment="1" applyProtection="1">
      <alignment horizontal="center"/>
      <protection locked="0"/>
    </xf>
    <xf numFmtId="0" fontId="0" fillId="51" borderId="494" xfId="45" applyFont="1" applyFill="1" applyBorder="1">
      <alignment horizontal="center" vertical="center"/>
    </xf>
    <xf numFmtId="49" fontId="0" fillId="51" borderId="495" xfId="0" applyNumberFormat="1" applyFill="1" applyBorder="1">
      <alignment horizontal="center" vertical="center"/>
    </xf>
    <xf numFmtId="0" fontId="2" fillId="0" borderId="496" xfId="0" applyFont="1" applyBorder="1" applyAlignment="1">
      <alignment horizontal="center"/>
    </xf>
    <xf numFmtId="0" fontId="0" fillId="0" borderId="489" xfId="0" applyBorder="1" applyAlignment="1">
      <alignment horizontal="left"/>
    </xf>
    <xf numFmtId="0" fontId="0" fillId="0" borderId="481" xfId="0" applyBorder="1" applyAlignment="1">
      <alignment horizontal="center"/>
    </xf>
    <xf numFmtId="0" fontId="2" fillId="0" borderId="497" xfId="0" applyFont="1" applyBorder="1" applyAlignment="1" applyProtection="1">
      <alignment horizontal="center"/>
      <protection locked="0"/>
    </xf>
    <xf numFmtId="0" fontId="4" fillId="0" borderId="493" xfId="0" applyFont="1" applyBorder="1" applyAlignment="1">
      <alignment horizontal="center"/>
    </xf>
    <xf numFmtId="0" fontId="0" fillId="0" borderId="498" xfId="0" applyBorder="1" applyAlignment="1">
      <alignment vertical="center"/>
    </xf>
    <xf numFmtId="0" fontId="0" fillId="0" borderId="499" xfId="0" applyBorder="1" applyAlignment="1" applyProtection="1">
      <alignment horizontal="center"/>
      <protection locked="0"/>
    </xf>
    <xf numFmtId="0" fontId="46" fillId="0" borderId="498" xfId="0" applyFont="1" applyBorder="1" applyAlignment="1">
      <alignment vertical="center"/>
    </xf>
    <xf numFmtId="0" fontId="45" fillId="0" borderId="500" xfId="0" applyFont="1" applyBorder="1" applyAlignment="1">
      <alignment vertical="center"/>
    </xf>
    <xf numFmtId="0" fontId="45" fillId="0" borderId="501" xfId="0" applyFont="1" applyBorder="1" applyAlignment="1">
      <alignment vertical="center"/>
    </xf>
    <xf numFmtId="49" fontId="0" fillId="51" borderId="502" xfId="0" applyNumberFormat="1" applyFill="1" applyBorder="1">
      <alignment horizontal="center" vertical="center"/>
    </xf>
    <xf numFmtId="49" fontId="0" fillId="51" borderId="493" xfId="0" applyNumberFormat="1" applyFill="1" applyBorder="1">
      <alignment horizontal="center" vertical="center"/>
    </xf>
    <xf numFmtId="0" fontId="0" fillId="51" borderId="493" xfId="0" applyFill="1" applyBorder="1">
      <alignment horizontal="center" vertical="center"/>
    </xf>
    <xf numFmtId="49" fontId="0" fillId="51" borderId="503" xfId="0" applyNumberFormat="1" applyFill="1" applyBorder="1">
      <alignment horizontal="center" vertical="center"/>
    </xf>
    <xf numFmtId="49" fontId="0" fillId="0" borderId="499" xfId="0" applyNumberFormat="1" applyBorder="1" applyAlignment="1"/>
    <xf numFmtId="0" fontId="2" fillId="0" borderId="493" xfId="0" applyFont="1" applyBorder="1" applyAlignment="1" applyProtection="1">
      <alignment horizontal="center"/>
      <protection locked="0"/>
    </xf>
    <xf numFmtId="0" fontId="0" fillId="0" borderId="498" xfId="0" applyBorder="1" applyAlignment="1" applyProtection="1">
      <alignment horizontal="left"/>
      <protection locked="0"/>
    </xf>
    <xf numFmtId="0" fontId="11" fillId="0" borderId="498" xfId="0" applyFont="1" applyBorder="1" applyAlignment="1">
      <alignment vertical="center"/>
    </xf>
    <xf numFmtId="0" fontId="0" fillId="0" borderId="504" xfId="0" applyBorder="1" applyAlignment="1">
      <alignment vertical="center"/>
    </xf>
    <xf numFmtId="0" fontId="51" fillId="64" borderId="499" xfId="0" applyFont="1" applyFill="1" applyBorder="1" applyAlignment="1">
      <alignment horizontal="center" wrapText="1"/>
    </xf>
    <xf numFmtId="0" fontId="18" fillId="64" borderId="387" xfId="0" applyFont="1" applyFill="1" applyBorder="1" applyAlignment="1">
      <alignment horizontal="center" wrapText="1"/>
    </xf>
    <xf numFmtId="0" fontId="18" fillId="64" borderId="387" xfId="0" applyFont="1" applyFill="1" applyBorder="1" applyAlignment="1">
      <alignment horizontal="left" wrapText="1"/>
    </xf>
    <xf numFmtId="0" fontId="18" fillId="65" borderId="505" xfId="0" applyFont="1" applyFill="1" applyBorder="1">
      <alignment horizontal="center" vertical="center"/>
    </xf>
    <xf numFmtId="171" fontId="18" fillId="0" borderId="506" xfId="0" applyNumberFormat="1" applyFont="1" applyBorder="1" applyAlignment="1">
      <alignment horizontal="left" wrapText="1"/>
    </xf>
    <xf numFmtId="0" fontId="21" fillId="0" borderId="499" xfId="0" applyFont="1" applyBorder="1" applyAlignment="1">
      <alignment wrapText="1"/>
    </xf>
    <xf numFmtId="171" fontId="18" fillId="0" borderId="387" xfId="0" applyNumberFormat="1" applyFont="1" applyBorder="1" applyAlignment="1">
      <alignment horizontal="left"/>
    </xf>
    <xf numFmtId="171" fontId="18" fillId="0" borderId="387" xfId="0" applyNumberFormat="1" applyFont="1" applyBorder="1" applyAlignment="1">
      <alignment horizontal="left" wrapText="1"/>
    </xf>
    <xf numFmtId="171" fontId="18" fillId="0" borderId="486" xfId="0" applyNumberFormat="1" applyFont="1" applyBorder="1" applyAlignment="1">
      <alignment horizontal="left"/>
    </xf>
    <xf numFmtId="0" fontId="18" fillId="0" borderId="484" xfId="0" applyFont="1" applyBorder="1">
      <alignment horizontal="center" vertical="center"/>
    </xf>
    <xf numFmtId="0" fontId="18" fillId="39" borderId="507" xfId="0" applyFont="1" applyFill="1" applyBorder="1" applyAlignment="1">
      <alignment wrapText="1"/>
    </xf>
    <xf numFmtId="171" fontId="18" fillId="39" borderId="508" xfId="0" applyNumberFormat="1" applyFont="1" applyFill="1" applyBorder="1" applyAlignment="1">
      <alignment horizontal="left" wrapText="1"/>
    </xf>
    <xf numFmtId="0" fontId="21" fillId="39" borderId="507" xfId="0" applyFont="1" applyFill="1" applyBorder="1" applyAlignment="1">
      <alignment wrapText="1"/>
    </xf>
    <xf numFmtId="0" fontId="21" fillId="47" borderId="507" xfId="0" applyFont="1" applyFill="1" applyBorder="1" applyAlignment="1">
      <alignment wrapText="1"/>
    </xf>
    <xf numFmtId="171" fontId="18" fillId="47" borderId="508" xfId="0" applyNumberFormat="1" applyFont="1" applyFill="1" applyBorder="1" applyAlignment="1">
      <alignment horizontal="left"/>
    </xf>
    <xf numFmtId="0" fontId="21" fillId="0" borderId="507" xfId="0" applyFont="1" applyBorder="1" applyAlignment="1"/>
    <xf numFmtId="0" fontId="21" fillId="66" borderId="507" xfId="0" applyFont="1" applyFill="1" applyBorder="1" applyAlignment="1"/>
    <xf numFmtId="171" fontId="18" fillId="66" borderId="387" xfId="0" applyNumberFormat="1" applyFont="1" applyFill="1" applyBorder="1" applyAlignment="1">
      <alignment horizontal="left" wrapText="1"/>
    </xf>
    <xf numFmtId="0" fontId="21" fillId="66" borderId="507" xfId="0" applyFont="1" applyFill="1" applyBorder="1" applyAlignment="1">
      <alignment horizontal="left" vertical="center"/>
    </xf>
    <xf numFmtId="172" fontId="18" fillId="66" borderId="387" xfId="0" applyNumberFormat="1" applyFont="1" applyFill="1" applyBorder="1" applyAlignment="1">
      <alignment horizontal="left" wrapText="1"/>
    </xf>
    <xf numFmtId="3" fontId="21" fillId="0" borderId="387" xfId="0" applyNumberFormat="1" applyFont="1" applyBorder="1">
      <alignment horizontal="center" vertical="center"/>
    </xf>
    <xf numFmtId="0" fontId="21" fillId="67" borderId="507" xfId="0" applyFont="1" applyFill="1" applyBorder="1" applyAlignment="1">
      <alignment horizontal="left" vertical="center"/>
    </xf>
    <xf numFmtId="172" fontId="18" fillId="67" borderId="387" xfId="0" applyNumberFormat="1" applyFont="1" applyFill="1" applyBorder="1" applyAlignment="1">
      <alignment horizontal="left" wrapText="1"/>
    </xf>
    <xf numFmtId="0" fontId="21" fillId="68" borderId="507" xfId="0" applyFont="1" applyFill="1" applyBorder="1" applyAlignment="1">
      <alignment horizontal="left" vertical="center"/>
    </xf>
    <xf numFmtId="172" fontId="18" fillId="67" borderId="509" xfId="0" applyNumberFormat="1" applyFont="1" applyFill="1" applyBorder="1" applyAlignment="1">
      <alignment horizontal="left" wrapText="1"/>
    </xf>
    <xf numFmtId="3" fontId="21" fillId="0" borderId="510" xfId="0" applyNumberFormat="1" applyFont="1" applyBorder="1">
      <alignment horizontal="center" vertical="center"/>
    </xf>
    <xf numFmtId="0" fontId="21" fillId="69" borderId="507" xfId="0" applyFont="1" applyFill="1" applyBorder="1" applyAlignment="1">
      <alignment horizontal="left" vertical="center"/>
    </xf>
    <xf numFmtId="171" fontId="18" fillId="67" borderId="508" xfId="0" applyNumberFormat="1" applyFont="1" applyFill="1" applyBorder="1" applyAlignment="1">
      <alignment horizontal="left" wrapText="1"/>
    </xf>
    <xf numFmtId="0" fontId="21" fillId="0" borderId="507" xfId="0" applyFont="1" applyBorder="1">
      <alignment horizontal="center" vertical="center"/>
    </xf>
    <xf numFmtId="0" fontId="21" fillId="38" borderId="507" xfId="0" applyFont="1" applyFill="1" applyBorder="1" applyAlignment="1">
      <alignment horizontal="left" vertical="center"/>
    </xf>
    <xf numFmtId="171" fontId="18" fillId="38" borderId="511" xfId="0" applyNumberFormat="1" applyFont="1" applyFill="1" applyBorder="1" applyAlignment="1">
      <alignment horizontal="left" wrapText="1"/>
    </xf>
    <xf numFmtId="0" fontId="18" fillId="38" borderId="507" xfId="0" applyFont="1" applyFill="1" applyBorder="1" applyAlignment="1">
      <alignment horizontal="left" vertical="center"/>
    </xf>
    <xf numFmtId="171" fontId="18" fillId="38" borderId="387" xfId="0" applyNumberFormat="1" applyFont="1" applyFill="1" applyBorder="1" applyAlignment="1">
      <alignment horizontal="left" wrapText="1"/>
    </xf>
    <xf numFmtId="171" fontId="18" fillId="38" borderId="512" xfId="0" applyNumberFormat="1" applyFont="1" applyFill="1" applyBorder="1" applyAlignment="1">
      <alignment horizontal="left" wrapText="1"/>
    </xf>
    <xf numFmtId="0" fontId="51" fillId="64" borderId="507" xfId="0" applyFont="1" applyFill="1" applyBorder="1" applyAlignment="1">
      <alignment horizontal="center" wrapText="1"/>
    </xf>
    <xf numFmtId="0" fontId="18" fillId="65" borderId="513" xfId="0" applyFont="1" applyFill="1" applyBorder="1">
      <alignment horizontal="center" vertical="center"/>
    </xf>
    <xf numFmtId="171" fontId="18" fillId="0" borderId="508" xfId="0" applyNumberFormat="1" applyFont="1" applyBorder="1" applyAlignment="1">
      <alignment horizontal="left" wrapText="1"/>
    </xf>
    <xf numFmtId="0" fontId="21" fillId="0" borderId="507" xfId="0" applyFont="1" applyBorder="1" applyAlignment="1">
      <alignment wrapText="1"/>
    </xf>
    <xf numFmtId="171" fontId="18" fillId="0" borderId="509" xfId="0" applyNumberFormat="1" applyFont="1" applyBorder="1" applyAlignment="1">
      <alignment horizontal="left"/>
    </xf>
    <xf numFmtId="0" fontId="18" fillId="0" borderId="514" xfId="0" applyFont="1" applyBorder="1">
      <alignment horizontal="center" vertical="center"/>
    </xf>
    <xf numFmtId="0" fontId="18" fillId="39" borderId="515" xfId="0" applyFont="1" applyFill="1" applyBorder="1" applyAlignment="1">
      <alignment wrapText="1"/>
    </xf>
    <xf numFmtId="171" fontId="18" fillId="39" borderId="516" xfId="0" applyNumberFormat="1" applyFont="1" applyFill="1" applyBorder="1" applyAlignment="1">
      <alignment horizontal="left" wrapText="1"/>
    </xf>
    <xf numFmtId="0" fontId="21" fillId="39" borderId="515" xfId="0" applyFont="1" applyFill="1" applyBorder="1" applyAlignment="1">
      <alignment wrapText="1"/>
    </xf>
    <xf numFmtId="0" fontId="21" fillId="47" borderId="515" xfId="0" applyFont="1" applyFill="1" applyBorder="1" applyAlignment="1">
      <alignment wrapText="1"/>
    </xf>
    <xf numFmtId="171" fontId="18" fillId="47" borderId="516" xfId="0" applyNumberFormat="1" applyFont="1" applyFill="1" applyBorder="1" applyAlignment="1">
      <alignment horizontal="left"/>
    </xf>
    <xf numFmtId="0" fontId="21" fillId="0" borderId="515" xfId="0" applyFont="1" applyBorder="1" applyAlignment="1"/>
    <xf numFmtId="0" fontId="21" fillId="66" borderId="515" xfId="0" applyFont="1" applyFill="1" applyBorder="1" applyAlignment="1"/>
    <xf numFmtId="0" fontId="21" fillId="66" borderId="515" xfId="0" applyFont="1" applyFill="1" applyBorder="1" applyAlignment="1">
      <alignment horizontal="left" vertical="center"/>
    </xf>
    <xf numFmtId="0" fontId="21" fillId="67" borderId="515" xfId="0" applyFont="1" applyFill="1" applyBorder="1" applyAlignment="1">
      <alignment horizontal="left" vertical="center"/>
    </xf>
    <xf numFmtId="0" fontId="21" fillId="68" borderId="515" xfId="0" applyFont="1" applyFill="1" applyBorder="1" applyAlignment="1">
      <alignment horizontal="left" vertical="center"/>
    </xf>
    <xf numFmtId="172" fontId="18" fillId="67" borderId="517" xfId="0" applyNumberFormat="1" applyFont="1" applyFill="1" applyBorder="1" applyAlignment="1">
      <alignment horizontal="left" wrapText="1"/>
    </xf>
    <xf numFmtId="3" fontId="21" fillId="0" borderId="518" xfId="0" applyNumberFormat="1" applyFont="1" applyBorder="1">
      <alignment horizontal="center" vertical="center"/>
    </xf>
    <xf numFmtId="0" fontId="21" fillId="69" borderId="515" xfId="0" applyFont="1" applyFill="1" applyBorder="1" applyAlignment="1">
      <alignment horizontal="left" vertical="center"/>
    </xf>
    <xf numFmtId="171" fontId="18" fillId="67" borderId="516" xfId="0" applyNumberFormat="1" applyFont="1" applyFill="1" applyBorder="1" applyAlignment="1">
      <alignment horizontal="left" wrapText="1"/>
    </xf>
    <xf numFmtId="0" fontId="21" fillId="0" borderId="515" xfId="0" applyFont="1" applyBorder="1">
      <alignment horizontal="center" vertical="center"/>
    </xf>
    <xf numFmtId="0" fontId="21" fillId="38" borderId="515" xfId="0" applyFont="1" applyFill="1" applyBorder="1" applyAlignment="1">
      <alignment horizontal="left" vertical="center"/>
    </xf>
    <xf numFmtId="171" fontId="18" fillId="38" borderId="519" xfId="0" applyNumberFormat="1" applyFont="1" applyFill="1" applyBorder="1" applyAlignment="1">
      <alignment horizontal="left" wrapText="1"/>
    </xf>
    <xf numFmtId="0" fontId="18" fillId="38" borderId="515" xfId="0" applyFont="1" applyFill="1" applyBorder="1" applyAlignment="1">
      <alignment horizontal="left" vertical="center"/>
    </xf>
    <xf numFmtId="171" fontId="18" fillId="38" borderId="520" xfId="0" applyNumberFormat="1" applyFont="1" applyFill="1" applyBorder="1" applyAlignment="1">
      <alignment horizontal="left" wrapText="1"/>
    </xf>
    <xf numFmtId="0" fontId="43" fillId="50" borderId="387" xfId="0" applyFont="1" applyFill="1" applyBorder="1" applyAlignment="1">
      <alignment horizontal="center"/>
    </xf>
    <xf numFmtId="0" fontId="43" fillId="50" borderId="509" xfId="0" applyFont="1" applyFill="1" applyBorder="1" applyAlignment="1">
      <alignment horizontal="center"/>
    </xf>
    <xf numFmtId="169" fontId="43" fillId="50" borderId="509" xfId="0" applyNumberFormat="1" applyFont="1" applyFill="1" applyBorder="1" applyAlignment="1">
      <alignment horizontal="center"/>
    </xf>
    <xf numFmtId="0" fontId="0" fillId="24" borderId="521" xfId="0" applyFill="1" applyBorder="1" applyAlignment="1">
      <alignment horizontal="center"/>
    </xf>
    <xf numFmtId="0" fontId="19" fillId="0" borderId="508" xfId="0" applyFont="1" applyBorder="1">
      <alignment horizontal="center" vertical="center"/>
    </xf>
    <xf numFmtId="0" fontId="43" fillId="0" borderId="508" xfId="0" applyFont="1" applyBorder="1" applyAlignment="1">
      <alignment vertical="center"/>
    </xf>
    <xf numFmtId="0" fontId="19" fillId="0" borderId="508" xfId="0" applyFont="1" applyBorder="1" applyAlignment="1">
      <alignment vertical="center"/>
    </xf>
    <xf numFmtId="49" fontId="43" fillId="0" borderId="508" xfId="0" applyNumberFormat="1" applyFont="1" applyBorder="1">
      <alignment horizontal="center" vertical="center"/>
    </xf>
    <xf numFmtId="0" fontId="43" fillId="0" borderId="508" xfId="0" applyFont="1" applyBorder="1">
      <alignment horizontal="center" vertical="center"/>
    </xf>
    <xf numFmtId="0" fontId="19" fillId="0" borderId="508" xfId="0" applyFont="1" applyBorder="1" applyAlignment="1">
      <alignment horizontal="left" vertical="center"/>
    </xf>
    <xf numFmtId="0" fontId="43" fillId="0" borderId="522" xfId="0" applyFont="1" applyBorder="1">
      <alignment horizontal="center" vertical="center"/>
    </xf>
    <xf numFmtId="0" fontId="19" fillId="0" borderId="523" xfId="0" applyFont="1" applyBorder="1" applyAlignment="1">
      <alignment horizontal="left" vertical="center"/>
    </xf>
    <xf numFmtId="0" fontId="0" fillId="0" borderId="524" xfId="0" applyBorder="1">
      <alignment horizontal="center" vertical="center"/>
    </xf>
    <xf numFmtId="0" fontId="43" fillId="0" borderId="525" xfId="0" applyFont="1" applyBorder="1">
      <alignment horizontal="center" vertical="center"/>
    </xf>
    <xf numFmtId="0" fontId="19" fillId="0" borderId="526" xfId="0" applyFont="1" applyBorder="1" applyAlignment="1">
      <alignment horizontal="left" vertical="center"/>
    </xf>
    <xf numFmtId="0" fontId="0" fillId="0" borderId="527" xfId="0" applyBorder="1">
      <alignment horizontal="center" vertical="center"/>
    </xf>
    <xf numFmtId="0" fontId="19" fillId="51" borderId="508" xfId="0" applyFont="1" applyFill="1" applyBorder="1" applyAlignment="1">
      <alignment horizontal="left" vertical="center"/>
    </xf>
    <xf numFmtId="49" fontId="43" fillId="0" borderId="312" xfId="0" applyNumberFormat="1" applyFont="1" applyBorder="1">
      <alignment horizontal="center" vertical="center"/>
    </xf>
    <xf numFmtId="0" fontId="13" fillId="0" borderId="508" xfId="0" applyFont="1" applyBorder="1" applyAlignment="1">
      <alignment horizontal="left" vertical="center"/>
    </xf>
    <xf numFmtId="0" fontId="19" fillId="0" borderId="509" xfId="0" applyFont="1" applyBorder="1" applyAlignment="1">
      <alignment vertical="center"/>
    </xf>
    <xf numFmtId="49" fontId="43" fillId="0" borderId="528" xfId="0" applyNumberFormat="1" applyFont="1" applyBorder="1">
      <alignment horizontal="center" vertical="center"/>
    </xf>
    <xf numFmtId="0" fontId="43" fillId="0" borderId="529" xfId="0" applyFont="1" applyBorder="1" applyAlignment="1">
      <alignment vertical="center"/>
    </xf>
    <xf numFmtId="0" fontId="19" fillId="51" borderId="516" xfId="0" applyFont="1" applyFill="1" applyBorder="1" applyAlignment="1">
      <alignment horizontal="left" vertical="center" wrapText="1"/>
    </xf>
    <xf numFmtId="0" fontId="19" fillId="51" borderId="516" xfId="0" applyFont="1" applyFill="1" applyBorder="1" applyAlignment="1">
      <alignment horizontal="left" vertical="center"/>
    </xf>
    <xf numFmtId="169" fontId="43" fillId="0" borderId="516" xfId="0" applyNumberFormat="1" applyFont="1" applyBorder="1">
      <alignment horizontal="center" vertical="center"/>
    </xf>
    <xf numFmtId="0" fontId="43" fillId="49" borderId="516" xfId="0" applyFont="1" applyFill="1" applyBorder="1" applyAlignment="1">
      <alignment vertical="center"/>
    </xf>
    <xf numFmtId="0" fontId="43" fillId="0" borderId="530" xfId="0" applyFont="1" applyBorder="1" applyAlignment="1">
      <alignment vertical="center"/>
    </xf>
    <xf numFmtId="0" fontId="0" fillId="0" borderId="531" xfId="0" applyBorder="1">
      <alignment horizontal="center" vertical="center"/>
    </xf>
    <xf numFmtId="17" fontId="43" fillId="0" borderId="516" xfId="0" applyNumberFormat="1" applyFont="1" applyBorder="1">
      <alignment horizontal="center" vertical="center"/>
    </xf>
    <xf numFmtId="0" fontId="19" fillId="0" borderId="516" xfId="0" applyFont="1" applyBorder="1" applyAlignment="1"/>
    <xf numFmtId="0" fontId="12" fillId="0" borderId="516" xfId="52" applyFont="1" applyBorder="1" applyAlignment="1">
      <alignment vertical="center"/>
    </xf>
    <xf numFmtId="0" fontId="19" fillId="51" borderId="532" xfId="0" applyFont="1" applyFill="1" applyBorder="1" applyAlignment="1">
      <alignment horizontal="left" vertical="center" wrapText="1"/>
    </xf>
    <xf numFmtId="49" fontId="43" fillId="0" borderId="516" xfId="0" applyNumberFormat="1" applyFont="1" applyBorder="1" applyAlignment="1">
      <alignment horizontal="right"/>
    </xf>
    <xf numFmtId="0" fontId="19" fillId="0" borderId="516" xfId="0" applyFont="1" applyBorder="1" applyAlignment="1">
      <alignment vertical="center"/>
    </xf>
    <xf numFmtId="0" fontId="19" fillId="0" borderId="517" xfId="0" applyFont="1" applyBorder="1">
      <alignment horizontal="center" vertical="center"/>
    </xf>
    <xf numFmtId="0" fontId="12" fillId="0" borderId="516" xfId="52" applyFont="1" applyBorder="1" applyAlignment="1">
      <alignment horizontal="left" vertical="center"/>
    </xf>
    <xf numFmtId="0" fontId="0" fillId="0" borderId="516" xfId="0" applyBorder="1">
      <alignment horizontal="center" vertical="center"/>
    </xf>
    <xf numFmtId="0" fontId="19" fillId="51" borderId="516" xfId="0" applyFont="1" applyFill="1" applyBorder="1" applyAlignment="1" applyProtection="1">
      <alignment horizontal="left" vertical="center"/>
      <protection locked="0"/>
    </xf>
    <xf numFmtId="0" fontId="19" fillId="0" borderId="517" xfId="0" applyFont="1" applyBorder="1" applyAlignment="1"/>
    <xf numFmtId="0" fontId="19" fillId="0" borderId="522" xfId="0" applyFont="1" applyBorder="1">
      <alignment horizontal="center" vertical="center"/>
    </xf>
    <xf numFmtId="0" fontId="43" fillId="0" borderId="387" xfId="0" applyFont="1" applyBorder="1" applyAlignment="1">
      <alignment horizontal="left"/>
    </xf>
    <xf numFmtId="0" fontId="19" fillId="51" borderId="517" xfId="0" applyFont="1" applyFill="1" applyBorder="1" applyAlignment="1">
      <alignment horizontal="left" vertical="center"/>
    </xf>
    <xf numFmtId="0" fontId="19" fillId="0" borderId="387" xfId="52" applyFont="1" applyBorder="1" applyAlignment="1">
      <alignment vertical="center"/>
    </xf>
    <xf numFmtId="0" fontId="19" fillId="0" borderId="517" xfId="0" applyFont="1" applyBorder="1" applyAlignment="1">
      <alignment horizontal="left" vertical="center"/>
    </xf>
    <xf numFmtId="0" fontId="43" fillId="0" borderId="517" xfId="0" applyFont="1" applyBorder="1" applyAlignment="1">
      <alignment horizontal="center"/>
    </xf>
    <xf numFmtId="0" fontId="43" fillId="51" borderId="387" xfId="0" applyFont="1" applyFill="1" applyBorder="1" applyAlignment="1">
      <alignment horizontal="left" vertical="center"/>
    </xf>
    <xf numFmtId="0" fontId="0" fillId="0" borderId="517" xfId="52" applyFont="1" applyBorder="1" applyAlignment="1">
      <alignment horizontal="left" vertical="center"/>
    </xf>
    <xf numFmtId="0" fontId="49" fillId="51" borderId="387" xfId="0" applyFont="1" applyFill="1" applyBorder="1" applyAlignment="1">
      <alignment horizontal="center"/>
    </xf>
    <xf numFmtId="0" fontId="19" fillId="51" borderId="387" xfId="0" applyFont="1" applyFill="1" applyBorder="1" applyAlignment="1">
      <alignment vertical="center"/>
    </xf>
    <xf numFmtId="0" fontId="48" fillId="51" borderId="387" xfId="0" applyFont="1" applyFill="1" applyBorder="1" applyAlignment="1">
      <alignment wrapText="1"/>
    </xf>
    <xf numFmtId="0" fontId="44" fillId="51" borderId="387" xfId="0" applyFont="1" applyFill="1" applyBorder="1" applyAlignment="1">
      <alignment wrapText="1"/>
    </xf>
    <xf numFmtId="0" fontId="43" fillId="0" borderId="387" xfId="0" applyFont="1" applyBorder="1" applyAlignment="1">
      <alignment horizontal="left" vertical="center"/>
    </xf>
    <xf numFmtId="0" fontId="43" fillId="51" borderId="387" xfId="0" applyFont="1" applyFill="1" applyBorder="1" applyAlignment="1">
      <alignment wrapText="1"/>
    </xf>
    <xf numFmtId="0" fontId="43" fillId="0" borderId="387" xfId="0" applyFont="1" applyBorder="1" applyAlignment="1"/>
    <xf numFmtId="0" fontId="1" fillId="0" borderId="387" xfId="0" applyFont="1" applyBorder="1" applyAlignment="1">
      <alignment horizontal="left" vertical="center"/>
    </xf>
    <xf numFmtId="0" fontId="43" fillId="0" borderId="387" xfId="0" applyFont="1" applyBorder="1" applyAlignment="1">
      <alignment wrapText="1"/>
    </xf>
    <xf numFmtId="0" fontId="19" fillId="0" borderId="387" xfId="0" applyFont="1" applyBorder="1" applyAlignment="1">
      <alignment horizontal="left"/>
    </xf>
    <xf numFmtId="169" fontId="0" fillId="0" borderId="387" xfId="0" applyNumberFormat="1" applyBorder="1">
      <alignment horizontal="center" vertical="center"/>
    </xf>
    <xf numFmtId="0" fontId="12" fillId="51" borderId="529" xfId="0" applyFont="1" applyFill="1" applyBorder="1" applyAlignment="1">
      <alignment vertical="center"/>
    </xf>
    <xf numFmtId="0" fontId="19" fillId="51" borderId="529" xfId="0" applyFont="1" applyFill="1" applyBorder="1" applyAlignment="1">
      <alignment horizontal="left" vertical="center"/>
    </xf>
    <xf numFmtId="0" fontId="44" fillId="0" borderId="516" xfId="0" applyFont="1" applyBorder="1" applyAlignment="1">
      <alignment vertical="top" wrapText="1"/>
    </xf>
    <xf numFmtId="0" fontId="19" fillId="0" borderId="516" xfId="0" applyFont="1" applyBorder="1" applyAlignment="1">
      <alignment vertical="top" wrapText="1"/>
    </xf>
    <xf numFmtId="0" fontId="52" fillId="0" borderId="516" xfId="0" applyFont="1" applyBorder="1" applyAlignment="1">
      <alignment vertical="top" wrapText="1"/>
    </xf>
    <xf numFmtId="0" fontId="0" fillId="0" borderId="479" xfId="0" applyBorder="1" applyAlignment="1">
      <alignment horizontal="center"/>
    </xf>
    <xf numFmtId="0" fontId="5" fillId="0" borderId="479" xfId="0" applyFont="1" applyBorder="1" applyAlignment="1">
      <alignment horizontal="center"/>
    </xf>
    <xf numFmtId="0" fontId="4" fillId="0" borderId="479" xfId="0" applyFont="1" applyBorder="1" applyAlignment="1">
      <alignment horizontal="center"/>
    </xf>
    <xf numFmtId="0" fontId="4" fillId="0" borderId="481" xfId="0" applyFont="1" applyBorder="1" applyAlignment="1">
      <alignment horizontal="center"/>
    </xf>
    <xf numFmtId="0" fontId="0" fillId="24" borderId="489" xfId="0" applyFill="1" applyBorder="1" applyAlignment="1">
      <alignment horizontal="center"/>
    </xf>
    <xf numFmtId="0" fontId="4" fillId="0" borderId="533" xfId="0" applyFont="1" applyBorder="1" applyAlignment="1">
      <alignment horizontal="left"/>
    </xf>
    <xf numFmtId="0" fontId="0" fillId="0" borderId="534" xfId="0" applyBorder="1" applyAlignment="1">
      <alignment horizontal="center"/>
    </xf>
    <xf numFmtId="0" fontId="0" fillId="0" borderId="526" xfId="0" applyBorder="1" applyAlignment="1">
      <alignment horizontal="center"/>
    </xf>
    <xf numFmtId="0" fontId="5" fillId="0" borderId="481" xfId="0" applyFont="1" applyBorder="1" applyAlignment="1">
      <alignment horizontal="center"/>
    </xf>
    <xf numFmtId="0" fontId="0" fillId="0" borderId="489" xfId="0" applyBorder="1" applyAlignment="1">
      <alignment horizontal="center"/>
    </xf>
    <xf numFmtId="0" fontId="5" fillId="0" borderId="533" xfId="0" applyFont="1" applyBorder="1" applyAlignment="1">
      <alignment horizontal="left"/>
    </xf>
    <xf numFmtId="0" fontId="0" fillId="0" borderId="535" xfId="0" applyBorder="1" applyAlignment="1">
      <alignment horizontal="center"/>
    </xf>
    <xf numFmtId="0" fontId="0" fillId="0" borderId="536" xfId="0" applyBorder="1" applyAlignment="1">
      <alignment horizontal="center"/>
    </xf>
    <xf numFmtId="0" fontId="0" fillId="0" borderId="526" xfId="0" applyBorder="1">
      <alignment horizontal="center" vertical="center"/>
    </xf>
    <xf numFmtId="0" fontId="0" fillId="0" borderId="536" xfId="0" applyBorder="1">
      <alignment horizontal="center" vertical="center"/>
    </xf>
    <xf numFmtId="0" fontId="0" fillId="0" borderId="537" xfId="0" applyBorder="1" applyAlignment="1">
      <alignment horizontal="left"/>
    </xf>
    <xf numFmtId="0" fontId="5" fillId="0" borderId="489" xfId="0" applyFont="1" applyBorder="1" applyAlignment="1">
      <alignment horizontal="left"/>
    </xf>
    <xf numFmtId="0" fontId="2" fillId="0" borderId="535" xfId="0" applyFont="1" applyBorder="1" applyAlignment="1">
      <alignment horizontal="left"/>
    </xf>
    <xf numFmtId="0" fontId="0" fillId="26" borderId="491" xfId="0" applyFill="1" applyBorder="1" applyAlignment="1">
      <alignment horizontal="center"/>
    </xf>
    <xf numFmtId="0" fontId="0" fillId="27" borderId="526" xfId="0" applyFill="1" applyBorder="1" applyAlignment="1">
      <alignment horizontal="center"/>
    </xf>
    <xf numFmtId="0" fontId="5" fillId="27" borderId="479" xfId="0" applyFont="1" applyFill="1" applyBorder="1" applyAlignment="1">
      <alignment horizontal="center"/>
    </xf>
    <xf numFmtId="0" fontId="5" fillId="27" borderId="481" xfId="0" applyFont="1" applyFill="1" applyBorder="1" applyAlignment="1">
      <alignment horizontal="center"/>
    </xf>
    <xf numFmtId="0" fontId="5" fillId="0" borderId="538" xfId="0" applyFont="1" applyBorder="1" applyAlignment="1">
      <alignment horizontal="left"/>
    </xf>
    <xf numFmtId="0" fontId="5" fillId="25" borderId="479" xfId="0" applyFont="1" applyFill="1" applyBorder="1" applyAlignment="1">
      <alignment horizontal="center"/>
    </xf>
    <xf numFmtId="0" fontId="5" fillId="25" borderId="481" xfId="0" applyFont="1" applyFill="1" applyBorder="1" applyAlignment="1">
      <alignment horizontal="center"/>
    </xf>
    <xf numFmtId="0" fontId="2" fillId="0" borderId="483" xfId="0" applyFont="1" applyBorder="1" applyAlignment="1">
      <alignment horizontal="left"/>
    </xf>
    <xf numFmtId="0" fontId="0" fillId="29" borderId="479" xfId="0" applyFill="1" applyBorder="1" applyAlignment="1">
      <alignment horizontal="center"/>
    </xf>
    <xf numFmtId="0" fontId="0" fillId="30" borderId="526" xfId="0" applyFill="1" applyBorder="1" applyAlignment="1">
      <alignment horizontal="center"/>
    </xf>
    <xf numFmtId="0" fontId="6" fillId="31" borderId="526" xfId="0" applyFont="1" applyFill="1" applyBorder="1" applyAlignment="1">
      <alignment horizontal="center"/>
    </xf>
    <xf numFmtId="0" fontId="6" fillId="31" borderId="537" xfId="0" applyFont="1" applyFill="1" applyBorder="1" applyAlignment="1">
      <alignment horizontal="center"/>
    </xf>
    <xf numFmtId="0" fontId="0" fillId="24" borderId="479" xfId="0" applyFill="1" applyBorder="1" applyAlignment="1">
      <alignment horizontal="center"/>
    </xf>
    <xf numFmtId="0" fontId="5" fillId="24" borderId="481" xfId="0" applyFont="1" applyFill="1" applyBorder="1" applyAlignment="1">
      <alignment horizontal="center"/>
    </xf>
    <xf numFmtId="0" fontId="2" fillId="0" borderId="483" xfId="0" applyFont="1" applyBorder="1">
      <alignment horizontal="center" vertical="center"/>
    </xf>
    <xf numFmtId="0" fontId="0" fillId="28" borderId="526" xfId="0" applyFill="1" applyBorder="1" applyAlignment="1">
      <alignment horizontal="center"/>
    </xf>
    <xf numFmtId="0" fontId="0" fillId="26" borderId="479" xfId="0" applyFill="1" applyBorder="1" applyAlignment="1">
      <alignment horizontal="center"/>
    </xf>
    <xf numFmtId="0" fontId="2" fillId="0" borderId="483" xfId="0" applyFont="1" applyBorder="1" applyAlignment="1">
      <alignment horizontal="center"/>
    </xf>
    <xf numFmtId="0" fontId="0" fillId="0" borderId="515" xfId="0" applyBorder="1" applyAlignment="1">
      <alignment horizontal="left"/>
    </xf>
    <xf numFmtId="0" fontId="0" fillId="0" borderId="491" xfId="0" applyBorder="1" applyAlignment="1">
      <alignment horizontal="center"/>
    </xf>
    <xf numFmtId="0" fontId="5" fillId="0" borderId="491" xfId="0" applyFont="1" applyBorder="1" applyAlignment="1">
      <alignment horizontal="center"/>
    </xf>
    <xf numFmtId="0" fontId="4" fillId="0" borderId="491" xfId="0" applyFont="1" applyBorder="1" applyAlignment="1">
      <alignment horizontal="center"/>
    </xf>
    <xf numFmtId="0" fontId="0" fillId="0" borderId="515" xfId="0" applyBorder="1" applyAlignment="1">
      <alignment horizontal="center"/>
    </xf>
    <xf numFmtId="0" fontId="0" fillId="0" borderId="539" xfId="0" applyBorder="1" applyAlignment="1">
      <alignment horizontal="center"/>
    </xf>
    <xf numFmtId="0" fontId="0" fillId="0" borderId="529" xfId="0" applyBorder="1" applyAlignment="1">
      <alignment horizontal="center"/>
    </xf>
    <xf numFmtId="0" fontId="0" fillId="0" borderId="540" xfId="0" applyBorder="1" applyAlignment="1">
      <alignment horizontal="center"/>
    </xf>
    <xf numFmtId="0" fontId="0" fillId="0" borderId="541" xfId="0" applyBorder="1" applyAlignment="1">
      <alignment horizontal="center"/>
    </xf>
    <xf numFmtId="0" fontId="0" fillId="0" borderId="542" xfId="0" applyBorder="1" applyAlignment="1">
      <alignment horizontal="center"/>
    </xf>
    <xf numFmtId="0" fontId="0" fillId="0" borderId="542" xfId="0" applyBorder="1">
      <alignment horizontal="center" vertical="center"/>
    </xf>
    <xf numFmtId="0" fontId="0" fillId="0" borderId="543" xfId="0" applyBorder="1">
      <alignment horizontal="center" vertical="center"/>
    </xf>
    <xf numFmtId="0" fontId="0" fillId="0" borderId="544" xfId="0" applyBorder="1">
      <alignment horizontal="center" vertical="center"/>
    </xf>
    <xf numFmtId="0" fontId="0" fillId="0" borderId="479" xfId="0" applyBorder="1">
      <alignment horizontal="center" vertical="center"/>
    </xf>
    <xf numFmtId="0" fontId="5" fillId="0" borderId="526" xfId="0" applyFont="1" applyBorder="1" applyAlignment="1">
      <alignment horizontal="center"/>
    </xf>
    <xf numFmtId="0" fontId="0" fillId="24" borderId="537" xfId="0" applyFill="1" applyBorder="1" applyAlignment="1">
      <alignment horizontal="center"/>
    </xf>
    <xf numFmtId="0" fontId="5" fillId="0" borderId="531" xfId="0" applyFont="1" applyBorder="1" applyAlignment="1">
      <alignment horizontal="left"/>
    </xf>
    <xf numFmtId="0" fontId="0" fillId="0" borderId="492" xfId="0" applyBorder="1" applyAlignment="1">
      <alignment horizontal="center"/>
    </xf>
    <xf numFmtId="0" fontId="5" fillId="0" borderId="492" xfId="0" applyFont="1" applyBorder="1" applyAlignment="1">
      <alignment horizontal="left"/>
    </xf>
    <xf numFmtId="0" fontId="0" fillId="24" borderId="526" xfId="0" applyFill="1" applyBorder="1" applyAlignment="1">
      <alignment horizontal="center"/>
    </xf>
    <xf numFmtId="0" fontId="0" fillId="0" borderId="529" xfId="0" applyBorder="1">
      <alignment horizontal="center" vertical="center"/>
    </xf>
    <xf numFmtId="0" fontId="0" fillId="0" borderId="515" xfId="0" applyBorder="1">
      <alignment horizontal="center" vertical="center"/>
    </xf>
    <xf numFmtId="2" fontId="0" fillId="0" borderId="529" xfId="0" applyNumberFormat="1" applyBorder="1">
      <alignment horizontal="center" vertical="center"/>
    </xf>
    <xf numFmtId="0" fontId="0" fillId="0" borderId="540" xfId="0" applyBorder="1">
      <alignment horizontal="center" vertical="center"/>
    </xf>
    <xf numFmtId="0" fontId="0" fillId="0" borderId="545" xfId="0" applyBorder="1">
      <alignment horizontal="center" vertical="center"/>
    </xf>
    <xf numFmtId="2" fontId="0" fillId="24" borderId="546" xfId="0" applyNumberFormat="1" applyFill="1" applyBorder="1">
      <alignment horizontal="center" vertical="center"/>
    </xf>
    <xf numFmtId="2" fontId="0" fillId="0" borderId="545" xfId="0" applyNumberFormat="1" applyBorder="1">
      <alignment horizontal="center" vertical="center"/>
    </xf>
    <xf numFmtId="0" fontId="0" fillId="0" borderId="483" xfId="0" applyBorder="1" applyAlignment="1">
      <alignment horizontal="left"/>
    </xf>
    <xf numFmtId="0" fontId="2" fillId="0" borderId="547" xfId="0" applyFont="1" applyBorder="1" applyAlignment="1">
      <alignment horizontal="center"/>
    </xf>
    <xf numFmtId="0" fontId="5" fillId="0" borderId="529" xfId="0" applyFont="1" applyBorder="1" applyAlignment="1">
      <alignment horizontal="center"/>
    </xf>
    <xf numFmtId="0" fontId="4" fillId="0" borderId="529" xfId="0" applyFont="1" applyBorder="1" applyAlignment="1">
      <alignment horizontal="center"/>
    </xf>
    <xf numFmtId="0" fontId="4" fillId="0" borderId="548" xfId="0" applyFont="1" applyBorder="1" applyAlignment="1">
      <alignment horizontal="left"/>
    </xf>
    <xf numFmtId="0" fontId="6" fillId="32" borderId="529" xfId="0" applyFont="1" applyFill="1" applyBorder="1" applyAlignment="1">
      <alignment horizontal="center"/>
    </xf>
    <xf numFmtId="2" fontId="0" fillId="0" borderId="529" xfId="0" applyNumberFormat="1" applyBorder="1" applyAlignment="1">
      <alignment horizontal="center"/>
    </xf>
    <xf numFmtId="0" fontId="2" fillId="0" borderId="529" xfId="0" applyFont="1" applyBorder="1">
      <alignment horizontal="center" vertical="center"/>
    </xf>
    <xf numFmtId="0" fontId="5" fillId="0" borderId="489" xfId="0" applyFont="1" applyBorder="1" applyAlignment="1">
      <alignment horizontal="center"/>
    </xf>
    <xf numFmtId="0" fontId="4" fillId="24" borderId="533" xfId="0" applyFont="1" applyFill="1" applyBorder="1" applyAlignment="1">
      <alignment horizontal="left"/>
    </xf>
    <xf numFmtId="0" fontId="5" fillId="0" borderId="492" xfId="0" applyFont="1" applyBorder="1" applyAlignment="1">
      <alignment horizontal="center"/>
    </xf>
    <xf numFmtId="0" fontId="0" fillId="0" borderId="547" xfId="0" applyBorder="1">
      <alignment horizontal="center" vertical="center"/>
    </xf>
    <xf numFmtId="0" fontId="0" fillId="0" borderId="548" xfId="0" applyBorder="1" applyAlignment="1">
      <alignment horizontal="center"/>
    </xf>
    <xf numFmtId="0" fontId="5" fillId="0" borderId="526" xfId="0" applyFont="1" applyBorder="1">
      <alignment horizontal="center" vertical="center"/>
    </xf>
    <xf numFmtId="0" fontId="4" fillId="0" borderId="529" xfId="0" applyFont="1" applyBorder="1">
      <alignment horizontal="center" vertical="center"/>
    </xf>
    <xf numFmtId="0" fontId="0" fillId="0" borderId="534" xfId="0" applyBorder="1">
      <alignment horizontal="center" vertical="center"/>
    </xf>
    <xf numFmtId="0" fontId="0" fillId="24" borderId="531" xfId="0" applyFill="1" applyBorder="1" applyAlignment="1">
      <alignment horizontal="center"/>
    </xf>
    <xf numFmtId="0" fontId="5" fillId="0" borderId="536" xfId="0" applyFont="1" applyBorder="1">
      <alignment horizontal="center" vertical="center"/>
    </xf>
    <xf numFmtId="0" fontId="5" fillId="0" borderId="537" xfId="0" applyFont="1" applyBorder="1" applyAlignment="1">
      <alignment horizontal="left"/>
    </xf>
    <xf numFmtId="0" fontId="2" fillId="40" borderId="515" xfId="0" applyFont="1" applyFill="1" applyBorder="1">
      <alignment horizontal="center" vertical="center"/>
    </xf>
    <xf numFmtId="0" fontId="0" fillId="40" borderId="540" xfId="0" applyFill="1" applyBorder="1">
      <alignment horizontal="center" vertical="center"/>
    </xf>
    <xf numFmtId="0" fontId="5" fillId="40" borderId="540" xfId="0" applyFont="1" applyFill="1" applyBorder="1">
      <alignment horizontal="center" vertical="center"/>
    </xf>
    <xf numFmtId="0" fontId="0" fillId="33" borderId="479" xfId="0" applyFill="1" applyBorder="1" applyAlignment="1">
      <alignment horizontal="center"/>
    </xf>
    <xf numFmtId="0" fontId="9" fillId="34" borderId="479" xfId="0" applyFont="1" applyFill="1" applyBorder="1" applyAlignment="1">
      <alignment horizontal="center"/>
    </xf>
    <xf numFmtId="0" fontId="2" fillId="0" borderId="549" xfId="0" applyFont="1" applyBorder="1" applyAlignment="1">
      <alignment horizontal="left"/>
    </xf>
    <xf numFmtId="0" fontId="2" fillId="26" borderId="515" xfId="0" applyFont="1" applyFill="1" applyBorder="1">
      <alignment horizontal="center" vertical="center"/>
    </xf>
    <xf numFmtId="0" fontId="0" fillId="26" borderId="540" xfId="0" applyFill="1" applyBorder="1">
      <alignment horizontal="center" vertical="center"/>
    </xf>
    <xf numFmtId="0" fontId="2" fillId="42" borderId="515" xfId="0" applyFont="1" applyFill="1" applyBorder="1" applyAlignment="1">
      <alignment horizontal="left"/>
    </xf>
    <xf numFmtId="0" fontId="0" fillId="42" borderId="540" xfId="0" applyFill="1" applyBorder="1">
      <alignment horizontal="center" vertical="center"/>
    </xf>
    <xf numFmtId="0" fontId="9" fillId="35" borderId="479" xfId="0" applyFont="1" applyFill="1" applyBorder="1" applyAlignment="1">
      <alignment horizontal="center"/>
    </xf>
    <xf numFmtId="0" fontId="9" fillId="35" borderId="488" xfId="0" applyFont="1" applyFill="1" applyBorder="1" applyAlignment="1">
      <alignment horizontal="center"/>
    </xf>
    <xf numFmtId="0" fontId="2" fillId="39" borderId="515" xfId="0" applyFont="1" applyFill="1" applyBorder="1">
      <alignment horizontal="center" vertical="center"/>
    </xf>
    <xf numFmtId="0" fontId="0" fillId="39" borderId="540" xfId="0" applyFill="1" applyBorder="1">
      <alignment horizontal="center" vertical="center"/>
    </xf>
    <xf numFmtId="0" fontId="5" fillId="36" borderId="479" xfId="0" applyFont="1" applyFill="1" applyBorder="1" applyAlignment="1">
      <alignment horizontal="center"/>
    </xf>
    <xf numFmtId="0" fontId="2" fillId="37" borderId="515" xfId="0" applyFont="1" applyFill="1" applyBorder="1">
      <alignment horizontal="center" vertical="center"/>
    </xf>
    <xf numFmtId="0" fontId="0" fillId="37" borderId="540" xfId="0" applyFill="1" applyBorder="1">
      <alignment horizontal="center" vertical="center"/>
    </xf>
    <xf numFmtId="0" fontId="5" fillId="0" borderId="488" xfId="0" applyFont="1" applyBorder="1" applyAlignment="1">
      <alignment horizontal="center"/>
    </xf>
    <xf numFmtId="0" fontId="0" fillId="37" borderId="479" xfId="0" applyFill="1" applyBorder="1" applyAlignment="1">
      <alignment horizontal="center"/>
    </xf>
    <xf numFmtId="0" fontId="0" fillId="37" borderId="488" xfId="0" applyFill="1" applyBorder="1" applyAlignment="1">
      <alignment horizontal="center"/>
    </xf>
    <xf numFmtId="0" fontId="0" fillId="38" borderId="479" xfId="0" applyFill="1" applyBorder="1" applyAlignment="1">
      <alignment horizontal="center"/>
    </xf>
    <xf numFmtId="0" fontId="2" fillId="41" borderId="550" xfId="0" applyFont="1" applyFill="1" applyBorder="1" applyAlignment="1">
      <alignment horizontal="left"/>
    </xf>
    <xf numFmtId="0" fontId="0" fillId="41" borderId="543" xfId="0" applyFill="1" applyBorder="1">
      <alignment horizontal="center" vertical="center"/>
    </xf>
    <xf numFmtId="0" fontId="2" fillId="24" borderId="550" xfId="0" applyFont="1" applyFill="1" applyBorder="1">
      <alignment horizontal="center" vertical="center"/>
    </xf>
    <xf numFmtId="0" fontId="0" fillId="24" borderId="543" xfId="0" applyFill="1" applyBorder="1">
      <alignment horizontal="center" vertical="center"/>
    </xf>
    <xf numFmtId="0" fontId="0" fillId="24" borderId="491" xfId="0" applyFill="1" applyBorder="1" applyAlignment="1">
      <alignment horizontal="center"/>
    </xf>
    <xf numFmtId="0" fontId="0" fillId="37" borderId="491" xfId="0" applyFill="1" applyBorder="1" applyAlignment="1">
      <alignment horizontal="center"/>
    </xf>
    <xf numFmtId="0" fontId="8" fillId="31" borderId="550" xfId="0" applyFont="1" applyFill="1" applyBorder="1">
      <alignment horizontal="center" vertical="center"/>
    </xf>
    <xf numFmtId="0" fontId="6" fillId="31" borderId="543" xfId="0" applyFont="1" applyFill="1" applyBorder="1">
      <alignment horizontal="center" vertical="center"/>
    </xf>
    <xf numFmtId="0" fontId="0" fillId="31" borderId="543" xfId="0" applyFill="1" applyBorder="1">
      <alignment horizontal="center" vertical="center"/>
    </xf>
    <xf numFmtId="0" fontId="8" fillId="31" borderId="491" xfId="0" applyFont="1" applyFill="1" applyBorder="1" applyAlignment="1">
      <alignment horizontal="center"/>
    </xf>
    <xf numFmtId="0" fontId="2" fillId="38" borderId="515" xfId="0" applyFont="1" applyFill="1" applyBorder="1">
      <alignment horizontal="center" vertical="center"/>
    </xf>
    <xf numFmtId="0" fontId="0" fillId="38" borderId="540" xfId="0" applyFill="1" applyBorder="1">
      <alignment horizontal="center" vertical="center"/>
    </xf>
    <xf numFmtId="0" fontId="6" fillId="31" borderId="491" xfId="0" applyFont="1" applyFill="1" applyBorder="1" applyAlignment="1">
      <alignment horizontal="center"/>
    </xf>
    <xf numFmtId="0" fontId="2" fillId="25" borderId="515" xfId="0" applyFont="1" applyFill="1" applyBorder="1">
      <alignment horizontal="center" vertical="center"/>
    </xf>
    <xf numFmtId="0" fontId="0" fillId="25" borderId="551" xfId="0" applyFill="1" applyBorder="1">
      <alignment horizontal="center" vertical="center"/>
    </xf>
    <xf numFmtId="0" fontId="2" fillId="36" borderId="515" xfId="0" applyFont="1" applyFill="1" applyBorder="1">
      <alignment horizontal="center" vertical="center"/>
    </xf>
    <xf numFmtId="0" fontId="0" fillId="36" borderId="551" xfId="0" applyFill="1" applyBorder="1">
      <alignment horizontal="center" vertical="center"/>
    </xf>
    <xf numFmtId="0" fontId="0" fillId="0" borderId="491" xfId="0" applyBorder="1">
      <alignment horizontal="center" vertical="center"/>
    </xf>
    <xf numFmtId="0" fontId="2" fillId="0" borderId="549" xfId="0" applyFont="1" applyBorder="1" applyAlignment="1">
      <alignment horizontal="left" vertical="center"/>
    </xf>
    <xf numFmtId="0" fontId="2" fillId="33" borderId="515" xfId="0" applyFont="1" applyFill="1" applyBorder="1">
      <alignment horizontal="center" vertical="center"/>
    </xf>
    <xf numFmtId="0" fontId="0" fillId="33" borderId="551" xfId="0" applyFill="1" applyBorder="1">
      <alignment horizontal="center" vertical="center"/>
    </xf>
    <xf numFmtId="0" fontId="5" fillId="39" borderId="491" xfId="0" applyFont="1" applyFill="1" applyBorder="1" applyAlignment="1">
      <alignment horizontal="center"/>
    </xf>
    <xf numFmtId="0" fontId="2" fillId="35" borderId="515" xfId="0" applyFont="1" applyFill="1" applyBorder="1">
      <alignment horizontal="center" vertical="center"/>
    </xf>
    <xf numFmtId="0" fontId="0" fillId="35" borderId="540" xfId="0" applyFill="1" applyBorder="1">
      <alignment horizontal="center" vertical="center"/>
    </xf>
    <xf numFmtId="0" fontId="0" fillId="35" borderId="551" xfId="0" applyFill="1" applyBorder="1">
      <alignment horizontal="center" vertical="center"/>
    </xf>
    <xf numFmtId="0" fontId="0" fillId="40" borderId="479" xfId="0" applyFill="1" applyBorder="1" applyAlignment="1">
      <alignment horizontal="center"/>
    </xf>
    <xf numFmtId="0" fontId="0" fillId="41" borderId="479" xfId="0" applyFill="1" applyBorder="1" applyAlignment="1">
      <alignment horizontal="center"/>
    </xf>
    <xf numFmtId="0" fontId="0" fillId="0" borderId="488" xfId="0" applyBorder="1" applyAlignment="1">
      <alignment horizontal="center"/>
    </xf>
    <xf numFmtId="0" fontId="0" fillId="0" borderId="533" xfId="0" applyBorder="1" applyAlignment="1">
      <alignment horizontal="center"/>
    </xf>
    <xf numFmtId="0" fontId="2" fillId="34" borderId="515" xfId="0" applyFont="1" applyFill="1" applyBorder="1">
      <alignment horizontal="center" vertical="center"/>
    </xf>
    <xf numFmtId="0" fontId="0" fillId="34" borderId="540" xfId="0" applyFill="1" applyBorder="1">
      <alignment horizontal="center" vertical="center"/>
    </xf>
    <xf numFmtId="0" fontId="0" fillId="34" borderId="551" xfId="0" applyFill="1" applyBorder="1">
      <alignment horizontal="center" vertical="center"/>
    </xf>
    <xf numFmtId="0" fontId="0" fillId="42" borderId="479" xfId="0" applyFill="1" applyBorder="1" applyAlignment="1">
      <alignment horizontal="center"/>
    </xf>
    <xf numFmtId="0" fontId="2" fillId="0" borderId="549" xfId="0" applyFont="1" applyBorder="1">
      <alignment horizontal="center" vertical="center"/>
    </xf>
    <xf numFmtId="0" fontId="5" fillId="39" borderId="479" xfId="0" applyFont="1" applyFill="1" applyBorder="1" applyAlignment="1">
      <alignment horizontal="center"/>
    </xf>
    <xf numFmtId="0" fontId="2" fillId="0" borderId="552" xfId="0" applyFont="1" applyBorder="1" applyAlignment="1">
      <alignment horizontal="center"/>
    </xf>
    <xf numFmtId="0" fontId="5" fillId="0" borderId="542" xfId="0" applyFont="1" applyBorder="1" applyAlignment="1">
      <alignment horizontal="center"/>
    </xf>
    <xf numFmtId="0" fontId="4" fillId="0" borderId="542" xfId="0" applyFont="1" applyBorder="1" applyAlignment="1">
      <alignment horizontal="center"/>
    </xf>
    <xf numFmtId="0" fontId="5" fillId="0" borderId="544" xfId="0" applyFont="1" applyBorder="1" applyAlignment="1">
      <alignment horizontal="left"/>
    </xf>
    <xf numFmtId="0" fontId="2" fillId="0" borderId="534" xfId="0" applyFont="1" applyBorder="1" applyAlignment="1">
      <alignment horizontal="center"/>
    </xf>
    <xf numFmtId="0" fontId="2" fillId="0" borderId="534" xfId="0" applyFont="1" applyBorder="1" applyAlignment="1">
      <alignment horizontal="left"/>
    </xf>
    <xf numFmtId="0" fontId="4" fillId="0" borderId="483" xfId="0" applyFont="1" applyBorder="1" applyAlignment="1">
      <alignment horizontal="left"/>
    </xf>
    <xf numFmtId="0" fontId="0" fillId="0" borderId="552" xfId="0" applyBorder="1">
      <alignment horizontal="center" vertical="center"/>
    </xf>
    <xf numFmtId="0" fontId="0" fillId="0" borderId="544" xfId="0" applyBorder="1" applyAlignment="1">
      <alignment horizontal="center"/>
    </xf>
    <xf numFmtId="0" fontId="5" fillId="40" borderId="526" xfId="0" applyFont="1" applyFill="1" applyBorder="1" applyAlignment="1">
      <alignment horizontal="center"/>
    </xf>
    <xf numFmtId="0" fontId="4" fillId="24" borderId="483" xfId="0" applyFont="1" applyFill="1" applyBorder="1" applyAlignment="1">
      <alignment horizontal="left"/>
    </xf>
    <xf numFmtId="0" fontId="5" fillId="24" borderId="526" xfId="0" applyFont="1" applyFill="1" applyBorder="1" applyAlignment="1">
      <alignment horizontal="center"/>
    </xf>
    <xf numFmtId="0" fontId="5" fillId="24" borderId="533" xfId="0" applyFont="1" applyFill="1" applyBorder="1" applyAlignment="1">
      <alignment horizontal="left"/>
    </xf>
    <xf numFmtId="0" fontId="0" fillId="0" borderId="539" xfId="0" applyBorder="1">
      <alignment horizontal="center" vertical="center"/>
    </xf>
    <xf numFmtId="2" fontId="0" fillId="0" borderId="548" xfId="0" applyNumberFormat="1" applyBorder="1">
      <alignment horizontal="center" vertical="center"/>
    </xf>
    <xf numFmtId="0" fontId="0" fillId="0" borderId="535" xfId="0" applyBorder="1">
      <alignment horizontal="center" vertical="center"/>
    </xf>
    <xf numFmtId="2" fontId="0" fillId="24" borderId="531" xfId="0" applyNumberFormat="1" applyFill="1" applyBorder="1">
      <alignment horizontal="center" vertical="center"/>
    </xf>
    <xf numFmtId="0" fontId="11" fillId="0" borderId="534" xfId="0" applyFont="1" applyBorder="1" applyAlignment="1">
      <alignment horizontal="left"/>
    </xf>
    <xf numFmtId="0" fontId="0" fillId="0" borderId="534" xfId="0" applyBorder="1" applyAlignment="1">
      <alignment horizontal="left"/>
    </xf>
    <xf numFmtId="0" fontId="0" fillId="0" borderId="529" xfId="0" applyBorder="1" applyAlignment="1" applyProtection="1">
      <alignment horizontal="center"/>
      <protection locked="0"/>
    </xf>
    <xf numFmtId="0" fontId="4" fillId="0" borderId="538" xfId="0" applyFont="1" applyBorder="1" applyAlignment="1">
      <alignment horizontal="left"/>
    </xf>
    <xf numFmtId="0" fontId="2" fillId="0" borderId="526" xfId="0" applyFont="1" applyBorder="1" applyAlignment="1">
      <alignment horizontal="center"/>
    </xf>
    <xf numFmtId="0" fontId="4" fillId="0" borderId="526" xfId="0" applyFont="1" applyBorder="1" applyAlignment="1">
      <alignment horizontal="center"/>
    </xf>
    <xf numFmtId="0" fontId="4" fillId="0" borderId="531" xfId="0" applyFont="1" applyBorder="1" applyAlignment="1">
      <alignment horizontal="left"/>
    </xf>
    <xf numFmtId="0" fontId="0" fillId="0" borderId="547" xfId="0" applyBorder="1" applyAlignment="1">
      <alignment horizontal="center"/>
    </xf>
    <xf numFmtId="0" fontId="5" fillId="0" borderId="548" xfId="0" applyFont="1" applyBorder="1" applyAlignment="1">
      <alignment horizontal="left"/>
    </xf>
    <xf numFmtId="0" fontId="2" fillId="0" borderId="552" xfId="0" applyFont="1" applyBorder="1">
      <alignment horizontal="center" vertical="center"/>
    </xf>
    <xf numFmtId="0" fontId="4" fillId="24" borderId="538" xfId="0" applyFont="1" applyFill="1" applyBorder="1" applyAlignment="1">
      <alignment horizontal="left"/>
    </xf>
    <xf numFmtId="0" fontId="4" fillId="24" borderId="544" xfId="0" applyFont="1" applyFill="1" applyBorder="1" applyAlignment="1">
      <alignment horizontal="left"/>
    </xf>
    <xf numFmtId="0" fontId="2" fillId="0" borderId="547" xfId="0" applyFont="1" applyBorder="1">
      <alignment horizontal="center" vertical="center"/>
    </xf>
    <xf numFmtId="0" fontId="5" fillId="0" borderId="529" xfId="0" applyFont="1" applyBorder="1">
      <alignment horizontal="center" vertical="center"/>
    </xf>
    <xf numFmtId="0" fontId="4" fillId="24" borderId="548" xfId="0" applyFont="1" applyFill="1" applyBorder="1" applyAlignment="1">
      <alignment horizontal="left"/>
    </xf>
    <xf numFmtId="0" fontId="5" fillId="0" borderId="542" xfId="0" applyFont="1" applyBorder="1">
      <alignment horizontal="center" vertical="center"/>
    </xf>
    <xf numFmtId="0" fontId="4" fillId="0" borderId="547" xfId="0" applyFont="1" applyBorder="1">
      <alignment horizontal="center" vertical="center"/>
    </xf>
    <xf numFmtId="0" fontId="0" fillId="0" borderId="548" xfId="0" applyBorder="1">
      <alignment horizontal="center" vertical="center"/>
    </xf>
    <xf numFmtId="0" fontId="5" fillId="0" borderId="529" xfId="0" applyFont="1" applyBorder="1" applyAlignment="1">
      <alignment horizontal="left"/>
    </xf>
    <xf numFmtId="0" fontId="5" fillId="0" borderId="526" xfId="0" applyFont="1" applyBorder="1" applyAlignment="1">
      <alignment horizontal="left"/>
    </xf>
    <xf numFmtId="0" fontId="2" fillId="0" borderId="542" xfId="0" applyFont="1" applyBorder="1" applyAlignment="1">
      <alignment horizontal="center"/>
    </xf>
    <xf numFmtId="49" fontId="2" fillId="33" borderId="491" xfId="0" applyNumberFormat="1" applyFont="1" applyFill="1" applyBorder="1" applyAlignment="1">
      <alignment horizontal="center"/>
    </xf>
    <xf numFmtId="0" fontId="8" fillId="34" borderId="491" xfId="0" applyFont="1" applyFill="1" applyBorder="1" applyAlignment="1">
      <alignment horizontal="center"/>
    </xf>
    <xf numFmtId="0" fontId="0" fillId="0" borderId="492" xfId="0" applyBorder="1">
      <alignment horizontal="center" vertical="center"/>
    </xf>
    <xf numFmtId="49" fontId="4" fillId="25" borderId="491" xfId="0" applyNumberFormat="1" applyFont="1" applyFill="1" applyBorder="1" applyAlignment="1">
      <alignment horizontal="center"/>
    </xf>
    <xf numFmtId="0" fontId="8" fillId="35" borderId="491" xfId="0" applyFont="1" applyFill="1" applyBorder="1" applyAlignment="1">
      <alignment horizontal="center"/>
    </xf>
    <xf numFmtId="49" fontId="4" fillId="36" borderId="491" xfId="0" applyNumberFormat="1" applyFont="1" applyFill="1" applyBorder="1" applyAlignment="1">
      <alignment horizontal="center"/>
    </xf>
    <xf numFmtId="0" fontId="2" fillId="37" borderId="491" xfId="0" applyFont="1" applyFill="1" applyBorder="1" applyAlignment="1">
      <alignment horizontal="center"/>
    </xf>
    <xf numFmtId="49" fontId="2" fillId="38" borderId="491" xfId="0" applyNumberFormat="1" applyFont="1" applyFill="1" applyBorder="1" applyAlignment="1">
      <alignment horizontal="center"/>
    </xf>
    <xf numFmtId="49" fontId="2" fillId="24" borderId="491" xfId="0" applyNumberFormat="1" applyFont="1" applyFill="1" applyBorder="1" applyAlignment="1">
      <alignment horizontal="center"/>
    </xf>
    <xf numFmtId="49" fontId="8" fillId="31" borderId="491" xfId="0" applyNumberFormat="1" applyFont="1" applyFill="1" applyBorder="1" applyAlignment="1">
      <alignment horizontal="center"/>
    </xf>
    <xf numFmtId="0" fontId="2" fillId="0" borderId="491" xfId="0" applyFont="1" applyBorder="1" applyAlignment="1">
      <alignment horizontal="center"/>
    </xf>
    <xf numFmtId="49" fontId="4" fillId="39" borderId="491" xfId="0" applyNumberFormat="1" applyFont="1" applyFill="1" applyBorder="1" applyAlignment="1">
      <alignment horizontal="center"/>
    </xf>
    <xf numFmtId="0" fontId="0" fillId="0" borderId="491" xfId="0" applyBorder="1" applyAlignment="1">
      <alignment horizontal="left"/>
    </xf>
    <xf numFmtId="49" fontId="2" fillId="40" borderId="491" xfId="0" applyNumberFormat="1" applyFont="1" applyFill="1" applyBorder="1" applyAlignment="1">
      <alignment horizontal="center"/>
    </xf>
    <xf numFmtId="0" fontId="0" fillId="0" borderId="538" xfId="0" applyBorder="1" applyAlignment="1">
      <alignment horizontal="center"/>
    </xf>
    <xf numFmtId="0" fontId="9" fillId="34" borderId="526" xfId="0" applyFont="1" applyFill="1" applyBorder="1" applyAlignment="1">
      <alignment horizontal="center"/>
    </xf>
    <xf numFmtId="0" fontId="9" fillId="34" borderId="531" xfId="0" applyFont="1" applyFill="1" applyBorder="1" applyAlignment="1">
      <alignment horizontal="center"/>
    </xf>
    <xf numFmtId="0" fontId="5" fillId="0" borderId="531" xfId="0" applyFont="1" applyBorder="1" applyAlignment="1">
      <alignment horizontal="center"/>
    </xf>
    <xf numFmtId="0" fontId="0" fillId="0" borderId="531" xfId="0" applyBorder="1" applyAlignment="1">
      <alignment horizontal="center"/>
    </xf>
    <xf numFmtId="0" fontId="0" fillId="0" borderId="552" xfId="0" applyBorder="1" applyAlignment="1">
      <alignment horizontal="center"/>
    </xf>
    <xf numFmtId="0" fontId="2" fillId="0" borderId="529" xfId="0" applyFont="1" applyBorder="1" applyAlignment="1">
      <alignment horizontal="center"/>
    </xf>
    <xf numFmtId="0" fontId="5" fillId="29" borderId="529" xfId="0" applyFont="1" applyFill="1" applyBorder="1" applyAlignment="1">
      <alignment horizontal="center"/>
    </xf>
    <xf numFmtId="0" fontId="2" fillId="29" borderId="542" xfId="0" applyFont="1" applyFill="1" applyBorder="1" applyAlignment="1">
      <alignment horizontal="center"/>
    </xf>
    <xf numFmtId="0" fontId="0" fillId="29" borderId="529" xfId="0" applyFill="1" applyBorder="1" applyAlignment="1">
      <alignment horizontal="center"/>
    </xf>
    <xf numFmtId="0" fontId="2" fillId="29" borderId="526" xfId="0" applyFont="1" applyFill="1" applyBorder="1" applyAlignment="1">
      <alignment horizontal="center"/>
    </xf>
    <xf numFmtId="0" fontId="2" fillId="0" borderId="547" xfId="0" applyFont="1" applyBorder="1" applyAlignment="1">
      <alignment horizontal="left"/>
    </xf>
    <xf numFmtId="0" fontId="2" fillId="0" borderId="552" xfId="0" applyFont="1" applyBorder="1" applyAlignment="1">
      <alignment horizontal="left"/>
    </xf>
    <xf numFmtId="0" fontId="0" fillId="43" borderId="541" xfId="0" applyFill="1" applyBorder="1" applyAlignment="1" applyProtection="1">
      <alignment horizontal="center"/>
      <protection locked="0"/>
    </xf>
    <xf numFmtId="0" fontId="0" fillId="0" borderId="529" xfId="0" applyBorder="1" applyAlignment="1">
      <alignment horizontal="left"/>
    </xf>
    <xf numFmtId="0" fontId="0" fillId="43" borderId="535" xfId="0" applyFill="1" applyBorder="1" applyAlignment="1" applyProtection="1">
      <alignment horizontal="center"/>
      <protection locked="0"/>
    </xf>
    <xf numFmtId="2" fontId="0" fillId="0" borderId="526" xfId="0" applyNumberFormat="1" applyBorder="1" applyAlignment="1">
      <alignment horizontal="left"/>
    </xf>
    <xf numFmtId="2" fontId="5" fillId="0" borderId="526" xfId="0" applyNumberFormat="1" applyFont="1" applyBorder="1" applyAlignment="1">
      <alignment horizontal="left"/>
    </xf>
    <xf numFmtId="2" fontId="5" fillId="0" borderId="531" xfId="0" applyNumberFormat="1" applyFont="1" applyBorder="1" applyAlignment="1">
      <alignment horizontal="left"/>
    </xf>
    <xf numFmtId="0" fontId="2" fillId="0" borderId="479" xfId="0" applyFont="1" applyBorder="1" applyAlignment="1">
      <alignment horizontal="center"/>
    </xf>
    <xf numFmtId="0" fontId="20" fillId="39" borderId="529" xfId="0" applyFont="1" applyFill="1" applyBorder="1" applyAlignment="1">
      <alignment wrapText="1"/>
    </xf>
    <xf numFmtId="0" fontId="5" fillId="0" borderId="529" xfId="0" applyFont="1" applyBorder="1" applyAlignment="1">
      <alignment wrapText="1"/>
    </xf>
    <xf numFmtId="0" fontId="7" fillId="0" borderId="551" xfId="0" applyFont="1" applyBorder="1" applyAlignment="1">
      <alignment wrapText="1"/>
    </xf>
    <xf numFmtId="0" fontId="16" fillId="0" borderId="529" xfId="0" applyFont="1" applyBorder="1" applyAlignment="1">
      <alignment wrapText="1"/>
    </xf>
    <xf numFmtId="0" fontId="23" fillId="0" borderId="515" xfId="0" applyFont="1" applyBorder="1" applyAlignment="1">
      <alignment horizontal="center" wrapText="1"/>
    </xf>
    <xf numFmtId="3" fontId="23" fillId="0" borderId="547" xfId="0" applyNumberFormat="1" applyFont="1" applyBorder="1" applyAlignment="1"/>
    <xf numFmtId="3" fontId="23" fillId="0" borderId="515" xfId="0" applyNumberFormat="1" applyFont="1" applyBorder="1" applyAlignment="1"/>
    <xf numFmtId="3" fontId="23" fillId="0" borderId="529" xfId="0" applyNumberFormat="1" applyFont="1" applyBorder="1" applyAlignment="1"/>
    <xf numFmtId="3" fontId="23" fillId="0" borderId="548" xfId="0" applyNumberFormat="1" applyFont="1" applyBorder="1" applyAlignment="1"/>
    <xf numFmtId="0" fontId="16" fillId="0" borderId="553" xfId="0" applyFont="1" applyBorder="1">
      <alignment horizontal="center" vertical="center"/>
    </xf>
    <xf numFmtId="0" fontId="7" fillId="0" borderId="529" xfId="0" applyFont="1" applyBorder="1" applyAlignment="1">
      <alignment wrapText="1"/>
    </xf>
    <xf numFmtId="0" fontId="23" fillId="0" borderId="515" xfId="0" applyFont="1" applyBorder="1" applyAlignment="1">
      <alignment horizontal="center"/>
    </xf>
    <xf numFmtId="1" fontId="23" fillId="0" borderId="547" xfId="0" applyNumberFormat="1" applyFont="1" applyBorder="1" applyAlignment="1">
      <alignment horizontal="center"/>
    </xf>
    <xf numFmtId="1" fontId="23" fillId="0" borderId="529" xfId="0" applyNumberFormat="1" applyFont="1" applyBorder="1" applyAlignment="1">
      <alignment horizontal="center"/>
    </xf>
    <xf numFmtId="1" fontId="23" fillId="0" borderId="548" xfId="0" applyNumberFormat="1" applyFont="1" applyBorder="1" applyAlignment="1">
      <alignment horizontal="center"/>
    </xf>
    <xf numFmtId="0" fontId="7" fillId="0" borderId="553" xfId="0" applyFont="1" applyBorder="1" applyAlignment="1">
      <alignment horizontal="center" wrapText="1"/>
    </xf>
    <xf numFmtId="0" fontId="23" fillId="0" borderId="529" xfId="0" applyFont="1" applyBorder="1" applyAlignment="1">
      <alignment wrapText="1"/>
    </xf>
    <xf numFmtId="0" fontId="7" fillId="0" borderId="529" xfId="0" applyFont="1" applyBorder="1" applyAlignment="1">
      <alignment vertical="top" wrapText="1"/>
    </xf>
    <xf numFmtId="0" fontId="16" fillId="0" borderId="553" xfId="0" applyFont="1" applyBorder="1" applyAlignment="1">
      <alignment horizontal="center"/>
    </xf>
    <xf numFmtId="0" fontId="16" fillId="40" borderId="483" xfId="0" applyFont="1" applyFill="1" applyBorder="1" applyAlignment="1">
      <alignment wrapText="1"/>
    </xf>
    <xf numFmtId="0" fontId="23" fillId="0" borderId="526" xfId="0" applyFont="1" applyBorder="1" applyAlignment="1">
      <alignment wrapText="1"/>
    </xf>
    <xf numFmtId="0" fontId="7" fillId="0" borderId="526" xfId="0" applyFont="1" applyBorder="1" applyAlignment="1">
      <alignment vertical="top" wrapText="1"/>
    </xf>
    <xf numFmtId="0" fontId="23" fillId="0" borderId="537" xfId="0" applyFont="1" applyBorder="1" applyAlignment="1">
      <alignment horizontal="center"/>
    </xf>
    <xf numFmtId="1" fontId="23" fillId="0" borderId="534" xfId="0" applyNumberFormat="1" applyFont="1" applyBorder="1" applyAlignment="1">
      <alignment horizontal="center"/>
    </xf>
    <xf numFmtId="1" fontId="23" fillId="0" borderId="526" xfId="0" applyNumberFormat="1" applyFont="1" applyBorder="1" applyAlignment="1">
      <alignment horizontal="center"/>
    </xf>
    <xf numFmtId="1" fontId="23" fillId="0" borderId="531" xfId="0" applyNumberFormat="1" applyFont="1" applyBorder="1" applyAlignment="1">
      <alignment horizontal="center"/>
    </xf>
    <xf numFmtId="0" fontId="16" fillId="0" borderId="554" xfId="0" applyFont="1" applyBorder="1" applyAlignment="1">
      <alignment horizontal="center"/>
    </xf>
    <xf numFmtId="170" fontId="23" fillId="0" borderId="539" xfId="0" applyNumberFormat="1" applyFont="1" applyBorder="1" applyAlignment="1"/>
    <xf numFmtId="170" fontId="23" fillId="0" borderId="529" xfId="0" applyNumberFormat="1" applyFont="1" applyBorder="1" applyAlignment="1"/>
    <xf numFmtId="170" fontId="23" fillId="0" borderId="548" xfId="0" applyNumberFormat="1" applyFont="1" applyBorder="1" applyAlignment="1"/>
    <xf numFmtId="0" fontId="7" fillId="0" borderId="553" xfId="0" applyFont="1" applyBorder="1" applyAlignment="1">
      <alignment wrapText="1"/>
    </xf>
    <xf numFmtId="0" fontId="20" fillId="48" borderId="483" xfId="0" applyFont="1" applyFill="1" applyBorder="1" applyAlignment="1">
      <alignment wrapText="1"/>
    </xf>
    <xf numFmtId="3" fontId="23" fillId="0" borderId="534" xfId="0" applyNumberFormat="1" applyFont="1" applyBorder="1" applyAlignment="1"/>
    <xf numFmtId="3" fontId="23" fillId="0" borderId="526" xfId="0" applyNumberFormat="1" applyFont="1" applyBorder="1" applyAlignment="1"/>
    <xf numFmtId="3" fontId="23" fillId="0" borderId="531" xfId="0" applyNumberFormat="1" applyFont="1" applyBorder="1" applyAlignment="1"/>
    <xf numFmtId="0" fontId="16" fillId="0" borderId="554" xfId="0" applyFont="1" applyBorder="1">
      <alignment horizontal="center" vertical="center"/>
    </xf>
    <xf numFmtId="0" fontId="2" fillId="0" borderId="80" xfId="0" applyFont="1" applyBorder="1" applyAlignment="1">
      <alignment wrapText="1"/>
    </xf>
    <xf numFmtId="0" fontId="2" fillId="0" borderId="81" xfId="0" applyFont="1" applyBorder="1" applyAlignment="1">
      <alignment wrapText="1"/>
    </xf>
    <xf numFmtId="0" fontId="2" fillId="0" borderId="82" xfId="0" applyFont="1" applyBorder="1" applyAlignment="1">
      <alignment wrapText="1"/>
    </xf>
    <xf numFmtId="0" fontId="18" fillId="0" borderId="481" xfId="0" applyFont="1" applyBorder="1" applyAlignment="1">
      <alignment horizontal="center"/>
    </xf>
  </cellXfs>
  <cellStyles count="55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Afspadsering" xfId="44" xr:uid="{00000000-0005-0000-0000-000013000000}"/>
    <cellStyle name="Barn Syg" xfId="33" xr:uid="{00000000-0005-0000-0000-000014000000}"/>
    <cellStyle name="Barsel" xfId="51" xr:uid="{00000000-0005-0000-0000-000015000000}"/>
    <cellStyle name="Bemærk!" xfId="20" builtinId="10" customBuiltin="1"/>
    <cellStyle name="Beregning" xfId="21" builtinId="22" customBuiltin="1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erie" xfId="48" xr:uid="{00000000-0005-0000-0000-00001E000000}"/>
    <cellStyle name="FerieFridag" xfId="50" xr:uid="{00000000-0005-0000-0000-00001F000000}"/>
    <cellStyle name="Forklarende tekst" xfId="22" builtinId="53" customBuiltin="1"/>
    <cellStyle name="God" xfId="23" builtinId="26" customBuiltin="1"/>
    <cellStyle name="Input" xfId="24" builtinId="20" customBuiltin="1"/>
    <cellStyle name="Kontrollér celle" xfId="25" builtinId="23" customBuiltin="1"/>
    <cellStyle name="Neutral" xfId="32" builtinId="28" customBuiltin="1"/>
    <cellStyle name="Neutral 2" xfId="54" xr:uid="{00000000-0005-0000-0000-000025000000}"/>
    <cellStyle name="Normal" xfId="0" builtinId="0" customBuiltin="1"/>
    <cellStyle name="Normal 2" xfId="52" xr:uid="{00000000-0005-0000-0000-000027000000}"/>
    <cellStyle name="Normal 3" xfId="53" xr:uid="{00000000-0005-0000-0000-000028000000}"/>
    <cellStyle name="Oplæring" xfId="47" xr:uid="{00000000-0005-0000-0000-000029000000}"/>
    <cellStyle name="Orlov" xfId="49" xr:uid="{00000000-0005-0000-0000-00002A000000}"/>
    <cellStyle name="Output" xfId="34" builtinId="21" customBuiltin="1"/>
    <cellStyle name="Overskrift 1" xfId="35" builtinId="16" customBuiltin="1"/>
    <cellStyle name="Overskrift 2" xfId="36" builtinId="17" customBuiltin="1"/>
    <cellStyle name="Overskrift 3" xfId="37" builtinId="18" customBuiltin="1"/>
    <cellStyle name="Overskrift 4" xfId="38" builtinId="19" customBuiltin="1"/>
    <cellStyle name="OverTid" xfId="45" xr:uid="{00000000-0005-0000-0000-000030000000}"/>
    <cellStyle name="Sammenkædet celle" xfId="39" builtinId="24" customBuiltin="1"/>
    <cellStyle name="Seniordag" xfId="46" xr:uid="{00000000-0005-0000-0000-000032000000}"/>
    <cellStyle name="Syg" xfId="43" xr:uid="{00000000-0005-0000-0000-000033000000}"/>
    <cellStyle name="Titel" xfId="40" builtinId="15" customBuiltin="1"/>
    <cellStyle name="Total" xfId="41" builtinId="25" customBuiltin="1"/>
    <cellStyle name="Ugyldig" xfId="42" builtinId="27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FFF99"/>
      <color rgb="FFFFCC99"/>
      <color rgb="FFCC99FF"/>
      <color rgb="FF99CCFF"/>
      <color rgb="FFF79443"/>
      <color rgb="FF9966FF"/>
      <color rgb="FF1F12C8"/>
      <color rgb="FFFF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ShapeType="1"/>
        </xdr:cNvSpPr>
      </xdr:nvSpPr>
      <xdr:spPr bwMode="auto">
        <a:xfrm>
          <a:off x="1409700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ShapeType="1"/>
        </xdr:cNvSpPr>
      </xdr:nvSpPr>
      <xdr:spPr bwMode="auto">
        <a:xfrm>
          <a:off x="1371600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461010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461010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35</xdr:row>
      <xdr:rowOff>200025</xdr:rowOff>
    </xdr:from>
    <xdr:to>
      <xdr:col>1</xdr:col>
      <xdr:colOff>1457325</xdr:colOff>
      <xdr:row>35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8B1A3F82-4FA8-4D43-8CEC-D7D236D65052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10</xdr:row>
      <xdr:rowOff>219075</xdr:rowOff>
    </xdr:from>
    <xdr:to>
      <xdr:col>1</xdr:col>
      <xdr:colOff>1447800</xdr:colOff>
      <xdr:row>10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993B6A5-F1AA-4354-AA38-379C98BBBEA2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46F23E53-BE6D-4083-AE7F-3964D8030187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EE8B8F76-D793-4096-97DB-21C16E4E7D89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35</xdr:row>
      <xdr:rowOff>200025</xdr:rowOff>
    </xdr:from>
    <xdr:to>
      <xdr:col>1</xdr:col>
      <xdr:colOff>1457325</xdr:colOff>
      <xdr:row>35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1F2FC52-2B6B-4E20-9442-F9BF87D23FB0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10</xdr:row>
      <xdr:rowOff>219075</xdr:rowOff>
    </xdr:from>
    <xdr:to>
      <xdr:col>1</xdr:col>
      <xdr:colOff>1447800</xdr:colOff>
      <xdr:row>10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4DBA6EF5-CCEF-4480-91E6-9738C6F8FD0A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DB9A1D7-7A6C-4EE2-A715-BE2F449198EB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EC044DC4-CA2A-4E13-B7AD-C0EB2FC3516D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495523C4-45C4-42BD-863D-F1DEA0D56EA5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01EE6B8-A55B-4A8D-81A0-78A7CFFA6D13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31D3B613-3A87-4CAA-92F8-3CA73D871941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25D36777-8D39-4BB8-B280-E6AC435B47D7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33</xdr:row>
      <xdr:rowOff>200025</xdr:rowOff>
    </xdr:from>
    <xdr:to>
      <xdr:col>1</xdr:col>
      <xdr:colOff>1457325</xdr:colOff>
      <xdr:row>33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697D968C-5C5A-468D-87D0-B9ADED745BCE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1A733AB2-D070-434B-AF4F-B1BC3145BDA8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BEA70AE7-9876-4C72-8DE3-6666B002D2C4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DE598BA4-6696-4F9B-B80B-6409DA614F8A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DB15335-5E19-44F2-AC45-2F3394D6C9BA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5159521-AB15-4203-902E-92E0D1955342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1C9B33D1-DE5D-49C8-8F78-4BC6D6599D27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B19AAD63-F02E-475E-8C6E-56BFBD4ADD4E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9013A94-3EF2-4E32-9AB0-DC6806236D36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190EF0D1-84F6-44AE-8D86-F3631048F068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77B5D5C6-FFD4-4130-A0C8-D9548563FEE6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3C18702-C93E-46A7-A4FD-4ECF3265F784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67853B4-6B68-46AC-B630-9718E04C2E2C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9A15319-F459-40EB-970A-ED056ED13A61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74DF65E0-AC15-4910-A640-9B2CAB48D0A3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56BD4E01-E489-4CD2-A41A-4240A367091B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247EBF0E-24FA-40DE-A140-760538362369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FB596082-B54E-44D4-AE71-77F96BEB2039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B76F56E8-DAFB-41E5-8311-73F2B475CB8C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91629E76-AF22-43C1-81C7-1C678FC1AD9E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C73A1E18-6C2E-4F9A-A0FD-38BA8A7B0167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ECCAFF76-9C27-43BE-BF30-FFF50A1F65D0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83E598FD-38DD-4D9B-B47F-B5D2F6B9BB3B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5FD7B69C-84F6-4500-BBBD-B01C7E04FABF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68A4F02-B14D-4F71-A170-EA0E0CBB219A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4812EEAB-2CDA-4073-B3F4-19F6463E0B1F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F647A099-4CA7-4BBB-9D26-1CBB1E05BCDB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BF3B4640-E869-4877-AFF8-1FD93174BC87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B689B6C-CC94-4969-90F5-CD448970C35D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FD621843-56B4-479E-9FDE-918D8C4920A6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12330E22-B9FE-4906-B999-1128C16B2C6D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7ECD90A2-2404-4377-A98E-A31482ADE164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3167" name="Oval 1">
          <a:extLst>
            <a:ext uri="{FF2B5EF4-FFF2-40B4-BE49-F238E27FC236}">
              <a16:creationId xmlns:a16="http://schemas.microsoft.com/office/drawing/2014/main" id="{00000000-0008-0000-0200-00005F0C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168" name="Oval 2">
          <a:extLst>
            <a:ext uri="{FF2B5EF4-FFF2-40B4-BE49-F238E27FC236}">
              <a16:creationId xmlns:a16="http://schemas.microsoft.com/office/drawing/2014/main" id="{00000000-0008-0000-0200-0000600C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88</xdr:row>
      <xdr:rowOff>19050</xdr:rowOff>
    </xdr:from>
    <xdr:to>
      <xdr:col>6</xdr:col>
      <xdr:colOff>76200</xdr:colOff>
      <xdr:row>89</xdr:row>
      <xdr:rowOff>85725</xdr:rowOff>
    </xdr:to>
    <xdr:sp macro="" textlink="">
      <xdr:nvSpPr>
        <xdr:cNvPr id="2143" name="Oval 1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rrowheads="1"/>
        </xdr:cNvSpPr>
      </xdr:nvSpPr>
      <xdr:spPr bwMode="auto">
        <a:xfrm>
          <a:off x="5591175" y="20574000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125</xdr:row>
      <xdr:rowOff>19050</xdr:rowOff>
    </xdr:from>
    <xdr:to>
      <xdr:col>6</xdr:col>
      <xdr:colOff>76200</xdr:colOff>
      <xdr:row>126</xdr:row>
      <xdr:rowOff>85725</xdr:rowOff>
    </xdr:to>
    <xdr:sp macro="" textlink="">
      <xdr:nvSpPr>
        <xdr:cNvPr id="2144" name="Oval 2">
          <a:extLst>
            <a:ext uri="{FF2B5EF4-FFF2-40B4-BE49-F238E27FC236}">
              <a16:creationId xmlns:a16="http://schemas.microsoft.com/office/drawing/2014/main" id="{00000000-0008-0000-0100-000060080000}"/>
            </a:ext>
          </a:extLst>
        </xdr:cNvPr>
        <xdr:cNvSpPr>
          <a:spLocks noChangeArrowheads="1"/>
        </xdr:cNvSpPr>
      </xdr:nvSpPr>
      <xdr:spPr bwMode="auto">
        <a:xfrm>
          <a:off x="5591175" y="28679775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nnis Rise" id="{3E7C1484-38A5-4C0D-A24F-A269CC03F486}" userId="S::derise@kk.dk::7e8d672f-9273-495b-bff0-cf08dd8b6dff" providerId="AD"/>
  <person displayName="Erik Skyggebjerg Andersen" id="{8A2AF96B-3D83-4B0A-BA4E-935FC7B126D5}" userId="S::erskyg@kk.dk::06f51414-fa6a-4b54-8b92-1f56c3d92d92" providerId="AD"/>
</personList>
</file>

<file path=xl/theme/theme1.xml><?xml version="1.0" encoding="utf-8"?>
<a:theme xmlns:a="http://schemas.openxmlformats.org/drawingml/2006/main" name="Kontortema">
  <a:themeElements>
    <a:clrScheme name="Gul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43" dT="2020-07-14T07:39:38.65" personId="{3E7C1484-38A5-4C0D-A24F-A269CC03F486}" id="{D439C904-1095-446A-95E9-7A245DFC3317}">
    <text>Møder ca. 1230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G39" dT="2020-08-30T10:59:21.20" personId="{3E7C1484-38A5-4C0D-A24F-A269CC03F486}" id="{903BC3B7-85B1-4559-BE44-4E0EBE3497D6}">
    <text>1-vagt på o/a</text>
  </threadedComment>
  <threadedComment ref="AG67" dT="2020-08-30T13:45:07.79" personId="{3E7C1484-38A5-4C0D-A24F-A269CC03F486}" id="{42CA7FF0-AE79-46E7-9E4E-C55D44E162CB}">
    <text>GKL</text>
  </threadedComment>
  <threadedComment ref="W82" dT="2020-08-21T07:09:08.26" personId="{3E7C1484-38A5-4C0D-A24F-A269CC03F486}" id="{2897E8E2-D861-4A1A-84DC-BA46A841BB65}">
    <text>går kl. 12, køretime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W42" dT="2020-09-18T13:50:47.29" personId="{8A2AF96B-3D83-4B0A-BA4E-935FC7B126D5}" id="{ECC2D64C-A53B-430E-9CEF-303082EFCE93}">
    <text>Gerbrandskolen 07.45 - 16.00</text>
  </threadedComment>
  <threadedComment ref="X42" dT="2020-09-18T13:50:47.29" personId="{8A2AF96B-3D83-4B0A-BA4E-935FC7B126D5}" id="{27BB9464-7A4A-48DA-AAE2-2E8C6DBC13F5}">
    <text>Gerbrandskolen 07.45 - 16.00</text>
  </threadedComment>
  <threadedComment ref="Y42" dT="2020-09-18T13:50:47.29" personId="{8A2AF96B-3D83-4B0A-BA4E-935FC7B126D5}" id="{D30FAC70-1721-48CD-BBFF-0972916B10FA}">
    <text>Gerbrandskolen 07.45 - 16.00</text>
  </threadedComment>
  <threadedComment ref="AA42" dT="2020-09-18T13:50:47.29" personId="{8A2AF96B-3D83-4B0A-BA4E-935FC7B126D5}" id="{9B53A16A-5CB1-4BB4-9A55-451039C71C77}">
    <text>Gerbrandskolen 07.45 - 16.00</text>
  </threadedComment>
  <threadedComment ref="S65" dT="2020-09-16T19:42:07.68" personId="{8A2AF96B-3D83-4B0A-BA4E-935FC7B126D5}" id="{8494FEF0-7189-4B0F-89D7-6B4F24F79168}">
    <text>Matthæugade fra kl. 13.00 på OA</text>
  </threadedComment>
  <threadedComment ref="Q66" dT="2020-09-14T19:38:54.01" personId="{8A2AF96B-3D83-4B0A-BA4E-935FC7B126D5}" id="{BAFE407B-C51F-45C4-83DE-6EF6404721BF}">
    <text>R på OA Gl. Vasbygade</text>
  </threadedComment>
  <threadedComment ref="W76" dT="2020-09-18T13:52:22.02" personId="{8A2AF96B-3D83-4B0A-BA4E-935FC7B126D5}" id="{DA833643-0E7D-47D9-83A7-C5EBC2EF704B}">
    <text>Matthæugade</text>
  </threadedComment>
  <threadedComment ref="X76" dT="2020-09-18T13:52:22.02" personId="{8A2AF96B-3D83-4B0A-BA4E-935FC7B126D5}" id="{76F875AB-7C6F-4982-A273-3B2FED9CD66B}">
    <text>Matthæugade</text>
  </threadedComment>
  <threadedComment ref="L77" dT="2020-09-07T11:18:37.37" personId="{8A2AF96B-3D83-4B0A-BA4E-935FC7B126D5}" id="{DA3C4BC6-75CB-4109-987E-ED5319B73444}">
    <text>Møder ca. 21.30, efter teori</text>
  </threadedComment>
  <threadedComment ref="W77" dT="2020-09-07T11:19:20.35" personId="{8A2AF96B-3D83-4B0A-BA4E-935FC7B126D5}" id="{2BD79DC1-DDC4-4FE7-BBA7-1789F38B5B6C}">
    <text>Møder ca. 21.30, efter teori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B37" dT="2020-10-25T08:27:37.72" personId="{8A2AF96B-3D83-4B0A-BA4E-935FC7B126D5}" id="{A8C65914-8946-4A2F-8F9D-0DE25A7F470C}">
    <text>Baldersgade 3B, 09.00 - 15.00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F64" dT="2020-12-29T16:43:23.04" personId="{8A2AF96B-3D83-4B0A-BA4E-935FC7B126D5}" id="{B4769AC4-E598-4EC6-994D-AB4D0F200019}">
    <text>10-vagt på OA</text>
  </threadedComment>
  <threadedComment ref="AE71" dT="2020-12-30T16:08:46.75" personId="{8A2AF96B-3D83-4B0A-BA4E-935FC7B126D5}" id="{1D62952D-4614-4236-AA08-0C1EBECB2FA4}">
    <text>10-vagt på OA</text>
  </threadedComment>
  <threadedComment ref="O75" dT="2020-12-13T07:45:09.58" personId="{3E7C1484-38A5-4C0D-A24F-A269CC03F486}" id="{FAECB78D-AB95-4FEC-ABA0-63C563C3FCB4}">
    <text>Covid 19 vagt 1000-2300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E64" dT="2021-01-02T14:56:05.84" personId="{8A2AF96B-3D83-4B0A-BA4E-935FC7B126D5}" id="{5311C766-E7DD-4766-B294-DD0298E1F675}">
    <text>KA på OA</text>
  </threadedComment>
  <threadedComment ref="D71" dT="2021-01-01T18:03:53.51" personId="{8A2AF96B-3D83-4B0A-BA4E-935FC7B126D5}" id="{08E25B75-DBE8-4A8A-99E2-F66310379B61}">
    <text>KA på OA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8B022-2087-4CD4-A80B-DDF96B63A855}">
  <sheetPr codeName="Ark10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73E2-3BBC-45C4-8357-497B8D2455DE}">
  <sheetPr codeName="Ark11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B260-C009-4FF5-BD37-D7EC08E557E7}">
  <sheetPr codeName="Ark12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76DE-BFD1-42BC-B4C5-28B139E0DE1B}">
  <sheetPr codeName="Ark13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63"/>
  <dimension ref="A1:AL301"/>
  <sheetViews>
    <sheetView topLeftCell="A178" zoomScale="90" zoomScaleNormal="90" workbookViewId="0">
      <selection activeCell="B42" sqref="B42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773" t="s">
        <v>2</v>
      </c>
      <c r="C2" s="774" t="s">
        <v>3</v>
      </c>
      <c r="D2" s="775"/>
      <c r="E2" s="776" t="s">
        <v>4</v>
      </c>
      <c r="F2" s="777"/>
      <c r="G2" s="778"/>
      <c r="H2" s="778"/>
      <c r="I2" s="778"/>
      <c r="J2" s="778"/>
      <c r="K2" s="779"/>
      <c r="L2" s="780" t="s">
        <v>5</v>
      </c>
      <c r="M2" s="781"/>
      <c r="N2" s="765"/>
      <c r="O2" s="782" t="s">
        <v>6</v>
      </c>
      <c r="P2" s="783"/>
      <c r="Q2" s="784"/>
      <c r="R2" s="785"/>
      <c r="S2" s="786" t="s">
        <v>7</v>
      </c>
      <c r="T2" s="787"/>
      <c r="U2" s="788"/>
      <c r="V2" s="787"/>
      <c r="W2" s="789" t="s">
        <v>8</v>
      </c>
      <c r="X2" s="764"/>
      <c r="Y2" s="790"/>
      <c r="Z2" s="164" t="s">
        <v>9</v>
      </c>
      <c r="AA2" s="791"/>
      <c r="AB2" s="792"/>
      <c r="AC2" s="793"/>
      <c r="AD2" s="794" t="s">
        <v>10</v>
      </c>
      <c r="AE2" s="795"/>
      <c r="AF2" s="795"/>
      <c r="AG2" s="796"/>
    </row>
    <row r="3" spans="1:35" ht="13.35" customHeight="1" x14ac:dyDescent="0.2">
      <c r="A3" s="1"/>
      <c r="B3" s="797" t="s">
        <v>11</v>
      </c>
      <c r="C3" s="798" t="s">
        <v>12</v>
      </c>
      <c r="D3" s="799"/>
      <c r="E3" s="91"/>
      <c r="F3" s="92"/>
      <c r="G3" s="92"/>
      <c r="H3" s="165" t="s">
        <v>13</v>
      </c>
      <c r="I3" s="93"/>
      <c r="J3" s="93"/>
      <c r="K3" s="94"/>
      <c r="L3" s="800" t="s">
        <v>14</v>
      </c>
      <c r="M3" s="761"/>
      <c r="N3" s="801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761"/>
      <c r="AA3" s="761"/>
      <c r="AB3" s="802"/>
      <c r="AC3" s="803"/>
      <c r="AD3" s="804" t="s">
        <v>17</v>
      </c>
      <c r="AE3" s="805"/>
      <c r="AF3" s="805"/>
      <c r="AG3" s="806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807" t="s">
        <v>20</v>
      </c>
      <c r="B6" s="761"/>
      <c r="C6" s="808"/>
      <c r="D6" s="807" t="s">
        <v>21</v>
      </c>
      <c r="E6" s="761"/>
      <c r="F6" s="761"/>
      <c r="G6" s="761"/>
      <c r="H6" s="809"/>
      <c r="I6" s="761"/>
      <c r="J6" s="761"/>
      <c r="K6" s="761"/>
      <c r="L6" s="810" t="s">
        <v>22</v>
      </c>
      <c r="M6" s="761"/>
      <c r="N6" s="761"/>
      <c r="O6" s="761"/>
      <c r="P6" s="761"/>
      <c r="Q6" s="761"/>
      <c r="R6" s="761"/>
      <c r="S6" s="808"/>
      <c r="T6" s="811"/>
      <c r="U6" s="761"/>
      <c r="V6" s="761"/>
      <c r="W6" s="761"/>
      <c r="X6" s="761"/>
      <c r="Y6" s="761"/>
      <c r="Z6" s="761"/>
      <c r="AA6" s="808"/>
      <c r="AB6" s="812"/>
      <c r="AC6" s="759"/>
      <c r="AD6" s="759"/>
      <c r="AE6" s="759"/>
      <c r="AF6" s="759"/>
      <c r="AG6" s="813"/>
    </row>
    <row r="7" spans="1:35" ht="22.15" customHeight="1" x14ac:dyDescent="0.2">
      <c r="A7" s="807" t="s">
        <v>23</v>
      </c>
      <c r="B7" s="761"/>
      <c r="C7" s="761"/>
      <c r="D7" s="761"/>
      <c r="E7" s="761"/>
      <c r="F7" s="761"/>
      <c r="G7" s="761"/>
      <c r="H7" s="761"/>
      <c r="I7" s="761"/>
      <c r="J7" s="761"/>
      <c r="K7" s="808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761"/>
      <c r="V7" s="761"/>
      <c r="W7" s="761"/>
      <c r="X7" s="761"/>
      <c r="Y7" s="761"/>
      <c r="Z7" s="761"/>
      <c r="AA7" s="761"/>
      <c r="AB7" s="814"/>
      <c r="AC7" s="761"/>
      <c r="AD7" s="761"/>
      <c r="AE7" s="761"/>
      <c r="AF7" s="761"/>
      <c r="AG7" s="808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5" ht="22.15" customHeight="1" thickBot="1" x14ac:dyDescent="0.25">
      <c r="A11" s="815" t="s">
        <v>28</v>
      </c>
      <c r="B11" s="767" t="s">
        <v>29</v>
      </c>
      <c r="C11" s="816">
        <v>1</v>
      </c>
      <c r="D11" s="816">
        <v>2</v>
      </c>
      <c r="E11" s="816">
        <v>3</v>
      </c>
      <c r="F11" s="772">
        <v>4</v>
      </c>
      <c r="G11" s="817">
        <v>5</v>
      </c>
      <c r="H11" s="772">
        <v>6</v>
      </c>
      <c r="I11" s="772">
        <v>7</v>
      </c>
      <c r="J11" s="816">
        <v>8</v>
      </c>
      <c r="K11" s="816">
        <v>9</v>
      </c>
      <c r="L11" s="816">
        <v>10</v>
      </c>
      <c r="M11" s="772">
        <v>11</v>
      </c>
      <c r="N11" s="772">
        <v>12</v>
      </c>
      <c r="O11" s="772">
        <v>13</v>
      </c>
      <c r="P11" s="772">
        <v>14</v>
      </c>
      <c r="Q11" s="772">
        <v>15</v>
      </c>
      <c r="R11" s="816">
        <v>16</v>
      </c>
      <c r="S11" s="816">
        <v>17</v>
      </c>
      <c r="T11" s="772">
        <v>18</v>
      </c>
      <c r="U11" s="772">
        <v>19</v>
      </c>
      <c r="V11" s="772">
        <v>20</v>
      </c>
      <c r="W11" s="816">
        <v>21</v>
      </c>
      <c r="X11" s="772">
        <v>22</v>
      </c>
      <c r="Y11" s="816">
        <v>23</v>
      </c>
      <c r="Z11" s="816">
        <v>24</v>
      </c>
      <c r="AA11" s="772">
        <v>25</v>
      </c>
      <c r="AB11" s="772">
        <v>26</v>
      </c>
      <c r="AC11" s="772">
        <v>27</v>
      </c>
      <c r="AD11" s="772">
        <v>28</v>
      </c>
      <c r="AE11" s="772">
        <v>29</v>
      </c>
      <c r="AF11" s="816">
        <v>30</v>
      </c>
      <c r="AG11" s="818">
        <v>31</v>
      </c>
      <c r="AH11" s="184"/>
      <c r="AI11" s="185"/>
    </row>
    <row r="12" spans="1:35" ht="22.15" customHeight="1" x14ac:dyDescent="0.2">
      <c r="A12" s="456">
        <v>8500</v>
      </c>
      <c r="B12" s="457" t="s">
        <v>30</v>
      </c>
      <c r="C12" s="458"/>
      <c r="D12" s="458"/>
      <c r="E12" s="458"/>
      <c r="F12" s="459" t="s">
        <v>31</v>
      </c>
      <c r="G12" s="459" t="s">
        <v>32</v>
      </c>
      <c r="H12" s="459" t="s">
        <v>31</v>
      </c>
      <c r="I12" s="460" t="s">
        <v>31</v>
      </c>
      <c r="J12" s="459"/>
      <c r="K12" s="458"/>
      <c r="L12" s="458"/>
      <c r="M12" s="458" t="s">
        <v>31</v>
      </c>
      <c r="N12" s="458" t="s">
        <v>31</v>
      </c>
      <c r="O12" s="461" t="s">
        <v>31</v>
      </c>
      <c r="P12" s="458" t="s">
        <v>31</v>
      </c>
      <c r="Q12" s="458" t="s">
        <v>31</v>
      </c>
      <c r="R12" s="458"/>
      <c r="S12" s="458"/>
      <c r="T12" s="458" t="s">
        <v>31</v>
      </c>
      <c r="U12" s="458" t="s">
        <v>31</v>
      </c>
      <c r="V12" s="462" t="s">
        <v>31</v>
      </c>
      <c r="W12" s="458"/>
      <c r="X12" s="463" t="s">
        <v>31</v>
      </c>
      <c r="Y12" s="458"/>
      <c r="Z12" s="458"/>
      <c r="AA12" s="461" t="s">
        <v>31</v>
      </c>
      <c r="AB12" s="458" t="s">
        <v>31</v>
      </c>
      <c r="AC12" s="458" t="s">
        <v>31</v>
      </c>
      <c r="AD12" s="458" t="s">
        <v>31</v>
      </c>
      <c r="AE12" s="458" t="s">
        <v>31</v>
      </c>
      <c r="AF12" s="458"/>
      <c r="AG12" s="464"/>
      <c r="AH12" s="190"/>
      <c r="AI12" s="190"/>
    </row>
    <row r="13" spans="1:35" ht="22.15" customHeight="1" x14ac:dyDescent="0.2">
      <c r="A13" s="819" t="s">
        <v>33</v>
      </c>
      <c r="B13" s="820"/>
      <c r="C13" s="820"/>
      <c r="D13" s="820"/>
      <c r="E13" s="820"/>
      <c r="F13" s="820"/>
      <c r="G13" s="820"/>
      <c r="H13" s="820"/>
      <c r="I13" s="820"/>
      <c r="J13" s="820"/>
      <c r="K13" s="820"/>
      <c r="L13" s="820"/>
      <c r="M13" s="820"/>
      <c r="N13" s="820"/>
      <c r="O13" s="820"/>
      <c r="P13" s="820"/>
      <c r="Q13" s="820"/>
      <c r="R13" s="820"/>
      <c r="S13" s="820"/>
      <c r="T13" s="820"/>
      <c r="U13" s="820"/>
      <c r="V13" s="820"/>
      <c r="W13" s="820"/>
      <c r="X13" s="820"/>
      <c r="Y13" s="820"/>
      <c r="Z13" s="820"/>
      <c r="AA13" s="820"/>
      <c r="AB13" s="820"/>
      <c r="AC13" s="820"/>
      <c r="AD13" s="820"/>
      <c r="AE13" s="820"/>
      <c r="AF13" s="820"/>
      <c r="AG13" s="821"/>
      <c r="AH13" s="188"/>
      <c r="AI13" s="188"/>
    </row>
    <row r="14" spans="1:35" ht="22.15" customHeight="1" x14ac:dyDescent="0.2">
      <c r="A14" s="822">
        <v>8546</v>
      </c>
      <c r="B14" s="823" t="s">
        <v>34</v>
      </c>
      <c r="C14" s="824" t="s">
        <v>35</v>
      </c>
      <c r="D14" s="824"/>
      <c r="E14" s="824"/>
      <c r="F14" s="824">
        <v>1</v>
      </c>
      <c r="G14" s="824">
        <v>1</v>
      </c>
      <c r="H14" s="825">
        <v>1</v>
      </c>
      <c r="I14" s="825">
        <v>1</v>
      </c>
      <c r="J14" s="825">
        <v>1</v>
      </c>
      <c r="K14" s="826"/>
      <c r="L14" s="825"/>
      <c r="M14" s="827">
        <v>2</v>
      </c>
      <c r="N14" s="824">
        <v>2</v>
      </c>
      <c r="O14" s="824">
        <v>2</v>
      </c>
      <c r="P14" s="771">
        <v>2</v>
      </c>
      <c r="Q14" s="828">
        <v>2</v>
      </c>
      <c r="R14" s="829" t="s">
        <v>36</v>
      </c>
      <c r="S14" s="830" t="s">
        <v>36</v>
      </c>
      <c r="T14" s="771" t="s">
        <v>35</v>
      </c>
      <c r="U14" s="771" t="s">
        <v>35</v>
      </c>
      <c r="V14" s="825" t="s">
        <v>35</v>
      </c>
      <c r="W14" s="825" t="s">
        <v>35</v>
      </c>
      <c r="X14" s="825" t="s">
        <v>35</v>
      </c>
      <c r="Y14" s="825"/>
      <c r="Z14" s="825"/>
      <c r="AA14" s="825">
        <v>4</v>
      </c>
      <c r="AB14" s="825">
        <v>4</v>
      </c>
      <c r="AC14" s="825">
        <v>4</v>
      </c>
      <c r="AD14" s="771">
        <v>4</v>
      </c>
      <c r="AE14" s="825">
        <v>4</v>
      </c>
      <c r="AF14" s="825" t="s">
        <v>37</v>
      </c>
      <c r="AG14" s="831" t="s">
        <v>37</v>
      </c>
      <c r="AH14" s="190"/>
      <c r="AI14" s="190"/>
    </row>
    <row r="15" spans="1:35" ht="22.15" customHeight="1" x14ac:dyDescent="0.2">
      <c r="A15" s="822">
        <v>8546</v>
      </c>
      <c r="B15" s="832" t="s">
        <v>38</v>
      </c>
      <c r="C15" s="826">
        <v>4</v>
      </c>
      <c r="D15" s="825" t="s">
        <v>37</v>
      </c>
      <c r="E15" s="825" t="s">
        <v>37</v>
      </c>
      <c r="F15" s="771" t="s">
        <v>35</v>
      </c>
      <c r="G15" s="771" t="s">
        <v>35</v>
      </c>
      <c r="H15" s="771" t="s">
        <v>35</v>
      </c>
      <c r="I15" s="825" t="s">
        <v>35</v>
      </c>
      <c r="J15" s="826" t="s">
        <v>35</v>
      </c>
      <c r="K15" s="771"/>
      <c r="L15" s="825"/>
      <c r="M15" s="825">
        <v>1</v>
      </c>
      <c r="N15" s="825">
        <v>1</v>
      </c>
      <c r="O15" s="825">
        <v>1</v>
      </c>
      <c r="P15" s="825">
        <v>1</v>
      </c>
      <c r="Q15" s="825">
        <v>1</v>
      </c>
      <c r="R15" s="825"/>
      <c r="S15" s="825"/>
      <c r="T15" s="825">
        <v>2</v>
      </c>
      <c r="U15" s="825">
        <v>2</v>
      </c>
      <c r="V15" s="825">
        <v>2</v>
      </c>
      <c r="W15" s="825">
        <v>2</v>
      </c>
      <c r="X15" s="825">
        <v>2</v>
      </c>
      <c r="Y15" s="825" t="s">
        <v>36</v>
      </c>
      <c r="Z15" s="825" t="s">
        <v>36</v>
      </c>
      <c r="AA15" s="825" t="s">
        <v>35</v>
      </c>
      <c r="AB15" s="825" t="s">
        <v>35</v>
      </c>
      <c r="AC15" s="825" t="s">
        <v>35</v>
      </c>
      <c r="AD15" s="825" t="s">
        <v>35</v>
      </c>
      <c r="AE15" s="825" t="s">
        <v>35</v>
      </c>
      <c r="AF15" s="825"/>
      <c r="AG15" s="831"/>
      <c r="AH15" s="190"/>
      <c r="AI15" s="190"/>
    </row>
    <row r="16" spans="1:35" ht="22.15" customHeight="1" x14ac:dyDescent="0.2">
      <c r="A16" s="822">
        <v>8546</v>
      </c>
      <c r="B16" s="823" t="s">
        <v>39</v>
      </c>
      <c r="C16" s="771">
        <v>2</v>
      </c>
      <c r="D16" s="825" t="s">
        <v>36</v>
      </c>
      <c r="E16" s="825" t="s">
        <v>36</v>
      </c>
      <c r="F16" s="825" t="s">
        <v>35</v>
      </c>
      <c r="G16" s="825" t="s">
        <v>35</v>
      </c>
      <c r="H16" s="825" t="s">
        <v>35</v>
      </c>
      <c r="I16" s="825" t="s">
        <v>35</v>
      </c>
      <c r="J16" s="825" t="s">
        <v>35</v>
      </c>
      <c r="K16" s="825"/>
      <c r="L16" s="825"/>
      <c r="M16" s="825">
        <v>4</v>
      </c>
      <c r="N16" s="771">
        <v>4</v>
      </c>
      <c r="O16" s="771">
        <v>4</v>
      </c>
      <c r="P16" s="771">
        <v>4</v>
      </c>
      <c r="Q16" s="771">
        <v>4</v>
      </c>
      <c r="R16" s="771" t="s">
        <v>37</v>
      </c>
      <c r="S16" s="825" t="s">
        <v>37</v>
      </c>
      <c r="T16" s="825" t="s">
        <v>35</v>
      </c>
      <c r="U16" s="825" t="s">
        <v>35</v>
      </c>
      <c r="V16" s="825" t="s">
        <v>35</v>
      </c>
      <c r="W16" s="826" t="s">
        <v>35</v>
      </c>
      <c r="X16" s="825" t="s">
        <v>35</v>
      </c>
      <c r="Y16" s="771"/>
      <c r="Z16" s="771"/>
      <c r="AA16" s="771">
        <v>1</v>
      </c>
      <c r="AB16" s="771">
        <v>1</v>
      </c>
      <c r="AC16" s="771">
        <v>1</v>
      </c>
      <c r="AD16" s="825">
        <v>1</v>
      </c>
      <c r="AE16" s="825">
        <v>1</v>
      </c>
      <c r="AF16" s="825"/>
      <c r="AG16" s="831"/>
      <c r="AH16" s="190"/>
      <c r="AI16" s="190"/>
    </row>
    <row r="17" spans="1:37" ht="22.15" customHeight="1" x14ac:dyDescent="0.2">
      <c r="A17" s="822">
        <v>8546</v>
      </c>
      <c r="B17" s="832" t="s">
        <v>40</v>
      </c>
      <c r="C17" s="825">
        <v>1</v>
      </c>
      <c r="D17" s="826"/>
      <c r="E17" s="825"/>
      <c r="F17" s="771">
        <v>2</v>
      </c>
      <c r="G17" s="825">
        <v>2</v>
      </c>
      <c r="H17" s="825">
        <v>2</v>
      </c>
      <c r="I17" s="825">
        <v>2</v>
      </c>
      <c r="J17" s="825">
        <v>2</v>
      </c>
      <c r="K17" s="825" t="s">
        <v>36</v>
      </c>
      <c r="L17" s="825" t="s">
        <v>36</v>
      </c>
      <c r="M17" s="824" t="s">
        <v>35</v>
      </c>
      <c r="N17" s="824" t="s">
        <v>35</v>
      </c>
      <c r="O17" s="824" t="s">
        <v>35</v>
      </c>
      <c r="P17" s="824" t="s">
        <v>35</v>
      </c>
      <c r="Q17" s="824" t="s">
        <v>35</v>
      </c>
      <c r="R17" s="824"/>
      <c r="S17" s="824"/>
      <c r="T17" s="825">
        <v>4</v>
      </c>
      <c r="U17" s="825">
        <v>4</v>
      </c>
      <c r="V17" s="825">
        <v>4</v>
      </c>
      <c r="W17" s="825">
        <v>4</v>
      </c>
      <c r="X17" s="826">
        <v>4</v>
      </c>
      <c r="Y17" s="825" t="s">
        <v>37</v>
      </c>
      <c r="Z17" s="825" t="s">
        <v>37</v>
      </c>
      <c r="AA17" s="833" t="s">
        <v>35</v>
      </c>
      <c r="AB17" s="833" t="s">
        <v>35</v>
      </c>
      <c r="AC17" s="833" t="s">
        <v>35</v>
      </c>
      <c r="AD17" s="833" t="s">
        <v>35</v>
      </c>
      <c r="AE17" s="833" t="s">
        <v>35</v>
      </c>
      <c r="AF17" s="833"/>
      <c r="AG17" s="831"/>
      <c r="AH17" s="190"/>
      <c r="AI17" s="190"/>
    </row>
    <row r="18" spans="1:37" ht="22.15" customHeight="1" x14ac:dyDescent="0.2">
      <c r="A18" s="822">
        <v>8546</v>
      </c>
      <c r="B18" s="823" t="s">
        <v>41</v>
      </c>
      <c r="C18" s="825" t="s">
        <v>35</v>
      </c>
      <c r="D18" s="826"/>
      <c r="E18" s="825"/>
      <c r="F18" s="825">
        <v>4</v>
      </c>
      <c r="G18" s="825">
        <v>4</v>
      </c>
      <c r="H18" s="825">
        <v>4</v>
      </c>
      <c r="I18" s="825">
        <v>4</v>
      </c>
      <c r="J18" s="771">
        <v>4</v>
      </c>
      <c r="K18" s="771" t="s">
        <v>37</v>
      </c>
      <c r="L18" s="825" t="s">
        <v>37</v>
      </c>
      <c r="M18" s="771" t="s">
        <v>35</v>
      </c>
      <c r="N18" s="771" t="s">
        <v>35</v>
      </c>
      <c r="O18" s="825" t="s">
        <v>35</v>
      </c>
      <c r="P18" s="825" t="s">
        <v>35</v>
      </c>
      <c r="Q18" s="825" t="s">
        <v>35</v>
      </c>
      <c r="R18" s="825"/>
      <c r="S18" s="825"/>
      <c r="T18" s="825">
        <v>1</v>
      </c>
      <c r="U18" s="771">
        <v>1</v>
      </c>
      <c r="V18" s="771">
        <v>1</v>
      </c>
      <c r="W18" s="825">
        <v>1</v>
      </c>
      <c r="X18" s="834">
        <v>1</v>
      </c>
      <c r="Y18" s="825"/>
      <c r="Z18" s="825"/>
      <c r="AA18" s="825">
        <v>2</v>
      </c>
      <c r="AB18" s="825">
        <v>2</v>
      </c>
      <c r="AC18" s="835">
        <v>2</v>
      </c>
      <c r="AD18" s="825">
        <v>2</v>
      </c>
      <c r="AE18" s="825">
        <v>2</v>
      </c>
      <c r="AF18" s="825" t="s">
        <v>36</v>
      </c>
      <c r="AG18" s="831" t="s">
        <v>36</v>
      </c>
      <c r="AH18" s="190"/>
      <c r="AI18" s="190"/>
    </row>
    <row r="19" spans="1:37" ht="22.15" customHeight="1" thickBot="1" x14ac:dyDescent="0.25">
      <c r="A19" s="836" t="s">
        <v>42</v>
      </c>
      <c r="B19" s="837"/>
      <c r="C19" s="838"/>
      <c r="D19" s="838"/>
      <c r="E19" s="838"/>
      <c r="F19" s="838"/>
      <c r="G19" s="838"/>
      <c r="H19" s="838"/>
      <c r="I19" s="838"/>
      <c r="J19" s="838"/>
      <c r="K19" s="838"/>
      <c r="L19" s="838"/>
      <c r="M19" s="838"/>
      <c r="N19" s="838"/>
      <c r="O19" s="838"/>
      <c r="P19" s="838"/>
      <c r="Q19" s="838"/>
      <c r="R19" s="838"/>
      <c r="S19" s="838"/>
      <c r="T19" s="838"/>
      <c r="U19" s="838"/>
      <c r="V19" s="838"/>
      <c r="W19" s="838"/>
      <c r="X19" s="838"/>
      <c r="Y19" s="838"/>
      <c r="Z19" s="838"/>
      <c r="AA19" s="838"/>
      <c r="AB19" s="838"/>
      <c r="AC19" s="838"/>
      <c r="AD19" s="838"/>
      <c r="AE19" s="838"/>
      <c r="AF19" s="838"/>
      <c r="AG19" s="839"/>
      <c r="AH19" s="188"/>
      <c r="AI19" s="188"/>
    </row>
    <row r="20" spans="1:37" ht="22.15" customHeight="1" x14ac:dyDescent="0.2">
      <c r="A20" s="465">
        <v>8500</v>
      </c>
      <c r="B20" s="466" t="s">
        <v>43</v>
      </c>
      <c r="C20" s="458"/>
      <c r="D20" s="458"/>
      <c r="E20" s="458"/>
      <c r="F20" s="467" t="s">
        <v>31</v>
      </c>
      <c r="G20" s="459" t="s">
        <v>31</v>
      </c>
      <c r="H20" s="459" t="s">
        <v>31</v>
      </c>
      <c r="I20" s="460" t="s">
        <v>31</v>
      </c>
      <c r="J20" s="459"/>
      <c r="K20" s="458"/>
      <c r="L20" s="458"/>
      <c r="M20" s="458" t="s">
        <v>31</v>
      </c>
      <c r="N20" s="458" t="s">
        <v>31</v>
      </c>
      <c r="O20" s="458" t="s">
        <v>31</v>
      </c>
      <c r="P20" s="458" t="s">
        <v>31</v>
      </c>
      <c r="Q20" s="458" t="s">
        <v>31</v>
      </c>
      <c r="R20" s="458"/>
      <c r="S20" s="458"/>
      <c r="T20" s="458" t="s">
        <v>31</v>
      </c>
      <c r="U20" s="458" t="s">
        <v>31</v>
      </c>
      <c r="V20" s="458" t="s">
        <v>31</v>
      </c>
      <c r="W20" s="458"/>
      <c r="X20" s="459" t="s">
        <v>31</v>
      </c>
      <c r="Y20" s="458"/>
      <c r="Z20" s="458"/>
      <c r="AA20" s="468" t="s">
        <v>31</v>
      </c>
      <c r="AB20" s="468" t="s">
        <v>31</v>
      </c>
      <c r="AC20" s="468" t="s">
        <v>31</v>
      </c>
      <c r="AD20" s="468" t="s">
        <v>31</v>
      </c>
      <c r="AE20" s="468" t="s">
        <v>31</v>
      </c>
      <c r="AF20" s="468"/>
      <c r="AG20" s="469"/>
      <c r="AH20" s="190"/>
      <c r="AI20" s="190"/>
    </row>
    <row r="21" spans="1:37" ht="22.15" customHeight="1" thickBot="1" x14ac:dyDescent="0.25">
      <c r="A21" s="840">
        <v>8500</v>
      </c>
      <c r="B21" s="841" t="s">
        <v>44</v>
      </c>
      <c r="C21" s="771">
        <v>2</v>
      </c>
      <c r="D21" s="825" t="s">
        <v>36</v>
      </c>
      <c r="E21" s="825" t="s">
        <v>36</v>
      </c>
      <c r="F21" s="824" t="s">
        <v>35</v>
      </c>
      <c r="G21" s="824" t="s">
        <v>35</v>
      </c>
      <c r="H21" s="824" t="s">
        <v>35</v>
      </c>
      <c r="I21" s="824" t="s">
        <v>35</v>
      </c>
      <c r="J21" s="842"/>
      <c r="K21" s="842"/>
      <c r="L21" s="843"/>
      <c r="M21" s="825">
        <v>4</v>
      </c>
      <c r="N21" s="771">
        <v>4</v>
      </c>
      <c r="O21" s="771">
        <v>4</v>
      </c>
      <c r="P21" s="771">
        <v>4</v>
      </c>
      <c r="Q21" s="771">
        <v>4</v>
      </c>
      <c r="R21" s="771" t="s">
        <v>37</v>
      </c>
      <c r="S21" s="825" t="s">
        <v>37</v>
      </c>
      <c r="T21" s="825" t="s">
        <v>35</v>
      </c>
      <c r="U21" s="825" t="s">
        <v>35</v>
      </c>
      <c r="V21" s="825" t="s">
        <v>35</v>
      </c>
      <c r="W21" s="844"/>
      <c r="X21" s="844" t="s">
        <v>31</v>
      </c>
      <c r="Y21" s="844"/>
      <c r="Z21" s="844"/>
      <c r="AA21" s="844" t="s">
        <v>31</v>
      </c>
      <c r="AB21" s="844" t="s">
        <v>31</v>
      </c>
      <c r="AC21" s="844" t="s">
        <v>31</v>
      </c>
      <c r="AD21" s="844" t="s">
        <v>31</v>
      </c>
      <c r="AE21" s="844" t="s">
        <v>31</v>
      </c>
      <c r="AF21" s="845"/>
      <c r="AG21" s="846"/>
      <c r="AH21" s="190"/>
      <c r="AI21" s="190"/>
    </row>
    <row r="22" spans="1:37" ht="22.15" customHeight="1" x14ac:dyDescent="0.2">
      <c r="A22" s="840">
        <v>8500</v>
      </c>
      <c r="B22" s="847" t="s">
        <v>45</v>
      </c>
      <c r="C22" s="842"/>
      <c r="D22" s="842"/>
      <c r="E22" s="848" t="s">
        <v>46</v>
      </c>
      <c r="F22" s="845" t="s">
        <v>31</v>
      </c>
      <c r="G22" s="470" t="s">
        <v>31</v>
      </c>
      <c r="H22" s="842" t="s">
        <v>31</v>
      </c>
      <c r="I22" s="842" t="s">
        <v>31</v>
      </c>
      <c r="J22" s="842"/>
      <c r="K22" s="842"/>
      <c r="L22" s="842"/>
      <c r="M22" s="849" t="s">
        <v>47</v>
      </c>
      <c r="N22" s="824" t="s">
        <v>35</v>
      </c>
      <c r="O22" s="824" t="s">
        <v>35</v>
      </c>
      <c r="P22" s="824" t="s">
        <v>35</v>
      </c>
      <c r="Q22" s="843">
        <v>2</v>
      </c>
      <c r="R22" s="850" t="s">
        <v>36</v>
      </c>
      <c r="S22" s="842" t="s">
        <v>36</v>
      </c>
      <c r="T22" s="825" t="s">
        <v>35</v>
      </c>
      <c r="U22" s="825" t="s">
        <v>35</v>
      </c>
      <c r="V22" s="825" t="s">
        <v>35</v>
      </c>
      <c r="W22" s="850"/>
      <c r="X22" s="842">
        <v>1</v>
      </c>
      <c r="Y22" s="850"/>
      <c r="Z22" s="842"/>
      <c r="AA22" s="771">
        <v>1</v>
      </c>
      <c r="AB22" s="771">
        <v>1</v>
      </c>
      <c r="AC22" s="771">
        <v>1</v>
      </c>
      <c r="AD22" s="825">
        <v>1</v>
      </c>
      <c r="AE22" s="825">
        <v>1</v>
      </c>
      <c r="AF22" s="845"/>
      <c r="AG22" s="846"/>
      <c r="AH22" s="190"/>
      <c r="AI22" s="190"/>
    </row>
    <row r="23" spans="1:37" ht="22.15" customHeight="1" x14ac:dyDescent="0.2">
      <c r="A23" s="840"/>
      <c r="B23" s="851"/>
      <c r="C23" s="845"/>
      <c r="D23" s="843"/>
      <c r="E23" s="842"/>
      <c r="F23" s="842"/>
      <c r="G23" s="842"/>
      <c r="H23" s="842"/>
      <c r="I23" s="845"/>
      <c r="J23" s="845"/>
      <c r="K23" s="845"/>
      <c r="L23" s="845"/>
      <c r="M23" s="845"/>
      <c r="N23" s="845"/>
      <c r="O23" s="852"/>
      <c r="P23" s="845"/>
      <c r="Q23" s="845"/>
      <c r="R23" s="853"/>
      <c r="S23" s="853"/>
      <c r="T23" s="845"/>
      <c r="U23" s="845"/>
      <c r="V23" s="845"/>
      <c r="W23" s="845"/>
      <c r="X23" s="845"/>
      <c r="Y23" s="845"/>
      <c r="Z23" s="845"/>
      <c r="AA23" s="845"/>
      <c r="AB23" s="845"/>
      <c r="AC23" s="850"/>
      <c r="AD23" s="850"/>
      <c r="AE23" s="850"/>
      <c r="AF23" s="850"/>
      <c r="AG23" s="846"/>
    </row>
    <row r="24" spans="1:37" ht="22.15" customHeight="1" thickBot="1" x14ac:dyDescent="0.25">
      <c r="A24" s="854"/>
      <c r="B24" s="855"/>
      <c r="C24" s="856"/>
      <c r="D24" s="856"/>
      <c r="E24" s="856"/>
      <c r="F24" s="856"/>
      <c r="G24" s="856" t="s">
        <v>0</v>
      </c>
      <c r="H24" s="856"/>
      <c r="I24" s="856"/>
      <c r="J24" s="856"/>
      <c r="K24" s="856"/>
      <c r="L24" s="856" t="s">
        <v>0</v>
      </c>
      <c r="M24" s="856"/>
      <c r="N24" s="856" t="s">
        <v>0</v>
      </c>
      <c r="O24" s="856" t="s">
        <v>0</v>
      </c>
      <c r="P24" s="856"/>
      <c r="Q24" s="856"/>
      <c r="R24" s="856"/>
      <c r="S24" s="856"/>
      <c r="T24" s="856"/>
      <c r="U24" s="856" t="s">
        <v>0</v>
      </c>
      <c r="V24" s="856"/>
      <c r="W24" s="856"/>
      <c r="X24" s="856"/>
      <c r="Y24" s="856"/>
      <c r="Z24" s="856"/>
      <c r="AA24" s="856"/>
      <c r="AB24" s="856"/>
      <c r="AC24" s="856"/>
      <c r="AD24" s="856"/>
      <c r="AE24" s="856"/>
      <c r="AF24" s="856"/>
      <c r="AG24" s="218"/>
    </row>
    <row r="25" spans="1:37" ht="22.15" customHeight="1" x14ac:dyDescent="0.2">
      <c r="A25" s="102"/>
      <c r="T25" s="849" t="s">
        <v>0</v>
      </c>
      <c r="X25" t="s">
        <v>0</v>
      </c>
      <c r="AC25" s="849" t="s">
        <v>0</v>
      </c>
    </row>
    <row r="26" spans="1:37" ht="22.15" customHeight="1" x14ac:dyDescent="0.2">
      <c r="A26" s="102"/>
    </row>
    <row r="27" spans="1:37" ht="22.15" customHeight="1" x14ac:dyDescent="0.2">
      <c r="A27" s="102"/>
    </row>
    <row r="28" spans="1:37" ht="22.15" customHeight="1" x14ac:dyDescent="0.2">
      <c r="A28" s="102"/>
      <c r="AD28" s="177"/>
    </row>
    <row r="29" spans="1:37" ht="22.15" customHeight="1" x14ac:dyDescent="0.2">
      <c r="A29" s="102"/>
    </row>
    <row r="30" spans="1:37" ht="12.75" customHeight="1" thickBot="1" x14ac:dyDescent="0.25">
      <c r="A30" s="162" t="s">
        <v>48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37" ht="28.5" customHeight="1" x14ac:dyDescent="0.2">
      <c r="A31" s="302" t="s">
        <v>49</v>
      </c>
      <c r="B31" s="404"/>
      <c r="C31" s="404"/>
      <c r="D31" s="471" t="s">
        <v>50</v>
      </c>
      <c r="E31" s="405"/>
      <c r="F31" s="405"/>
      <c r="G31" s="405"/>
      <c r="H31" s="405"/>
      <c r="I31" s="405"/>
      <c r="J31" s="405"/>
      <c r="K31" s="405"/>
      <c r="L31" s="405"/>
      <c r="M31" s="406" t="s">
        <v>51</v>
      </c>
      <c r="N31" s="405"/>
      <c r="O31" s="405"/>
      <c r="P31" s="405"/>
      <c r="Q31" s="405"/>
      <c r="R31" s="405"/>
      <c r="S31" s="407"/>
      <c r="T31" s="3653" t="s">
        <v>52</v>
      </c>
      <c r="U31" s="3654"/>
      <c r="V31" s="3654"/>
      <c r="W31" s="3654"/>
      <c r="X31" s="3654"/>
      <c r="Y31" s="3654"/>
      <c r="Z31" s="3655"/>
      <c r="AA31" s="472" t="s">
        <v>53</v>
      </c>
      <c r="AB31" s="473"/>
      <c r="AC31" s="473"/>
      <c r="AD31" s="473"/>
      <c r="AE31" s="473"/>
      <c r="AF31" s="473"/>
      <c r="AG31" s="474"/>
      <c r="AK31" s="1"/>
    </row>
    <row r="32" spans="1:37" ht="22.15" customHeight="1" x14ac:dyDescent="0.2">
      <c r="A32" s="857" t="s">
        <v>54</v>
      </c>
      <c r="B32" s="759"/>
      <c r="C32" s="759"/>
      <c r="D32" s="858" t="s">
        <v>55</v>
      </c>
      <c r="E32" s="859"/>
      <c r="F32" s="761"/>
      <c r="G32" s="761"/>
      <c r="H32" s="761"/>
      <c r="I32" s="761"/>
      <c r="J32" s="761"/>
      <c r="K32" s="761"/>
      <c r="L32" s="808"/>
      <c r="M32" s="860" t="s">
        <v>56</v>
      </c>
      <c r="N32" s="759"/>
      <c r="O32" s="861"/>
      <c r="P32" s="759"/>
      <c r="Q32" s="759"/>
      <c r="R32" s="759"/>
      <c r="S32" s="862"/>
      <c r="T32" s="858" t="s">
        <v>57</v>
      </c>
      <c r="U32" s="761"/>
      <c r="V32" s="859"/>
      <c r="W32" s="761"/>
      <c r="X32" s="761"/>
      <c r="Y32" s="761"/>
      <c r="Z32" s="808"/>
      <c r="AA32" s="163" t="s">
        <v>58</v>
      </c>
      <c r="AD32" s="100"/>
      <c r="AG32" s="103"/>
      <c r="AK32" s="1"/>
    </row>
    <row r="33" spans="1:38" ht="22.15" customHeight="1" x14ac:dyDescent="0.2">
      <c r="A33" s="863" t="s">
        <v>59</v>
      </c>
      <c r="B33" s="761"/>
      <c r="C33" s="761"/>
      <c r="D33" s="864"/>
      <c r="E33" s="761"/>
      <c r="F33" s="761"/>
      <c r="G33" s="808"/>
      <c r="H33" s="814" t="s">
        <v>60</v>
      </c>
      <c r="I33" s="761"/>
      <c r="J33" s="761"/>
      <c r="K33" s="761"/>
      <c r="L33" s="761"/>
      <c r="M33" s="865"/>
      <c r="N33" s="761"/>
      <c r="O33" s="761"/>
      <c r="P33" s="761"/>
      <c r="Q33" s="761"/>
      <c r="R33" s="761"/>
      <c r="S33" s="761"/>
      <c r="T33" s="864"/>
      <c r="U33" s="162" t="s">
        <v>61</v>
      </c>
      <c r="AA33" s="861"/>
      <c r="AB33" s="759"/>
      <c r="AC33" s="759"/>
      <c r="AD33" s="759"/>
      <c r="AE33" s="759"/>
      <c r="AF33" s="759"/>
      <c r="AG33" s="866"/>
      <c r="AK33" s="64"/>
    </row>
    <row r="34" spans="1:38" ht="22.15" customHeight="1" thickBot="1" x14ac:dyDescent="0.25">
      <c r="A34" s="867" t="s">
        <v>62</v>
      </c>
      <c r="B34" s="755"/>
      <c r="C34" s="755"/>
      <c r="D34" s="868"/>
      <c r="E34" s="755"/>
      <c r="F34" s="755"/>
      <c r="G34" s="869"/>
      <c r="H34" s="870" t="s">
        <v>63</v>
      </c>
      <c r="I34" s="869"/>
      <c r="J34" s="755"/>
      <c r="K34" s="755"/>
      <c r="L34" s="755"/>
      <c r="M34" s="871"/>
      <c r="N34" s="755"/>
      <c r="O34" s="755"/>
      <c r="P34" s="755"/>
      <c r="Q34" s="872"/>
      <c r="R34" s="872"/>
      <c r="S34" s="872"/>
      <c r="T34" s="868"/>
      <c r="U34" s="873" t="s">
        <v>64</v>
      </c>
      <c r="V34" s="755"/>
      <c r="W34" s="755"/>
      <c r="X34" s="755"/>
      <c r="Y34" s="755"/>
      <c r="Z34" s="755"/>
      <c r="AA34" s="755"/>
      <c r="AB34" s="755"/>
      <c r="AC34" s="755"/>
      <c r="AD34" s="755"/>
      <c r="AE34" s="755"/>
      <c r="AF34" s="755"/>
      <c r="AG34" s="874"/>
      <c r="AK34" s="1"/>
    </row>
    <row r="35" spans="1:38" ht="22.1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  <c r="AJ35" s="177"/>
    </row>
    <row r="36" spans="1:38" ht="22.15" customHeight="1" thickBot="1" x14ac:dyDescent="0.25">
      <c r="A36" s="875" t="s">
        <v>28</v>
      </c>
      <c r="B36" s="766" t="s">
        <v>29</v>
      </c>
      <c r="C36" s="816">
        <v>1</v>
      </c>
      <c r="D36" s="816">
        <v>2</v>
      </c>
      <c r="E36" s="816">
        <v>3</v>
      </c>
      <c r="F36" s="772">
        <v>4</v>
      </c>
      <c r="G36" s="817">
        <v>5</v>
      </c>
      <c r="H36" s="772">
        <v>6</v>
      </c>
      <c r="I36" s="772">
        <v>7</v>
      </c>
      <c r="J36" s="816">
        <v>8</v>
      </c>
      <c r="K36" s="816">
        <v>9</v>
      </c>
      <c r="L36" s="816">
        <v>10</v>
      </c>
      <c r="M36" s="772">
        <v>11</v>
      </c>
      <c r="N36" s="772">
        <v>12</v>
      </c>
      <c r="O36" s="772">
        <v>13</v>
      </c>
      <c r="P36" s="772">
        <v>14</v>
      </c>
      <c r="Q36" s="772">
        <v>15</v>
      </c>
      <c r="R36" s="816">
        <v>16</v>
      </c>
      <c r="S36" s="816">
        <v>17</v>
      </c>
      <c r="T36" s="772">
        <v>18</v>
      </c>
      <c r="U36" s="772">
        <v>19</v>
      </c>
      <c r="V36" s="772">
        <v>20</v>
      </c>
      <c r="W36" s="816">
        <v>21</v>
      </c>
      <c r="X36" s="772">
        <v>22</v>
      </c>
      <c r="Y36" s="816">
        <v>23</v>
      </c>
      <c r="Z36" s="816">
        <v>24</v>
      </c>
      <c r="AA36" s="772">
        <v>25</v>
      </c>
      <c r="AB36" s="772">
        <v>26</v>
      </c>
      <c r="AC36" s="772">
        <v>27</v>
      </c>
      <c r="AD36" s="772">
        <v>28</v>
      </c>
      <c r="AE36" s="772">
        <v>29</v>
      </c>
      <c r="AF36" s="816">
        <v>30</v>
      </c>
      <c r="AG36" s="818">
        <v>31</v>
      </c>
      <c r="AH36" s="184"/>
      <c r="AI36" s="185"/>
      <c r="AL36" t="s">
        <v>0</v>
      </c>
    </row>
    <row r="37" spans="1:38" ht="22.15" customHeight="1" thickBot="1" x14ac:dyDescent="0.25">
      <c r="A37" s="475">
        <v>1</v>
      </c>
      <c r="B37" s="476" t="s">
        <v>65</v>
      </c>
      <c r="C37" s="477">
        <v>9</v>
      </c>
      <c r="D37" s="458" t="s">
        <v>66</v>
      </c>
      <c r="E37" s="477" t="s">
        <v>67</v>
      </c>
      <c r="F37" s="477" t="s">
        <v>35</v>
      </c>
      <c r="G37" s="477" t="s">
        <v>35</v>
      </c>
      <c r="H37" s="477" t="s">
        <v>35</v>
      </c>
      <c r="I37" s="477" t="s">
        <v>35</v>
      </c>
      <c r="J37" s="458" t="s">
        <v>35</v>
      </c>
      <c r="K37" s="477" t="s">
        <v>68</v>
      </c>
      <c r="L37" s="477" t="s">
        <v>69</v>
      </c>
      <c r="M37" s="477">
        <v>6</v>
      </c>
      <c r="N37" s="477">
        <v>6</v>
      </c>
      <c r="O37" s="458">
        <v>6</v>
      </c>
      <c r="P37" s="477">
        <v>6</v>
      </c>
      <c r="Q37" s="459">
        <v>6</v>
      </c>
      <c r="R37" s="458"/>
      <c r="S37" s="477"/>
      <c r="T37" s="477" t="s">
        <v>35</v>
      </c>
      <c r="U37" s="477" t="s">
        <v>35</v>
      </c>
      <c r="V37" s="477" t="s">
        <v>35</v>
      </c>
      <c r="W37" s="477" t="s">
        <v>35</v>
      </c>
      <c r="X37" s="459" t="s">
        <v>35</v>
      </c>
      <c r="Y37" s="459"/>
      <c r="Z37" s="876" t="s">
        <v>0</v>
      </c>
      <c r="AA37" s="477" t="s">
        <v>70</v>
      </c>
      <c r="AB37" s="459">
        <v>5</v>
      </c>
      <c r="AC37" s="459">
        <v>5</v>
      </c>
      <c r="AD37" s="459">
        <v>5</v>
      </c>
      <c r="AE37" s="477">
        <v>5</v>
      </c>
      <c r="AF37" s="477"/>
      <c r="AG37" s="478"/>
      <c r="AH37" s="189"/>
      <c r="AI37" s="190"/>
    </row>
    <row r="38" spans="1:38" ht="22.15" customHeight="1" x14ac:dyDescent="0.2">
      <c r="A38" s="877">
        <v>6</v>
      </c>
      <c r="B38" s="730" t="s">
        <v>0</v>
      </c>
      <c r="C38" s="824">
        <v>10</v>
      </c>
      <c r="D38" s="824" t="s">
        <v>67</v>
      </c>
      <c r="E38" s="824" t="s">
        <v>67</v>
      </c>
      <c r="F38" s="824" t="s">
        <v>35</v>
      </c>
      <c r="G38" s="824" t="s">
        <v>35</v>
      </c>
      <c r="H38" s="824" t="s">
        <v>35</v>
      </c>
      <c r="I38" s="824" t="s">
        <v>35</v>
      </c>
      <c r="J38" s="824" t="s">
        <v>35</v>
      </c>
      <c r="K38" s="824" t="s">
        <v>71</v>
      </c>
      <c r="L38" s="824" t="s">
        <v>71</v>
      </c>
      <c r="M38" s="824">
        <v>7</v>
      </c>
      <c r="N38" s="824">
        <v>7</v>
      </c>
      <c r="O38" s="824">
        <v>7</v>
      </c>
      <c r="P38" s="824">
        <v>7</v>
      </c>
      <c r="Q38" s="824">
        <v>7</v>
      </c>
      <c r="R38" s="824"/>
      <c r="S38" s="824"/>
      <c r="T38" s="824">
        <v>4</v>
      </c>
      <c r="U38" s="824">
        <v>4</v>
      </c>
      <c r="V38" s="824">
        <v>4</v>
      </c>
      <c r="W38" s="824">
        <v>4</v>
      </c>
      <c r="X38" s="824">
        <v>4</v>
      </c>
      <c r="Y38" s="824"/>
      <c r="Z38" s="824"/>
      <c r="AA38" s="824">
        <v>3</v>
      </c>
      <c r="AB38" s="824">
        <v>3</v>
      </c>
      <c r="AC38" s="824">
        <v>3</v>
      </c>
      <c r="AD38" s="824">
        <v>3</v>
      </c>
      <c r="AE38" s="824">
        <v>3</v>
      </c>
      <c r="AF38" s="824"/>
      <c r="AG38" s="878"/>
      <c r="AH38" s="189"/>
      <c r="AI38" s="190"/>
    </row>
    <row r="39" spans="1:38" ht="22.15" customHeight="1" thickBot="1" x14ac:dyDescent="0.25">
      <c r="A39" s="879">
        <v>11</v>
      </c>
      <c r="B39" s="880" t="s">
        <v>72</v>
      </c>
      <c r="C39" s="772">
        <v>11</v>
      </c>
      <c r="D39" s="876" t="s">
        <v>73</v>
      </c>
      <c r="E39" s="876" t="s">
        <v>73</v>
      </c>
      <c r="F39" s="876" t="s">
        <v>35</v>
      </c>
      <c r="G39" s="876" t="s">
        <v>35</v>
      </c>
      <c r="H39" s="876" t="s">
        <v>35</v>
      </c>
      <c r="I39" s="876" t="s">
        <v>35</v>
      </c>
      <c r="J39" s="876" t="s">
        <v>35</v>
      </c>
      <c r="K39" s="876" t="s">
        <v>69</v>
      </c>
      <c r="L39" s="876" t="s">
        <v>69</v>
      </c>
      <c r="M39" s="876">
        <v>8</v>
      </c>
      <c r="N39" s="876">
        <v>8</v>
      </c>
      <c r="O39" s="772">
        <v>8</v>
      </c>
      <c r="P39" s="876">
        <v>8</v>
      </c>
      <c r="Q39" s="772">
        <v>8</v>
      </c>
      <c r="R39" s="772"/>
      <c r="S39" s="876"/>
      <c r="T39" s="881" t="s">
        <v>35</v>
      </c>
      <c r="U39" s="881" t="s">
        <v>35</v>
      </c>
      <c r="V39" s="881" t="s">
        <v>35</v>
      </c>
      <c r="W39" s="881" t="s">
        <v>35</v>
      </c>
      <c r="X39" s="881" t="s">
        <v>35</v>
      </c>
      <c r="Y39" s="876"/>
      <c r="Z39" s="876"/>
      <c r="AA39" s="876">
        <v>1</v>
      </c>
      <c r="AB39" s="882">
        <v>1</v>
      </c>
      <c r="AC39" s="882">
        <v>1</v>
      </c>
      <c r="AD39" s="883">
        <v>1</v>
      </c>
      <c r="AE39" s="876">
        <v>1</v>
      </c>
      <c r="AF39" s="876"/>
      <c r="AG39" s="884"/>
      <c r="AH39" s="189"/>
      <c r="AI39" s="190"/>
    </row>
    <row r="40" spans="1:38" ht="22.15" customHeight="1" x14ac:dyDescent="0.2">
      <c r="A40" s="475">
        <v>2</v>
      </c>
      <c r="B40" s="183" t="s">
        <v>74</v>
      </c>
      <c r="C40" s="458" t="s">
        <v>35</v>
      </c>
      <c r="D40" s="458" t="s">
        <v>68</v>
      </c>
      <c r="E40" s="458" t="s">
        <v>69</v>
      </c>
      <c r="F40" s="458">
        <v>6</v>
      </c>
      <c r="G40" s="458">
        <v>6</v>
      </c>
      <c r="H40" s="477">
        <v>6</v>
      </c>
      <c r="I40" s="477">
        <v>6</v>
      </c>
      <c r="J40" s="458">
        <v>6</v>
      </c>
      <c r="K40" s="458"/>
      <c r="L40" s="477"/>
      <c r="M40" s="477" t="s">
        <v>35</v>
      </c>
      <c r="N40" s="477" t="s">
        <v>35</v>
      </c>
      <c r="O40" s="459" t="s">
        <v>35</v>
      </c>
      <c r="P40" s="477" t="s">
        <v>35</v>
      </c>
      <c r="Q40" s="459" t="s">
        <v>35</v>
      </c>
      <c r="R40" s="459"/>
      <c r="S40" s="458"/>
      <c r="T40" s="459">
        <v>5</v>
      </c>
      <c r="U40" s="459">
        <v>5</v>
      </c>
      <c r="V40" s="459">
        <v>5</v>
      </c>
      <c r="W40" s="459"/>
      <c r="X40" s="459">
        <v>5</v>
      </c>
      <c r="Y40" s="477"/>
      <c r="Z40" s="477"/>
      <c r="AA40" s="477">
        <v>10</v>
      </c>
      <c r="AB40" s="477">
        <v>10</v>
      </c>
      <c r="AC40" s="459">
        <v>10</v>
      </c>
      <c r="AD40" s="459">
        <v>10</v>
      </c>
      <c r="AE40" s="477">
        <v>10</v>
      </c>
      <c r="AF40" s="477" t="s">
        <v>67</v>
      </c>
      <c r="AG40" s="478" t="s">
        <v>67</v>
      </c>
      <c r="AH40" s="189"/>
      <c r="AI40" s="190"/>
    </row>
    <row r="41" spans="1:38" ht="22.15" customHeight="1" x14ac:dyDescent="0.2">
      <c r="A41" s="877">
        <v>7</v>
      </c>
      <c r="B41" s="832" t="s">
        <v>75</v>
      </c>
      <c r="C41" s="827" t="s">
        <v>35</v>
      </c>
      <c r="D41" s="827" t="s">
        <v>71</v>
      </c>
      <c r="E41" s="885" t="s">
        <v>71</v>
      </c>
      <c r="F41" s="886">
        <v>7</v>
      </c>
      <c r="G41" s="886">
        <v>7</v>
      </c>
      <c r="H41" s="886">
        <v>7</v>
      </c>
      <c r="I41" s="886">
        <v>7</v>
      </c>
      <c r="J41" s="886">
        <v>7</v>
      </c>
      <c r="K41" s="886"/>
      <c r="L41" s="886"/>
      <c r="M41" s="886">
        <v>4</v>
      </c>
      <c r="N41" s="886">
        <v>4</v>
      </c>
      <c r="O41" s="886">
        <v>4</v>
      </c>
      <c r="P41" s="886">
        <v>4</v>
      </c>
      <c r="Q41" s="886">
        <v>4</v>
      </c>
      <c r="R41" s="886"/>
      <c r="S41" s="886"/>
      <c r="T41" s="886">
        <v>3</v>
      </c>
      <c r="U41" s="886">
        <v>3</v>
      </c>
      <c r="V41" s="886">
        <v>3</v>
      </c>
      <c r="W41" s="886">
        <v>3</v>
      </c>
      <c r="X41" s="886">
        <v>3</v>
      </c>
      <c r="Y41" s="886"/>
      <c r="Z41" s="886"/>
      <c r="AA41" s="885">
        <v>11</v>
      </c>
      <c r="AB41" s="885">
        <v>11</v>
      </c>
      <c r="AC41" s="885">
        <v>11</v>
      </c>
      <c r="AD41" s="885">
        <v>11</v>
      </c>
      <c r="AE41" s="885">
        <v>11</v>
      </c>
      <c r="AF41" s="885" t="s">
        <v>73</v>
      </c>
      <c r="AG41" s="887" t="s">
        <v>73</v>
      </c>
      <c r="AH41" s="189"/>
      <c r="AI41" s="190"/>
    </row>
    <row r="42" spans="1:38" ht="22.15" customHeight="1" thickBot="1" x14ac:dyDescent="0.25">
      <c r="A42" s="879">
        <v>12</v>
      </c>
      <c r="B42" s="888" t="s">
        <v>76</v>
      </c>
      <c r="C42" s="876" t="s">
        <v>35</v>
      </c>
      <c r="D42" s="882" t="s">
        <v>69</v>
      </c>
      <c r="E42" s="876" t="s">
        <v>69</v>
      </c>
      <c r="F42" s="876">
        <v>8</v>
      </c>
      <c r="G42" s="876">
        <v>8</v>
      </c>
      <c r="H42" s="889">
        <v>8</v>
      </c>
      <c r="I42" s="876">
        <v>8</v>
      </c>
      <c r="J42" s="876">
        <v>8</v>
      </c>
      <c r="K42" s="772"/>
      <c r="L42" s="876"/>
      <c r="M42" s="876" t="s">
        <v>35</v>
      </c>
      <c r="N42" s="876" t="s">
        <v>35</v>
      </c>
      <c r="O42" s="876" t="s">
        <v>35</v>
      </c>
      <c r="P42" s="876" t="s">
        <v>35</v>
      </c>
      <c r="Q42" s="772" t="s">
        <v>35</v>
      </c>
      <c r="R42" s="876"/>
      <c r="S42" s="876"/>
      <c r="T42" s="876">
        <v>1</v>
      </c>
      <c r="U42" s="882">
        <v>1</v>
      </c>
      <c r="V42" s="882">
        <v>1</v>
      </c>
      <c r="W42" s="882">
        <v>1</v>
      </c>
      <c r="X42" s="876">
        <v>1</v>
      </c>
      <c r="Y42" s="876"/>
      <c r="Z42" s="876"/>
      <c r="AA42" s="876">
        <v>9</v>
      </c>
      <c r="AB42" s="876">
        <v>9</v>
      </c>
      <c r="AC42" s="772">
        <v>9</v>
      </c>
      <c r="AD42" s="772">
        <v>9</v>
      </c>
      <c r="AE42" s="772">
        <v>9</v>
      </c>
      <c r="AF42" s="772" t="s">
        <v>66</v>
      </c>
      <c r="AG42" s="890" t="s">
        <v>67</v>
      </c>
      <c r="AH42" s="189"/>
      <c r="AI42" s="190"/>
    </row>
    <row r="43" spans="1:38" ht="22.15" customHeight="1" x14ac:dyDescent="0.2">
      <c r="A43" s="475">
        <v>3</v>
      </c>
      <c r="B43" s="479" t="s">
        <v>77</v>
      </c>
      <c r="C43" s="480">
        <v>6</v>
      </c>
      <c r="D43" s="459"/>
      <c r="E43" s="477"/>
      <c r="F43" s="477" t="s">
        <v>35</v>
      </c>
      <c r="G43" s="477" t="s">
        <v>35</v>
      </c>
      <c r="H43" s="477" t="s">
        <v>35</v>
      </c>
      <c r="I43" s="477" t="s">
        <v>35</v>
      </c>
      <c r="J43" s="459" t="s">
        <v>35</v>
      </c>
      <c r="K43" s="459"/>
      <c r="L43" s="459"/>
      <c r="M43" s="481">
        <v>5</v>
      </c>
      <c r="N43" s="481">
        <v>5</v>
      </c>
      <c r="O43" s="481">
        <v>5</v>
      </c>
      <c r="P43" s="481">
        <v>5</v>
      </c>
      <c r="Q43" s="481">
        <v>5</v>
      </c>
      <c r="R43" s="477"/>
      <c r="S43" s="477"/>
      <c r="T43" s="477">
        <v>10</v>
      </c>
      <c r="U43" s="477">
        <v>10</v>
      </c>
      <c r="V43" s="459">
        <v>10</v>
      </c>
      <c r="W43" s="459">
        <v>10</v>
      </c>
      <c r="X43" s="458">
        <v>10</v>
      </c>
      <c r="Y43" s="477" t="s">
        <v>67</v>
      </c>
      <c r="Z43" s="477" t="s">
        <v>67</v>
      </c>
      <c r="AA43" s="477" t="s">
        <v>35</v>
      </c>
      <c r="AB43" s="477" t="s">
        <v>35</v>
      </c>
      <c r="AC43" s="482" t="s">
        <v>35</v>
      </c>
      <c r="AD43" s="477" t="s">
        <v>35</v>
      </c>
      <c r="AE43" s="477" t="s">
        <v>35</v>
      </c>
      <c r="AF43" s="483" t="s">
        <v>78</v>
      </c>
      <c r="AG43" s="478" t="s">
        <v>71</v>
      </c>
      <c r="AH43" s="189"/>
      <c r="AI43" s="190"/>
    </row>
    <row r="44" spans="1:38" ht="22.15" customHeight="1" x14ac:dyDescent="0.2">
      <c r="A44" s="877">
        <v>8</v>
      </c>
      <c r="B44" s="832"/>
      <c r="C44" s="771">
        <v>7</v>
      </c>
      <c r="D44" s="771"/>
      <c r="E44" s="771"/>
      <c r="F44" s="771">
        <v>4</v>
      </c>
      <c r="G44" s="771">
        <v>4</v>
      </c>
      <c r="H44" s="771">
        <v>4</v>
      </c>
      <c r="I44" s="885">
        <v>4</v>
      </c>
      <c r="J44" s="827">
        <v>4</v>
      </c>
      <c r="K44" s="824"/>
      <c r="L44" s="824"/>
      <c r="M44" s="824">
        <v>3</v>
      </c>
      <c r="N44" s="771">
        <v>3</v>
      </c>
      <c r="O44" s="885">
        <v>3</v>
      </c>
      <c r="P44" s="885">
        <v>3</v>
      </c>
      <c r="Q44" s="885">
        <v>3</v>
      </c>
      <c r="R44" s="885"/>
      <c r="S44" s="885"/>
      <c r="T44" s="885">
        <v>11</v>
      </c>
      <c r="U44" s="885">
        <v>11</v>
      </c>
      <c r="V44" s="885">
        <v>11</v>
      </c>
      <c r="W44" s="885">
        <v>11</v>
      </c>
      <c r="X44" s="827">
        <v>11</v>
      </c>
      <c r="Y44" s="885" t="s">
        <v>73</v>
      </c>
      <c r="Z44" s="885" t="s">
        <v>73</v>
      </c>
      <c r="AA44" s="885" t="s">
        <v>35</v>
      </c>
      <c r="AB44" s="885" t="s">
        <v>35</v>
      </c>
      <c r="AC44" s="885" t="s">
        <v>35</v>
      </c>
      <c r="AD44" s="771" t="s">
        <v>35</v>
      </c>
      <c r="AE44" s="771" t="s">
        <v>35</v>
      </c>
      <c r="AF44" s="891" t="s">
        <v>69</v>
      </c>
      <c r="AG44" s="887" t="s">
        <v>69</v>
      </c>
      <c r="AH44" s="189"/>
      <c r="AI44" s="190"/>
    </row>
    <row r="45" spans="1:38" ht="22.15" customHeight="1" thickBot="1" x14ac:dyDescent="0.25">
      <c r="A45" s="879">
        <v>13</v>
      </c>
      <c r="B45" s="880" t="s">
        <v>79</v>
      </c>
      <c r="C45" s="892">
        <v>8</v>
      </c>
      <c r="D45" s="772"/>
      <c r="E45" s="876"/>
      <c r="F45" s="876" t="s">
        <v>35</v>
      </c>
      <c r="G45" s="876" t="s">
        <v>35</v>
      </c>
      <c r="H45" s="876" t="s">
        <v>35</v>
      </c>
      <c r="I45" s="876" t="s">
        <v>35</v>
      </c>
      <c r="J45" s="772" t="s">
        <v>35</v>
      </c>
      <c r="K45" s="876"/>
      <c r="L45" s="882"/>
      <c r="M45" s="876" t="s">
        <v>80</v>
      </c>
      <c r="N45" s="876" t="s">
        <v>80</v>
      </c>
      <c r="O45" s="876" t="s">
        <v>80</v>
      </c>
      <c r="P45" s="876" t="s">
        <v>80</v>
      </c>
      <c r="Q45" s="876" t="s">
        <v>80</v>
      </c>
      <c r="R45" s="876"/>
      <c r="S45" s="876"/>
      <c r="T45" s="893">
        <v>9</v>
      </c>
      <c r="U45" s="893">
        <v>9</v>
      </c>
      <c r="V45" s="893">
        <v>9</v>
      </c>
      <c r="W45" s="893">
        <v>9</v>
      </c>
      <c r="X45" s="894">
        <v>9</v>
      </c>
      <c r="Y45" s="893" t="s">
        <v>66</v>
      </c>
      <c r="Z45" s="893" t="s">
        <v>67</v>
      </c>
      <c r="AA45" s="893" t="s">
        <v>35</v>
      </c>
      <c r="AB45" s="893" t="s">
        <v>35</v>
      </c>
      <c r="AC45" s="893" t="s">
        <v>81</v>
      </c>
      <c r="AD45" s="817" t="s">
        <v>35</v>
      </c>
      <c r="AE45" s="772" t="s">
        <v>35</v>
      </c>
      <c r="AF45" s="876" t="s">
        <v>68</v>
      </c>
      <c r="AG45" s="884" t="s">
        <v>69</v>
      </c>
      <c r="AH45" s="189"/>
      <c r="AI45" s="190"/>
      <c r="AJ45" t="s">
        <v>0</v>
      </c>
    </row>
    <row r="46" spans="1:38" ht="22.15" customHeight="1" x14ac:dyDescent="0.2">
      <c r="A46" s="475">
        <v>4</v>
      </c>
      <c r="B46" s="476" t="s">
        <v>82</v>
      </c>
      <c r="C46" s="459" t="s">
        <v>35</v>
      </c>
      <c r="D46" s="459"/>
      <c r="E46" s="477"/>
      <c r="F46" s="458">
        <v>5</v>
      </c>
      <c r="G46" s="458"/>
      <c r="H46" s="458">
        <v>5</v>
      </c>
      <c r="I46" s="458">
        <v>5</v>
      </c>
      <c r="J46" s="458"/>
      <c r="K46" s="458"/>
      <c r="L46" s="458"/>
      <c r="M46" s="458">
        <v>10</v>
      </c>
      <c r="N46" s="458">
        <v>10</v>
      </c>
      <c r="O46" s="849" t="s">
        <v>47</v>
      </c>
      <c r="P46" s="849" t="s">
        <v>47</v>
      </c>
      <c r="Q46" s="458">
        <v>10</v>
      </c>
      <c r="R46" s="458" t="s">
        <v>67</v>
      </c>
      <c r="S46" s="458" t="s">
        <v>67</v>
      </c>
      <c r="T46" s="477" t="s">
        <v>35</v>
      </c>
      <c r="U46" s="477" t="s">
        <v>35</v>
      </c>
      <c r="V46" s="482" t="s">
        <v>35</v>
      </c>
      <c r="W46" s="477" t="s">
        <v>35</v>
      </c>
      <c r="X46" s="477" t="s">
        <v>35</v>
      </c>
      <c r="Y46" s="458" t="s">
        <v>71</v>
      </c>
      <c r="Z46" s="477" t="s">
        <v>71</v>
      </c>
      <c r="AA46" s="477">
        <v>7</v>
      </c>
      <c r="AB46" s="477">
        <v>7</v>
      </c>
      <c r="AC46" s="477" t="s">
        <v>83</v>
      </c>
      <c r="AD46" s="477">
        <v>7</v>
      </c>
      <c r="AE46" s="459">
        <v>7</v>
      </c>
      <c r="AF46" s="477"/>
      <c r="AG46" s="478"/>
      <c r="AH46" s="189"/>
      <c r="AI46" s="190"/>
    </row>
    <row r="47" spans="1:38" ht="22.15" customHeight="1" x14ac:dyDescent="0.2">
      <c r="A47" s="877">
        <v>9</v>
      </c>
      <c r="B47" s="832" t="s">
        <v>84</v>
      </c>
      <c r="C47" s="895">
        <v>4</v>
      </c>
      <c r="D47" s="885"/>
      <c r="E47" s="885"/>
      <c r="F47" s="885">
        <v>3</v>
      </c>
      <c r="G47" s="885">
        <v>3</v>
      </c>
      <c r="H47" s="885">
        <v>3</v>
      </c>
      <c r="I47" s="885">
        <v>3</v>
      </c>
      <c r="J47" s="885">
        <v>3</v>
      </c>
      <c r="K47" s="885"/>
      <c r="L47" s="885"/>
      <c r="M47" s="885">
        <v>11</v>
      </c>
      <c r="N47" s="885">
        <v>11</v>
      </c>
      <c r="O47" s="885">
        <v>11</v>
      </c>
      <c r="P47" s="885">
        <v>11</v>
      </c>
      <c r="Q47" s="827">
        <v>11</v>
      </c>
      <c r="R47" s="885" t="s">
        <v>73</v>
      </c>
      <c r="S47" s="885" t="s">
        <v>73</v>
      </c>
      <c r="T47" s="885" t="s">
        <v>35</v>
      </c>
      <c r="U47" s="885" t="s">
        <v>35</v>
      </c>
      <c r="V47" s="885" t="s">
        <v>35</v>
      </c>
      <c r="W47" s="885" t="s">
        <v>35</v>
      </c>
      <c r="X47" s="885" t="s">
        <v>35</v>
      </c>
      <c r="Y47" s="885" t="s">
        <v>69</v>
      </c>
      <c r="Z47" s="885" t="s">
        <v>69</v>
      </c>
      <c r="AA47" s="885">
        <v>8</v>
      </c>
      <c r="AB47" s="885">
        <v>8</v>
      </c>
      <c r="AC47" s="885">
        <v>8</v>
      </c>
      <c r="AD47" s="885">
        <v>8</v>
      </c>
      <c r="AE47" s="885">
        <v>8</v>
      </c>
      <c r="AF47" s="885"/>
      <c r="AG47" s="887"/>
      <c r="AH47" s="189"/>
      <c r="AI47" s="190"/>
    </row>
    <row r="48" spans="1:38" ht="22.15" customHeight="1" thickBot="1" x14ac:dyDescent="0.25">
      <c r="A48" s="879">
        <v>14</v>
      </c>
      <c r="B48" s="880" t="s">
        <v>85</v>
      </c>
      <c r="C48" s="772" t="s">
        <v>35</v>
      </c>
      <c r="D48" s="876"/>
      <c r="E48" s="876"/>
      <c r="F48" s="876">
        <v>1</v>
      </c>
      <c r="G48" s="882">
        <v>1</v>
      </c>
      <c r="H48" s="882">
        <v>1</v>
      </c>
      <c r="I48" s="882">
        <v>1</v>
      </c>
      <c r="J48" s="876">
        <v>1</v>
      </c>
      <c r="K48" s="876"/>
      <c r="L48" s="876"/>
      <c r="M48" s="876">
        <v>9</v>
      </c>
      <c r="N48" s="876">
        <v>9</v>
      </c>
      <c r="O48" s="772">
        <v>9</v>
      </c>
      <c r="P48" s="876">
        <v>9</v>
      </c>
      <c r="Q48" s="876">
        <v>9</v>
      </c>
      <c r="R48" s="772" t="s">
        <v>66</v>
      </c>
      <c r="S48" s="876" t="s">
        <v>67</v>
      </c>
      <c r="T48" s="876" t="s">
        <v>35</v>
      </c>
      <c r="U48" s="876" t="s">
        <v>35</v>
      </c>
      <c r="V48" s="876" t="s">
        <v>35</v>
      </c>
      <c r="W48" s="876" t="s">
        <v>35</v>
      </c>
      <c r="X48" s="772" t="s">
        <v>35</v>
      </c>
      <c r="Y48" s="876" t="s">
        <v>68</v>
      </c>
      <c r="Z48" s="876" t="s">
        <v>69</v>
      </c>
      <c r="AA48" s="876">
        <v>6</v>
      </c>
      <c r="AB48" s="876">
        <v>6</v>
      </c>
      <c r="AC48" s="772">
        <v>6</v>
      </c>
      <c r="AD48" s="876">
        <v>6</v>
      </c>
      <c r="AE48" s="876">
        <v>6</v>
      </c>
      <c r="AF48" s="772"/>
      <c r="AG48" s="890"/>
      <c r="AH48" s="189"/>
      <c r="AI48" s="190"/>
    </row>
    <row r="49" spans="1:35" ht="22.15" customHeight="1" x14ac:dyDescent="0.2">
      <c r="A49" s="475">
        <v>5</v>
      </c>
      <c r="B49" s="832" t="s">
        <v>86</v>
      </c>
      <c r="C49" s="459"/>
      <c r="D49" s="477"/>
      <c r="E49" s="477"/>
      <c r="F49" s="459">
        <v>10</v>
      </c>
      <c r="G49" s="459">
        <v>10</v>
      </c>
      <c r="H49" s="459">
        <v>10</v>
      </c>
      <c r="I49" s="459">
        <v>10</v>
      </c>
      <c r="J49" s="459">
        <v>10</v>
      </c>
      <c r="K49" s="477" t="s">
        <v>67</v>
      </c>
      <c r="L49" s="477" t="s">
        <v>67</v>
      </c>
      <c r="M49" s="477" t="s">
        <v>35</v>
      </c>
      <c r="N49" s="477" t="s">
        <v>35</v>
      </c>
      <c r="O49" s="458" t="s">
        <v>35</v>
      </c>
      <c r="P49" s="477" t="s">
        <v>35</v>
      </c>
      <c r="Q49" s="477" t="s">
        <v>35</v>
      </c>
      <c r="R49" s="484" t="s">
        <v>71</v>
      </c>
      <c r="S49" s="477" t="s">
        <v>71</v>
      </c>
      <c r="T49" s="477">
        <v>7</v>
      </c>
      <c r="U49" s="459">
        <v>7</v>
      </c>
      <c r="V49" s="459">
        <v>7</v>
      </c>
      <c r="W49" s="459">
        <v>7</v>
      </c>
      <c r="X49" s="459">
        <v>7</v>
      </c>
      <c r="Y49" s="460"/>
      <c r="Z49" s="459"/>
      <c r="AA49" s="481">
        <v>4</v>
      </c>
      <c r="AB49" s="481">
        <v>4</v>
      </c>
      <c r="AC49" s="481">
        <v>4</v>
      </c>
      <c r="AD49" s="485">
        <v>4</v>
      </c>
      <c r="AE49" s="485">
        <v>4</v>
      </c>
      <c r="AF49" s="480"/>
      <c r="AG49" s="486"/>
      <c r="AH49" s="189"/>
      <c r="AI49" s="190"/>
    </row>
    <row r="50" spans="1:35" ht="22.15" customHeight="1" x14ac:dyDescent="0.2">
      <c r="A50" s="877">
        <v>10</v>
      </c>
      <c r="B50" s="832" t="s">
        <v>87</v>
      </c>
      <c r="C50" s="896">
        <v>3</v>
      </c>
      <c r="D50" s="885"/>
      <c r="E50" s="885"/>
      <c r="F50" s="771">
        <v>11</v>
      </c>
      <c r="G50" s="824">
        <v>11</v>
      </c>
      <c r="H50" s="824">
        <v>11</v>
      </c>
      <c r="I50" s="824">
        <v>11</v>
      </c>
      <c r="J50" s="824">
        <v>11</v>
      </c>
      <c r="K50" s="824" t="s">
        <v>73</v>
      </c>
      <c r="L50" s="824" t="s">
        <v>73</v>
      </c>
      <c r="M50" s="824" t="s">
        <v>35</v>
      </c>
      <c r="N50" s="824" t="s">
        <v>35</v>
      </c>
      <c r="O50" s="824" t="s">
        <v>35</v>
      </c>
      <c r="P50" s="824" t="s">
        <v>35</v>
      </c>
      <c r="Q50" s="824" t="s">
        <v>35</v>
      </c>
      <c r="R50" s="897" t="s">
        <v>69</v>
      </c>
      <c r="S50" s="824" t="s">
        <v>69</v>
      </c>
      <c r="T50" s="824">
        <v>8</v>
      </c>
      <c r="U50" s="824">
        <v>8</v>
      </c>
      <c r="V50" s="824">
        <v>8</v>
      </c>
      <c r="W50" s="771">
        <v>8</v>
      </c>
      <c r="X50" s="885">
        <v>8</v>
      </c>
      <c r="Y50" s="827"/>
      <c r="Z50" s="885"/>
      <c r="AA50" s="885" t="s">
        <v>35</v>
      </c>
      <c r="AB50" s="885" t="s">
        <v>35</v>
      </c>
      <c r="AC50" s="885" t="s">
        <v>35</v>
      </c>
      <c r="AD50" s="885" t="s">
        <v>35</v>
      </c>
      <c r="AE50" s="885" t="s">
        <v>35</v>
      </c>
      <c r="AF50" s="885"/>
      <c r="AG50" s="887"/>
      <c r="AH50" s="189"/>
      <c r="AI50" s="190"/>
    </row>
    <row r="51" spans="1:35" ht="22.15" customHeight="1" thickBot="1" x14ac:dyDescent="0.25">
      <c r="A51" s="879">
        <v>15</v>
      </c>
      <c r="B51" s="880" t="s">
        <v>88</v>
      </c>
      <c r="C51" s="876">
        <v>1</v>
      </c>
      <c r="D51" s="876"/>
      <c r="E51" s="876"/>
      <c r="F51" s="882">
        <v>9</v>
      </c>
      <c r="G51" s="882">
        <v>9</v>
      </c>
      <c r="H51" s="882">
        <v>9</v>
      </c>
      <c r="I51" s="882">
        <v>9</v>
      </c>
      <c r="J51" s="882">
        <v>9</v>
      </c>
      <c r="K51" s="772" t="s">
        <v>66</v>
      </c>
      <c r="L51" s="876" t="s">
        <v>67</v>
      </c>
      <c r="M51" s="876" t="s">
        <v>35</v>
      </c>
      <c r="N51" s="876" t="s">
        <v>35</v>
      </c>
      <c r="O51" s="876" t="s">
        <v>35</v>
      </c>
      <c r="P51" s="876" t="s">
        <v>35</v>
      </c>
      <c r="Q51" s="772" t="s">
        <v>35</v>
      </c>
      <c r="R51" s="876" t="s">
        <v>68</v>
      </c>
      <c r="S51" s="876" t="s">
        <v>69</v>
      </c>
      <c r="T51" s="876">
        <v>6</v>
      </c>
      <c r="U51" s="876">
        <v>6</v>
      </c>
      <c r="V51" s="876">
        <v>6</v>
      </c>
      <c r="W51" s="876">
        <v>6</v>
      </c>
      <c r="X51" s="876">
        <v>6</v>
      </c>
      <c r="Y51" s="772"/>
      <c r="Z51" s="876"/>
      <c r="AA51" s="876" t="s">
        <v>35</v>
      </c>
      <c r="AB51" s="876" t="s">
        <v>35</v>
      </c>
      <c r="AC51" s="876" t="s">
        <v>35</v>
      </c>
      <c r="AD51" s="876" t="s">
        <v>35</v>
      </c>
      <c r="AE51" s="772" t="s">
        <v>35</v>
      </c>
      <c r="AF51" s="882"/>
      <c r="AG51" s="898"/>
      <c r="AH51" s="189"/>
      <c r="AI51" s="190"/>
    </row>
    <row r="52" spans="1:35" ht="22.1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35" ht="22.15" customHeight="1" x14ac:dyDescent="0.2">
      <c r="A53" s="109"/>
      <c r="B53" s="64" t="s">
        <v>89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35" ht="22.15" customHeight="1" x14ac:dyDescent="0.2">
      <c r="A54" s="899" t="s">
        <v>28</v>
      </c>
      <c r="B54" s="899"/>
      <c r="C54" s="900"/>
      <c r="D54" s="899" t="s">
        <v>90</v>
      </c>
      <c r="E54" s="901"/>
      <c r="F54" s="900"/>
      <c r="G54" s="899" t="s">
        <v>91</v>
      </c>
      <c r="H54" s="901"/>
      <c r="I54" s="900"/>
      <c r="J54" s="899" t="s">
        <v>92</v>
      </c>
      <c r="K54" s="901"/>
      <c r="L54" s="900"/>
      <c r="M54" s="899" t="s">
        <v>93</v>
      </c>
      <c r="N54" s="901"/>
      <c r="O54" s="900"/>
      <c r="P54" s="899" t="s">
        <v>94</v>
      </c>
      <c r="Q54" s="901"/>
      <c r="R54" s="758"/>
      <c r="S54" s="768" t="s">
        <v>95</v>
      </c>
      <c r="T54" s="901"/>
      <c r="U54" s="900"/>
      <c r="V54" s="899" t="s">
        <v>96</v>
      </c>
      <c r="W54" s="901"/>
      <c r="X54" s="902" t="s">
        <v>97</v>
      </c>
      <c r="Y54" s="901"/>
      <c r="Z54" s="901"/>
      <c r="AA54" s="903"/>
      <c r="AB54" s="802"/>
      <c r="AC54" s="802"/>
      <c r="AD54" s="802"/>
      <c r="AE54" s="802"/>
      <c r="AF54" s="802"/>
      <c r="AG54" s="803"/>
      <c r="AH54" s="1"/>
    </row>
    <row r="55" spans="1:35" ht="22.15" customHeight="1" x14ac:dyDescent="0.2">
      <c r="A55" s="904">
        <v>8517</v>
      </c>
      <c r="B55" s="905" t="s">
        <v>98</v>
      </c>
      <c r="C55" s="906" t="s">
        <v>99</v>
      </c>
      <c r="D55" s="907"/>
      <c r="E55" s="801"/>
      <c r="F55" s="906" t="s">
        <v>99</v>
      </c>
      <c r="G55" s="907"/>
      <c r="H55" s="801"/>
      <c r="I55" s="906" t="s">
        <v>99</v>
      </c>
      <c r="J55" s="907"/>
      <c r="K55" s="801"/>
      <c r="L55" s="906" t="s">
        <v>99</v>
      </c>
      <c r="M55" s="907"/>
      <c r="N55" s="801"/>
      <c r="O55" s="906" t="s">
        <v>100</v>
      </c>
      <c r="P55" s="907"/>
      <c r="Q55" s="801"/>
      <c r="R55" s="906" t="s">
        <v>99</v>
      </c>
      <c r="S55" s="907"/>
      <c r="T55" s="801"/>
      <c r="U55" s="906" t="s">
        <v>99</v>
      </c>
      <c r="V55" s="907"/>
      <c r="W55" s="801"/>
      <c r="X55" s="800"/>
      <c r="Y55" s="802"/>
      <c r="Z55" s="802"/>
      <c r="AA55" s="802"/>
      <c r="AB55" s="802"/>
      <c r="AC55" s="802"/>
      <c r="AD55" s="802"/>
      <c r="AE55" s="802"/>
      <c r="AF55" s="802"/>
      <c r="AG55" s="803"/>
      <c r="AH55" s="1"/>
    </row>
    <row r="56" spans="1:35" ht="22.15" customHeight="1" x14ac:dyDescent="0.2">
      <c r="B56" s="822" t="s">
        <v>101</v>
      </c>
      <c r="C56" s="908" t="s">
        <v>102</v>
      </c>
      <c r="D56" s="909"/>
      <c r="E56" s="910"/>
      <c r="F56" s="908" t="s">
        <v>102</v>
      </c>
      <c r="G56" s="911"/>
      <c r="H56" s="910"/>
      <c r="I56" s="906" t="s">
        <v>102</v>
      </c>
      <c r="J56" s="907"/>
      <c r="K56" s="912"/>
      <c r="L56" s="906" t="s">
        <v>102</v>
      </c>
      <c r="M56" s="907"/>
      <c r="N56" s="912"/>
      <c r="O56" s="906" t="s">
        <v>103</v>
      </c>
      <c r="P56" s="907"/>
      <c r="Q56" s="801"/>
      <c r="R56" s="913" t="s">
        <v>0</v>
      </c>
      <c r="S56" s="907"/>
      <c r="T56" s="912"/>
      <c r="U56" s="907" t="s">
        <v>0</v>
      </c>
      <c r="V56" s="907"/>
      <c r="W56" s="801"/>
      <c r="X56" s="76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35" ht="22.15" customHeight="1" x14ac:dyDescent="0.2">
      <c r="A57" s="914"/>
      <c r="B57" s="905" t="s">
        <v>104</v>
      </c>
      <c r="C57" s="906" t="s">
        <v>105</v>
      </c>
      <c r="D57" s="907"/>
      <c r="E57" s="801"/>
      <c r="F57" s="906" t="s">
        <v>105</v>
      </c>
      <c r="G57" s="907"/>
      <c r="H57" s="912"/>
      <c r="I57" s="906" t="s">
        <v>105</v>
      </c>
      <c r="J57" s="907"/>
      <c r="K57" s="912"/>
      <c r="L57" s="906" t="s">
        <v>105</v>
      </c>
      <c r="M57" s="907"/>
      <c r="N57" s="912"/>
      <c r="O57" s="906" t="s">
        <v>106</v>
      </c>
      <c r="P57" s="907"/>
      <c r="Q57" s="801"/>
      <c r="R57" s="112"/>
      <c r="S57" s="113"/>
      <c r="T57" s="912"/>
      <c r="U57" s="907"/>
      <c r="V57" s="907"/>
      <c r="W57" s="801"/>
      <c r="X57" s="800"/>
      <c r="Y57" s="802"/>
      <c r="Z57" s="802"/>
      <c r="AA57" s="802"/>
      <c r="AB57" s="802"/>
      <c r="AC57" s="802"/>
      <c r="AD57" s="802"/>
      <c r="AE57" s="802"/>
      <c r="AF57" s="802"/>
      <c r="AG57" s="803"/>
      <c r="AH57" s="1"/>
    </row>
    <row r="58" spans="1:35" ht="22.15" customHeight="1" x14ac:dyDescent="0.2">
      <c r="A58" s="899"/>
      <c r="B58" s="822" t="s">
        <v>107</v>
      </c>
      <c r="C58" s="915" t="s">
        <v>108</v>
      </c>
      <c r="D58" s="915"/>
      <c r="E58" s="916"/>
      <c r="F58" s="915" t="s">
        <v>108</v>
      </c>
      <c r="G58" s="915"/>
      <c r="H58" s="916"/>
      <c r="I58" s="915" t="s">
        <v>108</v>
      </c>
      <c r="J58" s="915"/>
      <c r="K58" s="916"/>
      <c r="L58" s="915" t="s">
        <v>108</v>
      </c>
      <c r="M58" s="915"/>
      <c r="N58" s="916"/>
      <c r="O58" s="915" t="s">
        <v>108</v>
      </c>
      <c r="P58" s="915"/>
      <c r="Q58" s="916"/>
      <c r="R58" s="915" t="s">
        <v>108</v>
      </c>
      <c r="S58" s="915"/>
      <c r="T58" s="916"/>
      <c r="U58" s="915" t="s">
        <v>108</v>
      </c>
      <c r="V58" s="915"/>
      <c r="W58" s="916"/>
      <c r="X58" s="800"/>
      <c r="Y58" s="802"/>
      <c r="Z58" s="802"/>
      <c r="AA58" s="802"/>
      <c r="AB58" s="802"/>
      <c r="AC58" s="802"/>
      <c r="AD58" s="802"/>
      <c r="AE58" s="802"/>
      <c r="AF58" s="802"/>
      <c r="AG58" s="803"/>
      <c r="AH58" s="1"/>
    </row>
    <row r="59" spans="1:35" ht="22.1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35" ht="22.15" customHeight="1" thickBot="1" x14ac:dyDescent="0.25">
      <c r="A60" s="917"/>
      <c r="B60" s="767" t="s">
        <v>29</v>
      </c>
      <c r="C60" s="816">
        <v>1</v>
      </c>
      <c r="D60" s="816">
        <v>2</v>
      </c>
      <c r="E60" s="816">
        <v>3</v>
      </c>
      <c r="F60" s="772">
        <v>4</v>
      </c>
      <c r="G60" s="817">
        <v>5</v>
      </c>
      <c r="H60" s="772">
        <v>6</v>
      </c>
      <c r="I60" s="772">
        <v>7</v>
      </c>
      <c r="J60" s="816">
        <v>8</v>
      </c>
      <c r="K60" s="816">
        <v>9</v>
      </c>
      <c r="L60" s="816">
        <v>10</v>
      </c>
      <c r="M60" s="772">
        <v>11</v>
      </c>
      <c r="N60" s="772">
        <v>12</v>
      </c>
      <c r="O60" s="772">
        <v>13</v>
      </c>
      <c r="P60" s="772">
        <v>14</v>
      </c>
      <c r="Q60" s="772">
        <v>15</v>
      </c>
      <c r="R60" s="816">
        <v>16</v>
      </c>
      <c r="S60" s="816">
        <v>17</v>
      </c>
      <c r="T60" s="772">
        <v>18</v>
      </c>
      <c r="U60" s="772">
        <v>19</v>
      </c>
      <c r="V60" s="772">
        <v>20</v>
      </c>
      <c r="W60" s="816">
        <v>21</v>
      </c>
      <c r="X60" s="772">
        <v>22</v>
      </c>
      <c r="Y60" s="816">
        <v>23</v>
      </c>
      <c r="Z60" s="816">
        <v>24</v>
      </c>
      <c r="AA60" s="772">
        <v>25</v>
      </c>
      <c r="AB60" s="772">
        <v>26</v>
      </c>
      <c r="AC60" s="772">
        <v>27</v>
      </c>
      <c r="AD60" s="772">
        <v>28</v>
      </c>
      <c r="AE60" s="772">
        <v>29</v>
      </c>
      <c r="AF60" s="816">
        <v>30</v>
      </c>
      <c r="AG60" s="818">
        <v>31</v>
      </c>
      <c r="AH60" s="1"/>
    </row>
    <row r="61" spans="1:35" ht="22.15" customHeight="1" thickBot="1" x14ac:dyDescent="0.25">
      <c r="A61" s="252"/>
      <c r="B61" s="265" t="s">
        <v>109</v>
      </c>
      <c r="C61" s="266"/>
      <c r="D61" s="266"/>
      <c r="E61" s="266"/>
      <c r="F61" s="266">
        <v>26</v>
      </c>
      <c r="G61" s="266">
        <v>26</v>
      </c>
      <c r="H61" s="266">
        <v>26</v>
      </c>
      <c r="I61" s="266">
        <v>26</v>
      </c>
      <c r="J61" s="266">
        <v>26</v>
      </c>
      <c r="K61" s="280">
        <v>26</v>
      </c>
      <c r="L61" s="266">
        <v>26</v>
      </c>
      <c r="M61" s="482" t="s">
        <v>35</v>
      </c>
      <c r="N61" s="482" t="s">
        <v>35</v>
      </c>
      <c r="O61" s="482" t="s">
        <v>35</v>
      </c>
      <c r="P61" s="482" t="s">
        <v>35</v>
      </c>
      <c r="Q61" s="482" t="s">
        <v>35</v>
      </c>
      <c r="R61" s="266"/>
      <c r="S61" s="266"/>
      <c r="T61" s="918" t="s">
        <v>110</v>
      </c>
      <c r="U61" s="918" t="s">
        <v>110</v>
      </c>
      <c r="V61" s="918" t="s">
        <v>110</v>
      </c>
      <c r="W61" s="918"/>
      <c r="X61" s="918" t="s">
        <v>110</v>
      </c>
      <c r="Y61" s="918" t="s">
        <v>46</v>
      </c>
      <c r="Z61" s="918" t="s">
        <v>46</v>
      </c>
      <c r="AA61" s="277" t="s">
        <v>31</v>
      </c>
      <c r="AB61" s="277" t="s">
        <v>31</v>
      </c>
      <c r="AC61" s="277" t="s">
        <v>31</v>
      </c>
      <c r="AD61" s="277" t="s">
        <v>31</v>
      </c>
      <c r="AE61" s="277" t="s">
        <v>31</v>
      </c>
      <c r="AF61" s="277"/>
      <c r="AG61" s="278"/>
      <c r="AH61" s="1"/>
    </row>
    <row r="62" spans="1:35" ht="22.15" customHeight="1" thickBot="1" x14ac:dyDescent="0.25">
      <c r="A62" s="731"/>
      <c r="B62" s="730" t="s">
        <v>111</v>
      </c>
      <c r="C62" s="845">
        <v>7</v>
      </c>
      <c r="D62" s="842"/>
      <c r="E62" s="842"/>
      <c r="F62" s="842" t="s">
        <v>80</v>
      </c>
      <c r="G62" s="842" t="s">
        <v>35</v>
      </c>
      <c r="H62" s="842" t="s">
        <v>35</v>
      </c>
      <c r="I62" s="842" t="s">
        <v>35</v>
      </c>
      <c r="J62" s="842" t="s">
        <v>35</v>
      </c>
      <c r="K62" s="842" t="s">
        <v>112</v>
      </c>
      <c r="L62" s="845" t="s">
        <v>112</v>
      </c>
      <c r="M62" s="849" t="s">
        <v>47</v>
      </c>
      <c r="N62" s="849" t="s">
        <v>47</v>
      </c>
      <c r="O62" s="849" t="s">
        <v>47</v>
      </c>
      <c r="P62" s="842" t="s">
        <v>31</v>
      </c>
      <c r="Q62" s="919" t="s">
        <v>31</v>
      </c>
      <c r="R62" s="842" t="s">
        <v>112</v>
      </c>
      <c r="S62" s="842" t="s">
        <v>112</v>
      </c>
      <c r="T62" s="919" t="s">
        <v>31</v>
      </c>
      <c r="U62" s="849" t="s">
        <v>47</v>
      </c>
      <c r="V62" s="849" t="s">
        <v>47</v>
      </c>
      <c r="W62" s="849" t="s">
        <v>47</v>
      </c>
      <c r="X62" s="769" t="s">
        <v>35</v>
      </c>
      <c r="Y62" s="920"/>
      <c r="Z62" s="920"/>
      <c r="AA62" s="918" t="s">
        <v>110</v>
      </c>
      <c r="AB62" s="918" t="s">
        <v>110</v>
      </c>
      <c r="AC62" s="918" t="s">
        <v>110</v>
      </c>
      <c r="AD62" s="918" t="s">
        <v>110</v>
      </c>
      <c r="AE62" s="918" t="s">
        <v>110</v>
      </c>
      <c r="AF62" s="918" t="s">
        <v>46</v>
      </c>
      <c r="AG62" s="918" t="s">
        <v>46</v>
      </c>
      <c r="AH62" s="1"/>
    </row>
    <row r="63" spans="1:35" ht="22.15" customHeight="1" thickBot="1" x14ac:dyDescent="0.25">
      <c r="A63" s="729"/>
      <c r="B63" s="730" t="s">
        <v>113</v>
      </c>
      <c r="C63" s="843"/>
      <c r="D63" s="843"/>
      <c r="E63" s="737"/>
      <c r="F63" s="842" t="s">
        <v>35</v>
      </c>
      <c r="G63" s="842" t="s">
        <v>35</v>
      </c>
      <c r="H63" s="842" t="s">
        <v>35</v>
      </c>
      <c r="I63" s="842" t="s">
        <v>35</v>
      </c>
      <c r="J63" s="849" t="s">
        <v>47</v>
      </c>
      <c r="K63" s="842"/>
      <c r="L63" s="842"/>
      <c r="M63" s="458">
        <v>10</v>
      </c>
      <c r="N63" s="458">
        <v>10</v>
      </c>
      <c r="O63" s="458">
        <v>10</v>
      </c>
      <c r="P63" s="458">
        <v>10</v>
      </c>
      <c r="Q63" s="458">
        <v>10</v>
      </c>
      <c r="R63" s="458" t="s">
        <v>67</v>
      </c>
      <c r="S63" s="458" t="s">
        <v>67</v>
      </c>
      <c r="T63" s="477" t="s">
        <v>35</v>
      </c>
      <c r="U63" s="477" t="s">
        <v>35</v>
      </c>
      <c r="V63" s="482" t="s">
        <v>35</v>
      </c>
      <c r="W63" s="477" t="s">
        <v>35</v>
      </c>
      <c r="X63" s="477" t="s">
        <v>35</v>
      </c>
      <c r="Y63" s="458" t="s">
        <v>71</v>
      </c>
      <c r="Z63" s="477" t="s">
        <v>71</v>
      </c>
      <c r="AA63" s="477">
        <v>7</v>
      </c>
      <c r="AB63" s="477">
        <v>7</v>
      </c>
      <c r="AC63" s="477">
        <v>7</v>
      </c>
      <c r="AD63" s="477">
        <v>7</v>
      </c>
      <c r="AE63" s="459">
        <v>7</v>
      </c>
      <c r="AF63" s="669"/>
      <c r="AG63" s="237"/>
      <c r="AH63" s="1"/>
    </row>
    <row r="64" spans="1:35" ht="22.15" customHeight="1" x14ac:dyDescent="0.2">
      <c r="A64" s="730"/>
      <c r="B64" s="732" t="s">
        <v>114</v>
      </c>
      <c r="C64" s="842"/>
      <c r="D64" s="749"/>
      <c r="E64" s="749"/>
      <c r="F64" s="842" t="s">
        <v>35</v>
      </c>
      <c r="G64" s="842" t="s">
        <v>35</v>
      </c>
      <c r="H64" s="842">
        <v>7</v>
      </c>
      <c r="I64" s="842" t="s">
        <v>35</v>
      </c>
      <c r="J64" s="845">
        <v>4</v>
      </c>
      <c r="K64" s="749"/>
      <c r="L64" s="749"/>
      <c r="M64" s="842" t="s">
        <v>35</v>
      </c>
      <c r="N64" s="849" t="s">
        <v>47</v>
      </c>
      <c r="O64" s="842" t="s">
        <v>35</v>
      </c>
      <c r="P64" s="845">
        <v>5</v>
      </c>
      <c r="Q64" s="842" t="s">
        <v>35</v>
      </c>
      <c r="R64" s="845" t="s">
        <v>112</v>
      </c>
      <c r="S64" s="845"/>
      <c r="T64" s="727">
        <v>26</v>
      </c>
      <c r="U64" s="727">
        <v>26</v>
      </c>
      <c r="V64" s="727">
        <v>26</v>
      </c>
      <c r="W64" s="727">
        <v>26</v>
      </c>
      <c r="X64" s="727">
        <v>26</v>
      </c>
      <c r="Y64" s="727">
        <v>26</v>
      </c>
      <c r="Z64" s="842">
        <v>26</v>
      </c>
      <c r="AA64" s="885" t="s">
        <v>35</v>
      </c>
      <c r="AB64" s="885" t="s">
        <v>35</v>
      </c>
      <c r="AC64" s="885" t="s">
        <v>35</v>
      </c>
      <c r="AD64" s="885" t="s">
        <v>35</v>
      </c>
      <c r="AE64" s="885" t="s">
        <v>35</v>
      </c>
      <c r="AF64" s="849" t="s">
        <v>47</v>
      </c>
      <c r="AG64" s="849" t="s">
        <v>47</v>
      </c>
      <c r="AH64" s="1"/>
    </row>
    <row r="65" spans="1:34" ht="22.15" customHeight="1" thickBot="1" x14ac:dyDescent="0.25">
      <c r="A65" s="730"/>
      <c r="B65" s="732" t="s">
        <v>115</v>
      </c>
      <c r="C65" s="845">
        <v>26</v>
      </c>
      <c r="D65" s="749">
        <v>26</v>
      </c>
      <c r="E65" s="749">
        <v>26</v>
      </c>
      <c r="F65" s="842" t="s">
        <v>35</v>
      </c>
      <c r="G65" s="842" t="s">
        <v>35</v>
      </c>
      <c r="H65" s="842">
        <v>8</v>
      </c>
      <c r="I65" s="845" t="s">
        <v>35</v>
      </c>
      <c r="J65" s="845" t="s">
        <v>0</v>
      </c>
      <c r="K65" s="749"/>
      <c r="L65" s="749"/>
      <c r="M65" s="824">
        <v>3</v>
      </c>
      <c r="N65" s="771">
        <v>3</v>
      </c>
      <c r="O65" s="885">
        <v>3</v>
      </c>
      <c r="P65" s="885">
        <v>3</v>
      </c>
      <c r="Q65" s="885">
        <v>3</v>
      </c>
      <c r="R65" s="885"/>
      <c r="S65" s="885"/>
      <c r="T65" s="885" t="s">
        <v>116</v>
      </c>
      <c r="U65" s="885" t="s">
        <v>116</v>
      </c>
      <c r="V65" s="885" t="s">
        <v>116</v>
      </c>
      <c r="W65" s="885"/>
      <c r="X65" s="885" t="s">
        <v>116</v>
      </c>
      <c r="Y65" s="885" t="s">
        <v>0</v>
      </c>
      <c r="Z65" s="876" t="s">
        <v>67</v>
      </c>
      <c r="AA65" s="885" t="s">
        <v>35</v>
      </c>
      <c r="AB65" s="885" t="s">
        <v>35</v>
      </c>
      <c r="AC65" s="885" t="s">
        <v>35</v>
      </c>
      <c r="AD65" s="771" t="s">
        <v>35</v>
      </c>
      <c r="AE65" s="771" t="s">
        <v>35</v>
      </c>
      <c r="AF65" s="891" t="s">
        <v>69</v>
      </c>
      <c r="AG65" s="887" t="s">
        <v>69</v>
      </c>
      <c r="AH65" s="1"/>
    </row>
    <row r="66" spans="1:34" ht="22.15" customHeight="1" x14ac:dyDescent="0.2">
      <c r="A66" s="730"/>
      <c r="B66" s="730" t="s">
        <v>117</v>
      </c>
      <c r="C66" s="845" t="s">
        <v>46</v>
      </c>
      <c r="D66" s="921" t="s">
        <v>46</v>
      </c>
      <c r="E66" s="921" t="s">
        <v>46</v>
      </c>
      <c r="F66" s="922" t="s">
        <v>35</v>
      </c>
      <c r="G66" s="922" t="s">
        <v>35</v>
      </c>
      <c r="H66" s="923" t="s">
        <v>35</v>
      </c>
      <c r="I66" s="923" t="s">
        <v>35</v>
      </c>
      <c r="J66" s="923"/>
      <c r="K66" s="923"/>
      <c r="L66" s="923" t="s">
        <v>118</v>
      </c>
      <c r="M66" s="477">
        <v>5</v>
      </c>
      <c r="N66" s="459">
        <v>5</v>
      </c>
      <c r="O66" s="459">
        <v>5</v>
      </c>
      <c r="P66" s="459" t="s">
        <v>35</v>
      </c>
      <c r="Q66" s="477" t="s">
        <v>35</v>
      </c>
      <c r="R66" s="728" t="s">
        <v>46</v>
      </c>
      <c r="S66" s="845" t="s">
        <v>46</v>
      </c>
      <c r="T66" s="924">
        <v>9</v>
      </c>
      <c r="U66" s="848">
        <v>9</v>
      </c>
      <c r="V66" s="849" t="s">
        <v>47</v>
      </c>
      <c r="W66" s="849" t="s">
        <v>47</v>
      </c>
      <c r="X66" s="849" t="s">
        <v>47</v>
      </c>
      <c r="Y66" s="749"/>
      <c r="Z66" s="749"/>
      <c r="AA66" s="842">
        <v>26</v>
      </c>
      <c r="AB66" s="842">
        <v>26</v>
      </c>
      <c r="AC66" s="842" t="s">
        <v>35</v>
      </c>
      <c r="AD66" s="842" t="s">
        <v>35</v>
      </c>
      <c r="AE66" s="925" t="s">
        <v>35</v>
      </c>
      <c r="AF66" s="925"/>
      <c r="AG66" s="846"/>
      <c r="AH66" s="1"/>
    </row>
    <row r="67" spans="1:34" ht="22.15" customHeight="1" x14ac:dyDescent="0.2">
      <c r="A67" s="730"/>
      <c r="B67" s="732" t="s">
        <v>119</v>
      </c>
      <c r="C67" s="749"/>
      <c r="D67" s="926" t="s">
        <v>46</v>
      </c>
      <c r="E67" s="845"/>
      <c r="F67" s="849" t="s">
        <v>47</v>
      </c>
      <c r="G67" s="849" t="s">
        <v>47</v>
      </c>
      <c r="H67" s="842" t="s">
        <v>35</v>
      </c>
      <c r="I67" s="842" t="s">
        <v>35</v>
      </c>
      <c r="J67" s="842" t="s">
        <v>31</v>
      </c>
      <c r="K67" s="927"/>
      <c r="L67" s="849" t="s">
        <v>47</v>
      </c>
      <c r="M67" s="842" t="s">
        <v>35</v>
      </c>
      <c r="N67" s="842" t="s">
        <v>35</v>
      </c>
      <c r="O67" s="842" t="s">
        <v>35</v>
      </c>
      <c r="P67" s="727" t="s">
        <v>35</v>
      </c>
      <c r="Q67" s="727" t="s">
        <v>35</v>
      </c>
      <c r="R67" s="845" t="s">
        <v>71</v>
      </c>
      <c r="S67" s="849" t="s">
        <v>47</v>
      </c>
      <c r="T67" s="842" t="s">
        <v>35</v>
      </c>
      <c r="U67" s="842" t="s">
        <v>35</v>
      </c>
      <c r="V67" s="842" t="s">
        <v>35</v>
      </c>
      <c r="W67" s="845"/>
      <c r="X67" s="842" t="s">
        <v>35</v>
      </c>
      <c r="Y67" s="849" t="s">
        <v>47</v>
      </c>
      <c r="Z67" s="845"/>
      <c r="AA67" s="842" t="s">
        <v>35</v>
      </c>
      <c r="AB67" s="842" t="s">
        <v>35</v>
      </c>
      <c r="AC67" s="842" t="s">
        <v>35</v>
      </c>
      <c r="AD67" s="842" t="s">
        <v>35</v>
      </c>
      <c r="AE67" s="849" t="s">
        <v>47</v>
      </c>
      <c r="AF67" s="849" t="s">
        <v>47</v>
      </c>
      <c r="AG67" s="849" t="s">
        <v>47</v>
      </c>
      <c r="AH67" s="1"/>
    </row>
    <row r="68" spans="1:34" ht="22.15" customHeight="1" x14ac:dyDescent="0.2">
      <c r="A68" s="730"/>
      <c r="B68" s="732" t="s">
        <v>120</v>
      </c>
      <c r="C68" s="845"/>
      <c r="D68" s="749"/>
      <c r="E68" s="749"/>
      <c r="F68" s="842" t="s">
        <v>31</v>
      </c>
      <c r="G68" s="842" t="s">
        <v>31</v>
      </c>
      <c r="H68" s="842" t="s">
        <v>31</v>
      </c>
      <c r="I68" s="842" t="s">
        <v>31</v>
      </c>
      <c r="J68" s="842"/>
      <c r="K68" s="842"/>
      <c r="L68" s="749"/>
      <c r="M68" s="749" t="s">
        <v>31</v>
      </c>
      <c r="N68" s="749" t="s">
        <v>31</v>
      </c>
      <c r="O68" s="749" t="s">
        <v>31</v>
      </c>
      <c r="P68" s="749" t="s">
        <v>31</v>
      </c>
      <c r="Q68" s="749" t="s">
        <v>31</v>
      </c>
      <c r="R68" s="749">
        <v>89</v>
      </c>
      <c r="S68" s="749"/>
      <c r="T68" s="928" t="s">
        <v>31</v>
      </c>
      <c r="U68" s="929" t="s">
        <v>31</v>
      </c>
      <c r="V68" s="929" t="s">
        <v>31</v>
      </c>
      <c r="W68" s="845"/>
      <c r="X68" s="845" t="s">
        <v>31</v>
      </c>
      <c r="Y68" s="728" t="s">
        <v>112</v>
      </c>
      <c r="Z68" s="728"/>
      <c r="AA68" s="737" t="s">
        <v>31</v>
      </c>
      <c r="AB68" s="845" t="s">
        <v>31</v>
      </c>
      <c r="AC68" s="845" t="s">
        <v>31</v>
      </c>
      <c r="AD68" s="845">
        <v>25</v>
      </c>
      <c r="AE68" s="845" t="s">
        <v>31</v>
      </c>
      <c r="AF68" s="842">
        <v>89</v>
      </c>
      <c r="AG68" s="736"/>
      <c r="AH68" s="1"/>
    </row>
    <row r="69" spans="1:34" ht="22.15" customHeight="1" x14ac:dyDescent="0.2">
      <c r="A69" s="732"/>
      <c r="B69" s="734"/>
      <c r="C69" s="842"/>
      <c r="D69" s="845"/>
      <c r="E69" s="845"/>
      <c r="F69" s="845" t="s">
        <v>31</v>
      </c>
      <c r="G69" s="842" t="s">
        <v>31</v>
      </c>
      <c r="H69" s="845" t="s">
        <v>31</v>
      </c>
      <c r="I69" s="845" t="s">
        <v>31</v>
      </c>
      <c r="J69" s="845"/>
      <c r="K69" s="852"/>
      <c r="L69" s="852"/>
      <c r="M69" s="842" t="s">
        <v>31</v>
      </c>
      <c r="N69" s="842" t="s">
        <v>31</v>
      </c>
      <c r="O69" s="842" t="s">
        <v>31</v>
      </c>
      <c r="P69" s="845" t="s">
        <v>35</v>
      </c>
      <c r="Q69" s="843" t="s">
        <v>35</v>
      </c>
      <c r="R69" s="843" t="s">
        <v>35</v>
      </c>
      <c r="S69" s="845"/>
      <c r="T69" s="769" t="s">
        <v>31</v>
      </c>
      <c r="U69" s="769" t="s">
        <v>31</v>
      </c>
      <c r="V69" s="845" t="s">
        <v>31</v>
      </c>
      <c r="W69" s="845"/>
      <c r="X69" s="845" t="s">
        <v>31</v>
      </c>
      <c r="Y69" s="845"/>
      <c r="Z69" s="842"/>
      <c r="AA69" s="845" t="s">
        <v>31</v>
      </c>
      <c r="AB69" s="845" t="s">
        <v>31</v>
      </c>
      <c r="AC69" s="845" t="s">
        <v>31</v>
      </c>
      <c r="AD69" s="845" t="s">
        <v>31</v>
      </c>
      <c r="AE69" s="845" t="s">
        <v>31</v>
      </c>
      <c r="AF69" s="845"/>
      <c r="AG69" s="738"/>
      <c r="AH69" s="1"/>
    </row>
    <row r="70" spans="1:34" ht="22.15" customHeight="1" x14ac:dyDescent="0.2">
      <c r="A70" s="732"/>
      <c r="B70" s="733" t="s">
        <v>121</v>
      </c>
      <c r="C70" s="845">
        <v>8</v>
      </c>
      <c r="D70" s="845"/>
      <c r="E70" s="845"/>
      <c r="F70" s="845" t="s">
        <v>31</v>
      </c>
      <c r="G70" s="842" t="s">
        <v>31</v>
      </c>
      <c r="H70" s="845" t="s">
        <v>31</v>
      </c>
      <c r="I70" s="849" t="s">
        <v>47</v>
      </c>
      <c r="J70" s="845"/>
      <c r="K70" s="849" t="s">
        <v>47</v>
      </c>
      <c r="L70" s="852"/>
      <c r="M70" s="852" t="s">
        <v>35</v>
      </c>
      <c r="N70" s="852" t="s">
        <v>35</v>
      </c>
      <c r="O70" s="852" t="s">
        <v>35</v>
      </c>
      <c r="P70" s="852" t="s">
        <v>35</v>
      </c>
      <c r="Q70" s="852" t="s">
        <v>35</v>
      </c>
      <c r="R70" s="849" t="s">
        <v>47</v>
      </c>
      <c r="S70" s="849" t="s">
        <v>47</v>
      </c>
      <c r="T70" s="849" t="s">
        <v>47</v>
      </c>
      <c r="U70" s="852" t="s">
        <v>35</v>
      </c>
      <c r="V70" s="852" t="s">
        <v>35</v>
      </c>
      <c r="W70" s="845" t="s">
        <v>46</v>
      </c>
      <c r="X70" s="852" t="s">
        <v>0</v>
      </c>
      <c r="Y70" s="849" t="s">
        <v>0</v>
      </c>
      <c r="Z70" s="849" t="s">
        <v>47</v>
      </c>
      <c r="AA70" s="849" t="s">
        <v>47</v>
      </c>
      <c r="AB70" s="849" t="s">
        <v>47</v>
      </c>
      <c r="AC70" s="845" t="s">
        <v>35</v>
      </c>
      <c r="AD70" s="845" t="s">
        <v>35</v>
      </c>
      <c r="AE70" s="925" t="s">
        <v>35</v>
      </c>
      <c r="AF70" s="925"/>
      <c r="AG70" s="846"/>
      <c r="AH70" s="1"/>
    </row>
    <row r="71" spans="1:34" ht="22.15" customHeight="1" thickBot="1" x14ac:dyDescent="0.25">
      <c r="A71" s="735"/>
      <c r="B71" s="841" t="s">
        <v>122</v>
      </c>
      <c r="C71" s="849" t="s">
        <v>47</v>
      </c>
      <c r="D71" s="849" t="s">
        <v>47</v>
      </c>
      <c r="E71" s="849" t="s">
        <v>47</v>
      </c>
      <c r="F71" s="843" t="s">
        <v>35</v>
      </c>
      <c r="G71" s="843" t="s">
        <v>35</v>
      </c>
      <c r="H71" s="849" t="s">
        <v>47</v>
      </c>
      <c r="I71" s="842" t="s">
        <v>35</v>
      </c>
      <c r="J71" s="842" t="s">
        <v>35</v>
      </c>
      <c r="K71" s="842" t="s">
        <v>112</v>
      </c>
      <c r="L71" s="842" t="s">
        <v>112</v>
      </c>
      <c r="M71" s="842">
        <v>26</v>
      </c>
      <c r="N71" s="842">
        <v>26</v>
      </c>
      <c r="O71" s="842">
        <v>26</v>
      </c>
      <c r="P71" s="842">
        <v>26</v>
      </c>
      <c r="Q71" s="930">
        <v>26</v>
      </c>
      <c r="R71" s="842">
        <v>26</v>
      </c>
      <c r="S71" s="842">
        <v>26</v>
      </c>
      <c r="T71" s="842" t="s">
        <v>35</v>
      </c>
      <c r="U71" s="842" t="s">
        <v>35</v>
      </c>
      <c r="V71" s="842" t="s">
        <v>35</v>
      </c>
      <c r="W71" s="842"/>
      <c r="X71" s="842" t="s">
        <v>35</v>
      </c>
      <c r="Y71" s="842"/>
      <c r="Z71" s="842"/>
      <c r="AA71" s="843">
        <v>23</v>
      </c>
      <c r="AB71" s="843">
        <v>23</v>
      </c>
      <c r="AC71" s="843">
        <v>23</v>
      </c>
      <c r="AD71" s="843">
        <v>23</v>
      </c>
      <c r="AE71" s="843">
        <v>23</v>
      </c>
      <c r="AF71" s="843">
        <v>23</v>
      </c>
      <c r="AG71" s="843">
        <v>23</v>
      </c>
      <c r="AH71" s="1"/>
    </row>
    <row r="72" spans="1:34" ht="22.15" customHeight="1" thickBot="1" x14ac:dyDescent="0.25">
      <c r="A72" s="735"/>
      <c r="B72" s="379" t="s">
        <v>123</v>
      </c>
      <c r="C72" s="842">
        <v>4</v>
      </c>
      <c r="D72" s="842"/>
      <c r="E72" s="842"/>
      <c r="F72" s="845">
        <v>21</v>
      </c>
      <c r="G72" s="845">
        <v>21</v>
      </c>
      <c r="H72" s="845">
        <v>21</v>
      </c>
      <c r="I72" s="845">
        <v>21</v>
      </c>
      <c r="J72" s="845">
        <v>21</v>
      </c>
      <c r="K72" s="853">
        <v>21</v>
      </c>
      <c r="L72" s="853">
        <v>21</v>
      </c>
      <c r="M72" s="845" t="s">
        <v>35</v>
      </c>
      <c r="N72" s="843" t="s">
        <v>35</v>
      </c>
      <c r="O72" s="843" t="s">
        <v>35</v>
      </c>
      <c r="P72" s="737" t="s">
        <v>35</v>
      </c>
      <c r="Q72" s="845" t="s">
        <v>35</v>
      </c>
      <c r="R72" s="845"/>
      <c r="S72" s="737"/>
      <c r="T72" s="845">
        <v>21</v>
      </c>
      <c r="U72" s="845">
        <v>21</v>
      </c>
      <c r="V72" s="845">
        <v>21</v>
      </c>
      <c r="W72" s="845">
        <v>21</v>
      </c>
      <c r="X72" s="845">
        <v>21</v>
      </c>
      <c r="Y72" s="845">
        <v>21</v>
      </c>
      <c r="Z72" s="845">
        <v>21</v>
      </c>
      <c r="AA72" s="845" t="s">
        <v>35</v>
      </c>
      <c r="AB72" s="845" t="s">
        <v>35</v>
      </c>
      <c r="AC72" s="845" t="s">
        <v>35</v>
      </c>
      <c r="AD72" s="845" t="s">
        <v>35</v>
      </c>
      <c r="AE72" s="845" t="s">
        <v>35</v>
      </c>
      <c r="AF72" s="842"/>
      <c r="AG72" s="736"/>
      <c r="AH72" s="1"/>
    </row>
    <row r="73" spans="1:34" ht="22.15" customHeight="1" x14ac:dyDescent="0.2">
      <c r="A73" s="735"/>
      <c r="B73" s="379" t="s">
        <v>124</v>
      </c>
      <c r="C73" s="842" t="s">
        <v>32</v>
      </c>
      <c r="D73" s="842"/>
      <c r="E73" s="849" t="s">
        <v>47</v>
      </c>
      <c r="F73" s="842" t="s">
        <v>35</v>
      </c>
      <c r="G73" s="842" t="s">
        <v>35</v>
      </c>
      <c r="H73" s="842" t="s">
        <v>35</v>
      </c>
      <c r="I73" s="842" t="s">
        <v>35</v>
      </c>
      <c r="J73" s="842" t="s">
        <v>32</v>
      </c>
      <c r="K73" s="849" t="s">
        <v>47</v>
      </c>
      <c r="L73" s="849" t="s">
        <v>47</v>
      </c>
      <c r="M73" s="845" t="s">
        <v>35</v>
      </c>
      <c r="N73" s="843" t="s">
        <v>35</v>
      </c>
      <c r="O73" s="843" t="s">
        <v>35</v>
      </c>
      <c r="P73" s="769" t="s">
        <v>31</v>
      </c>
      <c r="Q73" s="849" t="s">
        <v>47</v>
      </c>
      <c r="R73" s="849" t="s">
        <v>47</v>
      </c>
      <c r="S73" s="843" t="s">
        <v>35</v>
      </c>
      <c r="T73" s="737" t="s">
        <v>35</v>
      </c>
      <c r="U73" s="845" t="s">
        <v>35</v>
      </c>
      <c r="V73" s="931">
        <v>9</v>
      </c>
      <c r="W73" s="769">
        <v>9</v>
      </c>
      <c r="X73" s="849" t="s">
        <v>47</v>
      </c>
      <c r="Y73" s="849" t="s">
        <v>47</v>
      </c>
      <c r="Z73" s="849" t="s">
        <v>47</v>
      </c>
      <c r="AA73" s="845" t="s">
        <v>35</v>
      </c>
      <c r="AB73" s="845" t="s">
        <v>35</v>
      </c>
      <c r="AC73" s="842">
        <v>26</v>
      </c>
      <c r="AD73" s="842">
        <v>26</v>
      </c>
      <c r="AE73" s="842">
        <v>26</v>
      </c>
      <c r="AF73" s="842"/>
      <c r="AG73" s="932"/>
      <c r="AH73" s="1"/>
    </row>
    <row r="74" spans="1:34" ht="22.15" customHeight="1" thickBot="1" x14ac:dyDescent="0.25">
      <c r="A74" s="669"/>
      <c r="B74" s="668"/>
      <c r="C74" s="669"/>
      <c r="D74" s="669"/>
      <c r="E74" s="669"/>
      <c r="F74" s="669"/>
      <c r="G74" s="669"/>
      <c r="H74" s="669"/>
      <c r="I74" s="669"/>
      <c r="J74" s="669"/>
      <c r="K74" s="669"/>
      <c r="L74" s="669"/>
      <c r="M74" s="669"/>
      <c r="N74" s="669"/>
      <c r="O74" s="669"/>
      <c r="P74" s="669"/>
      <c r="Q74" s="669"/>
      <c r="R74" s="669"/>
      <c r="S74" s="669"/>
      <c r="T74" s="669"/>
      <c r="U74" s="669"/>
      <c r="V74" s="669"/>
      <c r="W74" s="669"/>
      <c r="X74" s="669"/>
      <c r="Y74" s="669"/>
      <c r="Z74" s="669"/>
      <c r="AA74" s="669"/>
      <c r="AB74" s="669"/>
      <c r="AC74" s="669"/>
      <c r="AD74" s="669"/>
      <c r="AE74" s="669"/>
      <c r="AF74" s="669"/>
      <c r="AG74" s="237"/>
      <c r="AH74" s="1"/>
    </row>
    <row r="75" spans="1:34" ht="22.15" customHeight="1" thickBot="1" x14ac:dyDescent="0.25">
      <c r="A75" s="717"/>
      <c r="B75" s="933"/>
      <c r="C75" s="245"/>
      <c r="D75" s="245"/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934"/>
      <c r="AH75" s="1"/>
    </row>
    <row r="76" spans="1:34" ht="22.15" customHeight="1" thickBot="1" x14ac:dyDescent="0.25">
      <c r="A76" s="377"/>
      <c r="B76" s="378" t="s">
        <v>125</v>
      </c>
      <c r="C76" s="816">
        <v>1</v>
      </c>
      <c r="D76" s="816">
        <v>2</v>
      </c>
      <c r="E76" s="816">
        <v>3</v>
      </c>
      <c r="F76" s="772">
        <v>4</v>
      </c>
      <c r="G76" s="817">
        <v>5</v>
      </c>
      <c r="H76" s="772">
        <v>6</v>
      </c>
      <c r="I76" s="772">
        <v>7</v>
      </c>
      <c r="J76" s="816">
        <v>8</v>
      </c>
      <c r="K76" s="816">
        <v>9</v>
      </c>
      <c r="L76" s="816">
        <v>10</v>
      </c>
      <c r="M76" s="772">
        <v>11</v>
      </c>
      <c r="N76" s="772">
        <v>12</v>
      </c>
      <c r="O76" s="772">
        <v>13</v>
      </c>
      <c r="P76" s="772">
        <v>14</v>
      </c>
      <c r="Q76" s="772">
        <v>15</v>
      </c>
      <c r="R76" s="816">
        <v>16</v>
      </c>
      <c r="S76" s="816">
        <v>17</v>
      </c>
      <c r="T76" s="772">
        <v>18</v>
      </c>
      <c r="U76" s="772">
        <v>19</v>
      </c>
      <c r="V76" s="772">
        <v>20</v>
      </c>
      <c r="W76" s="816">
        <v>21</v>
      </c>
      <c r="X76" s="772">
        <v>22</v>
      </c>
      <c r="Y76" s="816">
        <v>23</v>
      </c>
      <c r="Z76" s="816">
        <v>24</v>
      </c>
      <c r="AA76" s="772">
        <v>25</v>
      </c>
      <c r="AB76" s="772">
        <v>26</v>
      </c>
      <c r="AC76" s="772">
        <v>27</v>
      </c>
      <c r="AD76" s="772">
        <v>28</v>
      </c>
      <c r="AE76" s="772">
        <v>29</v>
      </c>
      <c r="AF76" s="816">
        <v>30</v>
      </c>
      <c r="AG76" s="818">
        <v>31</v>
      </c>
      <c r="AH76" s="1"/>
    </row>
    <row r="77" spans="1:34" ht="22.15" customHeight="1" x14ac:dyDescent="0.2">
      <c r="A77" s="379"/>
      <c r="B77" s="732" t="s">
        <v>126</v>
      </c>
      <c r="C77" s="477">
        <v>9</v>
      </c>
      <c r="D77" s="458" t="s">
        <v>66</v>
      </c>
      <c r="E77" s="477" t="s">
        <v>67</v>
      </c>
      <c r="F77" s="477" t="s">
        <v>35</v>
      </c>
      <c r="G77" s="477" t="s">
        <v>35</v>
      </c>
      <c r="H77" s="477" t="s">
        <v>35</v>
      </c>
      <c r="I77" s="477" t="s">
        <v>35</v>
      </c>
      <c r="J77" s="458" t="s">
        <v>0</v>
      </c>
      <c r="K77" s="477" t="s">
        <v>68</v>
      </c>
      <c r="L77" s="477" t="s">
        <v>69</v>
      </c>
      <c r="M77" s="477">
        <v>6</v>
      </c>
      <c r="N77" s="477">
        <v>6</v>
      </c>
      <c r="O77" s="458">
        <v>6</v>
      </c>
      <c r="P77" s="477">
        <v>6</v>
      </c>
      <c r="Q77" s="459">
        <v>6</v>
      </c>
      <c r="R77" s="458"/>
      <c r="S77" s="477"/>
      <c r="T77" s="885">
        <v>11</v>
      </c>
      <c r="U77" s="885">
        <v>11</v>
      </c>
      <c r="V77" s="885">
        <v>11</v>
      </c>
      <c r="W77" s="885">
        <v>11</v>
      </c>
      <c r="X77" s="827">
        <v>11</v>
      </c>
      <c r="Y77" s="885" t="s">
        <v>73</v>
      </c>
      <c r="Z77" s="885" t="s">
        <v>73</v>
      </c>
      <c r="AA77" s="845" t="s">
        <v>35</v>
      </c>
      <c r="AB77" s="845" t="s">
        <v>35</v>
      </c>
      <c r="AC77" s="845" t="s">
        <v>35</v>
      </c>
      <c r="AD77" s="845" t="s">
        <v>35</v>
      </c>
      <c r="AE77" s="845" t="s">
        <v>35</v>
      </c>
      <c r="AF77" s="380"/>
      <c r="AG77" s="387"/>
      <c r="AH77" s="1"/>
    </row>
    <row r="78" spans="1:34" ht="22.15" customHeight="1" x14ac:dyDescent="0.2">
      <c r="A78" s="732"/>
      <c r="B78" s="935" t="s">
        <v>127</v>
      </c>
      <c r="C78" s="845">
        <v>3</v>
      </c>
      <c r="D78" s="845"/>
      <c r="E78" s="845"/>
      <c r="F78" s="824">
        <v>7</v>
      </c>
      <c r="G78" s="824">
        <v>7</v>
      </c>
      <c r="H78" s="896">
        <v>7</v>
      </c>
      <c r="I78" s="824">
        <v>7</v>
      </c>
      <c r="J78" s="824">
        <v>7</v>
      </c>
      <c r="K78" s="824"/>
      <c r="L78" s="824"/>
      <c r="M78" s="824">
        <v>4</v>
      </c>
      <c r="N78" s="824">
        <v>4</v>
      </c>
      <c r="O78" s="824">
        <v>4</v>
      </c>
      <c r="P78" s="824">
        <v>4</v>
      </c>
      <c r="Q78" s="824">
        <v>4</v>
      </c>
      <c r="R78" s="824"/>
      <c r="S78" s="824"/>
      <c r="T78" s="824">
        <v>3</v>
      </c>
      <c r="U78" s="824">
        <v>3</v>
      </c>
      <c r="V78" s="824">
        <v>3</v>
      </c>
      <c r="W78" s="824">
        <v>3</v>
      </c>
      <c r="X78" s="824">
        <v>3</v>
      </c>
      <c r="Y78" s="824">
        <v>89</v>
      </c>
      <c r="Z78" s="824"/>
      <c r="AA78" s="824">
        <v>4</v>
      </c>
      <c r="AB78" s="824">
        <v>4</v>
      </c>
      <c r="AC78" s="824">
        <v>4</v>
      </c>
      <c r="AD78" s="824">
        <v>4</v>
      </c>
      <c r="AE78" s="824">
        <v>4</v>
      </c>
      <c r="AF78" s="845"/>
      <c r="AG78" s="736"/>
      <c r="AH78" s="1"/>
    </row>
    <row r="79" spans="1:34" ht="22.15" customHeight="1" x14ac:dyDescent="0.2">
      <c r="A79" s="936"/>
      <c r="B79" s="732" t="s">
        <v>128</v>
      </c>
      <c r="C79" s="845"/>
      <c r="D79" s="845"/>
      <c r="E79" s="845"/>
      <c r="F79" s="845"/>
      <c r="G79" s="845"/>
      <c r="H79" s="921"/>
      <c r="I79" s="921"/>
      <c r="J79" s="921"/>
      <c r="K79" s="923"/>
      <c r="L79" s="923"/>
      <c r="M79" s="923" t="s">
        <v>118</v>
      </c>
      <c r="N79" s="751"/>
      <c r="O79" s="751"/>
      <c r="P79" s="751"/>
      <c r="Q79" s="751"/>
      <c r="R79" s="845"/>
      <c r="S79" s="845"/>
      <c r="T79" s="845"/>
      <c r="U79" s="845"/>
      <c r="V79" s="845"/>
      <c r="W79" s="845"/>
      <c r="X79" s="845"/>
      <c r="Y79" s="845"/>
      <c r="Z79" s="845"/>
      <c r="AA79" s="845"/>
      <c r="AB79" s="923" t="s">
        <v>118</v>
      </c>
      <c r="AC79" s="845"/>
      <c r="AD79" s="845"/>
      <c r="AE79" s="845"/>
      <c r="AF79" s="845"/>
      <c r="AG79" s="738"/>
      <c r="AH79" s="1"/>
    </row>
    <row r="80" spans="1:34" ht="22.15" customHeight="1" thickBot="1" x14ac:dyDescent="0.25">
      <c r="A80" s="937"/>
      <c r="B80" s="938" t="s">
        <v>129</v>
      </c>
      <c r="C80" s="856"/>
      <c r="D80" s="939" t="s">
        <v>112</v>
      </c>
      <c r="E80" s="939" t="s">
        <v>112</v>
      </c>
      <c r="F80" s="939"/>
      <c r="G80" s="939"/>
      <c r="H80" s="939"/>
      <c r="I80" s="856"/>
      <c r="J80" s="856"/>
      <c r="K80" s="939"/>
      <c r="L80" s="939"/>
      <c r="M80" s="940">
        <v>8</v>
      </c>
      <c r="N80" s="940">
        <v>8</v>
      </c>
      <c r="O80" s="940">
        <v>8</v>
      </c>
      <c r="P80" s="941">
        <v>8</v>
      </c>
      <c r="Q80" s="941">
        <v>8</v>
      </c>
      <c r="R80" s="856" t="s">
        <v>69</v>
      </c>
      <c r="S80" s="942"/>
      <c r="T80" s="942"/>
      <c r="U80" s="942"/>
      <c r="V80" s="942"/>
      <c r="W80" s="942"/>
      <c r="X80" s="856">
        <v>9</v>
      </c>
      <c r="Y80" s="942" t="s">
        <v>66</v>
      </c>
      <c r="Z80" s="942"/>
      <c r="AA80" s="942" t="s">
        <v>116</v>
      </c>
      <c r="AB80" s="942" t="s">
        <v>116</v>
      </c>
      <c r="AC80" s="942" t="s">
        <v>116</v>
      </c>
      <c r="AD80" s="943" t="s">
        <v>116</v>
      </c>
      <c r="AE80" s="942" t="s">
        <v>116</v>
      </c>
      <c r="AF80" s="942" t="s">
        <v>130</v>
      </c>
      <c r="AG80" s="942" t="s">
        <v>130</v>
      </c>
      <c r="AH80" s="1"/>
    </row>
    <row r="81" spans="1:35" ht="22.15" customHeight="1" thickBot="1" x14ac:dyDescent="0.25">
      <c r="A81" s="223"/>
      <c r="B81" s="279" t="s">
        <v>131</v>
      </c>
      <c r="C81" s="219"/>
      <c r="D81" s="225"/>
      <c r="E81" s="225"/>
      <c r="F81" s="225" t="s">
        <v>132</v>
      </c>
      <c r="G81" s="225" t="s">
        <v>132</v>
      </c>
      <c r="H81" s="225" t="s">
        <v>132</v>
      </c>
      <c r="I81" s="225" t="s">
        <v>132</v>
      </c>
      <c r="J81" s="219"/>
      <c r="K81" s="225"/>
      <c r="L81" s="225"/>
      <c r="M81" s="225" t="s">
        <v>132</v>
      </c>
      <c r="N81" s="225" t="s">
        <v>132</v>
      </c>
      <c r="O81" s="225" t="s">
        <v>132</v>
      </c>
      <c r="P81" s="225" t="s">
        <v>132</v>
      </c>
      <c r="Q81" s="225" t="s">
        <v>132</v>
      </c>
      <c r="R81" s="219"/>
      <c r="S81" s="226"/>
      <c r="T81" s="225" t="s">
        <v>132</v>
      </c>
      <c r="U81" s="225" t="s">
        <v>132</v>
      </c>
      <c r="V81" s="225" t="s">
        <v>132</v>
      </c>
      <c r="W81" s="219"/>
      <c r="X81" s="225" t="s">
        <v>132</v>
      </c>
      <c r="Y81" s="219"/>
      <c r="Z81" s="219"/>
      <c r="AA81" s="225" t="s">
        <v>132</v>
      </c>
      <c r="AB81" s="225" t="s">
        <v>132</v>
      </c>
      <c r="AC81" s="225" t="s">
        <v>132</v>
      </c>
      <c r="AD81" s="225" t="s">
        <v>132</v>
      </c>
      <c r="AE81" s="225" t="s">
        <v>132</v>
      </c>
      <c r="AF81" s="219"/>
      <c r="AG81" s="248"/>
      <c r="AH81" s="1"/>
    </row>
    <row r="82" spans="1:35" ht="22.15" customHeight="1" thickBot="1" x14ac:dyDescent="0.25">
      <c r="A82" s="221"/>
      <c r="B82" s="222" t="s">
        <v>133</v>
      </c>
      <c r="C82" s="824">
        <v>10</v>
      </c>
      <c r="D82" s="824" t="s">
        <v>67</v>
      </c>
      <c r="E82" s="824" t="s">
        <v>67</v>
      </c>
      <c r="F82" s="824" t="s">
        <v>35</v>
      </c>
      <c r="G82" s="824" t="s">
        <v>35</v>
      </c>
      <c r="H82" s="824" t="s">
        <v>35</v>
      </c>
      <c r="I82" s="824" t="s">
        <v>35</v>
      </c>
      <c r="J82" s="824" t="s">
        <v>35</v>
      </c>
      <c r="K82" s="824" t="s">
        <v>71</v>
      </c>
      <c r="L82" s="824" t="s">
        <v>71</v>
      </c>
      <c r="M82" s="824">
        <v>7</v>
      </c>
      <c r="N82" s="824">
        <v>7</v>
      </c>
      <c r="O82" s="824">
        <v>7</v>
      </c>
      <c r="P82" s="824">
        <v>7</v>
      </c>
      <c r="Q82" s="824">
        <v>7</v>
      </c>
      <c r="R82" s="824"/>
      <c r="S82" s="824"/>
      <c r="T82" s="824">
        <v>4</v>
      </c>
      <c r="U82" s="824">
        <v>4</v>
      </c>
      <c r="V82" s="824">
        <v>4</v>
      </c>
      <c r="W82" s="824">
        <v>4</v>
      </c>
      <c r="X82" s="824">
        <v>4</v>
      </c>
      <c r="Y82" s="824"/>
      <c r="Z82" s="824"/>
      <c r="AA82" s="824">
        <v>3</v>
      </c>
      <c r="AB82" s="824">
        <v>3</v>
      </c>
      <c r="AC82" s="824">
        <v>3</v>
      </c>
      <c r="AD82" s="824">
        <v>3</v>
      </c>
      <c r="AE82" s="824">
        <v>3</v>
      </c>
      <c r="AF82" s="219"/>
      <c r="AG82" s="726"/>
      <c r="AH82" s="1"/>
    </row>
    <row r="83" spans="1:35" ht="22.15" customHeight="1" x14ac:dyDescent="0.2">
      <c r="A83" s="64" t="s">
        <v>134</v>
      </c>
      <c r="AH83" s="1"/>
    </row>
    <row r="84" spans="1:35" ht="22.15" customHeight="1" thickBot="1" x14ac:dyDescent="0.25">
      <c r="A84" s="944"/>
      <c r="B84" s="766" t="s">
        <v>29</v>
      </c>
      <c r="C84" s="816">
        <v>1</v>
      </c>
      <c r="D84" s="816">
        <v>2</v>
      </c>
      <c r="E84" s="816">
        <v>3</v>
      </c>
      <c r="F84" s="772">
        <v>4</v>
      </c>
      <c r="G84" s="817">
        <v>5</v>
      </c>
      <c r="H84" s="772">
        <v>6</v>
      </c>
      <c r="I84" s="772">
        <v>7</v>
      </c>
      <c r="J84" s="816">
        <v>8</v>
      </c>
      <c r="K84" s="816">
        <v>9</v>
      </c>
      <c r="L84" s="816">
        <v>10</v>
      </c>
      <c r="M84" s="772">
        <v>11</v>
      </c>
      <c r="N84" s="772">
        <v>12</v>
      </c>
      <c r="O84" s="772">
        <v>13</v>
      </c>
      <c r="P84" s="772">
        <v>14</v>
      </c>
      <c r="Q84" s="772">
        <v>15</v>
      </c>
      <c r="R84" s="816">
        <v>16</v>
      </c>
      <c r="S84" s="816">
        <v>17</v>
      </c>
      <c r="T84" s="772">
        <v>18</v>
      </c>
      <c r="U84" s="772">
        <v>19</v>
      </c>
      <c r="V84" s="772">
        <v>20</v>
      </c>
      <c r="W84" s="816">
        <v>21</v>
      </c>
      <c r="X84" s="772">
        <v>22</v>
      </c>
      <c r="Y84" s="816">
        <v>23</v>
      </c>
      <c r="Z84" s="816">
        <v>24</v>
      </c>
      <c r="AA84" s="772">
        <v>25</v>
      </c>
      <c r="AB84" s="772">
        <v>26</v>
      </c>
      <c r="AC84" s="772">
        <v>27</v>
      </c>
      <c r="AD84" s="772">
        <v>28</v>
      </c>
      <c r="AE84" s="772">
        <v>29</v>
      </c>
      <c r="AF84" s="816">
        <v>30</v>
      </c>
      <c r="AG84" s="818">
        <v>31</v>
      </c>
      <c r="AH84" s="1"/>
    </row>
    <row r="85" spans="1:35" ht="22.15" customHeight="1" x14ac:dyDescent="0.2">
      <c r="A85" s="487"/>
      <c r="B85" s="488" t="s">
        <v>135</v>
      </c>
      <c r="C85" s="458"/>
      <c r="D85" s="482"/>
      <c r="E85" s="458"/>
      <c r="F85" s="458"/>
      <c r="G85" s="458"/>
      <c r="H85" s="458"/>
      <c r="I85" s="458"/>
      <c r="J85" s="458"/>
      <c r="K85" s="458"/>
      <c r="L85" s="458"/>
      <c r="M85" s="458"/>
      <c r="N85" s="458"/>
      <c r="O85" s="458"/>
      <c r="P85" s="458"/>
      <c r="Q85" s="458"/>
      <c r="R85" s="458"/>
      <c r="S85" s="458"/>
      <c r="T85" s="458"/>
      <c r="U85" s="458"/>
      <c r="V85" s="458"/>
      <c r="W85" s="458"/>
      <c r="X85" s="458"/>
      <c r="Y85" s="458"/>
      <c r="Z85" s="458"/>
      <c r="AA85" s="458"/>
      <c r="AB85" s="458"/>
      <c r="AC85" s="458"/>
      <c r="AD85" s="458"/>
      <c r="AE85" s="458"/>
      <c r="AF85" s="458"/>
      <c r="AG85" s="464"/>
      <c r="AH85" s="1"/>
    </row>
    <row r="86" spans="1:35" ht="22.15" customHeight="1" x14ac:dyDescent="0.2">
      <c r="A86" s="945">
        <v>2</v>
      </c>
      <c r="B86" s="935"/>
      <c r="C86" s="946"/>
      <c r="D86" s="946"/>
      <c r="E86" s="946"/>
      <c r="F86" s="947"/>
      <c r="G86" s="947"/>
      <c r="H86" s="947"/>
      <c r="I86" s="947"/>
      <c r="J86" s="947"/>
      <c r="K86" s="947"/>
      <c r="L86" s="947"/>
      <c r="M86" s="947"/>
      <c r="N86" s="947"/>
      <c r="O86" s="947"/>
      <c r="P86" s="947"/>
      <c r="Q86" s="947"/>
      <c r="R86" s="948"/>
      <c r="S86" s="948"/>
      <c r="T86" s="948"/>
      <c r="U86" s="948"/>
      <c r="V86" s="948"/>
      <c r="W86" s="946"/>
      <c r="X86" s="946"/>
      <c r="Y86" s="948"/>
      <c r="Z86" s="948"/>
      <c r="AA86" s="948"/>
      <c r="AB86" s="948"/>
      <c r="AC86" s="948"/>
      <c r="AD86" s="946"/>
      <c r="AE86" s="946"/>
      <c r="AF86" s="949"/>
      <c r="AG86" s="950"/>
      <c r="AH86" s="1"/>
    </row>
    <row r="87" spans="1:35" ht="22.15" customHeight="1" x14ac:dyDescent="0.2">
      <c r="A87" s="945">
        <v>3</v>
      </c>
      <c r="B87" s="951"/>
      <c r="C87" s="952"/>
      <c r="D87" s="952"/>
      <c r="E87" s="952"/>
      <c r="F87" s="952"/>
      <c r="G87" s="952"/>
      <c r="H87" s="952"/>
      <c r="I87" s="952"/>
      <c r="J87" s="952"/>
      <c r="K87" s="952"/>
      <c r="L87" s="952"/>
      <c r="M87" s="952"/>
      <c r="N87" s="952"/>
      <c r="O87" s="952"/>
      <c r="P87" s="952"/>
      <c r="Q87" s="952"/>
      <c r="R87" s="952"/>
      <c r="S87" s="952"/>
      <c r="T87" s="952"/>
      <c r="U87" s="952"/>
      <c r="V87" s="952"/>
      <c r="W87" s="952"/>
      <c r="X87" s="952"/>
      <c r="Y87" s="952"/>
      <c r="Z87" s="952"/>
      <c r="AA87" s="952"/>
      <c r="AB87" s="952"/>
      <c r="AC87" s="952"/>
      <c r="AD87" s="952"/>
      <c r="AE87" s="952"/>
      <c r="AF87" s="953"/>
      <c r="AG87" s="878"/>
      <c r="AH87" s="1"/>
    </row>
    <row r="88" spans="1:35" ht="22.15" customHeight="1" thickBot="1" x14ac:dyDescent="0.25">
      <c r="A88" s="945">
        <v>4</v>
      </c>
      <c r="B88" s="880"/>
      <c r="C88" s="741"/>
      <c r="D88" s="741"/>
      <c r="E88" s="741"/>
      <c r="F88" s="741"/>
      <c r="G88" s="741"/>
      <c r="H88" s="741"/>
      <c r="I88" s="741"/>
      <c r="J88" s="741"/>
      <c r="K88" s="741"/>
      <c r="L88" s="741"/>
      <c r="M88" s="741"/>
      <c r="N88" s="741"/>
      <c r="O88" s="741"/>
      <c r="P88" s="741"/>
      <c r="Q88" s="741"/>
      <c r="R88" s="742"/>
      <c r="S88" s="742"/>
      <c r="T88" s="742"/>
      <c r="U88" s="741"/>
      <c r="V88" s="741"/>
      <c r="W88" s="741"/>
      <c r="X88" s="741"/>
      <c r="Y88" s="741"/>
      <c r="Z88" s="741"/>
      <c r="AA88" s="741"/>
      <c r="AB88" s="741"/>
      <c r="AC88" s="741"/>
      <c r="AD88" s="741"/>
      <c r="AE88" s="741"/>
      <c r="AF88" s="772"/>
      <c r="AG88" s="890"/>
      <c r="AH88" s="1"/>
    </row>
    <row r="89" spans="1:35" ht="22.15" customHeight="1" x14ac:dyDescent="0.2">
      <c r="A89" s="227"/>
      <c r="B89" s="228"/>
      <c r="C89" s="229"/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30"/>
      <c r="S89" s="230"/>
      <c r="T89" s="230"/>
      <c r="U89" s="229"/>
      <c r="V89" s="229"/>
      <c r="W89" s="229"/>
      <c r="X89" s="229"/>
      <c r="Y89" s="229"/>
      <c r="Z89" s="229"/>
      <c r="AA89" s="229"/>
      <c r="AB89" s="229"/>
      <c r="AC89" s="229"/>
      <c r="AD89" s="229"/>
      <c r="AE89" s="229"/>
      <c r="AF89" s="229"/>
      <c r="AG89" s="229"/>
      <c r="AH89" s="1"/>
    </row>
    <row r="90" spans="1:35" ht="22.15" customHeight="1" x14ac:dyDescent="0.2">
      <c r="A90" s="227"/>
      <c r="B90" s="228"/>
      <c r="C90" s="229"/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30"/>
      <c r="S90" s="230"/>
      <c r="T90" s="230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29"/>
      <c r="AG90" s="229"/>
      <c r="AH90" s="1"/>
    </row>
    <row r="91" spans="1:35" ht="22.15" customHeight="1" thickBot="1" x14ac:dyDescent="0.25">
      <c r="A91" s="176" t="s">
        <v>136</v>
      </c>
      <c r="B91" s="177"/>
      <c r="C91" s="177"/>
      <c r="D91" s="177"/>
      <c r="E91" s="177"/>
      <c r="F91" s="177"/>
      <c r="G91" s="178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</row>
    <row r="92" spans="1:35" ht="22.15" customHeight="1" thickBot="1" x14ac:dyDescent="0.25">
      <c r="A92" s="179"/>
      <c r="B92" s="303" t="s">
        <v>137</v>
      </c>
      <c r="C92" s="281"/>
      <c r="D92" s="282" t="s">
        <v>90</v>
      </c>
      <c r="E92" s="283"/>
      <c r="F92" s="284"/>
      <c r="G92" s="281"/>
      <c r="H92" s="282" t="s">
        <v>91</v>
      </c>
      <c r="I92" s="283"/>
      <c r="J92" s="284"/>
      <c r="K92" s="281"/>
      <c r="L92" s="282" t="s">
        <v>92</v>
      </c>
      <c r="M92" s="283"/>
      <c r="N92" s="284"/>
      <c r="O92" s="281"/>
      <c r="P92" s="282" t="s">
        <v>93</v>
      </c>
      <c r="Q92" s="283"/>
      <c r="R92" s="284"/>
      <c r="S92" s="285"/>
      <c r="T92" s="282" t="s">
        <v>94</v>
      </c>
      <c r="U92" s="283"/>
      <c r="V92" s="284"/>
      <c r="W92" s="281"/>
      <c r="X92" s="282" t="s">
        <v>95</v>
      </c>
      <c r="Y92" s="283"/>
      <c r="Z92" s="284"/>
      <c r="AA92" s="281"/>
      <c r="AB92" s="282" t="s">
        <v>96</v>
      </c>
      <c r="AC92" s="283"/>
      <c r="AD92" s="283"/>
      <c r="AE92" s="286" t="s">
        <v>138</v>
      </c>
      <c r="AF92" s="283"/>
      <c r="AG92" s="283"/>
      <c r="AH92" s="283"/>
      <c r="AI92" s="287"/>
    </row>
    <row r="93" spans="1:35" ht="22.15" customHeight="1" x14ac:dyDescent="0.2">
      <c r="A93" s="179"/>
      <c r="B93" s="489" t="s">
        <v>139</v>
      </c>
      <c r="C93" s="490" t="s">
        <v>140</v>
      </c>
      <c r="D93" s="283"/>
      <c r="E93" s="491"/>
      <c r="F93" s="492"/>
      <c r="G93" s="490" t="s">
        <v>140</v>
      </c>
      <c r="H93" s="491"/>
      <c r="I93" s="491"/>
      <c r="J93" s="492"/>
      <c r="K93" s="288" t="s">
        <v>140</v>
      </c>
      <c r="L93" s="283"/>
      <c r="M93" s="283"/>
      <c r="N93" s="289"/>
      <c r="O93" s="288" t="s">
        <v>141</v>
      </c>
      <c r="P93" s="283"/>
      <c r="Q93" s="491"/>
      <c r="R93" s="492"/>
      <c r="S93" s="490" t="s">
        <v>142</v>
      </c>
      <c r="T93" s="491"/>
      <c r="U93" s="491"/>
      <c r="V93" s="493"/>
      <c r="W93" s="494"/>
      <c r="X93" s="495"/>
      <c r="Y93" s="495"/>
      <c r="Z93" s="496"/>
      <c r="AA93" s="493"/>
      <c r="AB93" s="491"/>
      <c r="AC93" s="491"/>
      <c r="AD93" s="493"/>
      <c r="AE93" s="497">
        <v>37</v>
      </c>
      <c r="AF93" s="283"/>
      <c r="AG93" s="491"/>
      <c r="AH93" s="493"/>
      <c r="AI93" s="498"/>
    </row>
    <row r="94" spans="1:35" ht="22.15" customHeight="1" x14ac:dyDescent="0.2">
      <c r="A94" s="179"/>
      <c r="B94" s="954" t="s">
        <v>143</v>
      </c>
      <c r="C94" s="955" t="s">
        <v>144</v>
      </c>
      <c r="D94" s="956"/>
      <c r="E94" s="956"/>
      <c r="F94" s="957"/>
      <c r="G94" s="955" t="s">
        <v>145</v>
      </c>
      <c r="H94" s="956"/>
      <c r="I94" s="956"/>
      <c r="J94" s="957"/>
      <c r="K94" s="955" t="s">
        <v>146</v>
      </c>
      <c r="L94" s="958" t="s">
        <v>147</v>
      </c>
      <c r="M94" s="956"/>
      <c r="N94" s="957"/>
      <c r="O94" s="955" t="s">
        <v>146</v>
      </c>
      <c r="P94" s="958" t="s">
        <v>147</v>
      </c>
      <c r="Q94" s="956"/>
      <c r="R94" s="957"/>
      <c r="S94" s="955" t="s">
        <v>145</v>
      </c>
      <c r="T94" s="958" t="s">
        <v>148</v>
      </c>
      <c r="U94" s="956"/>
      <c r="V94" s="957"/>
      <c r="W94" s="180" t="s">
        <v>149</v>
      </c>
      <c r="X94" s="236" t="s">
        <v>150</v>
      </c>
      <c r="Y94" s="181"/>
      <c r="Z94" s="181"/>
      <c r="AA94" s="955" t="s">
        <v>151</v>
      </c>
      <c r="AB94" s="959" t="s">
        <v>152</v>
      </c>
      <c r="AC94" s="955"/>
      <c r="AD94" s="955"/>
      <c r="AE94" s="960">
        <v>68</v>
      </c>
      <c r="AF94" s="956"/>
      <c r="AG94" s="961"/>
      <c r="AH94" s="962"/>
      <c r="AI94" s="963"/>
    </row>
    <row r="95" spans="1:35" ht="22.15" customHeight="1" x14ac:dyDescent="0.2">
      <c r="A95" s="179"/>
      <c r="B95" s="954" t="s">
        <v>153</v>
      </c>
      <c r="C95" s="964" t="s">
        <v>154</v>
      </c>
      <c r="D95" s="956"/>
      <c r="E95" s="956"/>
      <c r="F95" s="957"/>
      <c r="G95" s="956" t="s">
        <v>154</v>
      </c>
      <c r="H95" s="956"/>
      <c r="I95" s="956"/>
      <c r="J95" s="957"/>
      <c r="K95" s="956" t="s">
        <v>154</v>
      </c>
      <c r="L95" s="956"/>
      <c r="M95" s="956"/>
      <c r="N95" s="957"/>
      <c r="O95" s="956" t="s">
        <v>154</v>
      </c>
      <c r="P95" s="956"/>
      <c r="Q95" s="956"/>
      <c r="R95" s="957"/>
      <c r="S95" s="956" t="s">
        <v>154</v>
      </c>
      <c r="T95" s="956"/>
      <c r="U95" s="956"/>
      <c r="V95" s="957"/>
      <c r="W95" s="955"/>
      <c r="X95" s="956"/>
      <c r="Y95" s="956"/>
      <c r="Z95" s="957"/>
      <c r="AA95" s="955"/>
      <c r="AB95" s="956"/>
      <c r="AC95" s="956"/>
      <c r="AD95" s="958"/>
      <c r="AE95" s="960">
        <v>0</v>
      </c>
      <c r="AF95" s="961"/>
      <c r="AG95" s="956"/>
      <c r="AH95" s="958"/>
      <c r="AI95" s="965"/>
    </row>
    <row r="96" spans="1:35" ht="22.15" customHeight="1" thickBot="1" x14ac:dyDescent="0.25">
      <c r="A96" s="179"/>
      <c r="B96" s="966" t="s">
        <v>155</v>
      </c>
      <c r="C96" s="967" t="s">
        <v>140</v>
      </c>
      <c r="D96" s="968"/>
      <c r="E96" s="969"/>
      <c r="F96" s="970"/>
      <c r="G96" s="967" t="s">
        <v>140</v>
      </c>
      <c r="H96" s="968"/>
      <c r="I96" s="969"/>
      <c r="J96" s="970"/>
      <c r="K96" s="967" t="s">
        <v>140</v>
      </c>
      <c r="L96" s="968"/>
      <c r="M96" s="969"/>
      <c r="N96" s="970"/>
      <c r="O96" s="967" t="s">
        <v>141</v>
      </c>
      <c r="P96" s="969"/>
      <c r="Q96" s="969"/>
      <c r="R96" s="970"/>
      <c r="S96" s="967" t="s">
        <v>142</v>
      </c>
      <c r="T96" s="969"/>
      <c r="U96" s="969"/>
      <c r="V96" s="971"/>
      <c r="W96" s="972"/>
      <c r="X96" s="969"/>
      <c r="Y96" s="969"/>
      <c r="Z96" s="973"/>
      <c r="AA96" s="971"/>
      <c r="AB96" s="969"/>
      <c r="AC96" s="969"/>
      <c r="AD96" s="971"/>
      <c r="AE96" s="974">
        <v>37</v>
      </c>
      <c r="AF96" s="969"/>
      <c r="AG96" s="969"/>
      <c r="AH96" s="971"/>
      <c r="AI96" s="975"/>
    </row>
    <row r="97" spans="1:35" ht="22.15" customHeight="1" x14ac:dyDescent="0.2">
      <c r="A97" s="182"/>
      <c r="B97" s="179"/>
      <c r="C97" s="177"/>
      <c r="D97" s="181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</row>
    <row r="98" spans="1:35" ht="22.15" customHeight="1" thickBot="1" x14ac:dyDescent="0.25">
      <c r="A98" s="976"/>
      <c r="B98" s="977" t="s">
        <v>29</v>
      </c>
      <c r="C98" s="816">
        <v>1</v>
      </c>
      <c r="D98" s="816">
        <v>2</v>
      </c>
      <c r="E98" s="816">
        <v>3</v>
      </c>
      <c r="F98" s="772">
        <v>4</v>
      </c>
      <c r="G98" s="817">
        <v>5</v>
      </c>
      <c r="H98" s="772">
        <v>6</v>
      </c>
      <c r="I98" s="772">
        <v>7</v>
      </c>
      <c r="J98" s="816">
        <v>8</v>
      </c>
      <c r="K98" s="816">
        <v>9</v>
      </c>
      <c r="L98" s="816">
        <v>10</v>
      </c>
      <c r="M98" s="772">
        <v>11</v>
      </c>
      <c r="N98" s="772">
        <v>12</v>
      </c>
      <c r="O98" s="772">
        <v>13</v>
      </c>
      <c r="P98" s="772">
        <v>14</v>
      </c>
      <c r="Q98" s="772">
        <v>15</v>
      </c>
      <c r="R98" s="816">
        <v>16</v>
      </c>
      <c r="S98" s="816">
        <v>17</v>
      </c>
      <c r="T98" s="772">
        <v>18</v>
      </c>
      <c r="U98" s="772">
        <v>19</v>
      </c>
      <c r="V98" s="772">
        <v>20</v>
      </c>
      <c r="W98" s="816">
        <v>21</v>
      </c>
      <c r="X98" s="772">
        <v>22</v>
      </c>
      <c r="Y98" s="816">
        <v>23</v>
      </c>
      <c r="Z98" s="816">
        <v>24</v>
      </c>
      <c r="AA98" s="772">
        <v>25</v>
      </c>
      <c r="AB98" s="772">
        <v>26</v>
      </c>
      <c r="AC98" s="772">
        <v>27</v>
      </c>
      <c r="AD98" s="772">
        <v>28</v>
      </c>
      <c r="AE98" s="772">
        <v>29</v>
      </c>
      <c r="AF98" s="816">
        <v>30</v>
      </c>
      <c r="AG98" s="818">
        <v>31</v>
      </c>
      <c r="AH98" s="191"/>
      <c r="AI98" s="192"/>
    </row>
    <row r="99" spans="1:35" ht="22.15" customHeight="1" x14ac:dyDescent="0.2">
      <c r="A99" s="499">
        <v>1</v>
      </c>
      <c r="B99" s="476"/>
      <c r="C99" s="842" t="s">
        <v>110</v>
      </c>
      <c r="D99" s="842" t="s">
        <v>46</v>
      </c>
      <c r="E99" s="842" t="s">
        <v>46</v>
      </c>
      <c r="F99" s="769" t="s">
        <v>35</v>
      </c>
      <c r="G99" s="842" t="s">
        <v>35</v>
      </c>
      <c r="H99" s="842" t="s">
        <v>35</v>
      </c>
      <c r="I99" s="842" t="s">
        <v>35</v>
      </c>
      <c r="J99" s="842" t="s">
        <v>35</v>
      </c>
      <c r="K99" s="842"/>
      <c r="L99" s="842"/>
      <c r="M99" s="978" t="s">
        <v>156</v>
      </c>
      <c r="N99" s="978" t="s">
        <v>156</v>
      </c>
      <c r="O99" s="978" t="s">
        <v>156</v>
      </c>
      <c r="P99" s="978" t="s">
        <v>156</v>
      </c>
      <c r="Q99" s="842" t="s">
        <v>156</v>
      </c>
      <c r="R99" s="842"/>
      <c r="S99" s="842"/>
      <c r="T99" s="842" t="s">
        <v>156</v>
      </c>
      <c r="U99" s="842" t="s">
        <v>156</v>
      </c>
      <c r="V99" s="842" t="s">
        <v>156</v>
      </c>
      <c r="W99" s="842"/>
      <c r="X99" s="842" t="s">
        <v>156</v>
      </c>
      <c r="Y99" s="842"/>
      <c r="Z99" s="842"/>
      <c r="AA99" s="842" t="s">
        <v>110</v>
      </c>
      <c r="AB99" s="842" t="s">
        <v>110</v>
      </c>
      <c r="AC99" s="842" t="s">
        <v>110</v>
      </c>
      <c r="AD99" s="842" t="s">
        <v>110</v>
      </c>
      <c r="AE99" s="842" t="s">
        <v>110</v>
      </c>
      <c r="AF99" s="842" t="s">
        <v>46</v>
      </c>
      <c r="AG99" s="736" t="s">
        <v>46</v>
      </c>
      <c r="AH99" s="193"/>
      <c r="AI99" s="194"/>
    </row>
    <row r="100" spans="1:35" ht="22.15" customHeight="1" x14ac:dyDescent="0.2">
      <c r="A100" s="979">
        <v>2</v>
      </c>
      <c r="B100" s="832" t="s">
        <v>157</v>
      </c>
      <c r="C100" s="980"/>
      <c r="D100" s="980"/>
      <c r="E100" s="980"/>
      <c r="F100" s="980" t="s">
        <v>110</v>
      </c>
      <c r="G100" s="980" t="s">
        <v>110</v>
      </c>
      <c r="H100" s="980" t="s">
        <v>110</v>
      </c>
      <c r="I100" s="980" t="s">
        <v>110</v>
      </c>
      <c r="J100" s="980" t="s">
        <v>46</v>
      </c>
      <c r="K100" s="771" t="s">
        <v>46</v>
      </c>
      <c r="L100" s="849" t="s">
        <v>46</v>
      </c>
      <c r="M100" s="849" t="s">
        <v>35</v>
      </c>
      <c r="N100" s="849" t="s">
        <v>35</v>
      </c>
      <c r="O100" s="849" t="s">
        <v>35</v>
      </c>
      <c r="P100" s="849" t="s">
        <v>35</v>
      </c>
      <c r="Q100" s="849" t="s">
        <v>35</v>
      </c>
      <c r="R100" s="849"/>
      <c r="S100" s="849"/>
      <c r="T100" s="849" t="s">
        <v>158</v>
      </c>
      <c r="U100" s="978" t="s">
        <v>156</v>
      </c>
      <c r="V100" s="978" t="s">
        <v>156</v>
      </c>
      <c r="W100" s="981"/>
      <c r="X100" s="978" t="s">
        <v>158</v>
      </c>
      <c r="Y100" s="849"/>
      <c r="Z100" s="849"/>
      <c r="AA100" s="978" t="s">
        <v>156</v>
      </c>
      <c r="AB100" s="978" t="s">
        <v>156</v>
      </c>
      <c r="AC100" s="978" t="s">
        <v>156</v>
      </c>
      <c r="AD100" s="978" t="s">
        <v>156</v>
      </c>
      <c r="AE100" s="978" t="s">
        <v>156</v>
      </c>
      <c r="AF100" s="978"/>
      <c r="AG100" s="982"/>
      <c r="AH100" s="193"/>
      <c r="AI100" s="194"/>
    </row>
    <row r="101" spans="1:35" ht="22.15" customHeight="1" x14ac:dyDescent="0.2">
      <c r="A101" s="979">
        <v>3</v>
      </c>
      <c r="B101" s="983" t="s">
        <v>159</v>
      </c>
      <c r="C101" s="849" t="s">
        <v>47</v>
      </c>
      <c r="D101" s="849" t="s">
        <v>47</v>
      </c>
      <c r="E101" s="891"/>
      <c r="F101" s="842" t="s">
        <v>35</v>
      </c>
      <c r="G101" s="842" t="s">
        <v>35</v>
      </c>
      <c r="H101" s="849" t="s">
        <v>47</v>
      </c>
      <c r="I101" s="849" t="s">
        <v>47</v>
      </c>
      <c r="J101" s="849" t="s">
        <v>47</v>
      </c>
      <c r="K101" s="980"/>
      <c r="L101" s="980"/>
      <c r="M101" s="980" t="s">
        <v>110</v>
      </c>
      <c r="N101" s="885" t="s">
        <v>110</v>
      </c>
      <c r="O101" s="885" t="s">
        <v>110</v>
      </c>
      <c r="P101" s="885" t="s">
        <v>110</v>
      </c>
      <c r="Q101" s="885" t="s">
        <v>110</v>
      </c>
      <c r="R101" s="984" t="s">
        <v>46</v>
      </c>
      <c r="S101" s="985" t="s">
        <v>46</v>
      </c>
      <c r="T101" s="978" t="s">
        <v>35</v>
      </c>
      <c r="U101" s="849" t="s">
        <v>35</v>
      </c>
      <c r="V101" s="849" t="s">
        <v>35</v>
      </c>
      <c r="W101" s="849" t="s">
        <v>35</v>
      </c>
      <c r="X101" s="849" t="s">
        <v>35</v>
      </c>
      <c r="Y101" s="885"/>
      <c r="Z101" s="978"/>
      <c r="AA101" s="978" t="s">
        <v>156</v>
      </c>
      <c r="AB101" s="978" t="s">
        <v>156</v>
      </c>
      <c r="AC101" s="849" t="s">
        <v>47</v>
      </c>
      <c r="AD101" s="981" t="s">
        <v>35</v>
      </c>
      <c r="AE101" s="728" t="s">
        <v>31</v>
      </c>
      <c r="AF101" s="849"/>
      <c r="AG101" s="986"/>
      <c r="AH101" s="193"/>
      <c r="AI101" s="194"/>
    </row>
    <row r="102" spans="1:35" ht="22.15" customHeight="1" thickBot="1" x14ac:dyDescent="0.25">
      <c r="A102" s="987">
        <v>4</v>
      </c>
      <c r="B102" s="988"/>
      <c r="C102" s="918" t="s">
        <v>35</v>
      </c>
      <c r="D102" s="918"/>
      <c r="E102" s="918"/>
      <c r="F102" s="918" t="s">
        <v>156</v>
      </c>
      <c r="G102" s="918" t="s">
        <v>156</v>
      </c>
      <c r="H102" s="918" t="s">
        <v>156</v>
      </c>
      <c r="I102" s="918" t="s">
        <v>156</v>
      </c>
      <c r="J102" s="918"/>
      <c r="K102" s="918"/>
      <c r="L102" s="918"/>
      <c r="M102" s="918" t="s">
        <v>156</v>
      </c>
      <c r="N102" s="918" t="s">
        <v>156</v>
      </c>
      <c r="O102" s="918" t="s">
        <v>156</v>
      </c>
      <c r="P102" s="918" t="s">
        <v>156</v>
      </c>
      <c r="Q102" s="918" t="s">
        <v>156</v>
      </c>
      <c r="R102" s="918" t="s">
        <v>0</v>
      </c>
      <c r="S102" s="918" t="s">
        <v>0</v>
      </c>
      <c r="T102" s="918" t="s">
        <v>110</v>
      </c>
      <c r="U102" s="918" t="s">
        <v>110</v>
      </c>
      <c r="V102" s="918" t="s">
        <v>110</v>
      </c>
      <c r="W102" s="918" t="s">
        <v>110</v>
      </c>
      <c r="X102" s="918" t="s">
        <v>110</v>
      </c>
      <c r="Y102" s="918" t="s">
        <v>46</v>
      </c>
      <c r="Z102" s="918" t="s">
        <v>46</v>
      </c>
      <c r="AA102" s="989" t="s">
        <v>35</v>
      </c>
      <c r="AB102" s="989" t="s">
        <v>35</v>
      </c>
      <c r="AC102" s="989" t="s">
        <v>35</v>
      </c>
      <c r="AD102" s="989" t="s">
        <v>35</v>
      </c>
      <c r="AE102" s="989" t="s">
        <v>35</v>
      </c>
      <c r="AF102" s="918"/>
      <c r="AG102" s="990"/>
      <c r="AH102" s="193"/>
      <c r="AI102" s="194"/>
    </row>
    <row r="103" spans="1:35" ht="22.15" customHeight="1" thickBot="1" x14ac:dyDescent="0.25">
      <c r="A103" s="231"/>
      <c r="B103" s="232"/>
      <c r="C103" s="233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3"/>
      <c r="U103" s="233"/>
      <c r="V103" s="233"/>
      <c r="W103" s="233"/>
      <c r="X103" s="233"/>
      <c r="Y103" s="233"/>
      <c r="Z103" s="233"/>
      <c r="AA103" s="233"/>
      <c r="AB103" s="233"/>
      <c r="AC103" s="233"/>
      <c r="AD103" s="233"/>
      <c r="AE103" s="233"/>
      <c r="AF103" s="233"/>
      <c r="AG103" s="234"/>
      <c r="AH103" s="235"/>
      <c r="AI103" s="194"/>
    </row>
    <row r="104" spans="1:35" ht="22.15" customHeight="1" x14ac:dyDescent="0.2">
      <c r="A104" s="72"/>
      <c r="B104" s="304" t="s">
        <v>160</v>
      </c>
      <c r="C104" s="500"/>
      <c r="D104" s="501" t="s">
        <v>90</v>
      </c>
      <c r="E104" s="502"/>
      <c r="F104" s="500"/>
      <c r="G104" s="503" t="s">
        <v>91</v>
      </c>
      <c r="H104" s="504"/>
      <c r="I104" s="505"/>
      <c r="J104" s="503" t="s">
        <v>92</v>
      </c>
      <c r="K104" s="506"/>
      <c r="L104" s="505"/>
      <c r="M104" s="507" t="s">
        <v>93</v>
      </c>
      <c r="N104" s="506"/>
      <c r="O104" s="505"/>
      <c r="P104" s="503" t="s">
        <v>94</v>
      </c>
      <c r="Q104" s="508"/>
      <c r="R104" s="505"/>
      <c r="S104" s="503" t="s">
        <v>95</v>
      </c>
      <c r="T104" s="509"/>
      <c r="U104" s="505"/>
      <c r="V104" s="503" t="s">
        <v>96</v>
      </c>
      <c r="W104" s="508"/>
      <c r="X104" s="510" t="s">
        <v>138</v>
      </c>
      <c r="Y104" s="511"/>
      <c r="Z104" s="511"/>
      <c r="AA104" s="512"/>
      <c r="AB104" s="290" t="s">
        <v>97</v>
      </c>
      <c r="AC104" s="291"/>
      <c r="AD104" s="291"/>
      <c r="AE104" s="292"/>
      <c r="AF104" s="292"/>
      <c r="AG104" s="293"/>
      <c r="AH104" s="235"/>
      <c r="AI104" s="194"/>
    </row>
    <row r="105" spans="1:35" ht="22.15" customHeight="1" x14ac:dyDescent="0.2">
      <c r="A105" s="72"/>
      <c r="B105" s="762" t="s">
        <v>161</v>
      </c>
      <c r="C105" s="991" t="s">
        <v>162</v>
      </c>
      <c r="D105" s="802"/>
      <c r="E105" s="803"/>
      <c r="F105" s="991" t="s">
        <v>162</v>
      </c>
      <c r="G105" s="802"/>
      <c r="H105" s="803"/>
      <c r="I105" s="991" t="s">
        <v>162</v>
      </c>
      <c r="J105" s="802"/>
      <c r="K105" s="803"/>
      <c r="L105" s="991" t="s">
        <v>162</v>
      </c>
      <c r="M105" s="802"/>
      <c r="N105" s="803"/>
      <c r="O105" s="991" t="s">
        <v>163</v>
      </c>
      <c r="P105" s="802"/>
      <c r="Q105" s="803"/>
      <c r="R105" s="991"/>
      <c r="S105" s="802"/>
      <c r="T105" s="803"/>
      <c r="U105" s="991"/>
      <c r="V105" s="802"/>
      <c r="W105" s="803"/>
      <c r="X105" s="991"/>
      <c r="Y105" s="992"/>
      <c r="Z105" s="992"/>
      <c r="AA105" s="992"/>
      <c r="AB105" s="800"/>
      <c r="AC105" s="992"/>
      <c r="AD105" s="992"/>
      <c r="AE105" s="992"/>
      <c r="AF105" s="992"/>
      <c r="AG105" s="993"/>
      <c r="AH105" s="235"/>
      <c r="AI105" s="194"/>
    </row>
    <row r="106" spans="1:35" ht="22.15" customHeight="1" x14ac:dyDescent="0.2">
      <c r="A106" s="72"/>
      <c r="B106" s="17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235"/>
      <c r="AI106" s="194"/>
    </row>
    <row r="107" spans="1:35" ht="22.15" customHeight="1" thickBot="1" x14ac:dyDescent="0.25">
      <c r="A107" s="944" t="s">
        <v>28</v>
      </c>
      <c r="B107" s="766" t="s">
        <v>29</v>
      </c>
      <c r="C107" s="816">
        <v>1</v>
      </c>
      <c r="D107" s="816">
        <v>2</v>
      </c>
      <c r="E107" s="816">
        <v>3</v>
      </c>
      <c r="F107" s="772">
        <v>4</v>
      </c>
      <c r="G107" s="817">
        <v>5</v>
      </c>
      <c r="H107" s="772">
        <v>6</v>
      </c>
      <c r="I107" s="772">
        <v>7</v>
      </c>
      <c r="J107" s="816">
        <v>8</v>
      </c>
      <c r="K107" s="816">
        <v>9</v>
      </c>
      <c r="L107" s="816">
        <v>10</v>
      </c>
      <c r="M107" s="772">
        <v>11</v>
      </c>
      <c r="N107" s="772">
        <v>12</v>
      </c>
      <c r="O107" s="772">
        <v>13</v>
      </c>
      <c r="P107" s="772">
        <v>14</v>
      </c>
      <c r="Q107" s="772">
        <v>15</v>
      </c>
      <c r="R107" s="816">
        <v>16</v>
      </c>
      <c r="S107" s="816">
        <v>17</v>
      </c>
      <c r="T107" s="772">
        <v>18</v>
      </c>
      <c r="U107" s="772">
        <v>19</v>
      </c>
      <c r="V107" s="772">
        <v>20</v>
      </c>
      <c r="W107" s="816">
        <v>21</v>
      </c>
      <c r="X107" s="772">
        <v>22</v>
      </c>
      <c r="Y107" s="816">
        <v>23</v>
      </c>
      <c r="Z107" s="816">
        <v>24</v>
      </c>
      <c r="AA107" s="772">
        <v>25</v>
      </c>
      <c r="AB107" s="772">
        <v>26</v>
      </c>
      <c r="AC107" s="772">
        <v>27</v>
      </c>
      <c r="AD107" s="772">
        <v>28</v>
      </c>
      <c r="AE107" s="772">
        <v>29</v>
      </c>
      <c r="AF107" s="816">
        <v>30</v>
      </c>
      <c r="AG107" s="818">
        <v>31</v>
      </c>
      <c r="AH107" s="235"/>
      <c r="AI107" s="194"/>
    </row>
    <row r="108" spans="1:35" ht="22.15" customHeight="1" x14ac:dyDescent="0.2">
      <c r="A108" s="513">
        <v>8520</v>
      </c>
      <c r="B108" s="514" t="s">
        <v>164</v>
      </c>
      <c r="C108" s="458"/>
      <c r="D108" s="458"/>
      <c r="E108" s="458"/>
      <c r="F108" s="458" t="s">
        <v>165</v>
      </c>
      <c r="G108" s="458" t="s">
        <v>165</v>
      </c>
      <c r="H108" s="458" t="s">
        <v>165</v>
      </c>
      <c r="I108" s="458" t="s">
        <v>165</v>
      </c>
      <c r="J108" s="458"/>
      <c r="K108" s="458"/>
      <c r="L108" s="458"/>
      <c r="M108" s="458" t="s">
        <v>165</v>
      </c>
      <c r="N108" s="458" t="s">
        <v>165</v>
      </c>
      <c r="O108" s="458" t="s">
        <v>165</v>
      </c>
      <c r="P108" s="458" t="s">
        <v>165</v>
      </c>
      <c r="Q108" s="458" t="s">
        <v>165</v>
      </c>
      <c r="R108" s="458"/>
      <c r="S108" s="458"/>
      <c r="T108" s="458" t="s">
        <v>165</v>
      </c>
      <c r="U108" s="458" t="s">
        <v>165</v>
      </c>
      <c r="V108" s="458" t="s">
        <v>165</v>
      </c>
      <c r="W108" s="458"/>
      <c r="X108" s="458" t="s">
        <v>165</v>
      </c>
      <c r="Y108" s="458"/>
      <c r="Z108" s="458"/>
      <c r="AA108" s="458" t="s">
        <v>165</v>
      </c>
      <c r="AB108" s="458" t="s">
        <v>165</v>
      </c>
      <c r="AC108" s="458" t="s">
        <v>165</v>
      </c>
      <c r="AD108" s="458" t="s">
        <v>165</v>
      </c>
      <c r="AE108" s="458" t="s">
        <v>165</v>
      </c>
      <c r="AF108" s="458"/>
      <c r="AG108" s="464"/>
      <c r="AH108" s="235"/>
      <c r="AI108" s="194"/>
    </row>
    <row r="109" spans="1:35" ht="22.15" customHeight="1" x14ac:dyDescent="0.2">
      <c r="A109" s="243"/>
      <c r="B109" s="242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35"/>
      <c r="AI109" s="194"/>
    </row>
    <row r="110" spans="1:35" ht="22.15" customHeight="1" x14ac:dyDescent="0.2">
      <c r="AH110" s="107"/>
      <c r="AI110" s="107"/>
    </row>
    <row r="111" spans="1:35" ht="22.15" customHeight="1" thickBot="1" x14ac:dyDescent="0.25">
      <c r="A111" s="173" t="s">
        <v>166</v>
      </c>
      <c r="B111" s="174"/>
      <c r="C111" s="174"/>
      <c r="D111" s="175"/>
      <c r="E111" s="175"/>
      <c r="F111" s="175"/>
      <c r="G111" s="10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4"/>
      <c r="AI111" s="174"/>
    </row>
    <row r="112" spans="1:35" ht="22.15" customHeight="1" x14ac:dyDescent="0.2">
      <c r="A112" s="173"/>
      <c r="B112" s="304" t="s">
        <v>167</v>
      </c>
      <c r="C112" s="515"/>
      <c r="D112" s="516" t="s">
        <v>90</v>
      </c>
      <c r="E112" s="517"/>
      <c r="F112" s="518"/>
      <c r="G112" s="515"/>
      <c r="H112" s="516" t="s">
        <v>91</v>
      </c>
      <c r="I112" s="517"/>
      <c r="J112" s="518"/>
      <c r="K112" s="515"/>
      <c r="L112" s="516" t="s">
        <v>92</v>
      </c>
      <c r="M112" s="517"/>
      <c r="N112" s="518"/>
      <c r="O112" s="515"/>
      <c r="P112" s="516" t="s">
        <v>93</v>
      </c>
      <c r="Q112" s="517"/>
      <c r="R112" s="518"/>
      <c r="S112" s="515"/>
      <c r="T112" s="516" t="s">
        <v>94</v>
      </c>
      <c r="U112" s="517"/>
      <c r="V112" s="518"/>
      <c r="W112" s="515"/>
      <c r="X112" s="516" t="s">
        <v>95</v>
      </c>
      <c r="Y112" s="517"/>
      <c r="Z112" s="518"/>
      <c r="AA112" s="515"/>
      <c r="AB112" s="516" t="s">
        <v>96</v>
      </c>
      <c r="AC112" s="517"/>
      <c r="AD112" s="517"/>
      <c r="AE112" s="519" t="s">
        <v>97</v>
      </c>
      <c r="AF112" s="517"/>
      <c r="AG112" s="517"/>
      <c r="AH112" s="517"/>
      <c r="AI112" s="520"/>
    </row>
    <row r="113" spans="1:35" ht="22.15" customHeight="1" x14ac:dyDescent="0.2">
      <c r="A113" s="173"/>
      <c r="B113" s="757" t="s">
        <v>139</v>
      </c>
      <c r="C113" s="994">
        <v>69</v>
      </c>
      <c r="D113" s="995" t="s">
        <v>168</v>
      </c>
      <c r="E113" s="995"/>
      <c r="F113" s="996"/>
      <c r="G113" s="994">
        <v>69</v>
      </c>
      <c r="H113" s="995" t="s">
        <v>168</v>
      </c>
      <c r="I113" s="995"/>
      <c r="J113" s="996"/>
      <c r="K113" s="994">
        <v>69</v>
      </c>
      <c r="L113" s="995" t="s">
        <v>168</v>
      </c>
      <c r="M113" s="995"/>
      <c r="N113" s="996"/>
      <c r="O113" s="994">
        <v>69</v>
      </c>
      <c r="P113" s="995" t="s">
        <v>168</v>
      </c>
      <c r="Q113" s="995"/>
      <c r="R113" s="996"/>
      <c r="S113" s="994">
        <v>69</v>
      </c>
      <c r="T113" s="995" t="s">
        <v>168</v>
      </c>
      <c r="U113" s="995"/>
      <c r="V113" s="996"/>
      <c r="W113" s="994"/>
      <c r="X113" s="997"/>
      <c r="Y113" s="997"/>
      <c r="Z113" s="998"/>
      <c r="AA113" s="994"/>
      <c r="AB113" s="995"/>
      <c r="AC113" s="995"/>
      <c r="AD113" s="907"/>
      <c r="AE113" s="999">
        <v>35</v>
      </c>
      <c r="AF113" s="995"/>
      <c r="AG113" s="995"/>
      <c r="AH113" s="907"/>
      <c r="AI113" s="1000"/>
    </row>
    <row r="114" spans="1:35" ht="22.15" customHeight="1" x14ac:dyDescent="0.2">
      <c r="A114" s="173"/>
      <c r="B114" s="757" t="s">
        <v>143</v>
      </c>
      <c r="C114" s="994">
        <v>79</v>
      </c>
      <c r="D114" s="995" t="s">
        <v>169</v>
      </c>
      <c r="E114" s="995"/>
      <c r="F114" s="996"/>
      <c r="G114" s="994">
        <v>79</v>
      </c>
      <c r="H114" s="995" t="s">
        <v>169</v>
      </c>
      <c r="I114" s="995"/>
      <c r="J114" s="996"/>
      <c r="K114" s="994">
        <v>79</v>
      </c>
      <c r="L114" s="995" t="s">
        <v>169</v>
      </c>
      <c r="M114" s="995"/>
      <c r="N114" s="996"/>
      <c r="O114" s="994">
        <v>79</v>
      </c>
      <c r="P114" s="995" t="s">
        <v>169</v>
      </c>
      <c r="Q114" s="995"/>
      <c r="R114" s="996"/>
      <c r="S114" s="994">
        <v>79</v>
      </c>
      <c r="T114" s="995" t="s">
        <v>169</v>
      </c>
      <c r="U114" s="995"/>
      <c r="V114" s="996"/>
      <c r="W114" s="994"/>
      <c r="X114" s="995"/>
      <c r="Y114" s="995"/>
      <c r="Z114" s="996"/>
      <c r="AA114" s="995"/>
      <c r="AB114" s="995"/>
      <c r="AC114" s="995"/>
      <c r="AD114" s="907"/>
      <c r="AE114" s="999">
        <v>40</v>
      </c>
      <c r="AF114" s="995"/>
      <c r="AG114" s="995"/>
      <c r="AH114" s="907"/>
      <c r="AI114" s="1000"/>
    </row>
    <row r="115" spans="1:35" ht="22.15" customHeight="1" x14ac:dyDescent="0.2">
      <c r="A115" s="173"/>
      <c r="B115" s="757" t="s">
        <v>153</v>
      </c>
      <c r="C115" s="994">
        <v>89</v>
      </c>
      <c r="D115" s="995" t="s">
        <v>170</v>
      </c>
      <c r="E115" s="995"/>
      <c r="F115" s="996"/>
      <c r="G115" s="994">
        <v>89</v>
      </c>
      <c r="H115" s="995" t="s">
        <v>170</v>
      </c>
      <c r="I115" s="995"/>
      <c r="J115" s="996"/>
      <c r="K115" s="994">
        <v>89</v>
      </c>
      <c r="L115" s="995" t="s">
        <v>170</v>
      </c>
      <c r="M115" s="995"/>
      <c r="N115" s="996"/>
      <c r="O115" s="994">
        <v>89</v>
      </c>
      <c r="P115" s="995" t="s">
        <v>170</v>
      </c>
      <c r="Q115" s="995"/>
      <c r="R115" s="996"/>
      <c r="S115" s="994">
        <v>89</v>
      </c>
      <c r="T115" s="995" t="s">
        <v>171</v>
      </c>
      <c r="U115" s="995"/>
      <c r="V115" s="996"/>
      <c r="W115" s="1001"/>
      <c r="X115" s="1002" t="s">
        <v>172</v>
      </c>
      <c r="Y115" s="1002"/>
      <c r="Z115" s="1003"/>
      <c r="AA115" s="1001"/>
      <c r="AB115" s="1002"/>
      <c r="AC115" s="1002"/>
      <c r="AD115" s="909"/>
      <c r="AE115" s="999">
        <v>44</v>
      </c>
      <c r="AF115" s="995"/>
      <c r="AG115" s="995"/>
      <c r="AH115" s="907"/>
      <c r="AI115" s="1000"/>
    </row>
    <row r="116" spans="1:35" ht="22.15" customHeight="1" x14ac:dyDescent="0.2">
      <c r="A116" s="173"/>
      <c r="B116" s="38" t="s">
        <v>155</v>
      </c>
      <c r="C116" s="1001">
        <v>99</v>
      </c>
      <c r="D116" s="1002" t="s">
        <v>173</v>
      </c>
      <c r="E116" s="1002"/>
      <c r="F116" s="1003"/>
      <c r="G116" s="1001">
        <v>99</v>
      </c>
      <c r="H116" s="1002" t="s">
        <v>173</v>
      </c>
      <c r="I116" s="1002"/>
      <c r="J116" s="1003"/>
      <c r="K116" s="1001">
        <v>99</v>
      </c>
      <c r="L116" s="1002" t="s">
        <v>173</v>
      </c>
      <c r="M116" s="1002"/>
      <c r="N116" s="1003"/>
      <c r="O116" s="1001">
        <v>99</v>
      </c>
      <c r="P116" s="1002" t="s">
        <v>173</v>
      </c>
      <c r="Q116" s="1002"/>
      <c r="R116" s="1003"/>
      <c r="S116" s="1001">
        <v>99</v>
      </c>
      <c r="T116" s="1002" t="s">
        <v>154</v>
      </c>
      <c r="U116" s="1002"/>
      <c r="V116" s="909"/>
      <c r="W116" s="908"/>
      <c r="X116" s="909"/>
      <c r="Y116" s="1002"/>
      <c r="Z116" s="1003"/>
      <c r="AA116" s="908"/>
      <c r="AB116" s="909"/>
      <c r="AC116" s="1002"/>
      <c r="AD116" s="1003"/>
      <c r="AE116" s="1004">
        <v>28</v>
      </c>
      <c r="AF116" s="1002"/>
      <c r="AG116" s="1002"/>
      <c r="AH116" s="909"/>
      <c r="AI116" s="1005"/>
    </row>
    <row r="117" spans="1:35" ht="22.15" customHeight="1" thickBot="1" x14ac:dyDescent="0.25">
      <c r="A117" s="173"/>
      <c r="B117" s="754" t="s">
        <v>174</v>
      </c>
      <c r="C117" s="1006" t="s">
        <v>175</v>
      </c>
      <c r="D117" s="1007" t="s">
        <v>176</v>
      </c>
      <c r="E117" s="763"/>
      <c r="F117" s="869"/>
      <c r="G117" s="1006" t="s">
        <v>175</v>
      </c>
      <c r="H117" s="1007" t="s">
        <v>176</v>
      </c>
      <c r="I117" s="755"/>
      <c r="J117" s="763"/>
      <c r="K117" s="1006" t="s">
        <v>175</v>
      </c>
      <c r="L117" s="1007" t="s">
        <v>176</v>
      </c>
      <c r="M117" s="763"/>
      <c r="N117" s="1008"/>
      <c r="O117" s="1006" t="s">
        <v>175</v>
      </c>
      <c r="P117" s="1007" t="s">
        <v>176</v>
      </c>
      <c r="Q117" s="763"/>
      <c r="R117" s="1007"/>
      <c r="S117" s="1006" t="s">
        <v>175</v>
      </c>
      <c r="T117" s="871" t="s">
        <v>177</v>
      </c>
      <c r="U117" s="1007"/>
      <c r="V117" s="1008"/>
      <c r="W117" s="763"/>
      <c r="X117" s="1007"/>
      <c r="Y117" s="1007"/>
      <c r="Z117" s="1007"/>
      <c r="AA117" s="1009"/>
      <c r="AB117" s="1010"/>
      <c r="AC117" s="1007"/>
      <c r="AD117" s="1011"/>
      <c r="AE117" s="1007"/>
      <c r="AF117" s="1007"/>
      <c r="AG117" s="1007"/>
      <c r="AH117" s="1012"/>
      <c r="AI117" s="1013"/>
    </row>
    <row r="118" spans="1:35" ht="22.15" customHeight="1" x14ac:dyDescent="0.2">
      <c r="A118" s="108"/>
      <c r="B118" s="173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4"/>
      <c r="AI118" s="174"/>
    </row>
    <row r="119" spans="1:35" ht="22.15" customHeight="1" thickBot="1" x14ac:dyDescent="0.25">
      <c r="A119" s="944"/>
      <c r="B119" s="766" t="s">
        <v>29</v>
      </c>
      <c r="C119" s="816">
        <v>1</v>
      </c>
      <c r="D119" s="816">
        <v>2</v>
      </c>
      <c r="E119" s="816">
        <v>3</v>
      </c>
      <c r="F119" s="772">
        <v>4</v>
      </c>
      <c r="G119" s="817">
        <v>5</v>
      </c>
      <c r="H119" s="772">
        <v>6</v>
      </c>
      <c r="I119" s="772">
        <v>7</v>
      </c>
      <c r="J119" s="816">
        <v>8</v>
      </c>
      <c r="K119" s="816">
        <v>9</v>
      </c>
      <c r="L119" s="816">
        <v>10</v>
      </c>
      <c r="M119" s="772">
        <v>11</v>
      </c>
      <c r="N119" s="772">
        <v>12</v>
      </c>
      <c r="O119" s="772">
        <v>13</v>
      </c>
      <c r="P119" s="772">
        <v>14</v>
      </c>
      <c r="Q119" s="772">
        <v>15</v>
      </c>
      <c r="R119" s="816">
        <v>16</v>
      </c>
      <c r="S119" s="816">
        <v>17</v>
      </c>
      <c r="T119" s="772">
        <v>18</v>
      </c>
      <c r="U119" s="772">
        <v>19</v>
      </c>
      <c r="V119" s="772">
        <v>20</v>
      </c>
      <c r="W119" s="816">
        <v>21</v>
      </c>
      <c r="X119" s="772">
        <v>22</v>
      </c>
      <c r="Y119" s="816">
        <v>23</v>
      </c>
      <c r="Z119" s="816">
        <v>24</v>
      </c>
      <c r="AA119" s="772">
        <v>25</v>
      </c>
      <c r="AB119" s="772">
        <v>26</v>
      </c>
      <c r="AC119" s="772">
        <v>27</v>
      </c>
      <c r="AD119" s="772">
        <v>28</v>
      </c>
      <c r="AE119" s="772">
        <v>29</v>
      </c>
      <c r="AF119" s="816">
        <v>30</v>
      </c>
      <c r="AG119" s="818">
        <v>31</v>
      </c>
      <c r="AH119" s="184"/>
      <c r="AI119" s="185"/>
    </row>
    <row r="120" spans="1:35" ht="22.15" customHeight="1" x14ac:dyDescent="0.2">
      <c r="A120" s="521">
        <v>1</v>
      </c>
      <c r="B120" s="522" t="s">
        <v>178</v>
      </c>
      <c r="C120" s="477"/>
      <c r="D120" s="477"/>
      <c r="E120" s="458"/>
      <c r="F120" s="458">
        <v>69</v>
      </c>
      <c r="G120" s="459">
        <v>69</v>
      </c>
      <c r="H120" s="477">
        <v>69</v>
      </c>
      <c r="I120" s="459">
        <v>69</v>
      </c>
      <c r="J120" s="459"/>
      <c r="K120" s="477"/>
      <c r="L120" s="459"/>
      <c r="M120" s="458">
        <v>79</v>
      </c>
      <c r="N120" s="458">
        <v>79</v>
      </c>
      <c r="O120" s="458">
        <v>79</v>
      </c>
      <c r="P120" s="458">
        <v>79</v>
      </c>
      <c r="Q120" s="458">
        <v>79</v>
      </c>
      <c r="R120" s="477"/>
      <c r="S120" s="458"/>
      <c r="T120" s="1014">
        <v>99</v>
      </c>
      <c r="U120" s="1014">
        <v>99</v>
      </c>
      <c r="V120" s="1014">
        <v>99</v>
      </c>
      <c r="W120" s="477"/>
      <c r="X120" s="1015">
        <v>99</v>
      </c>
      <c r="Y120" s="477" t="s">
        <v>0</v>
      </c>
      <c r="Z120" s="477"/>
      <c r="AA120" s="1014">
        <v>99</v>
      </c>
      <c r="AB120" s="886">
        <v>99</v>
      </c>
      <c r="AC120" s="1014">
        <v>99</v>
      </c>
      <c r="AD120" s="1014">
        <v>99</v>
      </c>
      <c r="AE120" s="1014">
        <v>99</v>
      </c>
      <c r="AF120" s="459"/>
      <c r="AG120" s="478"/>
      <c r="AH120" s="215"/>
      <c r="AI120" s="107"/>
    </row>
    <row r="121" spans="1:35" ht="22.15" customHeight="1" thickBot="1" x14ac:dyDescent="0.25">
      <c r="A121" s="1016">
        <v>2</v>
      </c>
      <c r="B121" s="935" t="s">
        <v>179</v>
      </c>
      <c r="C121" s="771"/>
      <c r="D121" s="885"/>
      <c r="E121" s="827"/>
      <c r="F121" s="886">
        <v>79</v>
      </c>
      <c r="G121" s="886">
        <v>79</v>
      </c>
      <c r="H121" s="886">
        <v>79</v>
      </c>
      <c r="I121" s="886">
        <v>79</v>
      </c>
      <c r="J121" s="886"/>
      <c r="K121" s="886"/>
      <c r="L121" s="886"/>
      <c r="M121" s="886">
        <v>89</v>
      </c>
      <c r="N121" s="886">
        <v>89</v>
      </c>
      <c r="O121" s="886">
        <v>89</v>
      </c>
      <c r="P121" s="886">
        <v>89</v>
      </c>
      <c r="Q121" s="886">
        <v>89</v>
      </c>
      <c r="R121" s="886">
        <v>89</v>
      </c>
      <c r="S121" s="886"/>
      <c r="T121" s="886">
        <v>99</v>
      </c>
      <c r="U121" s="886">
        <v>99</v>
      </c>
      <c r="V121" s="886">
        <v>99</v>
      </c>
      <c r="W121" s="886"/>
      <c r="X121" s="886" t="s">
        <v>35</v>
      </c>
      <c r="Y121" s="886"/>
      <c r="Z121" s="886"/>
      <c r="AA121" s="827" t="s">
        <v>175</v>
      </c>
      <c r="AB121" s="771" t="s">
        <v>175</v>
      </c>
      <c r="AC121" s="885" t="s">
        <v>175</v>
      </c>
      <c r="AD121" s="771" t="s">
        <v>175</v>
      </c>
      <c r="AE121" s="771" t="s">
        <v>175</v>
      </c>
      <c r="AF121" s="885"/>
      <c r="AG121" s="1017"/>
      <c r="AH121" s="216"/>
      <c r="AI121" s="172"/>
    </row>
    <row r="122" spans="1:35" ht="22.15" customHeight="1" x14ac:dyDescent="0.2">
      <c r="A122" s="1016">
        <v>3</v>
      </c>
      <c r="B122" s="935" t="s">
        <v>180</v>
      </c>
      <c r="C122" s="1014"/>
      <c r="D122" s="1014"/>
      <c r="E122" s="1014"/>
      <c r="F122" s="1014">
        <v>89</v>
      </c>
      <c r="G122" s="1014">
        <v>89</v>
      </c>
      <c r="H122" s="1014">
        <v>4</v>
      </c>
      <c r="I122" s="1014">
        <v>4</v>
      </c>
      <c r="J122" s="1014"/>
      <c r="K122" s="1014">
        <v>89</v>
      </c>
      <c r="L122" s="1014"/>
      <c r="M122" s="1014">
        <v>99</v>
      </c>
      <c r="N122" s="1014">
        <v>99</v>
      </c>
      <c r="O122" s="1014">
        <v>99</v>
      </c>
      <c r="P122" s="1014">
        <v>99</v>
      </c>
      <c r="Q122" s="1014">
        <v>99</v>
      </c>
      <c r="R122" s="1014"/>
      <c r="S122" s="1014"/>
      <c r="T122" s="1014">
        <v>99</v>
      </c>
      <c r="U122" s="1014">
        <v>99</v>
      </c>
      <c r="V122" s="1014">
        <v>99</v>
      </c>
      <c r="W122" s="1014"/>
      <c r="X122" s="1014" t="s">
        <v>80</v>
      </c>
      <c r="Y122" s="1014"/>
      <c r="Z122" s="1014"/>
      <c r="AA122" s="458">
        <v>89</v>
      </c>
      <c r="AB122" s="458">
        <v>89</v>
      </c>
      <c r="AC122" s="458">
        <v>89</v>
      </c>
      <c r="AD122" s="458">
        <v>89</v>
      </c>
      <c r="AE122" s="458">
        <v>89</v>
      </c>
      <c r="AF122" s="1014"/>
      <c r="AG122" s="1018"/>
      <c r="AH122" s="215"/>
      <c r="AI122" s="107"/>
    </row>
    <row r="123" spans="1:35" ht="22.15" customHeight="1" thickBot="1" x14ac:dyDescent="0.25">
      <c r="A123" s="1016">
        <v>4</v>
      </c>
      <c r="B123" s="935"/>
      <c r="C123" s="949"/>
      <c r="D123" s="949">
        <v>89</v>
      </c>
      <c r="E123" s="949"/>
      <c r="F123" s="827">
        <v>99</v>
      </c>
      <c r="G123" s="827">
        <v>99</v>
      </c>
      <c r="H123" s="827">
        <v>99</v>
      </c>
      <c r="I123" s="827">
        <v>99</v>
      </c>
      <c r="J123" s="827" t="s">
        <v>35</v>
      </c>
      <c r="K123" s="885"/>
      <c r="L123" s="827"/>
      <c r="M123" s="827" t="s">
        <v>175</v>
      </c>
      <c r="N123" s="827" t="s">
        <v>175</v>
      </c>
      <c r="O123" s="827" t="s">
        <v>175</v>
      </c>
      <c r="P123" s="827" t="s">
        <v>181</v>
      </c>
      <c r="Q123" s="949" t="s">
        <v>181</v>
      </c>
      <c r="R123" s="949"/>
      <c r="S123" s="827"/>
      <c r="T123" s="827">
        <v>69</v>
      </c>
      <c r="U123" s="827">
        <v>69</v>
      </c>
      <c r="V123" s="827">
        <v>69</v>
      </c>
      <c r="W123" s="827"/>
      <c r="X123" s="827">
        <v>69</v>
      </c>
      <c r="Y123" s="949"/>
      <c r="Z123" s="981"/>
      <c r="AA123" s="827">
        <v>79</v>
      </c>
      <c r="AB123" s="827">
        <v>79</v>
      </c>
      <c r="AC123" s="827">
        <v>79</v>
      </c>
      <c r="AD123" s="827">
        <v>79</v>
      </c>
      <c r="AE123" s="827">
        <v>79</v>
      </c>
      <c r="AF123" s="949"/>
      <c r="AG123" s="1019"/>
      <c r="AH123" s="215"/>
      <c r="AI123" s="107"/>
    </row>
    <row r="124" spans="1:35" ht="22.15" customHeight="1" thickBot="1" x14ac:dyDescent="0.25">
      <c r="A124" s="1020">
        <v>5</v>
      </c>
      <c r="B124" s="1021" t="s">
        <v>182</v>
      </c>
      <c r="C124" s="770" t="s">
        <v>35</v>
      </c>
      <c r="D124" s="770"/>
      <c r="E124" s="770"/>
      <c r="F124" s="771">
        <v>4</v>
      </c>
      <c r="G124" s="827">
        <v>4</v>
      </c>
      <c r="H124" s="771" t="s">
        <v>175</v>
      </c>
      <c r="I124" s="885" t="s">
        <v>175</v>
      </c>
      <c r="J124" s="827" t="s">
        <v>0</v>
      </c>
      <c r="K124" s="876"/>
      <c r="L124" s="772"/>
      <c r="M124" s="1014">
        <v>99</v>
      </c>
      <c r="N124" s="1014">
        <v>99</v>
      </c>
      <c r="O124" s="1014">
        <v>99</v>
      </c>
      <c r="P124" s="1014">
        <v>99</v>
      </c>
      <c r="Q124" s="1014">
        <v>99</v>
      </c>
      <c r="R124" s="770"/>
      <c r="S124" s="772"/>
      <c r="T124" s="458">
        <v>79</v>
      </c>
      <c r="U124" s="458">
        <v>79</v>
      </c>
      <c r="V124" s="458">
        <v>79</v>
      </c>
      <c r="W124" s="770"/>
      <c r="X124" s="1015">
        <v>99</v>
      </c>
      <c r="Y124" s="770"/>
      <c r="Z124" s="1022"/>
      <c r="AA124" s="1014">
        <v>99</v>
      </c>
      <c r="AB124" s="1014">
        <v>99</v>
      </c>
      <c r="AC124" s="1014">
        <v>99</v>
      </c>
      <c r="AD124" s="1014">
        <v>99</v>
      </c>
      <c r="AE124" s="1014">
        <v>99</v>
      </c>
      <c r="AF124" s="770" t="s">
        <v>0</v>
      </c>
      <c r="AG124" s="1023"/>
      <c r="AH124" s="215"/>
      <c r="AI124" s="107"/>
    </row>
    <row r="125" spans="1:35" ht="22.15" customHeight="1" x14ac:dyDescent="0.2">
      <c r="A125" s="256"/>
      <c r="B125" s="257"/>
      <c r="C125" s="258"/>
      <c r="D125" s="258"/>
      <c r="E125" s="258"/>
      <c r="F125" s="229"/>
      <c r="G125" s="255"/>
      <c r="H125" s="255"/>
      <c r="I125" s="255"/>
      <c r="J125" s="255"/>
      <c r="K125" s="255"/>
      <c r="L125" s="229"/>
      <c r="M125" s="229"/>
      <c r="N125" s="258"/>
      <c r="O125" s="258"/>
      <c r="P125" s="258"/>
      <c r="Q125" s="258"/>
      <c r="R125" s="258"/>
      <c r="S125" s="229"/>
      <c r="T125" s="259"/>
      <c r="U125" s="258"/>
      <c r="V125" s="258"/>
      <c r="W125" s="258"/>
      <c r="X125" s="258"/>
      <c r="Y125" s="258"/>
      <c r="Z125" s="260"/>
      <c r="AA125" s="260"/>
      <c r="AB125" s="258"/>
      <c r="AC125" s="258"/>
      <c r="AD125" s="258"/>
      <c r="AE125" s="258"/>
      <c r="AF125" s="258"/>
      <c r="AG125" s="260"/>
      <c r="AH125" s="215"/>
      <c r="AI125" s="107"/>
    </row>
    <row r="126" spans="1:35" ht="22.15" customHeight="1" x14ac:dyDescent="0.2">
      <c r="A126" s="109"/>
      <c r="B126" s="110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7"/>
      <c r="AI126" s="107"/>
    </row>
    <row r="127" spans="1:35" ht="22.15" customHeight="1" thickBot="1" x14ac:dyDescent="0.25">
      <c r="A127" s="173" t="s">
        <v>183</v>
      </c>
      <c r="B127" s="174"/>
      <c r="C127" s="174"/>
      <c r="D127" s="175"/>
      <c r="E127" s="175"/>
      <c r="F127" s="175"/>
      <c r="G127" s="10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4"/>
      <c r="AI127" s="174"/>
    </row>
    <row r="128" spans="1:35" ht="22.15" customHeight="1" x14ac:dyDescent="0.2">
      <c r="A128" s="173"/>
      <c r="B128" s="304" t="s">
        <v>167</v>
      </c>
      <c r="C128" s="515"/>
      <c r="D128" s="516" t="s">
        <v>90</v>
      </c>
      <c r="E128" s="517"/>
      <c r="F128" s="518"/>
      <c r="G128" s="515"/>
      <c r="H128" s="516" t="s">
        <v>91</v>
      </c>
      <c r="I128" s="517"/>
      <c r="J128" s="518"/>
      <c r="K128" s="515"/>
      <c r="L128" s="516" t="s">
        <v>92</v>
      </c>
      <c r="M128" s="517"/>
      <c r="N128" s="518"/>
      <c r="O128" s="515"/>
      <c r="P128" s="516" t="s">
        <v>93</v>
      </c>
      <c r="Q128" s="517"/>
      <c r="R128" s="518"/>
      <c r="S128" s="515"/>
      <c r="T128" s="516" t="s">
        <v>94</v>
      </c>
      <c r="U128" s="517"/>
      <c r="V128" s="518"/>
      <c r="W128" s="515"/>
      <c r="X128" s="516" t="s">
        <v>95</v>
      </c>
      <c r="Y128" s="517"/>
      <c r="Z128" s="518"/>
      <c r="AA128" s="515"/>
      <c r="AB128" s="516" t="s">
        <v>96</v>
      </c>
      <c r="AC128" s="517"/>
      <c r="AD128" s="517"/>
      <c r="AE128" s="519" t="s">
        <v>97</v>
      </c>
      <c r="AF128" s="517"/>
      <c r="AG128" s="517"/>
      <c r="AH128" s="517"/>
      <c r="AI128" s="520"/>
    </row>
    <row r="129" spans="1:35" ht="22.15" customHeight="1" x14ac:dyDescent="0.2">
      <c r="A129" s="173"/>
      <c r="B129" s="757" t="s">
        <v>184</v>
      </c>
      <c r="C129" s="906" t="s">
        <v>185</v>
      </c>
      <c r="D129" s="995"/>
      <c r="E129" s="995"/>
      <c r="F129" s="996"/>
      <c r="G129" s="906" t="s">
        <v>185</v>
      </c>
      <c r="H129" s="995"/>
      <c r="I129" s="995"/>
      <c r="J129" s="996"/>
      <c r="K129" s="906" t="s">
        <v>185</v>
      </c>
      <c r="L129" s="995"/>
      <c r="M129" s="995"/>
      <c r="N129" s="996"/>
      <c r="O129" s="906" t="s">
        <v>185</v>
      </c>
      <c r="P129" s="995"/>
      <c r="Q129" s="995"/>
      <c r="R129" s="996"/>
      <c r="S129" s="906" t="s">
        <v>185</v>
      </c>
      <c r="T129" s="995"/>
      <c r="U129" s="995"/>
      <c r="V129" s="996"/>
      <c r="W129" s="906" t="s">
        <v>186</v>
      </c>
      <c r="X129" s="997"/>
      <c r="Y129" s="997"/>
      <c r="Z129" s="998"/>
      <c r="AA129" s="906" t="s">
        <v>186</v>
      </c>
      <c r="AB129" s="995"/>
      <c r="AC129" s="995"/>
      <c r="AD129" s="907"/>
      <c r="AE129" s="999">
        <v>68</v>
      </c>
      <c r="AF129" s="208"/>
      <c r="AG129" s="208"/>
      <c r="AH129" s="208"/>
      <c r="AI129" s="209"/>
    </row>
    <row r="130" spans="1:35" ht="22.15" customHeight="1" x14ac:dyDescent="0.2">
      <c r="A130" s="173"/>
      <c r="B130" s="757" t="s">
        <v>143</v>
      </c>
      <c r="C130" s="906" t="s">
        <v>154</v>
      </c>
      <c r="D130" s="995"/>
      <c r="E130" s="995"/>
      <c r="F130" s="996"/>
      <c r="G130" s="906" t="s">
        <v>154</v>
      </c>
      <c r="H130" s="995"/>
      <c r="I130" s="995"/>
      <c r="J130" s="996"/>
      <c r="K130" s="906" t="s">
        <v>154</v>
      </c>
      <c r="L130" s="995"/>
      <c r="M130" s="995"/>
      <c r="N130" s="996"/>
      <c r="O130" s="906" t="s">
        <v>154</v>
      </c>
      <c r="P130" s="995"/>
      <c r="Q130" s="995"/>
      <c r="R130" s="996"/>
      <c r="S130" s="906" t="s">
        <v>154</v>
      </c>
      <c r="T130" s="995"/>
      <c r="U130" s="995"/>
      <c r="V130" s="996"/>
      <c r="W130" s="906" t="s">
        <v>154</v>
      </c>
      <c r="X130" s="995"/>
      <c r="Y130" s="995"/>
      <c r="Z130" s="996"/>
      <c r="AA130" s="995" t="s">
        <v>154</v>
      </c>
      <c r="AB130" s="995"/>
      <c r="AC130" s="995"/>
      <c r="AD130" s="907"/>
      <c r="AE130" s="999">
        <v>0</v>
      </c>
      <c r="AF130" s="208"/>
      <c r="AG130" s="208"/>
      <c r="AH130" s="208"/>
      <c r="AI130" s="209"/>
    </row>
    <row r="131" spans="1:35" ht="22.15" customHeight="1" x14ac:dyDescent="0.2">
      <c r="A131" s="173"/>
      <c r="B131" s="757" t="s">
        <v>187</v>
      </c>
      <c r="C131" s="906" t="s">
        <v>185</v>
      </c>
      <c r="D131" s="995"/>
      <c r="E131" s="995"/>
      <c r="F131" s="996"/>
      <c r="G131" s="906" t="s">
        <v>185</v>
      </c>
      <c r="H131" s="995"/>
      <c r="I131" s="995"/>
      <c r="J131" s="996"/>
      <c r="K131" s="906" t="s">
        <v>185</v>
      </c>
      <c r="L131" s="995"/>
      <c r="M131" s="995"/>
      <c r="N131" s="996"/>
      <c r="O131" s="906" t="s">
        <v>185</v>
      </c>
      <c r="P131" s="995"/>
      <c r="Q131" s="995"/>
      <c r="R131" s="996"/>
      <c r="S131" s="906" t="s">
        <v>185</v>
      </c>
      <c r="T131" s="995"/>
      <c r="U131" s="995"/>
      <c r="V131" s="996"/>
      <c r="W131" s="906" t="s">
        <v>186</v>
      </c>
      <c r="X131" s="997"/>
      <c r="Y131" s="997"/>
      <c r="Z131" s="998"/>
      <c r="AA131" s="906" t="s">
        <v>186</v>
      </c>
      <c r="AB131" s="995"/>
      <c r="AC131" s="995"/>
      <c r="AD131" s="907"/>
      <c r="AE131" s="999">
        <v>68</v>
      </c>
      <c r="AF131" s="995"/>
      <c r="AG131" s="995" t="s">
        <v>0</v>
      </c>
      <c r="AH131" s="907"/>
      <c r="AI131" s="1000"/>
    </row>
    <row r="132" spans="1:35" ht="22.15" customHeight="1" x14ac:dyDescent="0.2">
      <c r="A132" s="173"/>
      <c r="B132" s="757" t="s">
        <v>155</v>
      </c>
      <c r="C132" s="906" t="s">
        <v>154</v>
      </c>
      <c r="D132" s="995"/>
      <c r="E132" s="995"/>
      <c r="F132" s="996"/>
      <c r="G132" s="906" t="s">
        <v>154</v>
      </c>
      <c r="H132" s="995"/>
      <c r="I132" s="995"/>
      <c r="J132" s="996"/>
      <c r="K132" s="906" t="s">
        <v>154</v>
      </c>
      <c r="L132" s="995"/>
      <c r="M132" s="995"/>
      <c r="N132" s="996"/>
      <c r="O132" s="906" t="s">
        <v>154</v>
      </c>
      <c r="P132" s="995"/>
      <c r="Q132" s="995"/>
      <c r="R132" s="996"/>
      <c r="S132" s="906" t="s">
        <v>154</v>
      </c>
      <c r="T132" s="995"/>
      <c r="U132" s="995"/>
      <c r="V132" s="996"/>
      <c r="W132" s="906" t="s">
        <v>154</v>
      </c>
      <c r="X132" s="995"/>
      <c r="Y132" s="995"/>
      <c r="Z132" s="996"/>
      <c r="AA132" s="995" t="s">
        <v>154</v>
      </c>
      <c r="AB132" s="995"/>
      <c r="AC132" s="995"/>
      <c r="AD132" s="907"/>
      <c r="AE132" s="999">
        <v>0</v>
      </c>
      <c r="AF132" s="995"/>
      <c r="AG132" s="995"/>
      <c r="AH132" s="907"/>
      <c r="AI132" s="1000"/>
    </row>
    <row r="133" spans="1:35" ht="22.15" customHeight="1" x14ac:dyDescent="0.2">
      <c r="A133" s="173"/>
      <c r="B133" s="757" t="s">
        <v>188</v>
      </c>
      <c r="C133" s="906" t="s">
        <v>185</v>
      </c>
      <c r="D133" s="995"/>
      <c r="E133" s="995"/>
      <c r="F133" s="996"/>
      <c r="G133" s="906" t="s">
        <v>185</v>
      </c>
      <c r="H133" s="995"/>
      <c r="I133" s="995"/>
      <c r="J133" s="996"/>
      <c r="K133" s="906" t="s">
        <v>185</v>
      </c>
      <c r="L133" s="995"/>
      <c r="M133" s="995"/>
      <c r="N133" s="996"/>
      <c r="O133" s="906" t="s">
        <v>185</v>
      </c>
      <c r="P133" s="995"/>
      <c r="Q133" s="995"/>
      <c r="R133" s="996"/>
      <c r="S133" s="906" t="s">
        <v>185</v>
      </c>
      <c r="T133" s="995"/>
      <c r="U133" s="995"/>
      <c r="V133" s="996"/>
      <c r="W133" s="906" t="s">
        <v>189</v>
      </c>
      <c r="X133" s="1002"/>
      <c r="Y133" s="1002"/>
      <c r="Z133" s="1003"/>
      <c r="AA133" s="906" t="s">
        <v>189</v>
      </c>
      <c r="AB133" s="1002"/>
      <c r="AC133" s="1002"/>
      <c r="AD133" s="909"/>
      <c r="AE133" s="999">
        <v>66</v>
      </c>
      <c r="AF133" s="995"/>
      <c r="AG133" s="995"/>
      <c r="AH133" s="907"/>
      <c r="AI133" s="1000"/>
    </row>
    <row r="134" spans="1:35" ht="22.15" customHeight="1" thickBot="1" x14ac:dyDescent="0.25">
      <c r="A134" s="173"/>
      <c r="B134" s="757" t="s">
        <v>190</v>
      </c>
      <c r="C134" s="756" t="s">
        <v>154</v>
      </c>
      <c r="D134" s="1024"/>
      <c r="E134" s="1024"/>
      <c r="F134" s="1025"/>
      <c r="G134" s="756" t="s">
        <v>154</v>
      </c>
      <c r="H134" s="1024"/>
      <c r="I134" s="1024"/>
      <c r="J134" s="1025"/>
      <c r="K134" s="756" t="s">
        <v>154</v>
      </c>
      <c r="L134" s="1024"/>
      <c r="M134" s="1024"/>
      <c r="N134" s="1025"/>
      <c r="O134" s="756" t="s">
        <v>154</v>
      </c>
      <c r="P134" s="1024"/>
      <c r="Q134" s="1024"/>
      <c r="R134" s="1025"/>
      <c r="S134" s="756" t="s">
        <v>154</v>
      </c>
      <c r="T134" s="1024"/>
      <c r="U134" s="1024"/>
      <c r="V134" s="1012"/>
      <c r="W134" s="756" t="s">
        <v>154</v>
      </c>
      <c r="X134" s="1012"/>
      <c r="Y134" s="1024"/>
      <c r="Z134" s="1025"/>
      <c r="AA134" s="756" t="s">
        <v>154</v>
      </c>
      <c r="AB134" s="1012"/>
      <c r="AC134" s="1024"/>
      <c r="AD134" s="1025"/>
      <c r="AE134" s="1026" t="s">
        <v>191</v>
      </c>
      <c r="AF134" s="1024"/>
      <c r="AG134" s="1024"/>
      <c r="AH134" s="1012"/>
      <c r="AI134" s="1013"/>
    </row>
    <row r="135" spans="1:35" ht="22.15" customHeight="1" x14ac:dyDescent="0.2">
      <c r="A135" s="108"/>
      <c r="B135" s="173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4"/>
      <c r="AI135" s="174"/>
    </row>
    <row r="136" spans="1:35" ht="22.15" customHeight="1" thickBot="1" x14ac:dyDescent="0.25">
      <c r="A136" s="944"/>
      <c r="B136" s="767" t="s">
        <v>29</v>
      </c>
      <c r="C136" s="816">
        <v>1</v>
      </c>
      <c r="D136" s="816">
        <v>2</v>
      </c>
      <c r="E136" s="816">
        <v>3</v>
      </c>
      <c r="F136" s="772">
        <v>4</v>
      </c>
      <c r="G136" s="275">
        <v>5</v>
      </c>
      <c r="H136" s="772">
        <v>6</v>
      </c>
      <c r="I136" s="772">
        <v>7</v>
      </c>
      <c r="J136" s="816">
        <v>8</v>
      </c>
      <c r="K136" s="816">
        <v>9</v>
      </c>
      <c r="L136" s="816">
        <v>10</v>
      </c>
      <c r="M136" s="772">
        <v>11</v>
      </c>
      <c r="N136" s="772">
        <v>12</v>
      </c>
      <c r="O136" s="772">
        <v>13</v>
      </c>
      <c r="P136" s="772">
        <v>14</v>
      </c>
      <c r="Q136" s="772">
        <v>15</v>
      </c>
      <c r="R136" s="816">
        <v>16</v>
      </c>
      <c r="S136" s="816">
        <v>17</v>
      </c>
      <c r="T136" s="772">
        <v>18</v>
      </c>
      <c r="U136" s="772">
        <v>19</v>
      </c>
      <c r="V136" s="772">
        <v>20</v>
      </c>
      <c r="W136" s="816">
        <v>21</v>
      </c>
      <c r="X136" s="772">
        <v>22</v>
      </c>
      <c r="Y136" s="816">
        <v>23</v>
      </c>
      <c r="Z136" s="816">
        <v>24</v>
      </c>
      <c r="AA136" s="772">
        <v>25</v>
      </c>
      <c r="AB136" s="772">
        <v>26</v>
      </c>
      <c r="AC136" s="772">
        <v>27</v>
      </c>
      <c r="AD136" s="772">
        <v>28</v>
      </c>
      <c r="AE136" s="772">
        <v>29</v>
      </c>
      <c r="AF136" s="816">
        <v>30</v>
      </c>
      <c r="AG136" s="818">
        <v>31</v>
      </c>
      <c r="AH136" s="184"/>
      <c r="AI136" s="185"/>
    </row>
    <row r="137" spans="1:35" ht="22.15" customHeight="1" x14ac:dyDescent="0.2">
      <c r="A137" s="408">
        <v>1</v>
      </c>
      <c r="B137" s="252" t="s">
        <v>192</v>
      </c>
      <c r="C137" s="380">
        <v>21</v>
      </c>
      <c r="D137" s="380">
        <v>21</v>
      </c>
      <c r="E137" s="380">
        <v>21</v>
      </c>
      <c r="F137" s="380" t="s">
        <v>35</v>
      </c>
      <c r="G137" s="390" t="s">
        <v>35</v>
      </c>
      <c r="H137" s="380" t="s">
        <v>35</v>
      </c>
      <c r="I137" s="385" t="s">
        <v>35</v>
      </c>
      <c r="J137" s="390" t="s">
        <v>35</v>
      </c>
      <c r="K137" s="380"/>
      <c r="L137" s="385"/>
      <c r="M137" s="390">
        <v>22</v>
      </c>
      <c r="N137" s="390">
        <v>22</v>
      </c>
      <c r="O137" s="380">
        <v>22</v>
      </c>
      <c r="P137" s="380">
        <v>22</v>
      </c>
      <c r="Q137" s="380">
        <v>22</v>
      </c>
      <c r="R137" s="380">
        <v>22</v>
      </c>
      <c r="S137" s="380">
        <v>22</v>
      </c>
      <c r="T137" s="380" t="s">
        <v>35</v>
      </c>
      <c r="U137" s="380" t="s">
        <v>35</v>
      </c>
      <c r="V137" s="380" t="s">
        <v>35</v>
      </c>
      <c r="W137" s="385" t="s">
        <v>35</v>
      </c>
      <c r="X137" s="380" t="s">
        <v>35</v>
      </c>
      <c r="Y137" s="380"/>
      <c r="Z137" s="385"/>
      <c r="AA137" s="409">
        <v>23</v>
      </c>
      <c r="AB137" s="409">
        <v>23</v>
      </c>
      <c r="AC137" s="409">
        <v>23</v>
      </c>
      <c r="AD137" s="409">
        <v>23</v>
      </c>
      <c r="AE137" s="409">
        <v>23</v>
      </c>
      <c r="AF137" s="409">
        <v>23</v>
      </c>
      <c r="AG137" s="410">
        <v>23</v>
      </c>
      <c r="AH137" s="107"/>
      <c r="AI137" s="107"/>
    </row>
    <row r="138" spans="1:35" ht="22.15" customHeight="1" x14ac:dyDescent="0.2">
      <c r="A138" s="1027">
        <v>2</v>
      </c>
      <c r="B138" s="847" t="s">
        <v>193</v>
      </c>
      <c r="C138" s="845">
        <v>22</v>
      </c>
      <c r="D138" s="845">
        <v>22</v>
      </c>
      <c r="E138" s="845">
        <v>22</v>
      </c>
      <c r="F138" s="845" t="s">
        <v>35</v>
      </c>
      <c r="G138" s="845" t="s">
        <v>35</v>
      </c>
      <c r="H138" s="845" t="s">
        <v>35</v>
      </c>
      <c r="I138" s="737" t="s">
        <v>35</v>
      </c>
      <c r="J138" s="845" t="s">
        <v>35</v>
      </c>
      <c r="K138" s="845"/>
      <c r="L138" s="737"/>
      <c r="M138" s="843">
        <v>23</v>
      </c>
      <c r="N138" s="843">
        <v>23</v>
      </c>
      <c r="O138" s="843">
        <v>23</v>
      </c>
      <c r="P138" s="843">
        <v>23</v>
      </c>
      <c r="Q138" s="843">
        <v>23</v>
      </c>
      <c r="R138" s="843">
        <v>23</v>
      </c>
      <c r="S138" s="843">
        <v>23</v>
      </c>
      <c r="T138" s="843" t="s">
        <v>35</v>
      </c>
      <c r="U138" s="843" t="s">
        <v>35</v>
      </c>
      <c r="V138" s="843" t="s">
        <v>35</v>
      </c>
      <c r="W138" s="737" t="s">
        <v>35</v>
      </c>
      <c r="X138" s="845" t="s">
        <v>35</v>
      </c>
      <c r="Y138" s="845"/>
      <c r="Z138" s="737"/>
      <c r="AA138" s="843">
        <v>21</v>
      </c>
      <c r="AB138" s="843">
        <v>21</v>
      </c>
      <c r="AC138" s="843">
        <v>21</v>
      </c>
      <c r="AD138" s="843">
        <v>21</v>
      </c>
      <c r="AE138" s="843">
        <v>21</v>
      </c>
      <c r="AF138" s="843">
        <v>21</v>
      </c>
      <c r="AG138" s="846">
        <v>21</v>
      </c>
      <c r="AH138" s="107"/>
      <c r="AI138" s="107"/>
    </row>
    <row r="139" spans="1:35" ht="22.15" customHeight="1" x14ac:dyDescent="0.2">
      <c r="A139" s="1027">
        <v>3</v>
      </c>
      <c r="B139" s="847" t="s">
        <v>194</v>
      </c>
      <c r="C139" s="845">
        <v>23</v>
      </c>
      <c r="D139" s="845">
        <v>23</v>
      </c>
      <c r="E139" s="845">
        <v>23</v>
      </c>
      <c r="F139" s="845" t="s">
        <v>35</v>
      </c>
      <c r="G139" s="843" t="s">
        <v>35</v>
      </c>
      <c r="H139" s="843" t="s">
        <v>35</v>
      </c>
      <c r="I139" s="737" t="s">
        <v>35</v>
      </c>
      <c r="J139" s="845" t="s">
        <v>35</v>
      </c>
      <c r="K139" s="845"/>
      <c r="L139" s="737"/>
      <c r="M139" s="845">
        <v>21</v>
      </c>
      <c r="N139" s="845">
        <v>21</v>
      </c>
      <c r="O139" s="845">
        <v>21</v>
      </c>
      <c r="P139" s="845">
        <v>21</v>
      </c>
      <c r="Q139" s="845">
        <v>21</v>
      </c>
      <c r="R139" s="853">
        <v>21</v>
      </c>
      <c r="S139" s="853">
        <v>21</v>
      </c>
      <c r="T139" s="845" t="s">
        <v>35</v>
      </c>
      <c r="U139" s="843" t="s">
        <v>35</v>
      </c>
      <c r="V139" s="843" t="s">
        <v>35</v>
      </c>
      <c r="W139" s="737" t="s">
        <v>35</v>
      </c>
      <c r="X139" s="845" t="s">
        <v>35</v>
      </c>
      <c r="Y139" s="845"/>
      <c r="Z139" s="737"/>
      <c r="AA139" s="845">
        <v>22</v>
      </c>
      <c r="AB139" s="845">
        <v>22</v>
      </c>
      <c r="AC139" s="1028">
        <v>22</v>
      </c>
      <c r="AD139" s="845">
        <v>22</v>
      </c>
      <c r="AE139" s="845">
        <v>22</v>
      </c>
      <c r="AF139" s="845">
        <v>22</v>
      </c>
      <c r="AG139" s="846">
        <v>22</v>
      </c>
      <c r="AH139" s="107"/>
      <c r="AI139" s="107"/>
    </row>
    <row r="140" spans="1:35" ht="22.15" customHeight="1" x14ac:dyDescent="0.2">
      <c r="A140" s="1027">
        <v>4</v>
      </c>
      <c r="B140" s="847" t="s">
        <v>195</v>
      </c>
      <c r="C140" s="845" t="s">
        <v>35</v>
      </c>
      <c r="D140" s="845"/>
      <c r="E140" s="737"/>
      <c r="F140" s="1029">
        <v>21</v>
      </c>
      <c r="G140" s="1029">
        <v>21</v>
      </c>
      <c r="H140" s="1029">
        <v>21</v>
      </c>
      <c r="I140" s="1029">
        <v>21</v>
      </c>
      <c r="J140" s="1029">
        <v>21</v>
      </c>
      <c r="K140" s="1029">
        <v>21</v>
      </c>
      <c r="L140" s="1029">
        <v>21</v>
      </c>
      <c r="M140" s="1029" t="s">
        <v>35</v>
      </c>
      <c r="N140" s="1029" t="s">
        <v>35</v>
      </c>
      <c r="O140" s="1029" t="s">
        <v>35</v>
      </c>
      <c r="P140" s="1029" t="s">
        <v>35</v>
      </c>
      <c r="Q140" s="1029" t="s">
        <v>35</v>
      </c>
      <c r="R140" s="1029"/>
      <c r="S140" s="1029"/>
      <c r="T140" s="1029">
        <v>22</v>
      </c>
      <c r="U140" s="1029">
        <v>22</v>
      </c>
      <c r="V140" s="1029">
        <v>22</v>
      </c>
      <c r="W140" s="1029">
        <v>22</v>
      </c>
      <c r="X140" s="1029">
        <v>22</v>
      </c>
      <c r="Y140" s="1029">
        <v>22</v>
      </c>
      <c r="Z140" s="1029">
        <v>22</v>
      </c>
      <c r="AA140" s="845" t="s">
        <v>35</v>
      </c>
      <c r="AB140" s="845" t="s">
        <v>35</v>
      </c>
      <c r="AC140" s="845" t="s">
        <v>35</v>
      </c>
      <c r="AD140" s="737" t="s">
        <v>35</v>
      </c>
      <c r="AE140" s="845" t="s">
        <v>35</v>
      </c>
      <c r="AF140" s="845"/>
      <c r="AG140" s="738"/>
      <c r="AH140" s="107"/>
      <c r="AI140" s="107"/>
    </row>
    <row r="141" spans="1:35" ht="22.15" customHeight="1" x14ac:dyDescent="0.2">
      <c r="A141" s="1027">
        <v>5</v>
      </c>
      <c r="B141" s="847" t="s">
        <v>196</v>
      </c>
      <c r="C141" s="845" t="s">
        <v>35</v>
      </c>
      <c r="D141" s="845"/>
      <c r="E141" s="737"/>
      <c r="F141" s="843">
        <v>22</v>
      </c>
      <c r="G141" s="845">
        <v>22</v>
      </c>
      <c r="H141" s="842">
        <v>22</v>
      </c>
      <c r="I141" s="845">
        <v>22</v>
      </c>
      <c r="J141" s="845">
        <v>22</v>
      </c>
      <c r="K141" s="845">
        <v>22</v>
      </c>
      <c r="L141" s="845">
        <v>22</v>
      </c>
      <c r="M141" s="845" t="s">
        <v>35</v>
      </c>
      <c r="N141" s="845" t="s">
        <v>35</v>
      </c>
      <c r="O141" s="845" t="s">
        <v>35</v>
      </c>
      <c r="P141" s="737" t="s">
        <v>35</v>
      </c>
      <c r="Q141" s="845" t="s">
        <v>35</v>
      </c>
      <c r="R141" s="845"/>
      <c r="S141" s="737"/>
      <c r="T141" s="845">
        <v>23</v>
      </c>
      <c r="U141" s="845">
        <v>23</v>
      </c>
      <c r="V141" s="845">
        <v>23</v>
      </c>
      <c r="W141" s="845">
        <v>23</v>
      </c>
      <c r="X141" s="845">
        <v>23</v>
      </c>
      <c r="Y141" s="845">
        <v>23</v>
      </c>
      <c r="Z141" s="845">
        <v>23</v>
      </c>
      <c r="AA141" s="845" t="s">
        <v>35</v>
      </c>
      <c r="AB141" s="845" t="s">
        <v>35</v>
      </c>
      <c r="AC141" s="843" t="s">
        <v>35</v>
      </c>
      <c r="AD141" s="843" t="s">
        <v>35</v>
      </c>
      <c r="AE141" s="843" t="s">
        <v>35</v>
      </c>
      <c r="AF141" s="845"/>
      <c r="AG141" s="738"/>
      <c r="AH141" s="107"/>
      <c r="AI141" s="107"/>
    </row>
    <row r="142" spans="1:35" ht="22.15" customHeight="1" thickBot="1" x14ac:dyDescent="0.25">
      <c r="A142" s="670">
        <v>6</v>
      </c>
      <c r="B142" s="671" t="s">
        <v>197</v>
      </c>
      <c r="C142" s="856" t="s">
        <v>35</v>
      </c>
      <c r="D142" s="856"/>
      <c r="E142" s="942"/>
      <c r="F142" s="672">
        <v>23</v>
      </c>
      <c r="G142" s="672">
        <v>23</v>
      </c>
      <c r="H142" s="673">
        <v>23</v>
      </c>
      <c r="I142" s="673">
        <v>23</v>
      </c>
      <c r="J142" s="673">
        <v>23</v>
      </c>
      <c r="K142" s="673">
        <v>23</v>
      </c>
      <c r="L142" s="673">
        <v>23</v>
      </c>
      <c r="M142" s="673" t="s">
        <v>35</v>
      </c>
      <c r="N142" s="674" t="s">
        <v>35</v>
      </c>
      <c r="O142" s="674" t="s">
        <v>35</v>
      </c>
      <c r="P142" s="675" t="s">
        <v>35</v>
      </c>
      <c r="Q142" s="672" t="s">
        <v>35</v>
      </c>
      <c r="R142" s="672"/>
      <c r="S142" s="675"/>
      <c r="T142" s="672">
        <v>21</v>
      </c>
      <c r="U142" s="672">
        <v>21</v>
      </c>
      <c r="V142" s="672">
        <v>21</v>
      </c>
      <c r="W142" s="672">
        <v>21</v>
      </c>
      <c r="X142" s="672">
        <v>21</v>
      </c>
      <c r="Y142" s="672">
        <v>21</v>
      </c>
      <c r="Z142" s="672">
        <v>21</v>
      </c>
      <c r="AA142" s="856" t="s">
        <v>35</v>
      </c>
      <c r="AB142" s="676" t="s">
        <v>35</v>
      </c>
      <c r="AC142" s="676" t="s">
        <v>35</v>
      </c>
      <c r="AD142" s="942" t="s">
        <v>35</v>
      </c>
      <c r="AE142" s="856" t="s">
        <v>35</v>
      </c>
      <c r="AF142" s="856"/>
      <c r="AG142" s="217"/>
      <c r="AH142" s="107"/>
      <c r="AI142" s="107"/>
    </row>
    <row r="143" spans="1:35" ht="22.15" customHeight="1" x14ac:dyDescent="0.2">
      <c r="A143" s="256"/>
      <c r="B143" s="228"/>
      <c r="C143" s="229"/>
      <c r="D143" s="229"/>
      <c r="E143" s="255"/>
      <c r="F143" s="229"/>
      <c r="G143" s="229"/>
      <c r="H143" s="261"/>
      <c r="I143" s="261"/>
      <c r="J143" s="261"/>
      <c r="K143" s="261"/>
      <c r="L143" s="261"/>
      <c r="M143" s="261"/>
      <c r="N143" s="216"/>
      <c r="O143" s="216"/>
      <c r="P143" s="255"/>
      <c r="Q143" s="229"/>
      <c r="R143" s="229"/>
      <c r="S143" s="255"/>
      <c r="T143" s="229"/>
      <c r="U143" s="229"/>
      <c r="V143" s="229"/>
      <c r="W143" s="229"/>
      <c r="X143" s="229"/>
      <c r="Y143" s="229"/>
      <c r="Z143" s="229"/>
      <c r="AA143" s="229"/>
      <c r="AB143" s="216"/>
      <c r="AC143" s="216"/>
      <c r="AD143" s="255"/>
      <c r="AE143" s="229"/>
      <c r="AF143" s="229"/>
      <c r="AG143" s="255"/>
      <c r="AH143" s="107"/>
      <c r="AI143" s="107"/>
    </row>
    <row r="144" spans="1:35" ht="22.15" customHeight="1" x14ac:dyDescent="0.2">
      <c r="A144" s="109"/>
      <c r="B144" s="110"/>
      <c r="C144" s="206"/>
      <c r="D144" s="206"/>
      <c r="E144" s="172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172"/>
      <c r="Q144" s="206"/>
      <c r="R144" s="206"/>
      <c r="S144" s="172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7"/>
      <c r="AD144" s="207"/>
      <c r="AE144" s="207"/>
      <c r="AF144" s="206"/>
      <c r="AG144" s="172"/>
      <c r="AH144" s="107"/>
      <c r="AI144" s="107"/>
    </row>
    <row r="145" spans="1:35" ht="22.15" customHeight="1" thickBot="1" x14ac:dyDescent="0.25">
      <c r="A145" s="162" t="s">
        <v>198</v>
      </c>
      <c r="D145" s="72"/>
      <c r="E145" s="72"/>
      <c r="F145" s="72"/>
      <c r="G145" s="105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</row>
    <row r="146" spans="1:35" ht="22.15" customHeight="1" x14ac:dyDescent="0.2">
      <c r="A146" s="1"/>
      <c r="B146" s="304" t="s">
        <v>167</v>
      </c>
      <c r="C146" s="500"/>
      <c r="D146" s="516" t="s">
        <v>90</v>
      </c>
      <c r="E146" s="473"/>
      <c r="F146" s="504"/>
      <c r="G146" s="500"/>
      <c r="H146" s="516" t="s">
        <v>91</v>
      </c>
      <c r="I146" s="473"/>
      <c r="J146" s="504"/>
      <c r="K146" s="500"/>
      <c r="L146" s="516" t="s">
        <v>92</v>
      </c>
      <c r="M146" s="473"/>
      <c r="N146" s="504"/>
      <c r="O146" s="500"/>
      <c r="P146" s="516" t="s">
        <v>93</v>
      </c>
      <c r="Q146" s="473"/>
      <c r="R146" s="504"/>
      <c r="S146" s="500"/>
      <c r="T146" s="516" t="s">
        <v>94</v>
      </c>
      <c r="U146" s="473"/>
      <c r="V146" s="504"/>
      <c r="W146" s="500"/>
      <c r="X146" s="516" t="s">
        <v>95</v>
      </c>
      <c r="Y146" s="473"/>
      <c r="Z146" s="504"/>
      <c r="AA146" s="500"/>
      <c r="AB146" s="516" t="s">
        <v>96</v>
      </c>
      <c r="AC146" s="473"/>
      <c r="AD146" s="473"/>
      <c r="AE146" s="519" t="s">
        <v>97</v>
      </c>
      <c r="AF146" s="473"/>
      <c r="AG146" s="473"/>
      <c r="AH146" s="473"/>
      <c r="AI146" s="474"/>
    </row>
    <row r="147" spans="1:35" ht="22.15" customHeight="1" x14ac:dyDescent="0.2">
      <c r="A147" s="1"/>
      <c r="B147" s="757" t="s">
        <v>139</v>
      </c>
      <c r="C147" s="906" t="s">
        <v>168</v>
      </c>
      <c r="D147" s="761"/>
      <c r="E147" s="761"/>
      <c r="F147" s="996"/>
      <c r="G147" s="906" t="s">
        <v>168</v>
      </c>
      <c r="H147" s="761"/>
      <c r="I147" s="761"/>
      <c r="J147" s="996"/>
      <c r="K147" s="906" t="s">
        <v>168</v>
      </c>
      <c r="L147" s="761"/>
      <c r="M147" s="761"/>
      <c r="N147" s="996"/>
      <c r="O147" s="906" t="s">
        <v>199</v>
      </c>
      <c r="P147" s="761"/>
      <c r="Q147" s="761"/>
      <c r="R147" s="996"/>
      <c r="S147" s="906" t="s">
        <v>154</v>
      </c>
      <c r="T147" s="761"/>
      <c r="U147" s="761"/>
      <c r="V147" s="996"/>
      <c r="W147" s="1030"/>
      <c r="X147" s="1031"/>
      <c r="Y147" s="1031"/>
      <c r="Z147" s="998"/>
      <c r="AA147" s="994"/>
      <c r="AB147" s="761"/>
      <c r="AC147" s="761"/>
      <c r="AD147" s="907"/>
      <c r="AE147" s="999">
        <v>27</v>
      </c>
      <c r="AF147" s="761"/>
      <c r="AG147" s="761"/>
      <c r="AH147" s="907"/>
      <c r="AI147" s="809"/>
    </row>
    <row r="148" spans="1:35" ht="22.15" customHeight="1" x14ac:dyDescent="0.2">
      <c r="A148" s="1"/>
      <c r="B148" s="757" t="s">
        <v>143</v>
      </c>
      <c r="C148" s="906" t="s">
        <v>200</v>
      </c>
      <c r="D148" s="761"/>
      <c r="E148" s="761"/>
      <c r="F148" s="996"/>
      <c r="G148" s="906" t="s">
        <v>200</v>
      </c>
      <c r="H148" s="761"/>
      <c r="I148" s="761"/>
      <c r="J148" s="996"/>
      <c r="K148" s="906" t="s">
        <v>200</v>
      </c>
      <c r="L148" s="761"/>
      <c r="M148" s="761"/>
      <c r="N148" s="996"/>
      <c r="O148" s="906" t="s">
        <v>200</v>
      </c>
      <c r="P148" s="761"/>
      <c r="Q148" s="761"/>
      <c r="R148" s="996"/>
      <c r="S148" s="906" t="s">
        <v>168</v>
      </c>
      <c r="T148" s="761"/>
      <c r="U148" s="761"/>
      <c r="V148" s="996"/>
      <c r="W148" s="906"/>
      <c r="X148" s="761"/>
      <c r="Y148" s="761"/>
      <c r="Z148" s="996"/>
      <c r="AA148" s="761"/>
      <c r="AB148" s="761"/>
      <c r="AC148" s="761"/>
      <c r="AD148" s="907"/>
      <c r="AE148" s="999">
        <v>39</v>
      </c>
      <c r="AF148" s="761"/>
      <c r="AG148" s="761"/>
      <c r="AH148" s="907"/>
      <c r="AI148" s="809"/>
    </row>
    <row r="149" spans="1:35" ht="22.15" customHeight="1" x14ac:dyDescent="0.2">
      <c r="A149" s="1"/>
      <c r="B149" s="757" t="s">
        <v>153</v>
      </c>
      <c r="C149" s="906" t="s">
        <v>200</v>
      </c>
      <c r="D149" s="761"/>
      <c r="E149" s="761"/>
      <c r="F149" s="996"/>
      <c r="G149" s="906" t="s">
        <v>169</v>
      </c>
      <c r="H149" s="761"/>
      <c r="I149" s="761"/>
      <c r="J149" s="996"/>
      <c r="K149" s="906" t="s">
        <v>200</v>
      </c>
      <c r="L149" s="761"/>
      <c r="M149" s="761"/>
      <c r="N149" s="996"/>
      <c r="O149" s="906" t="s">
        <v>200</v>
      </c>
      <c r="P149" s="761"/>
      <c r="Q149" s="761"/>
      <c r="R149" s="996"/>
      <c r="S149" s="906" t="s">
        <v>200</v>
      </c>
      <c r="T149" s="761"/>
      <c r="U149" s="761"/>
      <c r="V149" s="996"/>
      <c r="W149" s="908" t="s">
        <v>201</v>
      </c>
      <c r="X149" s="759"/>
      <c r="Y149" s="759"/>
      <c r="Z149" s="1003"/>
      <c r="AA149" s="1001"/>
      <c r="AB149" s="759"/>
      <c r="AC149" s="759"/>
      <c r="AD149" s="909"/>
      <c r="AE149" s="999">
        <v>45</v>
      </c>
      <c r="AF149" s="761"/>
      <c r="AG149" s="761"/>
      <c r="AH149" s="907"/>
      <c r="AI149" s="809"/>
    </row>
    <row r="150" spans="1:35" ht="22.15" customHeight="1" thickBot="1" x14ac:dyDescent="0.25">
      <c r="A150" s="1"/>
      <c r="B150" s="1032" t="s">
        <v>155</v>
      </c>
      <c r="C150" s="756"/>
      <c r="D150" s="755"/>
      <c r="E150" s="755"/>
      <c r="F150" s="1025"/>
      <c r="G150" s="756"/>
      <c r="H150" s="755"/>
      <c r="I150" s="755"/>
      <c r="J150" s="1025"/>
      <c r="K150" s="756"/>
      <c r="L150" s="755"/>
      <c r="M150" s="755"/>
      <c r="N150" s="1025"/>
      <c r="O150" s="756"/>
      <c r="P150" s="755"/>
      <c r="Q150" s="755"/>
      <c r="R150" s="1025"/>
      <c r="S150" s="756"/>
      <c r="T150" s="755"/>
      <c r="U150" s="755"/>
      <c r="V150" s="1012"/>
      <c r="W150" s="756"/>
      <c r="X150" s="1012"/>
      <c r="Y150" s="755"/>
      <c r="Z150" s="1025"/>
      <c r="AA150" s="756"/>
      <c r="AB150" s="1012"/>
      <c r="AC150" s="755"/>
      <c r="AD150" s="1025"/>
      <c r="AE150" s="1033"/>
      <c r="AF150" s="755"/>
      <c r="AG150" s="755"/>
      <c r="AH150" s="1012"/>
      <c r="AI150" s="874"/>
    </row>
    <row r="151" spans="1:35" ht="22.15" customHeight="1" x14ac:dyDescent="0.2">
      <c r="A151" s="108"/>
      <c r="B151" s="1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</row>
    <row r="152" spans="1:35" ht="22.15" customHeight="1" thickBot="1" x14ac:dyDescent="0.25">
      <c r="A152" s="944"/>
      <c r="B152" s="766" t="s">
        <v>29</v>
      </c>
      <c r="C152" s="816">
        <v>1</v>
      </c>
      <c r="D152" s="816">
        <v>2</v>
      </c>
      <c r="E152" s="816">
        <v>3</v>
      </c>
      <c r="F152" s="772">
        <v>4</v>
      </c>
      <c r="G152" s="817">
        <v>5</v>
      </c>
      <c r="H152" s="772">
        <v>6</v>
      </c>
      <c r="I152" s="772">
        <v>7</v>
      </c>
      <c r="J152" s="816">
        <v>8</v>
      </c>
      <c r="K152" s="816">
        <v>9</v>
      </c>
      <c r="L152" s="816">
        <v>10</v>
      </c>
      <c r="M152" s="772">
        <v>11</v>
      </c>
      <c r="N152" s="772">
        <v>12</v>
      </c>
      <c r="O152" s="772">
        <v>13</v>
      </c>
      <c r="P152" s="772">
        <v>14</v>
      </c>
      <c r="Q152" s="772">
        <v>15</v>
      </c>
      <c r="R152" s="816">
        <v>16</v>
      </c>
      <c r="S152" s="816">
        <v>17</v>
      </c>
      <c r="T152" s="772">
        <v>18</v>
      </c>
      <c r="U152" s="772">
        <v>19</v>
      </c>
      <c r="V152" s="772">
        <v>20</v>
      </c>
      <c r="W152" s="816">
        <v>21</v>
      </c>
      <c r="X152" s="772">
        <v>22</v>
      </c>
      <c r="Y152" s="816">
        <v>23</v>
      </c>
      <c r="Z152" s="816">
        <v>24</v>
      </c>
      <c r="AA152" s="772">
        <v>25</v>
      </c>
      <c r="AB152" s="772">
        <v>26</v>
      </c>
      <c r="AC152" s="772">
        <v>27</v>
      </c>
      <c r="AD152" s="772">
        <v>28</v>
      </c>
      <c r="AE152" s="772">
        <v>29</v>
      </c>
      <c r="AF152" s="816">
        <v>30</v>
      </c>
      <c r="AG152" s="818">
        <v>31</v>
      </c>
      <c r="AH152" s="184"/>
      <c r="AI152" s="185"/>
    </row>
    <row r="153" spans="1:35" ht="22.15" customHeight="1" x14ac:dyDescent="0.2">
      <c r="A153" s="521">
        <v>1</v>
      </c>
      <c r="B153" s="523" t="s">
        <v>202</v>
      </c>
      <c r="C153" s="459"/>
      <c r="D153" s="458"/>
      <c r="E153" s="458"/>
      <c r="F153" s="458" t="s">
        <v>31</v>
      </c>
      <c r="G153" s="458" t="s">
        <v>32</v>
      </c>
      <c r="H153" s="458" t="s">
        <v>31</v>
      </c>
      <c r="I153" s="458" t="s">
        <v>31</v>
      </c>
      <c r="J153" s="459"/>
      <c r="K153" s="458"/>
      <c r="L153" s="458"/>
      <c r="M153" s="524" t="s">
        <v>31</v>
      </c>
      <c r="N153" s="524" t="s">
        <v>31</v>
      </c>
      <c r="O153" s="524" t="s">
        <v>31</v>
      </c>
      <c r="P153" s="524" t="s">
        <v>31</v>
      </c>
      <c r="Q153" s="463" t="s">
        <v>31</v>
      </c>
      <c r="R153" s="458"/>
      <c r="S153" s="458"/>
      <c r="T153" s="458" t="s">
        <v>31</v>
      </c>
      <c r="U153" s="458" t="s">
        <v>31</v>
      </c>
      <c r="V153" s="458" t="s">
        <v>31</v>
      </c>
      <c r="W153" s="458"/>
      <c r="X153" s="463" t="s">
        <v>31</v>
      </c>
      <c r="Y153" s="458"/>
      <c r="Z153" s="458"/>
      <c r="AA153" s="460" t="s">
        <v>31</v>
      </c>
      <c r="AB153" s="459" t="s">
        <v>31</v>
      </c>
      <c r="AC153" s="458" t="s">
        <v>31</v>
      </c>
      <c r="AD153" s="458" t="s">
        <v>31</v>
      </c>
      <c r="AE153" s="458" t="s">
        <v>31</v>
      </c>
      <c r="AF153" s="458"/>
      <c r="AG153" s="464"/>
      <c r="AH153" s="250"/>
      <c r="AI153" s="190"/>
    </row>
    <row r="154" spans="1:35" ht="22.15" customHeight="1" x14ac:dyDescent="0.2">
      <c r="A154" s="1016">
        <v>2</v>
      </c>
      <c r="B154" s="1034" t="s">
        <v>203</v>
      </c>
      <c r="C154" s="827"/>
      <c r="D154" s="885"/>
      <c r="E154" s="827"/>
      <c r="F154" s="827" t="s">
        <v>204</v>
      </c>
      <c r="G154" s="827" t="s">
        <v>204</v>
      </c>
      <c r="H154" s="827" t="s">
        <v>204</v>
      </c>
      <c r="I154" s="827" t="s">
        <v>204</v>
      </c>
      <c r="J154" s="827"/>
      <c r="K154" s="827" t="s">
        <v>204</v>
      </c>
      <c r="L154" s="827"/>
      <c r="M154" s="827" t="s">
        <v>205</v>
      </c>
      <c r="N154" s="827" t="s">
        <v>205</v>
      </c>
      <c r="O154" s="827" t="s">
        <v>205</v>
      </c>
      <c r="P154" s="827" t="s">
        <v>206</v>
      </c>
      <c r="Q154" s="827" t="s">
        <v>206</v>
      </c>
      <c r="R154" s="827"/>
      <c r="S154" s="827"/>
      <c r="T154" s="827" t="s">
        <v>207</v>
      </c>
      <c r="U154" s="849" t="s">
        <v>47</v>
      </c>
      <c r="V154" s="827" t="s">
        <v>207</v>
      </c>
      <c r="W154" s="827"/>
      <c r="X154" s="827" t="s">
        <v>207</v>
      </c>
      <c r="Y154" s="885"/>
      <c r="Z154" s="827"/>
      <c r="AA154" s="827" t="s">
        <v>204</v>
      </c>
      <c r="AB154" s="849" t="s">
        <v>47</v>
      </c>
      <c r="AC154" s="849" t="s">
        <v>47</v>
      </c>
      <c r="AD154" s="827" t="s">
        <v>204</v>
      </c>
      <c r="AE154" s="827" t="s">
        <v>204</v>
      </c>
      <c r="AF154" s="827" t="s">
        <v>204</v>
      </c>
      <c r="AG154" s="878"/>
      <c r="AH154" s="250"/>
      <c r="AI154" s="190"/>
    </row>
    <row r="155" spans="1:35" ht="22.15" customHeight="1" x14ac:dyDescent="0.2">
      <c r="A155" s="1016">
        <v>3</v>
      </c>
      <c r="B155" s="1035" t="s">
        <v>208</v>
      </c>
      <c r="C155" s="827"/>
      <c r="D155" s="827" t="s">
        <v>204</v>
      </c>
      <c r="E155" s="827"/>
      <c r="F155" s="978" t="s">
        <v>205</v>
      </c>
      <c r="G155" s="978" t="s">
        <v>205</v>
      </c>
      <c r="H155" s="978" t="s">
        <v>205</v>
      </c>
      <c r="I155" s="978" t="s">
        <v>205</v>
      </c>
      <c r="J155" s="978" t="s">
        <v>35</v>
      </c>
      <c r="K155" s="978"/>
      <c r="L155" s="978"/>
      <c r="M155" s="978" t="s">
        <v>207</v>
      </c>
      <c r="N155" s="978" t="s">
        <v>207</v>
      </c>
      <c r="O155" s="978" t="s">
        <v>207</v>
      </c>
      <c r="P155" s="978" t="s">
        <v>207</v>
      </c>
      <c r="Q155" s="978" t="s">
        <v>207</v>
      </c>
      <c r="R155" s="978"/>
      <c r="S155" s="978"/>
      <c r="T155" s="978" t="s">
        <v>204</v>
      </c>
      <c r="U155" s="827" t="s">
        <v>204</v>
      </c>
      <c r="V155" s="827" t="s">
        <v>204</v>
      </c>
      <c r="W155" s="827"/>
      <c r="X155" s="827" t="s">
        <v>204</v>
      </c>
      <c r="Y155" s="827" t="s">
        <v>204</v>
      </c>
      <c r="Z155" s="827"/>
      <c r="AA155" s="981" t="s">
        <v>205</v>
      </c>
      <c r="AB155" s="981" t="s">
        <v>205</v>
      </c>
      <c r="AC155" s="981" t="s">
        <v>205</v>
      </c>
      <c r="AD155" s="981" t="s">
        <v>205</v>
      </c>
      <c r="AE155" s="981" t="s">
        <v>35</v>
      </c>
      <c r="AF155" s="981"/>
      <c r="AG155" s="878"/>
      <c r="AH155" s="250"/>
      <c r="AI155" s="190"/>
    </row>
    <row r="156" spans="1:35" ht="22.15" customHeight="1" x14ac:dyDescent="0.2">
      <c r="A156" s="1016">
        <v>4</v>
      </c>
      <c r="B156" s="1035" t="s">
        <v>209</v>
      </c>
      <c r="C156" s="827"/>
      <c r="D156" s="827"/>
      <c r="E156" s="827"/>
      <c r="F156" s="827" t="s">
        <v>31</v>
      </c>
      <c r="G156" s="827" t="s">
        <v>32</v>
      </c>
      <c r="H156" s="827"/>
      <c r="I156" s="827" t="s">
        <v>32</v>
      </c>
      <c r="J156" s="827"/>
      <c r="K156" s="827"/>
      <c r="L156" s="827"/>
      <c r="M156" s="827"/>
      <c r="N156" s="827" t="s">
        <v>32</v>
      </c>
      <c r="O156" s="827"/>
      <c r="P156" s="827"/>
      <c r="Q156" s="824" t="s">
        <v>31</v>
      </c>
      <c r="R156" s="824" t="s">
        <v>204</v>
      </c>
      <c r="S156" s="824"/>
      <c r="T156" s="824"/>
      <c r="U156" s="824" t="s">
        <v>32</v>
      </c>
      <c r="V156" s="827" t="s">
        <v>31</v>
      </c>
      <c r="W156" s="827"/>
      <c r="X156" s="827" t="s">
        <v>31</v>
      </c>
      <c r="Y156" s="827"/>
      <c r="Z156" s="827"/>
      <c r="AA156" s="827"/>
      <c r="AB156" s="827" t="s">
        <v>32</v>
      </c>
      <c r="AC156" s="827" t="s">
        <v>31</v>
      </c>
      <c r="AD156" s="827"/>
      <c r="AE156" s="827" t="s">
        <v>31</v>
      </c>
      <c r="AF156" s="827"/>
      <c r="AG156" s="878"/>
      <c r="AH156" s="250"/>
      <c r="AI156" s="190"/>
    </row>
    <row r="157" spans="1:35" ht="22.15" customHeight="1" x14ac:dyDescent="0.2">
      <c r="A157" s="1016">
        <v>5</v>
      </c>
      <c r="B157" s="1035" t="s">
        <v>210</v>
      </c>
      <c r="C157" s="827"/>
      <c r="D157" s="827"/>
      <c r="E157" s="827"/>
      <c r="F157" s="827"/>
      <c r="G157" s="827" t="s">
        <v>32</v>
      </c>
      <c r="H157" s="827"/>
      <c r="I157" s="827" t="s">
        <v>31</v>
      </c>
      <c r="J157" s="827"/>
      <c r="K157" s="827"/>
      <c r="L157" s="827"/>
      <c r="M157" s="827"/>
      <c r="N157" s="827" t="s">
        <v>31</v>
      </c>
      <c r="O157" s="827"/>
      <c r="P157" s="827" t="s">
        <v>31</v>
      </c>
      <c r="Q157" s="827"/>
      <c r="R157" s="827"/>
      <c r="S157" s="827"/>
      <c r="T157" s="827" t="s">
        <v>32</v>
      </c>
      <c r="U157" s="827"/>
      <c r="V157" s="827"/>
      <c r="W157" s="827"/>
      <c r="X157" s="827"/>
      <c r="Y157" s="827"/>
      <c r="Z157" s="827"/>
      <c r="AA157" s="827" t="s">
        <v>32</v>
      </c>
      <c r="AB157" s="827"/>
      <c r="AC157" s="827"/>
      <c r="AD157" s="827" t="s">
        <v>31</v>
      </c>
      <c r="AE157" s="827"/>
      <c r="AF157" s="827"/>
      <c r="AG157" s="878"/>
      <c r="AH157" s="250"/>
      <c r="AI157" s="190"/>
    </row>
    <row r="158" spans="1:35" ht="22.15" customHeight="1" x14ac:dyDescent="0.2">
      <c r="A158" s="1016">
        <v>6</v>
      </c>
      <c r="B158" s="832" t="s">
        <v>211</v>
      </c>
      <c r="C158" s="827"/>
      <c r="D158" s="827"/>
      <c r="E158" s="827"/>
      <c r="F158" s="827" t="s">
        <v>31</v>
      </c>
      <c r="G158" s="827" t="s">
        <v>32</v>
      </c>
      <c r="H158" s="827" t="s">
        <v>31</v>
      </c>
      <c r="I158" s="827" t="s">
        <v>31</v>
      </c>
      <c r="J158" s="771"/>
      <c r="K158" s="827"/>
      <c r="L158" s="827"/>
      <c r="M158" s="827" t="s">
        <v>31</v>
      </c>
      <c r="N158" s="827" t="s">
        <v>31</v>
      </c>
      <c r="O158" s="827" t="s">
        <v>31</v>
      </c>
      <c r="P158" s="827" t="s">
        <v>31</v>
      </c>
      <c r="Q158" s="827" t="s">
        <v>31</v>
      </c>
      <c r="R158" s="827"/>
      <c r="S158" s="827"/>
      <c r="T158" s="824" t="s">
        <v>31</v>
      </c>
      <c r="U158" s="824" t="s">
        <v>31</v>
      </c>
      <c r="V158" s="824" t="s">
        <v>31</v>
      </c>
      <c r="W158" s="824"/>
      <c r="X158" s="886" t="s">
        <v>31</v>
      </c>
      <c r="Y158" s="827"/>
      <c r="Z158" s="827"/>
      <c r="AA158" s="827" t="s">
        <v>31</v>
      </c>
      <c r="AB158" s="886" t="s">
        <v>31</v>
      </c>
      <c r="AC158" s="827" t="s">
        <v>31</v>
      </c>
      <c r="AD158" s="827" t="s">
        <v>31</v>
      </c>
      <c r="AE158" s="827" t="s">
        <v>31</v>
      </c>
      <c r="AF158" s="827"/>
      <c r="AG158" s="878"/>
      <c r="AH158" s="215"/>
      <c r="AI158" s="107"/>
    </row>
    <row r="159" spans="1:35" ht="22.15" customHeight="1" thickBot="1" x14ac:dyDescent="0.25">
      <c r="A159" s="1020"/>
      <c r="B159" s="880" t="s">
        <v>212</v>
      </c>
      <c r="C159" s="772"/>
      <c r="D159" s="772"/>
      <c r="E159" s="772"/>
      <c r="F159" s="772"/>
      <c r="G159" s="772"/>
      <c r="H159" s="772"/>
      <c r="I159" s="772"/>
      <c r="J159" s="772"/>
      <c r="K159" s="772"/>
      <c r="L159" s="772"/>
      <c r="M159" s="772"/>
      <c r="N159" s="772"/>
      <c r="O159" s="772"/>
      <c r="P159" s="772"/>
      <c r="Q159" s="772"/>
      <c r="R159" s="772"/>
      <c r="S159" s="772"/>
      <c r="T159" s="772"/>
      <c r="U159" s="772"/>
      <c r="V159" s="772"/>
      <c r="W159" s="772"/>
      <c r="X159" s="772"/>
      <c r="Y159" s="772"/>
      <c r="Z159" s="772"/>
      <c r="AA159" s="772"/>
      <c r="AB159" s="772"/>
      <c r="AC159" s="772"/>
      <c r="AD159" s="772"/>
      <c r="AE159" s="772"/>
      <c r="AF159" s="772"/>
      <c r="AG159" s="890"/>
      <c r="AH159" s="107"/>
      <c r="AI159" s="107"/>
    </row>
    <row r="160" spans="1:35" ht="22.15" customHeight="1" x14ac:dyDescent="0.2">
      <c r="A160" s="256"/>
      <c r="B160" s="228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107"/>
      <c r="AI160" s="107"/>
    </row>
    <row r="161" spans="1:36" ht="22.15" customHeight="1" x14ac:dyDescent="0.2">
      <c r="A161" s="256"/>
      <c r="B161" s="228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107"/>
      <c r="AI161" s="107"/>
    </row>
    <row r="162" spans="1:36" ht="22.15" customHeight="1" thickBot="1" x14ac:dyDescent="0.25">
      <c r="A162" s="150" t="s">
        <v>213</v>
      </c>
      <c r="B162" s="72"/>
      <c r="C162" s="106" t="s">
        <v>99</v>
      </c>
      <c r="D162" s="72"/>
      <c r="E162" s="72"/>
      <c r="F162" s="106" t="s">
        <v>99</v>
      </c>
      <c r="G162" s="72"/>
      <c r="H162" s="72"/>
      <c r="I162" s="106" t="s">
        <v>99</v>
      </c>
      <c r="J162" s="106"/>
      <c r="K162" s="72"/>
      <c r="L162" s="106" t="s">
        <v>99</v>
      </c>
      <c r="M162" s="72"/>
      <c r="N162" s="72"/>
      <c r="O162" s="106" t="s">
        <v>99</v>
      </c>
      <c r="P162" s="72"/>
      <c r="Q162" s="106"/>
      <c r="R162" s="106" t="s">
        <v>99</v>
      </c>
      <c r="S162" s="72"/>
      <c r="T162" s="72"/>
      <c r="U162" s="106" t="s">
        <v>99</v>
      </c>
      <c r="V162" s="72"/>
      <c r="W162" s="106"/>
      <c r="X162" s="106"/>
      <c r="Y162" s="72"/>
      <c r="Z162" s="72"/>
      <c r="AA162" s="72"/>
      <c r="AB162" s="72"/>
      <c r="AC162" s="72"/>
      <c r="AD162" s="72"/>
      <c r="AE162" s="106"/>
      <c r="AF162" s="72"/>
      <c r="AG162" s="72"/>
      <c r="AH162" s="107"/>
      <c r="AI162" s="107"/>
    </row>
    <row r="163" spans="1:36" ht="22.15" customHeight="1" x14ac:dyDescent="0.2">
      <c r="A163" s="109"/>
      <c r="B163" s="294" t="s">
        <v>214</v>
      </c>
      <c r="C163" s="295"/>
      <c r="D163" s="296" t="s">
        <v>90</v>
      </c>
      <c r="E163" s="297"/>
      <c r="F163" s="298"/>
      <c r="G163" s="299"/>
      <c r="H163" s="296" t="s">
        <v>91</v>
      </c>
      <c r="I163" s="297"/>
      <c r="J163" s="298"/>
      <c r="K163" s="299"/>
      <c r="L163" s="296" t="s">
        <v>92</v>
      </c>
      <c r="M163" s="297"/>
      <c r="N163" s="298"/>
      <c r="O163" s="299"/>
      <c r="P163" s="296" t="s">
        <v>93</v>
      </c>
      <c r="Q163" s="297"/>
      <c r="R163" s="298"/>
      <c r="S163" s="299"/>
      <c r="T163" s="296" t="s">
        <v>94</v>
      </c>
      <c r="U163" s="297"/>
      <c r="V163" s="298"/>
      <c r="W163" s="299"/>
      <c r="X163" s="296" t="s">
        <v>95</v>
      </c>
      <c r="Y163" s="297"/>
      <c r="Z163" s="298"/>
      <c r="AA163" s="299"/>
      <c r="AB163" s="296" t="s">
        <v>96</v>
      </c>
      <c r="AC163" s="297"/>
      <c r="AD163" s="297"/>
      <c r="AE163" s="300" t="s">
        <v>97</v>
      </c>
      <c r="AF163" s="297"/>
      <c r="AG163" s="297"/>
      <c r="AH163" s="297"/>
      <c r="AI163" s="301"/>
    </row>
    <row r="164" spans="1:36" ht="22.15" customHeight="1" x14ac:dyDescent="0.2">
      <c r="A164" s="109"/>
      <c r="B164" s="1036" t="s">
        <v>215</v>
      </c>
      <c r="C164" s="739" t="s">
        <v>216</v>
      </c>
      <c r="D164" s="743" t="s">
        <v>217</v>
      </c>
      <c r="E164" s="744"/>
      <c r="F164" s="745"/>
      <c r="G164" s="1037"/>
      <c r="H164" s="743" t="s">
        <v>217</v>
      </c>
      <c r="I164" s="744"/>
      <c r="J164" s="745"/>
      <c r="K164" s="1037"/>
      <c r="L164" s="743" t="s">
        <v>217</v>
      </c>
      <c r="M164" s="744"/>
      <c r="N164" s="745"/>
      <c r="O164" s="1037"/>
      <c r="P164" s="743" t="s">
        <v>218</v>
      </c>
      <c r="Q164" s="744"/>
      <c r="R164" s="745"/>
      <c r="S164" s="1037"/>
      <c r="T164" s="743" t="s">
        <v>219</v>
      </c>
      <c r="U164" s="745"/>
      <c r="V164" s="746"/>
      <c r="W164" s="1038"/>
      <c r="X164" s="747"/>
      <c r="Y164" s="747"/>
      <c r="Z164" s="746"/>
      <c r="AA164" s="1038"/>
      <c r="AB164" s="747"/>
      <c r="AC164" s="747"/>
      <c r="AD164" s="747"/>
      <c r="AE164" s="1038"/>
      <c r="AF164" s="747"/>
      <c r="AG164" s="747"/>
      <c r="AH164" s="748"/>
      <c r="AI164" s="1039"/>
    </row>
    <row r="165" spans="1:36" ht="22.15" customHeight="1" x14ac:dyDescent="0.2">
      <c r="A165" s="109"/>
      <c r="B165" s="1036" t="s">
        <v>215</v>
      </c>
      <c r="C165" s="739" t="s">
        <v>220</v>
      </c>
      <c r="D165" s="743" t="s">
        <v>217</v>
      </c>
      <c r="E165" s="744"/>
      <c r="F165" s="745"/>
      <c r="G165" s="1037"/>
      <c r="H165" s="743" t="s">
        <v>217</v>
      </c>
      <c r="I165" s="744"/>
      <c r="J165" s="745"/>
      <c r="K165" s="1037"/>
      <c r="L165" s="743" t="s">
        <v>217</v>
      </c>
      <c r="M165" s="744"/>
      <c r="N165" s="745"/>
      <c r="O165" s="1037"/>
      <c r="P165" s="743" t="s">
        <v>218</v>
      </c>
      <c r="Q165" s="744"/>
      <c r="R165" s="745"/>
      <c r="S165" s="1037"/>
      <c r="T165" s="743" t="s">
        <v>219</v>
      </c>
      <c r="U165" s="745"/>
      <c r="V165" s="746"/>
      <c r="W165" s="1038"/>
      <c r="X165" s="747"/>
      <c r="Y165" s="747"/>
      <c r="Z165" s="746"/>
      <c r="AA165" s="1038"/>
      <c r="AB165" s="747"/>
      <c r="AC165" s="747"/>
      <c r="AD165" s="747"/>
      <c r="AE165" s="1038"/>
      <c r="AF165" s="747"/>
      <c r="AG165" s="747"/>
      <c r="AH165" s="748"/>
      <c r="AI165" s="1039"/>
    </row>
    <row r="166" spans="1:36" ht="22.15" customHeight="1" x14ac:dyDescent="0.2">
      <c r="A166" s="109"/>
      <c r="B166" s="1036" t="s">
        <v>221</v>
      </c>
      <c r="C166" s="739" t="s">
        <v>158</v>
      </c>
      <c r="D166" s="743" t="s">
        <v>217</v>
      </c>
      <c r="E166" s="744"/>
      <c r="F166" s="745"/>
      <c r="G166" s="1037"/>
      <c r="H166" s="743" t="s">
        <v>217</v>
      </c>
      <c r="I166" s="744"/>
      <c r="J166" s="745"/>
      <c r="K166" s="1037"/>
      <c r="L166" s="743" t="s">
        <v>217</v>
      </c>
      <c r="M166" s="744"/>
      <c r="N166" s="745"/>
      <c r="O166" s="1037"/>
      <c r="P166" s="743" t="s">
        <v>218</v>
      </c>
      <c r="Q166" s="744"/>
      <c r="R166" s="745"/>
      <c r="S166" s="1037"/>
      <c r="T166" s="743" t="s">
        <v>219</v>
      </c>
      <c r="U166" s="745"/>
      <c r="V166" s="746"/>
      <c r="W166" s="1038"/>
      <c r="X166" s="747"/>
      <c r="Y166" s="747"/>
      <c r="Z166" s="746"/>
      <c r="AA166" s="1038"/>
      <c r="AB166" s="747"/>
      <c r="AC166" s="747"/>
      <c r="AD166" s="747"/>
      <c r="AE166" s="1038"/>
      <c r="AF166" s="747"/>
      <c r="AG166" s="747"/>
      <c r="AH166" s="748"/>
      <c r="AI166" s="1039"/>
    </row>
    <row r="167" spans="1:36" ht="22.15" customHeight="1" x14ac:dyDescent="0.2">
      <c r="A167" s="109"/>
      <c r="B167" s="1036" t="s">
        <v>222</v>
      </c>
      <c r="C167" s="739" t="s">
        <v>223</v>
      </c>
      <c r="D167" s="743" t="s">
        <v>224</v>
      </c>
      <c r="E167" s="744"/>
      <c r="F167" s="745"/>
      <c r="G167" s="1037"/>
      <c r="H167" s="743" t="s">
        <v>224</v>
      </c>
      <c r="I167" s="744"/>
      <c r="J167" s="745"/>
      <c r="K167" s="1037"/>
      <c r="L167" s="743" t="s">
        <v>224</v>
      </c>
      <c r="M167" s="744"/>
      <c r="N167" s="745"/>
      <c r="O167" s="1037"/>
      <c r="P167" s="743" t="s">
        <v>225</v>
      </c>
      <c r="Q167" s="744"/>
      <c r="R167" s="745"/>
      <c r="S167" s="1037"/>
      <c r="T167" s="743" t="s">
        <v>226</v>
      </c>
      <c r="U167" s="745"/>
      <c r="V167" s="746"/>
      <c r="W167" s="1038"/>
      <c r="X167" s="747"/>
      <c r="Y167" s="747"/>
      <c r="Z167" s="746"/>
      <c r="AA167" s="1038"/>
      <c r="AB167" s="747"/>
      <c r="AC167" s="747"/>
      <c r="AD167" s="747"/>
      <c r="AE167" s="1038"/>
      <c r="AF167" s="747"/>
      <c r="AG167" s="747"/>
      <c r="AH167" s="748"/>
      <c r="AI167" s="1039"/>
    </row>
    <row r="168" spans="1:36" ht="22.15" customHeight="1" x14ac:dyDescent="0.2">
      <c r="A168" s="109"/>
      <c r="B168" s="1036" t="s">
        <v>227</v>
      </c>
      <c r="C168" s="739" t="s">
        <v>228</v>
      </c>
      <c r="D168" s="743" t="s">
        <v>229</v>
      </c>
      <c r="E168" s="744"/>
      <c r="F168" s="745"/>
      <c r="G168" s="1037"/>
      <c r="H168" s="743" t="s">
        <v>229</v>
      </c>
      <c r="I168" s="744"/>
      <c r="J168" s="745"/>
      <c r="K168" s="1037"/>
      <c r="L168" s="743" t="s">
        <v>230</v>
      </c>
      <c r="M168" s="744"/>
      <c r="N168" s="745"/>
      <c r="O168" s="1037"/>
      <c r="P168" s="743" t="s">
        <v>231</v>
      </c>
      <c r="Q168" s="744"/>
      <c r="R168" s="745"/>
      <c r="S168" s="1037"/>
      <c r="T168" s="743" t="s">
        <v>226</v>
      </c>
      <c r="U168" s="745"/>
      <c r="V168" s="746"/>
      <c r="W168" s="1038"/>
      <c r="X168" s="747"/>
      <c r="Y168" s="747"/>
      <c r="Z168" s="746"/>
      <c r="AA168" s="1038"/>
      <c r="AB168" s="747"/>
      <c r="AC168" s="747"/>
      <c r="AD168" s="747"/>
      <c r="AE168" s="1038"/>
      <c r="AF168" s="747"/>
      <c r="AG168" s="747"/>
      <c r="AH168" s="748"/>
      <c r="AI168" s="1039"/>
    </row>
    <row r="169" spans="1:36" ht="22.15" customHeight="1" x14ac:dyDescent="0.2">
      <c r="A169" s="109"/>
      <c r="B169" s="1036" t="s">
        <v>232</v>
      </c>
      <c r="C169" s="739" t="s">
        <v>233</v>
      </c>
      <c r="D169" s="743" t="s">
        <v>217</v>
      </c>
      <c r="E169" s="744"/>
      <c r="F169" s="745"/>
      <c r="G169" s="1037"/>
      <c r="H169" s="743" t="s">
        <v>217</v>
      </c>
      <c r="I169" s="744"/>
      <c r="J169" s="745"/>
      <c r="K169" s="1037"/>
      <c r="L169" s="743" t="s">
        <v>217</v>
      </c>
      <c r="M169" s="744"/>
      <c r="N169" s="745"/>
      <c r="O169" s="1037"/>
      <c r="P169" s="743" t="s">
        <v>217</v>
      </c>
      <c r="Q169" s="744"/>
      <c r="R169" s="745"/>
      <c r="S169" s="1037"/>
      <c r="T169" s="743" t="s">
        <v>229</v>
      </c>
      <c r="U169" s="745"/>
      <c r="V169" s="746"/>
      <c r="W169" s="1038"/>
      <c r="X169" s="747"/>
      <c r="Y169" s="747"/>
      <c r="Z169" s="746"/>
      <c r="AA169" s="1038"/>
      <c r="AB169" s="747"/>
      <c r="AC169" s="747"/>
      <c r="AD169" s="747"/>
      <c r="AE169" s="1038"/>
      <c r="AF169" s="747"/>
      <c r="AG169" s="747"/>
      <c r="AH169" s="748"/>
      <c r="AI169" s="1039"/>
    </row>
    <row r="170" spans="1:36" ht="22.15" customHeight="1" x14ac:dyDescent="0.2">
      <c r="A170" s="109"/>
      <c r="B170" s="1036" t="s">
        <v>234</v>
      </c>
      <c r="C170" s="739" t="s">
        <v>235</v>
      </c>
      <c r="D170" s="743" t="s">
        <v>217</v>
      </c>
      <c r="E170" s="744"/>
      <c r="F170" s="745"/>
      <c r="G170" s="1037"/>
      <c r="H170" s="743" t="s">
        <v>217</v>
      </c>
      <c r="I170" s="744"/>
      <c r="J170" s="745"/>
      <c r="K170" s="1037"/>
      <c r="L170" s="743" t="s">
        <v>217</v>
      </c>
      <c r="M170" s="744"/>
      <c r="N170" s="745"/>
      <c r="O170" s="1037"/>
      <c r="P170" s="743" t="s">
        <v>218</v>
      </c>
      <c r="Q170" s="744"/>
      <c r="R170" s="745"/>
      <c r="S170" s="1037"/>
      <c r="T170" s="743" t="s">
        <v>219</v>
      </c>
      <c r="U170" s="745"/>
      <c r="V170" s="746"/>
      <c r="W170" s="1038"/>
      <c r="X170" s="747"/>
      <c r="Y170" s="747"/>
      <c r="Z170" s="746"/>
      <c r="AA170" s="1038"/>
      <c r="AB170" s="747"/>
      <c r="AC170" s="747"/>
      <c r="AD170" s="747"/>
      <c r="AE170" s="1038"/>
      <c r="AF170" s="747"/>
      <c r="AG170" s="747"/>
      <c r="AH170" s="748"/>
      <c r="AI170" s="1039"/>
    </row>
    <row r="171" spans="1:36" ht="22.15" customHeight="1" x14ac:dyDescent="0.2">
      <c r="A171" s="109"/>
      <c r="B171" s="1036" t="s">
        <v>234</v>
      </c>
      <c r="C171" s="739" t="s">
        <v>236</v>
      </c>
      <c r="D171" s="743" t="s">
        <v>217</v>
      </c>
      <c r="E171" s="744"/>
      <c r="F171" s="745"/>
      <c r="G171" s="1037"/>
      <c r="H171" s="743" t="s">
        <v>217</v>
      </c>
      <c r="I171" s="744"/>
      <c r="J171" s="745"/>
      <c r="K171" s="1037"/>
      <c r="L171" s="743" t="s">
        <v>217</v>
      </c>
      <c r="M171" s="744"/>
      <c r="N171" s="745"/>
      <c r="O171" s="1037"/>
      <c r="P171" s="743" t="s">
        <v>218</v>
      </c>
      <c r="Q171" s="744"/>
      <c r="R171" s="745"/>
      <c r="S171" s="1037"/>
      <c r="T171" s="743" t="s">
        <v>219</v>
      </c>
      <c r="U171" s="745"/>
      <c r="V171" s="746"/>
      <c r="W171" s="1038"/>
      <c r="X171" s="747"/>
      <c r="Y171" s="747"/>
      <c r="Z171" s="746"/>
      <c r="AA171" s="1038"/>
      <c r="AB171" s="747"/>
      <c r="AC171" s="747"/>
      <c r="AD171" s="747"/>
      <c r="AE171" s="1038"/>
      <c r="AF171" s="747"/>
      <c r="AG171" s="747"/>
      <c r="AH171" s="748"/>
      <c r="AI171" s="1039"/>
    </row>
    <row r="172" spans="1:36" ht="22.15" customHeight="1" x14ac:dyDescent="0.2">
      <c r="A172" s="109"/>
      <c r="B172" s="1036" t="s">
        <v>237</v>
      </c>
      <c r="C172" s="739" t="s">
        <v>238</v>
      </c>
      <c r="D172" s="743" t="s">
        <v>217</v>
      </c>
      <c r="E172" s="744"/>
      <c r="F172" s="745"/>
      <c r="G172" s="1037"/>
      <c r="H172" s="743" t="s">
        <v>217</v>
      </c>
      <c r="I172" s="744"/>
      <c r="J172" s="745"/>
      <c r="K172" s="1037"/>
      <c r="L172" s="743" t="s">
        <v>217</v>
      </c>
      <c r="M172" s="744"/>
      <c r="N172" s="745"/>
      <c r="O172" s="1037"/>
      <c r="P172" s="743" t="s">
        <v>239</v>
      </c>
      <c r="Q172" s="744"/>
      <c r="R172" s="745"/>
      <c r="S172" s="1037"/>
      <c r="T172" s="743" t="s">
        <v>226</v>
      </c>
      <c r="U172" s="745"/>
      <c r="V172" s="746"/>
      <c r="W172" s="1038"/>
      <c r="X172" s="747"/>
      <c r="Y172" s="747"/>
      <c r="Z172" s="746"/>
      <c r="AA172" s="1038"/>
      <c r="AB172" s="747"/>
      <c r="AC172" s="747"/>
      <c r="AD172" s="747"/>
      <c r="AE172" s="1038"/>
      <c r="AF172" s="747"/>
      <c r="AG172" s="747"/>
      <c r="AH172" s="748"/>
      <c r="AI172" s="1039"/>
    </row>
    <row r="173" spans="1:36" ht="22.15" customHeight="1" x14ac:dyDescent="0.2">
      <c r="A173" s="109"/>
      <c r="B173" s="714" t="s">
        <v>240</v>
      </c>
      <c r="C173" s="739" t="s">
        <v>80</v>
      </c>
      <c r="D173" s="743" t="s">
        <v>217</v>
      </c>
      <c r="E173" s="744"/>
      <c r="F173" s="745"/>
      <c r="G173" s="1037"/>
      <c r="H173" s="743" t="s">
        <v>217</v>
      </c>
      <c r="I173" s="744"/>
      <c r="J173" s="745"/>
      <c r="K173" s="1037"/>
      <c r="L173" s="743" t="s">
        <v>217</v>
      </c>
      <c r="M173" s="744"/>
      <c r="N173" s="745"/>
      <c r="O173" s="1037"/>
      <c r="P173" s="743" t="s">
        <v>218</v>
      </c>
      <c r="Q173" s="744"/>
      <c r="R173" s="745"/>
      <c r="S173" s="1037"/>
      <c r="T173" s="743" t="s">
        <v>219</v>
      </c>
      <c r="U173" s="745"/>
      <c r="V173" s="212"/>
      <c r="W173" s="715"/>
      <c r="X173" s="211"/>
      <c r="Y173" s="211"/>
      <c r="Z173" s="212"/>
      <c r="AA173" s="715"/>
      <c r="AB173" s="211"/>
      <c r="AC173" s="211"/>
      <c r="AD173" s="211"/>
      <c r="AE173" s="715"/>
      <c r="AF173" s="211"/>
      <c r="AG173" s="211"/>
      <c r="AH173" s="213"/>
      <c r="AI173" s="1040"/>
      <c r="AJ173" s="214"/>
    </row>
    <row r="174" spans="1:36" ht="22.15" customHeight="1" x14ac:dyDescent="0.2">
      <c r="A174" s="109"/>
      <c r="B174" s="1036" t="s">
        <v>241</v>
      </c>
      <c r="C174" s="739" t="s">
        <v>132</v>
      </c>
      <c r="D174" s="743" t="s">
        <v>217</v>
      </c>
      <c r="E174" s="744"/>
      <c r="F174" s="745"/>
      <c r="G174" s="1037"/>
      <c r="H174" s="743" t="s">
        <v>217</v>
      </c>
      <c r="I174" s="744"/>
      <c r="J174" s="745"/>
      <c r="K174" s="1037"/>
      <c r="L174" s="743" t="s">
        <v>217</v>
      </c>
      <c r="M174" s="744"/>
      <c r="N174" s="745"/>
      <c r="O174" s="1037"/>
      <c r="P174" s="743" t="s">
        <v>218</v>
      </c>
      <c r="Q174" s="744"/>
      <c r="R174" s="745"/>
      <c r="S174" s="1037"/>
      <c r="T174" s="743" t="s">
        <v>219</v>
      </c>
      <c r="U174" s="745"/>
      <c r="V174" s="747"/>
      <c r="W174" s="1038"/>
      <c r="X174" s="747"/>
      <c r="Y174" s="747"/>
      <c r="Z174" s="747"/>
      <c r="AA174" s="1038"/>
      <c r="AB174" s="747"/>
      <c r="AC174" s="747"/>
      <c r="AD174" s="747"/>
      <c r="AE174" s="1038"/>
      <c r="AF174" s="747"/>
      <c r="AG174" s="747"/>
      <c r="AH174" s="748"/>
      <c r="AI174" s="1039"/>
      <c r="AJ174" s="214"/>
    </row>
    <row r="175" spans="1:36" ht="22.15" customHeight="1" x14ac:dyDescent="0.2">
      <c r="A175" s="109"/>
      <c r="B175" s="1036" t="s">
        <v>242</v>
      </c>
      <c r="C175" s="740" t="s">
        <v>243</v>
      </c>
      <c r="D175" s="743" t="s">
        <v>244</v>
      </c>
      <c r="E175" s="744"/>
      <c r="F175" s="745"/>
      <c r="G175" s="1037"/>
      <c r="H175" s="743" t="s">
        <v>244</v>
      </c>
      <c r="I175" s="744"/>
      <c r="J175" s="745"/>
      <c r="K175" s="1037"/>
      <c r="L175" s="743" t="s">
        <v>244</v>
      </c>
      <c r="M175" s="744"/>
      <c r="N175" s="744"/>
      <c r="O175" s="1037"/>
      <c r="P175" s="743" t="s">
        <v>244</v>
      </c>
      <c r="Q175" s="744"/>
      <c r="R175" s="744"/>
      <c r="S175" s="1037"/>
      <c r="T175" s="743" t="s">
        <v>226</v>
      </c>
      <c r="U175" s="745"/>
      <c r="V175" s="747"/>
      <c r="W175" s="1041"/>
      <c r="X175" s="747"/>
      <c r="Y175" s="747"/>
      <c r="Z175" s="747"/>
      <c r="AA175" s="1038"/>
      <c r="AB175" s="747"/>
      <c r="AC175" s="747"/>
      <c r="AD175" s="747"/>
      <c r="AE175" s="1038"/>
      <c r="AF175" s="747"/>
      <c r="AG175" s="747"/>
      <c r="AH175" s="748"/>
      <c r="AI175" s="1039"/>
      <c r="AJ175" s="214"/>
    </row>
    <row r="176" spans="1:36" ht="22.15" customHeight="1" x14ac:dyDescent="0.2">
      <c r="A176" s="109"/>
      <c r="B176" s="1036" t="s">
        <v>245</v>
      </c>
      <c r="C176" s="740" t="s">
        <v>246</v>
      </c>
      <c r="D176" s="743" t="s">
        <v>244</v>
      </c>
      <c r="E176" s="744"/>
      <c r="F176" s="745"/>
      <c r="G176" s="1037"/>
      <c r="H176" s="743" t="s">
        <v>244</v>
      </c>
      <c r="I176" s="744"/>
      <c r="J176" s="745"/>
      <c r="K176" s="1037"/>
      <c r="L176" s="743" t="s">
        <v>244</v>
      </c>
      <c r="M176" s="744"/>
      <c r="N176" s="744"/>
      <c r="O176" s="1037"/>
      <c r="P176" s="743" t="s">
        <v>244</v>
      </c>
      <c r="Q176" s="744"/>
      <c r="R176" s="744"/>
      <c r="S176" s="1037"/>
      <c r="T176" s="743" t="s">
        <v>226</v>
      </c>
      <c r="U176" s="745"/>
      <c r="V176" s="747"/>
      <c r="W176" s="1041"/>
      <c r="X176" s="747"/>
      <c r="Y176" s="747"/>
      <c r="Z176" s="746"/>
      <c r="AA176" s="709"/>
      <c r="AB176" s="747"/>
      <c r="AC176" s="747"/>
      <c r="AD176" s="747"/>
      <c r="AE176" s="1038"/>
      <c r="AF176" s="747"/>
      <c r="AG176" s="747"/>
      <c r="AH176" s="748"/>
      <c r="AI176" s="1039"/>
      <c r="AJ176" s="214"/>
    </row>
    <row r="177" spans="1:36" ht="22.15" customHeight="1" thickBot="1" x14ac:dyDescent="0.25">
      <c r="A177" s="109"/>
      <c r="B177" s="1036" t="s">
        <v>247</v>
      </c>
      <c r="C177" s="740" t="s">
        <v>248</v>
      </c>
      <c r="D177" s="743" t="s">
        <v>244</v>
      </c>
      <c r="E177" s="744"/>
      <c r="F177" s="745"/>
      <c r="G177" s="1037"/>
      <c r="H177" s="743" t="s">
        <v>244</v>
      </c>
      <c r="I177" s="744"/>
      <c r="J177" s="745"/>
      <c r="K177" s="1037"/>
      <c r="L177" s="743" t="s">
        <v>244</v>
      </c>
      <c r="M177" s="744"/>
      <c r="N177" s="744"/>
      <c r="O177" s="1037"/>
      <c r="P177" s="743" t="s">
        <v>244</v>
      </c>
      <c r="Q177" s="744"/>
      <c r="R177" s="744"/>
      <c r="S177" s="1037"/>
      <c r="T177" s="743" t="s">
        <v>226</v>
      </c>
      <c r="U177" s="745"/>
      <c r="V177" s="702"/>
      <c r="W177" s="677"/>
      <c r="X177" s="702"/>
      <c r="Y177" s="702"/>
      <c r="Z177" s="703"/>
      <c r="AA177" s="704"/>
      <c r="AB177" s="702"/>
      <c r="AC177" s="702"/>
      <c r="AD177" s="702"/>
      <c r="AE177" s="678"/>
      <c r="AF177" s="702"/>
      <c r="AG177" s="702"/>
      <c r="AH177" s="705"/>
      <c r="AI177" s="679"/>
      <c r="AJ177" s="214"/>
    </row>
    <row r="178" spans="1:36" ht="22.15" customHeight="1" x14ac:dyDescent="0.2">
      <c r="A178" s="109"/>
      <c r="B178" s="240"/>
      <c r="C178" s="241"/>
      <c r="D178" s="242"/>
      <c r="E178" s="243"/>
      <c r="F178" s="243"/>
      <c r="G178" s="244"/>
      <c r="H178" s="242"/>
      <c r="I178" s="243"/>
      <c r="J178" s="243"/>
      <c r="K178" s="244"/>
      <c r="L178" s="242"/>
      <c r="M178" s="243"/>
      <c r="N178" s="243"/>
      <c r="O178" s="244"/>
      <c r="P178" s="228"/>
      <c r="Q178" s="243"/>
      <c r="R178" s="243"/>
      <c r="S178" s="244"/>
      <c r="T178" s="228"/>
      <c r="U178" s="243"/>
      <c r="V178" s="243"/>
      <c r="W178" s="243"/>
      <c r="X178" s="243"/>
      <c r="Y178" s="243"/>
      <c r="Z178" s="243"/>
      <c r="AA178" s="244"/>
      <c r="AB178" s="243"/>
      <c r="AC178" s="243"/>
      <c r="AD178" s="243"/>
      <c r="AE178" s="244"/>
      <c r="AF178" s="243"/>
      <c r="AG178" s="243"/>
      <c r="AH178" s="215"/>
      <c r="AI178" s="215"/>
      <c r="AJ178" s="214"/>
    </row>
    <row r="179" spans="1:36" ht="22.15" customHeight="1" thickBot="1" x14ac:dyDescent="0.25">
      <c r="A179" s="148"/>
      <c r="B179" s="1042" t="s">
        <v>29</v>
      </c>
      <c r="C179" s="816">
        <v>1</v>
      </c>
      <c r="D179" s="816">
        <v>2</v>
      </c>
      <c r="E179" s="816">
        <v>3</v>
      </c>
      <c r="F179" s="772">
        <v>4</v>
      </c>
      <c r="G179" s="1043">
        <v>5</v>
      </c>
      <c r="H179" s="772">
        <v>6</v>
      </c>
      <c r="I179" s="772">
        <v>7</v>
      </c>
      <c r="J179" s="816">
        <v>8</v>
      </c>
      <c r="K179" s="816">
        <v>9</v>
      </c>
      <c r="L179" s="816">
        <v>10</v>
      </c>
      <c r="M179" s="772">
        <v>11</v>
      </c>
      <c r="N179" s="772">
        <v>12</v>
      </c>
      <c r="O179" s="772">
        <v>13</v>
      </c>
      <c r="P179" s="772">
        <v>14</v>
      </c>
      <c r="Q179" s="772">
        <v>15</v>
      </c>
      <c r="R179" s="816">
        <v>16</v>
      </c>
      <c r="S179" s="816">
        <v>17</v>
      </c>
      <c r="T179" s="772">
        <v>18</v>
      </c>
      <c r="U179" s="772">
        <v>19</v>
      </c>
      <c r="V179" s="772">
        <v>20</v>
      </c>
      <c r="W179" s="816">
        <v>21</v>
      </c>
      <c r="X179" s="772">
        <v>22</v>
      </c>
      <c r="Y179" s="816">
        <v>23</v>
      </c>
      <c r="Z179" s="816">
        <v>24</v>
      </c>
      <c r="AA179" s="772">
        <v>25</v>
      </c>
      <c r="AB179" s="772">
        <v>26</v>
      </c>
      <c r="AC179" s="772">
        <v>27</v>
      </c>
      <c r="AD179" s="772">
        <v>28</v>
      </c>
      <c r="AE179" s="772">
        <v>29</v>
      </c>
      <c r="AF179" s="816">
        <v>30</v>
      </c>
      <c r="AG179" s="818">
        <v>31</v>
      </c>
      <c r="AH179" s="195"/>
      <c r="AI179" s="185"/>
    </row>
    <row r="180" spans="1:36" ht="22.15" customHeight="1" x14ac:dyDescent="0.2">
      <c r="A180" s="109"/>
      <c r="B180" s="411" t="s">
        <v>249</v>
      </c>
      <c r="C180" s="385"/>
      <c r="D180" s="385"/>
      <c r="E180" s="385"/>
      <c r="F180" s="385" t="s">
        <v>216</v>
      </c>
      <c r="G180" s="385" t="s">
        <v>216</v>
      </c>
      <c r="H180" s="385" t="s">
        <v>216</v>
      </c>
      <c r="I180" s="385" t="s">
        <v>216</v>
      </c>
      <c r="J180" s="385"/>
      <c r="K180" s="385"/>
      <c r="L180" s="385"/>
      <c r="M180" s="385" t="s">
        <v>216</v>
      </c>
      <c r="N180" s="385" t="s">
        <v>216</v>
      </c>
      <c r="O180" s="385" t="s">
        <v>216</v>
      </c>
      <c r="P180" s="385" t="s">
        <v>216</v>
      </c>
      <c r="Q180" s="385" t="s">
        <v>216</v>
      </c>
      <c r="R180" s="385"/>
      <c r="S180" s="385"/>
      <c r="T180" s="385" t="s">
        <v>216</v>
      </c>
      <c r="U180" s="385" t="s">
        <v>216</v>
      </c>
      <c r="V180" s="385" t="s">
        <v>216</v>
      </c>
      <c r="W180" s="385"/>
      <c r="X180" s="385" t="s">
        <v>216</v>
      </c>
      <c r="Y180" s="385"/>
      <c r="Z180" s="385"/>
      <c r="AA180" s="385" t="s">
        <v>216</v>
      </c>
      <c r="AB180" s="385" t="s">
        <v>216</v>
      </c>
      <c r="AC180" s="385" t="s">
        <v>216</v>
      </c>
      <c r="AD180" s="385" t="s">
        <v>216</v>
      </c>
      <c r="AE180" s="385" t="s">
        <v>216</v>
      </c>
      <c r="AF180" s="385"/>
      <c r="AG180" s="412"/>
      <c r="AH180" s="190"/>
      <c r="AI180" s="190"/>
    </row>
    <row r="181" spans="1:36" ht="22.15" customHeight="1" x14ac:dyDescent="0.2">
      <c r="A181" s="109"/>
      <c r="B181" s="1044" t="s">
        <v>250</v>
      </c>
      <c r="C181" s="737"/>
      <c r="D181" s="737"/>
      <c r="E181" s="737"/>
      <c r="F181" s="737" t="s">
        <v>216</v>
      </c>
      <c r="G181" s="737" t="s">
        <v>216</v>
      </c>
      <c r="H181" s="737" t="s">
        <v>216</v>
      </c>
      <c r="I181" s="853" t="s">
        <v>216</v>
      </c>
      <c r="J181" s="853"/>
      <c r="K181" s="737"/>
      <c r="L181" s="737"/>
      <c r="M181" s="850" t="s">
        <v>216</v>
      </c>
      <c r="N181" s="850" t="s">
        <v>216</v>
      </c>
      <c r="O181" s="850" t="s">
        <v>216</v>
      </c>
      <c r="P181" s="850" t="s">
        <v>216</v>
      </c>
      <c r="Q181" s="850" t="s">
        <v>216</v>
      </c>
      <c r="R181" s="850"/>
      <c r="S181" s="850"/>
      <c r="T181" s="850" t="s">
        <v>216</v>
      </c>
      <c r="U181" s="850" t="s">
        <v>216</v>
      </c>
      <c r="V181" s="850" t="s">
        <v>216</v>
      </c>
      <c r="W181" s="850"/>
      <c r="X181" s="850" t="s">
        <v>216</v>
      </c>
      <c r="Y181" s="737"/>
      <c r="Z181" s="737"/>
      <c r="AA181" s="737" t="s">
        <v>216</v>
      </c>
      <c r="AB181" s="737" t="s">
        <v>216</v>
      </c>
      <c r="AC181" s="737" t="s">
        <v>216</v>
      </c>
      <c r="AD181" s="737" t="s">
        <v>216</v>
      </c>
      <c r="AE181" s="737" t="s">
        <v>216</v>
      </c>
      <c r="AF181" s="737"/>
      <c r="AG181" s="738"/>
      <c r="AH181" s="190"/>
      <c r="AI181" s="190"/>
    </row>
    <row r="182" spans="1:36" ht="22.15" customHeight="1" x14ac:dyDescent="0.2">
      <c r="A182" s="109"/>
      <c r="B182" s="1044" t="s">
        <v>251</v>
      </c>
      <c r="C182" s="737"/>
      <c r="D182" s="737"/>
      <c r="E182" s="737"/>
      <c r="F182" s="850" t="s">
        <v>220</v>
      </c>
      <c r="G182" s="737" t="s">
        <v>220</v>
      </c>
      <c r="H182" s="737" t="s">
        <v>220</v>
      </c>
      <c r="I182" s="737" t="s">
        <v>220</v>
      </c>
      <c r="J182" s="737"/>
      <c r="K182" s="737"/>
      <c r="L182" s="737"/>
      <c r="M182" s="737" t="s">
        <v>220</v>
      </c>
      <c r="N182" s="737" t="s">
        <v>220</v>
      </c>
      <c r="O182" s="737" t="s">
        <v>220</v>
      </c>
      <c r="P182" s="737" t="s">
        <v>220</v>
      </c>
      <c r="Q182" s="737" t="s">
        <v>220</v>
      </c>
      <c r="R182" s="737"/>
      <c r="S182" s="737"/>
      <c r="T182" s="737" t="s">
        <v>220</v>
      </c>
      <c r="U182" s="737" t="s">
        <v>220</v>
      </c>
      <c r="V182" s="737" t="s">
        <v>220</v>
      </c>
      <c r="W182" s="737"/>
      <c r="X182" s="737" t="s">
        <v>220</v>
      </c>
      <c r="Y182" s="737"/>
      <c r="Z182" s="737"/>
      <c r="AA182" s="737" t="s">
        <v>220</v>
      </c>
      <c r="AB182" s="737" t="s">
        <v>220</v>
      </c>
      <c r="AC182" s="737" t="s">
        <v>220</v>
      </c>
      <c r="AD182" s="737" t="s">
        <v>220</v>
      </c>
      <c r="AE182" s="737" t="s">
        <v>220</v>
      </c>
      <c r="AF182" s="737"/>
      <c r="AG182" s="738"/>
      <c r="AH182" s="190"/>
      <c r="AI182" s="190"/>
    </row>
    <row r="183" spans="1:36" ht="22.15" customHeight="1" x14ac:dyDescent="0.2">
      <c r="A183" s="109"/>
      <c r="B183" s="1044" t="s">
        <v>252</v>
      </c>
      <c r="C183" s="737"/>
      <c r="D183" s="852"/>
      <c r="E183" s="852"/>
      <c r="F183" s="850" t="s">
        <v>158</v>
      </c>
      <c r="G183" s="852" t="s">
        <v>158</v>
      </c>
      <c r="H183" s="852" t="s">
        <v>158</v>
      </c>
      <c r="I183" s="737" t="s">
        <v>158</v>
      </c>
      <c r="J183" s="737"/>
      <c r="K183" s="1045"/>
      <c r="L183" s="737"/>
      <c r="M183" s="737" t="s">
        <v>158</v>
      </c>
      <c r="N183" s="737" t="s">
        <v>158</v>
      </c>
      <c r="O183" s="737" t="s">
        <v>158</v>
      </c>
      <c r="P183" s="737" t="s">
        <v>158</v>
      </c>
      <c r="Q183" s="737" t="s">
        <v>158</v>
      </c>
      <c r="R183" s="737"/>
      <c r="S183" s="737"/>
      <c r="T183" s="1046" t="s">
        <v>158</v>
      </c>
      <c r="U183" s="737" t="s">
        <v>158</v>
      </c>
      <c r="V183" s="737" t="s">
        <v>158</v>
      </c>
      <c r="W183" s="737"/>
      <c r="X183" s="1046" t="s">
        <v>158</v>
      </c>
      <c r="Y183" s="737"/>
      <c r="Z183" s="737"/>
      <c r="AA183" s="737" t="s">
        <v>158</v>
      </c>
      <c r="AB183" s="737" t="s">
        <v>158</v>
      </c>
      <c r="AC183" s="737" t="s">
        <v>158</v>
      </c>
      <c r="AD183" s="737" t="s">
        <v>158</v>
      </c>
      <c r="AE183" s="737" t="s">
        <v>158</v>
      </c>
      <c r="AF183" s="737"/>
      <c r="AG183" s="738"/>
      <c r="AH183" s="190"/>
      <c r="AI183" s="190"/>
    </row>
    <row r="184" spans="1:36" ht="22.15" customHeight="1" x14ac:dyDescent="0.2">
      <c r="A184" s="109"/>
      <c r="B184" s="730" t="s">
        <v>253</v>
      </c>
      <c r="C184" s="737"/>
      <c r="D184" s="737"/>
      <c r="E184" s="737"/>
      <c r="F184" s="749" t="s">
        <v>223</v>
      </c>
      <c r="G184" s="737" t="s">
        <v>223</v>
      </c>
      <c r="H184" s="737" t="s">
        <v>223</v>
      </c>
      <c r="I184" s="737" t="s">
        <v>223</v>
      </c>
      <c r="J184" s="737"/>
      <c r="K184" s="737"/>
      <c r="L184" s="749"/>
      <c r="M184" s="749" t="s">
        <v>223</v>
      </c>
      <c r="N184" s="737" t="s">
        <v>223</v>
      </c>
      <c r="O184" s="737" t="s">
        <v>223</v>
      </c>
      <c r="P184" s="737" t="s">
        <v>223</v>
      </c>
      <c r="Q184" s="737" t="s">
        <v>223</v>
      </c>
      <c r="R184" s="737"/>
      <c r="S184" s="737"/>
      <c r="T184" s="737" t="s">
        <v>223</v>
      </c>
      <c r="U184" s="737" t="s">
        <v>223</v>
      </c>
      <c r="V184" s="737" t="s">
        <v>223</v>
      </c>
      <c r="W184" s="737"/>
      <c r="X184" s="737" t="s">
        <v>223</v>
      </c>
      <c r="Y184" s="737"/>
      <c r="Z184" s="737"/>
      <c r="AA184" s="737" t="s">
        <v>223</v>
      </c>
      <c r="AB184" s="737" t="s">
        <v>223</v>
      </c>
      <c r="AC184" s="737" t="s">
        <v>223</v>
      </c>
      <c r="AD184" s="737" t="s">
        <v>223</v>
      </c>
      <c r="AE184" s="737" t="s">
        <v>223</v>
      </c>
      <c r="AF184" s="737"/>
      <c r="AG184" s="738"/>
      <c r="AH184" s="190"/>
      <c r="AI184" s="190"/>
    </row>
    <row r="185" spans="1:36" ht="22.15" customHeight="1" x14ac:dyDescent="0.2">
      <c r="A185" s="109"/>
      <c r="B185" s="935" t="s">
        <v>254</v>
      </c>
      <c r="C185" s="737"/>
      <c r="D185" s="737"/>
      <c r="E185" s="737"/>
      <c r="F185" s="737" t="s">
        <v>228</v>
      </c>
      <c r="G185" s="737" t="s">
        <v>228</v>
      </c>
      <c r="H185" s="737" t="s">
        <v>228</v>
      </c>
      <c r="I185" s="737" t="s">
        <v>228</v>
      </c>
      <c r="J185" s="737"/>
      <c r="K185" s="737"/>
      <c r="L185" s="737"/>
      <c r="M185" s="737" t="s">
        <v>228</v>
      </c>
      <c r="N185" s="737" t="s">
        <v>228</v>
      </c>
      <c r="O185" s="737" t="s">
        <v>228</v>
      </c>
      <c r="P185" s="849" t="s">
        <v>228</v>
      </c>
      <c r="Q185" s="849" t="s">
        <v>228</v>
      </c>
      <c r="R185" s="737"/>
      <c r="S185" s="737"/>
      <c r="T185" s="849" t="s">
        <v>228</v>
      </c>
      <c r="U185" s="1047" t="s">
        <v>228</v>
      </c>
      <c r="V185" s="1047" t="s">
        <v>228</v>
      </c>
      <c r="W185" s="737"/>
      <c r="X185" s="737" t="s">
        <v>228</v>
      </c>
      <c r="Y185" s="737"/>
      <c r="Z185" s="737"/>
      <c r="AA185" s="737" t="s">
        <v>228</v>
      </c>
      <c r="AB185" s="737" t="s">
        <v>228</v>
      </c>
      <c r="AC185" s="737" t="s">
        <v>228</v>
      </c>
      <c r="AD185" s="737" t="s">
        <v>228</v>
      </c>
      <c r="AE185" s="737" t="s">
        <v>228</v>
      </c>
      <c r="AF185" s="737"/>
      <c r="AG185" s="738"/>
      <c r="AH185" s="190"/>
      <c r="AI185" s="190"/>
    </row>
    <row r="186" spans="1:36" ht="22.15" customHeight="1" x14ac:dyDescent="0.2">
      <c r="A186" s="109"/>
      <c r="B186" s="1044" t="s">
        <v>255</v>
      </c>
      <c r="C186" s="842"/>
      <c r="D186" s="737"/>
      <c r="E186" s="737"/>
      <c r="F186" s="737" t="s">
        <v>233</v>
      </c>
      <c r="G186" s="737" t="s">
        <v>228</v>
      </c>
      <c r="H186" s="737" t="s">
        <v>233</v>
      </c>
      <c r="I186" s="737" t="s">
        <v>233</v>
      </c>
      <c r="J186" s="737"/>
      <c r="K186" s="737"/>
      <c r="L186" s="737"/>
      <c r="M186" s="737" t="s">
        <v>233</v>
      </c>
      <c r="N186" s="737" t="s">
        <v>233</v>
      </c>
      <c r="O186" s="737" t="s">
        <v>233</v>
      </c>
      <c r="P186" s="737" t="s">
        <v>233</v>
      </c>
      <c r="Q186" s="737" t="s">
        <v>233</v>
      </c>
      <c r="R186" s="737"/>
      <c r="S186" s="737"/>
      <c r="T186" s="737" t="s">
        <v>233</v>
      </c>
      <c r="U186" s="737" t="s">
        <v>233</v>
      </c>
      <c r="V186" s="737" t="s">
        <v>233</v>
      </c>
      <c r="W186" s="737"/>
      <c r="X186" s="737" t="s">
        <v>233</v>
      </c>
      <c r="Y186" s="737"/>
      <c r="Z186" s="737"/>
      <c r="AA186" s="737" t="s">
        <v>233</v>
      </c>
      <c r="AB186" s="737" t="s">
        <v>233</v>
      </c>
      <c r="AC186" s="737" t="s">
        <v>233</v>
      </c>
      <c r="AD186" s="737" t="s">
        <v>233</v>
      </c>
      <c r="AE186" s="737" t="s">
        <v>233</v>
      </c>
      <c r="AF186" s="853"/>
      <c r="AG186" s="738"/>
      <c r="AH186" s="190"/>
      <c r="AI186" s="190"/>
    </row>
    <row r="187" spans="1:36" ht="22.15" customHeight="1" x14ac:dyDescent="0.2">
      <c r="A187" s="109"/>
      <c r="B187" s="732" t="s">
        <v>256</v>
      </c>
      <c r="C187" s="737"/>
      <c r="D187" s="737"/>
      <c r="E187" s="737"/>
      <c r="F187" s="737" t="s">
        <v>235</v>
      </c>
      <c r="G187" s="737" t="s">
        <v>235</v>
      </c>
      <c r="H187" s="737" t="s">
        <v>235</v>
      </c>
      <c r="I187" s="737" t="s">
        <v>235</v>
      </c>
      <c r="J187" s="737"/>
      <c r="K187" s="737"/>
      <c r="L187" s="737"/>
      <c r="M187" s="737" t="s">
        <v>235</v>
      </c>
      <c r="N187" s="737" t="s">
        <v>235</v>
      </c>
      <c r="O187" s="737" t="s">
        <v>235</v>
      </c>
      <c r="P187" s="737" t="s">
        <v>235</v>
      </c>
      <c r="Q187" s="737" t="s">
        <v>235</v>
      </c>
      <c r="R187" s="737"/>
      <c r="S187" s="737"/>
      <c r="T187" s="737" t="s">
        <v>235</v>
      </c>
      <c r="U187" s="737" t="s">
        <v>235</v>
      </c>
      <c r="V187" s="737" t="s">
        <v>235</v>
      </c>
      <c r="W187" s="737"/>
      <c r="X187" s="737" t="s">
        <v>235</v>
      </c>
      <c r="Y187" s="737"/>
      <c r="Z187" s="737"/>
      <c r="AA187" s="737" t="s">
        <v>235</v>
      </c>
      <c r="AB187" s="737" t="s">
        <v>235</v>
      </c>
      <c r="AC187" s="737" t="s">
        <v>235</v>
      </c>
      <c r="AD187" s="737" t="s">
        <v>235</v>
      </c>
      <c r="AE187" s="737" t="s">
        <v>235</v>
      </c>
      <c r="AF187" s="737"/>
      <c r="AG187" s="738"/>
      <c r="AH187" s="190"/>
      <c r="AI187" s="190"/>
    </row>
    <row r="188" spans="1:36" ht="22.15" customHeight="1" x14ac:dyDescent="0.2">
      <c r="A188" s="109"/>
      <c r="B188" s="1044" t="s">
        <v>257</v>
      </c>
      <c r="C188" s="737"/>
      <c r="D188" s="737"/>
      <c r="E188" s="737"/>
      <c r="F188" s="844" t="s">
        <v>236</v>
      </c>
      <c r="G188" s="844" t="s">
        <v>236</v>
      </c>
      <c r="H188" s="844" t="s">
        <v>236</v>
      </c>
      <c r="I188" s="844" t="s">
        <v>236</v>
      </c>
      <c r="J188" s="844"/>
      <c r="K188" s="844"/>
      <c r="L188" s="844"/>
      <c r="M188" s="844" t="s">
        <v>236</v>
      </c>
      <c r="N188" s="844" t="s">
        <v>236</v>
      </c>
      <c r="O188" s="844" t="s">
        <v>236</v>
      </c>
      <c r="P188" s="844" t="s">
        <v>236</v>
      </c>
      <c r="Q188" s="844" t="s">
        <v>236</v>
      </c>
      <c r="R188" s="844"/>
      <c r="S188" s="844"/>
      <c r="T188" s="1029" t="s">
        <v>236</v>
      </c>
      <c r="U188" s="1029" t="s">
        <v>236</v>
      </c>
      <c r="V188" s="1029" t="s">
        <v>236</v>
      </c>
      <c r="W188" s="844"/>
      <c r="X188" s="844" t="s">
        <v>236</v>
      </c>
      <c r="Y188" s="844"/>
      <c r="Z188" s="844"/>
      <c r="AA188" s="737" t="s">
        <v>236</v>
      </c>
      <c r="AB188" s="737" t="s">
        <v>236</v>
      </c>
      <c r="AC188" s="737" t="s">
        <v>236</v>
      </c>
      <c r="AD188" s="737" t="s">
        <v>236</v>
      </c>
      <c r="AE188" s="737" t="s">
        <v>236</v>
      </c>
      <c r="AF188" s="737"/>
      <c r="AG188" s="738"/>
      <c r="AH188" s="190"/>
      <c r="AI188" s="190"/>
    </row>
    <row r="189" spans="1:36" ht="22.15" customHeight="1" x14ac:dyDescent="0.2">
      <c r="A189" s="109"/>
      <c r="B189" s="1044" t="s">
        <v>258</v>
      </c>
      <c r="C189" s="737"/>
      <c r="D189" s="737"/>
      <c r="E189" s="737"/>
      <c r="F189" s="737" t="s">
        <v>238</v>
      </c>
      <c r="G189" s="852" t="s">
        <v>238</v>
      </c>
      <c r="H189" s="852" t="s">
        <v>238</v>
      </c>
      <c r="I189" s="852" t="s">
        <v>238</v>
      </c>
      <c r="J189" s="852"/>
      <c r="K189" s="852"/>
      <c r="L189" s="737"/>
      <c r="M189" s="737" t="s">
        <v>238</v>
      </c>
      <c r="N189" s="737" t="s">
        <v>238</v>
      </c>
      <c r="O189" s="737" t="s">
        <v>228</v>
      </c>
      <c r="P189" s="737" t="s">
        <v>238</v>
      </c>
      <c r="Q189" s="737" t="s">
        <v>238</v>
      </c>
      <c r="R189" s="737"/>
      <c r="S189" s="737"/>
      <c r="T189" s="737" t="s">
        <v>238</v>
      </c>
      <c r="U189" s="737" t="s">
        <v>238</v>
      </c>
      <c r="V189" s="737" t="s">
        <v>238</v>
      </c>
      <c r="W189" s="737"/>
      <c r="X189" s="737" t="s">
        <v>238</v>
      </c>
      <c r="Y189" s="737"/>
      <c r="Z189" s="737"/>
      <c r="AA189" s="737" t="s">
        <v>238</v>
      </c>
      <c r="AB189" s="923" t="s">
        <v>259</v>
      </c>
      <c r="AC189" s="751" t="s">
        <v>238</v>
      </c>
      <c r="AD189" s="751" t="s">
        <v>238</v>
      </c>
      <c r="AE189" s="751" t="s">
        <v>238</v>
      </c>
      <c r="AF189" s="737"/>
      <c r="AG189" s="738"/>
      <c r="AH189" s="190"/>
      <c r="AI189" s="190"/>
    </row>
    <row r="190" spans="1:36" ht="22.15" customHeight="1" x14ac:dyDescent="0.2">
      <c r="A190" s="109"/>
      <c r="B190" s="732" t="s">
        <v>260</v>
      </c>
      <c r="C190" s="737"/>
      <c r="D190" s="737"/>
      <c r="E190" s="737"/>
      <c r="F190" s="1048" t="s">
        <v>80</v>
      </c>
      <c r="G190" s="737" t="s">
        <v>80</v>
      </c>
      <c r="H190" s="737" t="s">
        <v>80</v>
      </c>
      <c r="I190" s="737" t="s">
        <v>80</v>
      </c>
      <c r="J190" s="737"/>
      <c r="K190" s="737"/>
      <c r="L190" s="737"/>
      <c r="M190" s="1046" t="s">
        <v>80</v>
      </c>
      <c r="N190" s="1046" t="s">
        <v>80</v>
      </c>
      <c r="O190" s="1046" t="s">
        <v>80</v>
      </c>
      <c r="P190" s="1046" t="s">
        <v>80</v>
      </c>
      <c r="Q190" s="1046" t="s">
        <v>80</v>
      </c>
      <c r="R190" s="737"/>
      <c r="S190" s="852"/>
      <c r="T190" s="842" t="s">
        <v>80</v>
      </c>
      <c r="U190" s="842" t="s">
        <v>80</v>
      </c>
      <c r="V190" s="842" t="s">
        <v>80</v>
      </c>
      <c r="W190" s="737"/>
      <c r="X190" s="1049" t="s">
        <v>80</v>
      </c>
      <c r="Y190" s="737"/>
      <c r="Z190" s="737"/>
      <c r="AA190" s="737" t="s">
        <v>80</v>
      </c>
      <c r="AB190" s="737" t="s">
        <v>80</v>
      </c>
      <c r="AC190" s="737" t="s">
        <v>80</v>
      </c>
      <c r="AD190" s="737" t="s">
        <v>80</v>
      </c>
      <c r="AE190" s="843" t="s">
        <v>80</v>
      </c>
      <c r="AF190" s="737"/>
      <c r="AG190" s="738"/>
      <c r="AH190" s="190"/>
      <c r="AI190" s="190"/>
    </row>
    <row r="191" spans="1:36" ht="22.15" customHeight="1" x14ac:dyDescent="0.2">
      <c r="A191" s="109"/>
      <c r="B191" s="1044" t="s">
        <v>261</v>
      </c>
      <c r="C191" s="737"/>
      <c r="D191" s="737"/>
      <c r="E191" s="737"/>
      <c r="F191" s="737" t="s">
        <v>132</v>
      </c>
      <c r="G191" s="737" t="s">
        <v>132</v>
      </c>
      <c r="H191" s="737" t="s">
        <v>132</v>
      </c>
      <c r="I191" s="737" t="s">
        <v>132</v>
      </c>
      <c r="J191" s="737"/>
      <c r="K191" s="737"/>
      <c r="L191" s="737"/>
      <c r="M191" s="737" t="s">
        <v>132</v>
      </c>
      <c r="N191" s="737" t="s">
        <v>132</v>
      </c>
      <c r="O191" s="737" t="s">
        <v>132</v>
      </c>
      <c r="P191" s="737" t="s">
        <v>132</v>
      </c>
      <c r="Q191" s="737" t="s">
        <v>132</v>
      </c>
      <c r="R191" s="737"/>
      <c r="S191" s="737"/>
      <c r="T191" s="737" t="s">
        <v>132</v>
      </c>
      <c r="U191" s="737" t="s">
        <v>132</v>
      </c>
      <c r="V191" s="737" t="s">
        <v>132</v>
      </c>
      <c r="W191" s="737"/>
      <c r="X191" s="737" t="s">
        <v>132</v>
      </c>
      <c r="Y191" s="737"/>
      <c r="Z191" s="737"/>
      <c r="AA191" s="737" t="s">
        <v>132</v>
      </c>
      <c r="AB191" s="737" t="s">
        <v>132</v>
      </c>
      <c r="AC191" s="737" t="s">
        <v>132</v>
      </c>
      <c r="AD191" s="737" t="s">
        <v>132</v>
      </c>
      <c r="AE191" s="737" t="s">
        <v>132</v>
      </c>
      <c r="AF191" s="737"/>
      <c r="AG191" s="738"/>
      <c r="AH191" s="190"/>
      <c r="AI191" s="190"/>
    </row>
    <row r="192" spans="1:36" ht="22.15" customHeight="1" x14ac:dyDescent="0.2">
      <c r="A192" s="109"/>
      <c r="B192" s="732" t="s">
        <v>262</v>
      </c>
      <c r="C192" s="737"/>
      <c r="D192" s="737"/>
      <c r="E192" s="737"/>
      <c r="F192" s="737" t="s">
        <v>243</v>
      </c>
      <c r="G192" s="737" t="s">
        <v>243</v>
      </c>
      <c r="H192" s="737" t="s">
        <v>243</v>
      </c>
      <c r="I192" s="737" t="s">
        <v>243</v>
      </c>
      <c r="J192" s="737"/>
      <c r="K192" s="737"/>
      <c r="L192" s="737"/>
      <c r="M192" s="737" t="s">
        <v>243</v>
      </c>
      <c r="N192" s="737" t="s">
        <v>243</v>
      </c>
      <c r="O192" s="737" t="s">
        <v>243</v>
      </c>
      <c r="P192" s="737" t="s">
        <v>243</v>
      </c>
      <c r="Q192" s="737" t="s">
        <v>243</v>
      </c>
      <c r="R192" s="737"/>
      <c r="S192" s="737"/>
      <c r="T192" s="737" t="s">
        <v>243</v>
      </c>
      <c r="U192" s="737" t="s">
        <v>243</v>
      </c>
      <c r="V192" s="737" t="s">
        <v>243</v>
      </c>
      <c r="W192" s="737"/>
      <c r="X192" s="737" t="s">
        <v>243</v>
      </c>
      <c r="Y192" s="737"/>
      <c r="Z192" s="737"/>
      <c r="AA192" s="737" t="s">
        <v>243</v>
      </c>
      <c r="AB192" s="737" t="s">
        <v>243</v>
      </c>
      <c r="AC192" s="737" t="s">
        <v>243</v>
      </c>
      <c r="AD192" s="737" t="s">
        <v>243</v>
      </c>
      <c r="AE192" s="737" t="s">
        <v>243</v>
      </c>
      <c r="AF192" s="737"/>
      <c r="AG192" s="738"/>
      <c r="AH192" s="190"/>
      <c r="AI192" s="190"/>
    </row>
    <row r="193" spans="1:35" ht="22.15" customHeight="1" x14ac:dyDescent="0.2">
      <c r="A193" s="109"/>
      <c r="B193" s="732" t="s">
        <v>263</v>
      </c>
      <c r="C193" s="737"/>
      <c r="D193" s="737"/>
      <c r="E193" s="737"/>
      <c r="F193" s="737" t="s">
        <v>246</v>
      </c>
      <c r="G193" s="737" t="s">
        <v>246</v>
      </c>
      <c r="H193" s="737" t="s">
        <v>246</v>
      </c>
      <c r="I193" s="737" t="s">
        <v>246</v>
      </c>
      <c r="J193" s="737"/>
      <c r="K193" s="737"/>
      <c r="L193" s="737"/>
      <c r="M193" s="737" t="s">
        <v>246</v>
      </c>
      <c r="N193" s="737" t="s">
        <v>246</v>
      </c>
      <c r="O193" s="737" t="s">
        <v>246</v>
      </c>
      <c r="P193" s="737" t="s">
        <v>246</v>
      </c>
      <c r="Q193" s="737" t="s">
        <v>246</v>
      </c>
      <c r="R193" s="737"/>
      <c r="S193" s="737"/>
      <c r="T193" s="737" t="s">
        <v>246</v>
      </c>
      <c r="U193" s="737" t="s">
        <v>246</v>
      </c>
      <c r="V193" s="737" t="s">
        <v>246</v>
      </c>
      <c r="W193" s="737"/>
      <c r="X193" s="737" t="s">
        <v>246</v>
      </c>
      <c r="Y193" s="737"/>
      <c r="Z193" s="737"/>
      <c r="AA193" s="737" t="s">
        <v>246</v>
      </c>
      <c r="AB193" s="737" t="s">
        <v>246</v>
      </c>
      <c r="AC193" s="737" t="s">
        <v>246</v>
      </c>
      <c r="AD193" s="737" t="s">
        <v>246</v>
      </c>
      <c r="AE193" s="737" t="s">
        <v>246</v>
      </c>
      <c r="AF193" s="737"/>
      <c r="AG193" s="738"/>
      <c r="AH193" s="107"/>
      <c r="AI193" s="107"/>
    </row>
    <row r="194" spans="1:35" ht="21" customHeight="1" thickBot="1" x14ac:dyDescent="0.25">
      <c r="A194" s="148"/>
      <c r="B194" s="938" t="s">
        <v>264</v>
      </c>
      <c r="C194" s="942"/>
      <c r="D194" s="942"/>
      <c r="E194" s="942"/>
      <c r="F194" s="942" t="s">
        <v>248</v>
      </c>
      <c r="G194" s="942" t="s">
        <v>248</v>
      </c>
      <c r="H194" s="942" t="s">
        <v>248</v>
      </c>
      <c r="I194" s="680" t="s">
        <v>248</v>
      </c>
      <c r="J194" s="680"/>
      <c r="K194" s="942"/>
      <c r="L194" s="942"/>
      <c r="M194" s="680" t="s">
        <v>265</v>
      </c>
      <c r="N194" s="856" t="s">
        <v>248</v>
      </c>
      <c r="O194" s="942" t="s">
        <v>248</v>
      </c>
      <c r="P194" s="942" t="s">
        <v>248</v>
      </c>
      <c r="Q194" s="942" t="s">
        <v>248</v>
      </c>
      <c r="R194" s="942"/>
      <c r="S194" s="942"/>
      <c r="T194" s="942" t="s">
        <v>248</v>
      </c>
      <c r="U194" s="681" t="s">
        <v>265</v>
      </c>
      <c r="V194" s="942" t="s">
        <v>248</v>
      </c>
      <c r="W194" s="942"/>
      <c r="X194" s="942" t="s">
        <v>248</v>
      </c>
      <c r="Y194" s="942"/>
      <c r="Z194" s="942"/>
      <c r="AA194" s="942" t="s">
        <v>248</v>
      </c>
      <c r="AB194" s="942" t="s">
        <v>248</v>
      </c>
      <c r="AC194" s="943" t="s">
        <v>248</v>
      </c>
      <c r="AD194" s="942" t="s">
        <v>248</v>
      </c>
      <c r="AE194" s="942" t="s">
        <v>248</v>
      </c>
      <c r="AF194" s="942"/>
      <c r="AG194" s="217"/>
      <c r="AH194" s="115"/>
    </row>
    <row r="195" spans="1:35" ht="21" customHeight="1" x14ac:dyDescent="0.2">
      <c r="A195" s="148"/>
      <c r="B195" s="257"/>
      <c r="C195" s="255"/>
      <c r="D195" s="255"/>
      <c r="E195" s="255"/>
      <c r="F195" s="255"/>
      <c r="G195" s="255"/>
      <c r="H195" s="255"/>
      <c r="I195" s="261"/>
      <c r="J195" s="261"/>
      <c r="K195" s="255"/>
      <c r="L195" s="255"/>
      <c r="M195" s="261"/>
      <c r="N195" s="229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255"/>
      <c r="AC195" s="255"/>
      <c r="AD195" s="255"/>
      <c r="AE195" s="255"/>
      <c r="AF195" s="255"/>
      <c r="AG195" s="255"/>
      <c r="AH195" s="115"/>
    </row>
    <row r="196" spans="1:35" ht="22.15" customHeight="1" x14ac:dyDescent="0.2"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</row>
    <row r="197" spans="1:35" ht="22.15" customHeight="1" thickBot="1" x14ac:dyDescent="0.25">
      <c r="A197" s="1" t="s">
        <v>266</v>
      </c>
      <c r="B197" s="59"/>
    </row>
    <row r="198" spans="1:35" ht="22.15" customHeight="1" x14ac:dyDescent="0.2">
      <c r="A198" s="1"/>
      <c r="B198" s="1050" t="s">
        <v>267</v>
      </c>
      <c r="C198" s="525" t="s">
        <v>90</v>
      </c>
      <c r="D198" s="525"/>
      <c r="E198" s="525"/>
      <c r="F198" s="525"/>
      <c r="G198" s="526" t="s">
        <v>91</v>
      </c>
      <c r="H198" s="525"/>
      <c r="I198" s="525"/>
      <c r="J198" s="525"/>
      <c r="K198" s="526" t="s">
        <v>92</v>
      </c>
      <c r="L198" s="525"/>
      <c r="M198" s="525"/>
      <c r="N198" s="525"/>
      <c r="O198" s="526" t="s">
        <v>93</v>
      </c>
      <c r="P198" s="525"/>
      <c r="Q198" s="525"/>
      <c r="R198" s="525"/>
      <c r="S198" s="526" t="s">
        <v>94</v>
      </c>
      <c r="T198" s="525"/>
      <c r="U198" s="525"/>
      <c r="V198" s="525"/>
      <c r="W198" s="527" t="s">
        <v>95</v>
      </c>
      <c r="X198" s="473"/>
      <c r="Y198" s="525"/>
      <c r="Z198" s="528"/>
      <c r="AA198" s="527" t="s">
        <v>96</v>
      </c>
      <c r="AB198" s="473"/>
      <c r="AC198" s="525"/>
      <c r="AD198" s="528"/>
      <c r="AE198" s="529" t="s">
        <v>97</v>
      </c>
      <c r="AF198" s="525"/>
      <c r="AG198" s="525"/>
      <c r="AH198" s="525"/>
      <c r="AI198" s="474"/>
    </row>
    <row r="199" spans="1:35" ht="22.15" customHeight="1" x14ac:dyDescent="0.2">
      <c r="A199" s="1"/>
      <c r="B199" s="1051">
        <v>3701</v>
      </c>
      <c r="C199" s="110" t="s">
        <v>268</v>
      </c>
      <c r="D199" s="110"/>
      <c r="E199" s="110"/>
      <c r="F199" s="110"/>
      <c r="G199" s="725" t="s">
        <v>269</v>
      </c>
      <c r="H199" s="110"/>
      <c r="I199" s="110"/>
      <c r="J199" s="110"/>
      <c r="K199" s="725" t="s">
        <v>269</v>
      </c>
      <c r="L199" s="110"/>
      <c r="M199" s="110"/>
      <c r="N199" s="110"/>
      <c r="O199" s="725" t="s">
        <v>269</v>
      </c>
      <c r="P199" s="110"/>
      <c r="Q199" s="110"/>
      <c r="R199" s="110"/>
      <c r="S199" s="725" t="s">
        <v>270</v>
      </c>
      <c r="T199" s="110"/>
      <c r="U199" s="110"/>
      <c r="V199" s="110"/>
      <c r="W199" s="1052"/>
      <c r="X199" s="1053"/>
      <c r="Y199" s="865"/>
      <c r="Z199" s="1054"/>
      <c r="AA199" s="1052"/>
      <c r="AB199" s="1053"/>
      <c r="AC199" s="865"/>
      <c r="AD199" s="1054"/>
      <c r="AE199" s="994"/>
      <c r="AF199" s="865"/>
      <c r="AG199" s="865"/>
      <c r="AH199" s="865"/>
      <c r="AI199" s="809"/>
    </row>
    <row r="200" spans="1:35" ht="22.15" customHeight="1" x14ac:dyDescent="0.2">
      <c r="A200" s="1055"/>
      <c r="B200" s="1050"/>
      <c r="C200" s="1056"/>
      <c r="D200" s="710"/>
      <c r="E200" s="710"/>
      <c r="F200" s="1057"/>
      <c r="G200" s="1056"/>
      <c r="H200" s="710"/>
      <c r="I200" s="710"/>
      <c r="J200" s="1057"/>
      <c r="K200" s="1056"/>
      <c r="L200" s="710"/>
      <c r="M200" s="710"/>
      <c r="N200" s="1057"/>
      <c r="O200" s="1056"/>
      <c r="P200" s="710"/>
      <c r="Q200" s="710"/>
      <c r="R200" s="1057"/>
      <c r="S200" s="1056"/>
      <c r="T200" s="710"/>
      <c r="U200" s="710"/>
      <c r="V200" s="710"/>
      <c r="W200" s="1052"/>
      <c r="X200" s="1053"/>
      <c r="Y200" s="865"/>
      <c r="Z200" s="1054"/>
      <c r="AA200" s="1052"/>
      <c r="AB200" s="1053"/>
      <c r="AC200" s="865"/>
      <c r="AD200" s="1054"/>
      <c r="AE200" s="994"/>
      <c r="AF200" s="865"/>
      <c r="AG200" s="865"/>
      <c r="AH200" s="865"/>
      <c r="AI200" s="809"/>
    </row>
    <row r="201" spans="1:35" ht="22.15" customHeight="1" x14ac:dyDescent="0.2">
      <c r="A201" s="1055"/>
      <c r="B201" s="1050"/>
      <c r="C201" s="1056"/>
      <c r="D201" s="710"/>
      <c r="E201" s="710"/>
      <c r="F201" s="1057"/>
      <c r="G201" s="1056"/>
      <c r="H201" s="710"/>
      <c r="I201" s="710"/>
      <c r="J201" s="1057"/>
      <c r="K201" s="1056"/>
      <c r="L201" s="710"/>
      <c r="M201" s="710"/>
      <c r="N201" s="1057"/>
      <c r="O201" s="1056"/>
      <c r="P201" s="710"/>
      <c r="Q201" s="710"/>
      <c r="R201" s="1057"/>
      <c r="S201" s="1056"/>
      <c r="T201" s="710"/>
      <c r="U201" s="710"/>
      <c r="V201" s="710"/>
      <c r="W201" s="1052"/>
      <c r="X201" s="1053"/>
      <c r="Y201" s="865"/>
      <c r="Z201" s="1054"/>
      <c r="AA201" s="1052"/>
      <c r="AB201" s="1053"/>
      <c r="AC201" s="865"/>
      <c r="AD201" s="1054"/>
      <c r="AE201" s="994"/>
      <c r="AF201" s="865"/>
      <c r="AG201" s="865"/>
      <c r="AH201" s="865"/>
      <c r="AI201" s="809"/>
    </row>
    <row r="202" spans="1:35" ht="22.15" customHeight="1" thickBot="1" x14ac:dyDescent="0.25">
      <c r="A202" s="682"/>
      <c r="B202" s="683"/>
      <c r="C202" s="684"/>
      <c r="D202" s="1058"/>
      <c r="E202" s="1058"/>
      <c r="F202" s="1059"/>
      <c r="G202" s="684"/>
      <c r="H202" s="1058"/>
      <c r="I202" s="1058"/>
      <c r="J202" s="1059"/>
      <c r="K202" s="684"/>
      <c r="L202" s="1058"/>
      <c r="M202" s="1058"/>
      <c r="N202" s="1059"/>
      <c r="O202" s="684"/>
      <c r="P202" s="1058"/>
      <c r="Q202" s="1058"/>
      <c r="R202" s="1059"/>
      <c r="S202" s="684"/>
      <c r="T202" s="1058"/>
      <c r="U202" s="1058"/>
      <c r="V202" s="1058"/>
      <c r="W202" s="1060"/>
      <c r="X202" s="1061"/>
      <c r="Y202" s="1062"/>
      <c r="Z202" s="1063"/>
      <c r="AA202" s="1060"/>
      <c r="AB202" s="1061"/>
      <c r="AC202" s="1062"/>
      <c r="AD202" s="1063"/>
      <c r="AE202" s="1006"/>
      <c r="AF202" s="871"/>
      <c r="AG202" s="871"/>
      <c r="AH202" s="871"/>
      <c r="AI202" s="874"/>
    </row>
    <row r="203" spans="1:35" ht="22.15" customHeight="1" x14ac:dyDescent="0.2">
      <c r="AG203" s="110"/>
      <c r="AH203" s="110"/>
    </row>
    <row r="204" spans="1:35" ht="22.15" customHeight="1" x14ac:dyDescent="0.2">
      <c r="B204" s="1050">
        <v>3700</v>
      </c>
      <c r="C204" s="865" t="s">
        <v>162</v>
      </c>
      <c r="D204" s="865"/>
      <c r="E204" s="865"/>
      <c r="F204" s="865"/>
      <c r="G204" s="1064" t="s">
        <v>162</v>
      </c>
      <c r="H204" s="865"/>
      <c r="I204" s="865"/>
      <c r="J204" s="865"/>
      <c r="K204" s="1064" t="s">
        <v>162</v>
      </c>
      <c r="L204" s="865"/>
      <c r="M204" s="865"/>
      <c r="N204" s="865"/>
      <c r="O204" s="1064" t="s">
        <v>162</v>
      </c>
      <c r="P204" s="865"/>
      <c r="Q204" s="865"/>
      <c r="R204" s="865"/>
      <c r="S204" s="1064" t="s">
        <v>163</v>
      </c>
      <c r="T204" s="865"/>
      <c r="U204" s="865"/>
      <c r="V204" s="865"/>
      <c r="W204" s="865"/>
      <c r="X204" s="1064"/>
      <c r="Y204" s="865"/>
      <c r="Z204" s="996"/>
      <c r="AA204" s="994"/>
      <c r="AB204" s="865"/>
      <c r="AC204" s="865"/>
      <c r="AD204" s="907"/>
      <c r="AE204" s="1065"/>
      <c r="AF204" s="865"/>
      <c r="AG204" s="865"/>
      <c r="AH204" s="907"/>
      <c r="AI204" s="809"/>
    </row>
    <row r="205" spans="1:35" ht="22.15" customHeight="1" x14ac:dyDescent="0.2">
      <c r="A205" s="1"/>
      <c r="B205" s="1050">
        <v>8514</v>
      </c>
      <c r="C205" s="865" t="s">
        <v>269</v>
      </c>
      <c r="D205" s="865"/>
      <c r="E205" s="865"/>
      <c r="F205" s="865"/>
      <c r="G205" s="1064" t="s">
        <v>269</v>
      </c>
      <c r="H205" s="865"/>
      <c r="I205" s="865"/>
      <c r="J205" s="865"/>
      <c r="K205" s="1064" t="s">
        <v>269</v>
      </c>
      <c r="L205" s="865"/>
      <c r="M205" s="865"/>
      <c r="N205" s="865"/>
      <c r="O205" s="1064" t="s">
        <v>269</v>
      </c>
      <c r="P205" s="865"/>
      <c r="Q205" s="865"/>
      <c r="R205" s="865"/>
      <c r="S205" s="1064" t="s">
        <v>271</v>
      </c>
      <c r="T205" s="865"/>
      <c r="U205" s="865"/>
      <c r="V205" s="865"/>
      <c r="W205" s="865"/>
      <c r="X205" s="1064"/>
      <c r="Y205" s="865"/>
      <c r="Z205" s="996"/>
      <c r="AA205" s="906"/>
      <c r="AB205" s="865"/>
      <c r="AC205" s="865"/>
      <c r="AD205" s="907"/>
      <c r="AE205" s="906"/>
      <c r="AF205" s="865"/>
      <c r="AG205" s="865"/>
      <c r="AH205" s="907"/>
      <c r="AI205" s="809"/>
    </row>
    <row r="206" spans="1:35" ht="22.15" customHeight="1" x14ac:dyDescent="0.2">
      <c r="A206" s="1"/>
      <c r="B206" s="1050">
        <v>8500</v>
      </c>
      <c r="C206" s="166" t="s">
        <v>272</v>
      </c>
      <c r="D206" s="166"/>
      <c r="E206" s="166"/>
      <c r="F206" s="166"/>
      <c r="G206" s="167" t="s">
        <v>272</v>
      </c>
      <c r="H206" s="166"/>
      <c r="I206" s="166"/>
      <c r="J206" s="166"/>
      <c r="K206" s="167" t="s">
        <v>272</v>
      </c>
      <c r="L206" s="166"/>
      <c r="M206" s="166"/>
      <c r="N206" s="166"/>
      <c r="O206" s="167" t="s">
        <v>272</v>
      </c>
      <c r="P206" s="166"/>
      <c r="Q206" s="166"/>
      <c r="R206" s="166"/>
      <c r="S206" s="167" t="s">
        <v>273</v>
      </c>
      <c r="T206" s="166"/>
      <c r="U206" s="166"/>
      <c r="V206" s="166"/>
      <c r="W206" s="166"/>
      <c r="X206" s="167"/>
      <c r="Y206" s="166"/>
      <c r="Z206" s="121"/>
      <c r="AA206" s="120"/>
      <c r="AB206" s="166"/>
      <c r="AC206" s="166"/>
      <c r="AD206" s="121"/>
      <c r="AE206" s="120"/>
      <c r="AF206" s="166"/>
      <c r="AG206" s="166"/>
      <c r="AH206" s="113"/>
      <c r="AI206" s="119"/>
    </row>
    <row r="207" spans="1:35" ht="22.15" customHeight="1" x14ac:dyDescent="0.2">
      <c r="A207" s="1"/>
      <c r="B207" s="1050">
        <v>8514</v>
      </c>
      <c r="C207" s="169" t="s">
        <v>269</v>
      </c>
      <c r="D207" s="169"/>
      <c r="E207" s="169"/>
      <c r="F207" s="169"/>
      <c r="G207" s="170" t="s">
        <v>269</v>
      </c>
      <c r="H207" s="169"/>
      <c r="I207" s="169"/>
      <c r="J207" s="169"/>
      <c r="K207" s="170" t="s">
        <v>269</v>
      </c>
      <c r="L207" s="169"/>
      <c r="M207" s="169"/>
      <c r="N207" s="169"/>
      <c r="O207" s="170" t="s">
        <v>269</v>
      </c>
      <c r="P207" s="169"/>
      <c r="Q207" s="169"/>
      <c r="R207" s="169"/>
      <c r="S207" s="170" t="s">
        <v>271</v>
      </c>
      <c r="T207" s="169"/>
      <c r="U207" s="169"/>
      <c r="V207" s="169"/>
      <c r="W207" s="169"/>
      <c r="X207" s="149"/>
      <c r="Y207" s="166"/>
      <c r="Z207" s="168"/>
      <c r="AA207" s="156"/>
      <c r="AB207" s="117"/>
      <c r="AC207" s="166"/>
      <c r="AD207" s="166"/>
      <c r="AE207" s="118"/>
      <c r="AF207" s="166"/>
      <c r="AG207" s="166"/>
      <c r="AH207" s="166"/>
      <c r="AI207" s="119"/>
    </row>
    <row r="208" spans="1:35" ht="22.15" customHeight="1" thickBot="1" x14ac:dyDescent="0.25">
      <c r="A208" s="1"/>
      <c r="B208" s="1066" t="s">
        <v>274</v>
      </c>
      <c r="C208" s="871" t="s">
        <v>275</v>
      </c>
      <c r="D208" s="871"/>
      <c r="E208" s="871"/>
      <c r="F208" s="871"/>
      <c r="G208" s="1067" t="s">
        <v>275</v>
      </c>
      <c r="H208" s="871"/>
      <c r="I208" s="871"/>
      <c r="J208" s="871"/>
      <c r="K208" s="1068" t="s">
        <v>275</v>
      </c>
      <c r="L208" s="871"/>
      <c r="M208" s="871"/>
      <c r="N208" s="871"/>
      <c r="O208" s="1067" t="s">
        <v>275</v>
      </c>
      <c r="P208" s="871"/>
      <c r="Q208" s="871"/>
      <c r="R208" s="871"/>
      <c r="S208" s="1067" t="s">
        <v>276</v>
      </c>
      <c r="T208" s="871"/>
      <c r="U208" s="871"/>
      <c r="V208" s="871"/>
      <c r="W208" s="871"/>
      <c r="X208" s="1067"/>
      <c r="Y208" s="871"/>
      <c r="Z208" s="1025"/>
      <c r="AA208" s="1006"/>
      <c r="AB208" s="871"/>
      <c r="AC208" s="871"/>
      <c r="AD208" s="1012"/>
      <c r="AE208" s="1069"/>
      <c r="AF208" s="871"/>
      <c r="AG208" s="871"/>
      <c r="AH208" s="1012"/>
      <c r="AI208" s="874"/>
    </row>
    <row r="209" spans="1:35" ht="22.1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15" customHeight="1" x14ac:dyDescent="0.2">
      <c r="A210" s="1" t="s">
        <v>277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15" customHeight="1" thickBot="1" x14ac:dyDescent="0.25">
      <c r="A211" s="944"/>
      <c r="B211" s="766" t="s">
        <v>29</v>
      </c>
      <c r="C211" s="816">
        <v>1</v>
      </c>
      <c r="D211" s="816">
        <v>2</v>
      </c>
      <c r="E211" s="816">
        <v>3</v>
      </c>
      <c r="F211" s="772">
        <v>4</v>
      </c>
      <c r="G211" s="1070">
        <v>5</v>
      </c>
      <c r="H211" s="772">
        <v>6</v>
      </c>
      <c r="I211" s="772">
        <v>7</v>
      </c>
      <c r="J211" s="816">
        <v>8</v>
      </c>
      <c r="K211" s="816">
        <v>9</v>
      </c>
      <c r="L211" s="816">
        <v>10</v>
      </c>
      <c r="M211" s="772">
        <v>11</v>
      </c>
      <c r="N211" s="772">
        <v>12</v>
      </c>
      <c r="O211" s="772">
        <v>13</v>
      </c>
      <c r="P211" s="772">
        <v>14</v>
      </c>
      <c r="Q211" s="772">
        <v>15</v>
      </c>
      <c r="R211" s="816">
        <v>16</v>
      </c>
      <c r="S211" s="816">
        <v>17</v>
      </c>
      <c r="T211" s="772">
        <v>18</v>
      </c>
      <c r="U211" s="772">
        <v>19</v>
      </c>
      <c r="V211" s="772">
        <v>20</v>
      </c>
      <c r="W211" s="816">
        <v>21</v>
      </c>
      <c r="X211" s="772">
        <v>22</v>
      </c>
      <c r="Y211" s="816">
        <v>23</v>
      </c>
      <c r="Z211" s="816">
        <v>24</v>
      </c>
      <c r="AA211" s="772">
        <v>25</v>
      </c>
      <c r="AB211" s="772">
        <v>26</v>
      </c>
      <c r="AC211" s="772">
        <v>27</v>
      </c>
      <c r="AD211" s="772">
        <v>28</v>
      </c>
      <c r="AE211" s="772">
        <v>29</v>
      </c>
      <c r="AF211" s="816">
        <v>30</v>
      </c>
      <c r="AG211" s="818">
        <v>31</v>
      </c>
      <c r="AH211" s="184"/>
      <c r="AI211" s="185"/>
    </row>
    <row r="212" spans="1:35" ht="22.15" customHeight="1" x14ac:dyDescent="0.2">
      <c r="A212" s="305"/>
      <c r="B212" s="306" t="s">
        <v>278</v>
      </c>
      <c r="C212" s="845"/>
      <c r="D212" s="845"/>
      <c r="E212" s="845"/>
      <c r="F212" s="852" t="s">
        <v>31</v>
      </c>
      <c r="G212" s="845" t="s">
        <v>31</v>
      </c>
      <c r="H212" s="845" t="s">
        <v>31</v>
      </c>
      <c r="I212" s="845" t="s">
        <v>31</v>
      </c>
      <c r="J212" s="845"/>
      <c r="K212" s="845"/>
      <c r="L212" s="845"/>
      <c r="M212" s="845" t="s">
        <v>31</v>
      </c>
      <c r="N212" s="842" t="s">
        <v>31</v>
      </c>
      <c r="O212" s="845" t="s">
        <v>31</v>
      </c>
      <c r="P212" s="845" t="s">
        <v>31</v>
      </c>
      <c r="Q212" s="845" t="s">
        <v>31</v>
      </c>
      <c r="R212" s="845"/>
      <c r="S212" s="845"/>
      <c r="T212" s="845" t="s">
        <v>31</v>
      </c>
      <c r="U212" s="845" t="s">
        <v>31</v>
      </c>
      <c r="V212" s="845" t="s">
        <v>31</v>
      </c>
      <c r="W212" s="845"/>
      <c r="X212" s="844" t="s">
        <v>31</v>
      </c>
      <c r="Y212" s="843"/>
      <c r="Z212" s="843"/>
      <c r="AA212" s="843" t="s">
        <v>31</v>
      </c>
      <c r="AB212" s="845" t="s">
        <v>31</v>
      </c>
      <c r="AC212" s="845" t="s">
        <v>31</v>
      </c>
      <c r="AD212" s="845" t="s">
        <v>31</v>
      </c>
      <c r="AE212" s="845" t="s">
        <v>31</v>
      </c>
      <c r="AF212" s="845"/>
      <c r="AG212" s="274"/>
      <c r="AH212" s="184"/>
      <c r="AI212" s="185"/>
    </row>
    <row r="213" spans="1:35" ht="22.15" customHeight="1" x14ac:dyDescent="0.2">
      <c r="A213" s="1071"/>
      <c r="B213" s="1072" t="s">
        <v>279</v>
      </c>
      <c r="C213" s="845"/>
      <c r="D213" s="845"/>
      <c r="E213" s="845"/>
      <c r="F213" s="852" t="s">
        <v>31</v>
      </c>
      <c r="G213" s="845" t="s">
        <v>31</v>
      </c>
      <c r="H213" s="845" t="s">
        <v>31</v>
      </c>
      <c r="I213" s="845" t="s">
        <v>31</v>
      </c>
      <c r="J213" s="845"/>
      <c r="K213" s="845"/>
      <c r="L213" s="845"/>
      <c r="M213" s="845" t="s">
        <v>31</v>
      </c>
      <c r="N213" s="842" t="s">
        <v>31</v>
      </c>
      <c r="O213" s="845" t="s">
        <v>31</v>
      </c>
      <c r="P213" s="845" t="s">
        <v>31</v>
      </c>
      <c r="Q213" s="845" t="s">
        <v>31</v>
      </c>
      <c r="R213" s="845"/>
      <c r="S213" s="845"/>
      <c r="T213" s="845" t="s">
        <v>31</v>
      </c>
      <c r="U213" s="845" t="s">
        <v>31</v>
      </c>
      <c r="V213" s="845" t="s">
        <v>31</v>
      </c>
      <c r="W213" s="845"/>
      <c r="X213" s="845" t="s">
        <v>31</v>
      </c>
      <c r="Y213" s="843"/>
      <c r="Z213" s="843"/>
      <c r="AA213" s="843" t="s">
        <v>31</v>
      </c>
      <c r="AB213" s="845" t="s">
        <v>31</v>
      </c>
      <c r="AC213" s="845" t="s">
        <v>31</v>
      </c>
      <c r="AD213" s="845" t="s">
        <v>31</v>
      </c>
      <c r="AE213" s="845" t="s">
        <v>31</v>
      </c>
      <c r="AF213" s="845"/>
      <c r="AG213" s="1073"/>
      <c r="AH213" s="184"/>
      <c r="AI213" s="185"/>
    </row>
    <row r="214" spans="1:35" ht="22.15" customHeight="1" x14ac:dyDescent="0.2">
      <c r="A214" s="1074">
        <v>8514</v>
      </c>
      <c r="B214" s="730" t="s">
        <v>280</v>
      </c>
      <c r="C214" s="845"/>
      <c r="D214" s="845"/>
      <c r="E214" s="845"/>
      <c r="F214" s="852" t="s">
        <v>31</v>
      </c>
      <c r="G214" s="845" t="s">
        <v>31</v>
      </c>
      <c r="H214" s="845" t="s">
        <v>31</v>
      </c>
      <c r="I214" s="845" t="s">
        <v>31</v>
      </c>
      <c r="J214" s="845"/>
      <c r="K214" s="845"/>
      <c r="L214" s="845"/>
      <c r="M214" s="845" t="s">
        <v>31</v>
      </c>
      <c r="N214" s="919" t="s">
        <v>31</v>
      </c>
      <c r="O214" s="845" t="s">
        <v>31</v>
      </c>
      <c r="P214" s="845" t="s">
        <v>31</v>
      </c>
      <c r="Q214" s="845" t="s">
        <v>31</v>
      </c>
      <c r="R214" s="845"/>
      <c r="S214" s="845"/>
      <c r="T214" s="845" t="s">
        <v>31</v>
      </c>
      <c r="U214" s="845" t="s">
        <v>31</v>
      </c>
      <c r="V214" s="845" t="s">
        <v>31</v>
      </c>
      <c r="W214" s="845"/>
      <c r="X214" s="845" t="s">
        <v>31</v>
      </c>
      <c r="Y214" s="843"/>
      <c r="Z214" s="843"/>
      <c r="AA214" s="843" t="s">
        <v>31</v>
      </c>
      <c r="AB214" s="845" t="s">
        <v>31</v>
      </c>
      <c r="AC214" s="845" t="s">
        <v>31</v>
      </c>
      <c r="AD214" s="845" t="s">
        <v>31</v>
      </c>
      <c r="AE214" s="845" t="s">
        <v>31</v>
      </c>
      <c r="AF214" s="845"/>
      <c r="AG214" s="1073"/>
      <c r="AH214" s="189"/>
      <c r="AI214" s="190"/>
    </row>
    <row r="215" spans="1:35" ht="21" customHeight="1" x14ac:dyDescent="0.2">
      <c r="A215" s="1074">
        <v>3701</v>
      </c>
      <c r="B215" s="730" t="s">
        <v>281</v>
      </c>
      <c r="C215" s="845"/>
      <c r="D215" s="845"/>
      <c r="E215" s="845"/>
      <c r="F215" s="852" t="s">
        <v>31</v>
      </c>
      <c r="G215" s="845" t="s">
        <v>31</v>
      </c>
      <c r="H215" s="845" t="s">
        <v>31</v>
      </c>
      <c r="I215" s="845" t="s">
        <v>31</v>
      </c>
      <c r="J215" s="845"/>
      <c r="K215" s="845"/>
      <c r="L215" s="845"/>
      <c r="M215" s="845" t="s">
        <v>31</v>
      </c>
      <c r="N215" s="842" t="s">
        <v>31</v>
      </c>
      <c r="O215" s="845" t="s">
        <v>31</v>
      </c>
      <c r="P215" s="845" t="s">
        <v>31</v>
      </c>
      <c r="Q215" s="845" t="s">
        <v>31</v>
      </c>
      <c r="R215" s="845"/>
      <c r="S215" s="845"/>
      <c r="T215" s="845" t="s">
        <v>31</v>
      </c>
      <c r="U215" s="845" t="s">
        <v>31</v>
      </c>
      <c r="V215" s="919" t="s">
        <v>31</v>
      </c>
      <c r="W215" s="845"/>
      <c r="X215" s="919" t="s">
        <v>31</v>
      </c>
      <c r="Y215" s="843"/>
      <c r="Z215" s="843"/>
      <c r="AA215" s="843" t="s">
        <v>31</v>
      </c>
      <c r="AB215" s="845" t="s">
        <v>31</v>
      </c>
      <c r="AC215" s="845" t="s">
        <v>31</v>
      </c>
      <c r="AD215" s="845" t="s">
        <v>31</v>
      </c>
      <c r="AE215" s="845" t="s">
        <v>31</v>
      </c>
      <c r="AF215" s="845"/>
      <c r="AG215" s="1073"/>
      <c r="AH215" s="189"/>
      <c r="AI215" s="190"/>
    </row>
    <row r="216" spans="1:35" ht="21" customHeight="1" x14ac:dyDescent="0.2">
      <c r="A216" s="1074">
        <v>3701</v>
      </c>
      <c r="B216" s="730" t="s">
        <v>282</v>
      </c>
      <c r="C216" s="845"/>
      <c r="D216" s="845"/>
      <c r="E216" s="845"/>
      <c r="F216" s="852" t="s">
        <v>31</v>
      </c>
      <c r="G216" s="845" t="s">
        <v>31</v>
      </c>
      <c r="H216" s="845" t="s">
        <v>31</v>
      </c>
      <c r="I216" s="845" t="s">
        <v>31</v>
      </c>
      <c r="J216" s="845"/>
      <c r="K216" s="845"/>
      <c r="L216" s="845"/>
      <c r="M216" s="845" t="s">
        <v>31</v>
      </c>
      <c r="N216" s="842" t="s">
        <v>31</v>
      </c>
      <c r="O216" s="845" t="s">
        <v>31</v>
      </c>
      <c r="P216" s="845" t="s">
        <v>31</v>
      </c>
      <c r="Q216" s="845" t="s">
        <v>31</v>
      </c>
      <c r="R216" s="845"/>
      <c r="S216" s="845"/>
      <c r="T216" s="845" t="s">
        <v>31</v>
      </c>
      <c r="U216" s="845" t="s">
        <v>31</v>
      </c>
      <c r="V216" s="845" t="s">
        <v>31</v>
      </c>
      <c r="W216" s="845"/>
      <c r="X216" s="845" t="s">
        <v>31</v>
      </c>
      <c r="Y216" s="843"/>
      <c r="Z216" s="843"/>
      <c r="AA216" s="843" t="s">
        <v>31</v>
      </c>
      <c r="AB216" s="845" t="s">
        <v>31</v>
      </c>
      <c r="AC216" s="845" t="s">
        <v>31</v>
      </c>
      <c r="AD216" s="845" t="s">
        <v>31</v>
      </c>
      <c r="AE216" s="845" t="s">
        <v>31</v>
      </c>
      <c r="AF216" s="845"/>
      <c r="AG216" s="1073"/>
      <c r="AH216" s="189"/>
      <c r="AI216" s="190"/>
    </row>
    <row r="217" spans="1:35" ht="21" customHeight="1" x14ac:dyDescent="0.2">
      <c r="A217" s="1074">
        <v>3701</v>
      </c>
      <c r="B217" s="730" t="s">
        <v>283</v>
      </c>
      <c r="C217" s="845"/>
      <c r="D217" s="845"/>
      <c r="E217" s="845"/>
      <c r="F217" s="852" t="s">
        <v>31</v>
      </c>
      <c r="G217" s="845" t="s">
        <v>31</v>
      </c>
      <c r="H217" s="845" t="s">
        <v>31</v>
      </c>
      <c r="I217" s="845" t="s">
        <v>31</v>
      </c>
      <c r="J217" s="845"/>
      <c r="K217" s="845"/>
      <c r="L217" s="845"/>
      <c r="M217" s="845" t="s">
        <v>31</v>
      </c>
      <c r="N217" s="842" t="s">
        <v>31</v>
      </c>
      <c r="O217" s="845" t="s">
        <v>31</v>
      </c>
      <c r="P217" s="845" t="s">
        <v>165</v>
      </c>
      <c r="Q217" s="845" t="s">
        <v>31</v>
      </c>
      <c r="R217" s="845"/>
      <c r="S217" s="845"/>
      <c r="T217" s="845" t="s">
        <v>31</v>
      </c>
      <c r="U217" s="845" t="s">
        <v>31</v>
      </c>
      <c r="V217" s="845" t="s">
        <v>31</v>
      </c>
      <c r="W217" s="845"/>
      <c r="X217" s="1014">
        <v>99</v>
      </c>
      <c r="Y217" s="843"/>
      <c r="Z217" s="843"/>
      <c r="AA217" s="843" t="s">
        <v>31</v>
      </c>
      <c r="AB217" s="845" t="s">
        <v>31</v>
      </c>
      <c r="AC217" s="845" t="s">
        <v>31</v>
      </c>
      <c r="AD217" s="845" t="s">
        <v>31</v>
      </c>
      <c r="AE217" s="845" t="s">
        <v>31</v>
      </c>
      <c r="AF217" s="845"/>
      <c r="AG217" s="1073"/>
      <c r="AH217" s="189"/>
      <c r="AI217" s="190"/>
    </row>
    <row r="218" spans="1:35" ht="21" customHeight="1" x14ac:dyDescent="0.2">
      <c r="A218" s="1074">
        <v>3701</v>
      </c>
      <c r="B218" s="730" t="s">
        <v>284</v>
      </c>
      <c r="C218" s="845"/>
      <c r="D218" s="845"/>
      <c r="E218" s="845"/>
      <c r="F218" s="1075" t="s">
        <v>31</v>
      </c>
      <c r="G218" s="1075" t="s">
        <v>31</v>
      </c>
      <c r="H218" s="1075" t="s">
        <v>31</v>
      </c>
      <c r="I218" s="735" t="s">
        <v>31</v>
      </c>
      <c r="J218" s="845"/>
      <c r="K218" s="845"/>
      <c r="L218" s="845"/>
      <c r="M218" s="845" t="s">
        <v>31</v>
      </c>
      <c r="N218" s="842" t="s">
        <v>31</v>
      </c>
      <c r="O218" s="845" t="s">
        <v>31</v>
      </c>
      <c r="P218" s="845" t="s">
        <v>31</v>
      </c>
      <c r="Q218" s="845" t="s">
        <v>31</v>
      </c>
      <c r="R218" s="845"/>
      <c r="S218" s="845"/>
      <c r="T218" s="845" t="s">
        <v>31</v>
      </c>
      <c r="U218" s="845" t="s">
        <v>31</v>
      </c>
      <c r="V218" s="845" t="s">
        <v>31</v>
      </c>
      <c r="W218" s="845"/>
      <c r="X218" s="845" t="s">
        <v>31</v>
      </c>
      <c r="Y218" s="843"/>
      <c r="Z218" s="843"/>
      <c r="AA218" s="843" t="s">
        <v>31</v>
      </c>
      <c r="AB218" s="845" t="s">
        <v>31</v>
      </c>
      <c r="AC218" s="845" t="s">
        <v>31</v>
      </c>
      <c r="AD218" s="845" t="s">
        <v>31</v>
      </c>
      <c r="AE218" s="845" t="s">
        <v>31</v>
      </c>
      <c r="AF218" s="845"/>
      <c r="AG218" s="1073"/>
      <c r="AH218" s="189"/>
      <c r="AI218" s="190"/>
    </row>
    <row r="219" spans="1:35" ht="22.15" customHeight="1" x14ac:dyDescent="0.2">
      <c r="A219" s="1074">
        <v>3701</v>
      </c>
      <c r="B219" s="730" t="s">
        <v>285</v>
      </c>
      <c r="C219" s="845"/>
      <c r="D219" s="845"/>
      <c r="E219" s="845"/>
      <c r="F219" s="852" t="s">
        <v>31</v>
      </c>
      <c r="G219" s="845" t="s">
        <v>31</v>
      </c>
      <c r="H219" s="845" t="s">
        <v>31</v>
      </c>
      <c r="I219" s="845" t="s">
        <v>31</v>
      </c>
      <c r="J219" s="845"/>
      <c r="K219" s="845"/>
      <c r="L219" s="845"/>
      <c r="M219" s="845" t="s">
        <v>31</v>
      </c>
      <c r="N219" s="842" t="s">
        <v>31</v>
      </c>
      <c r="O219" s="845" t="s">
        <v>31</v>
      </c>
      <c r="P219" s="845" t="s">
        <v>31</v>
      </c>
      <c r="Q219" s="845" t="s">
        <v>31</v>
      </c>
      <c r="R219" s="845"/>
      <c r="S219" s="845"/>
      <c r="T219" s="845" t="s">
        <v>31</v>
      </c>
      <c r="U219" s="845" t="s">
        <v>31</v>
      </c>
      <c r="V219" s="845" t="s">
        <v>31</v>
      </c>
      <c r="W219" s="845"/>
      <c r="X219" s="845" t="s">
        <v>31</v>
      </c>
      <c r="Y219" s="843"/>
      <c r="Z219" s="843"/>
      <c r="AA219" s="843" t="s">
        <v>31</v>
      </c>
      <c r="AB219" s="845" t="s">
        <v>31</v>
      </c>
      <c r="AC219" s="845" t="s">
        <v>31</v>
      </c>
      <c r="AD219" s="845" t="s">
        <v>31</v>
      </c>
      <c r="AE219" s="845" t="s">
        <v>31</v>
      </c>
      <c r="AF219" s="845"/>
      <c r="AG219" s="1073"/>
      <c r="AH219" s="189"/>
      <c r="AI219" s="190"/>
    </row>
    <row r="220" spans="1:35" ht="22.15" customHeight="1" x14ac:dyDescent="0.2">
      <c r="A220" s="1074">
        <v>3701</v>
      </c>
      <c r="B220" s="730" t="s">
        <v>286</v>
      </c>
      <c r="C220" s="845"/>
      <c r="D220" s="845"/>
      <c r="E220" s="845"/>
      <c r="F220" s="852" t="s">
        <v>31</v>
      </c>
      <c r="G220" s="845" t="s">
        <v>31</v>
      </c>
      <c r="H220" s="845" t="s">
        <v>31</v>
      </c>
      <c r="I220" s="845" t="s">
        <v>31</v>
      </c>
      <c r="J220" s="845"/>
      <c r="K220" s="845"/>
      <c r="L220" s="845"/>
      <c r="M220" s="845" t="s">
        <v>31</v>
      </c>
      <c r="N220" s="842" t="s">
        <v>31</v>
      </c>
      <c r="O220" s="845" t="s">
        <v>31</v>
      </c>
      <c r="P220" s="845" t="s">
        <v>31</v>
      </c>
      <c r="Q220" s="845" t="s">
        <v>31</v>
      </c>
      <c r="R220" s="845"/>
      <c r="S220" s="845"/>
      <c r="T220" s="845" t="s">
        <v>31</v>
      </c>
      <c r="U220" s="845" t="s">
        <v>31</v>
      </c>
      <c r="V220" s="845" t="s">
        <v>31</v>
      </c>
      <c r="W220" s="845"/>
      <c r="X220" s="845" t="s">
        <v>31</v>
      </c>
      <c r="Y220" s="843"/>
      <c r="Z220" s="843"/>
      <c r="AA220" s="843" t="s">
        <v>31</v>
      </c>
      <c r="AB220" s="845" t="s">
        <v>31</v>
      </c>
      <c r="AC220" s="845" t="s">
        <v>31</v>
      </c>
      <c r="AD220" s="728" t="s">
        <v>31</v>
      </c>
      <c r="AE220" s="845" t="s">
        <v>31</v>
      </c>
      <c r="AF220" s="845"/>
      <c r="AG220" s="1073"/>
      <c r="AH220" s="189"/>
      <c r="AI220" s="190"/>
    </row>
    <row r="221" spans="1:35" ht="22.15" customHeight="1" x14ac:dyDescent="0.2">
      <c r="A221" s="1074">
        <v>3701</v>
      </c>
      <c r="B221" s="730" t="s">
        <v>287</v>
      </c>
      <c r="C221" s="921"/>
      <c r="D221" s="921"/>
      <c r="E221" s="921"/>
      <c r="F221" s="1076" t="s">
        <v>288</v>
      </c>
      <c r="G221" s="1076" t="s">
        <v>288</v>
      </c>
      <c r="H221" s="1077" t="s">
        <v>35</v>
      </c>
      <c r="I221" s="1077" t="s">
        <v>35</v>
      </c>
      <c r="J221" s="921"/>
      <c r="K221" s="921"/>
      <c r="L221" s="921"/>
      <c r="M221" s="921" t="s">
        <v>31</v>
      </c>
      <c r="N221" s="922" t="s">
        <v>31</v>
      </c>
      <c r="O221" s="921" t="s">
        <v>31</v>
      </c>
      <c r="P221" s="921" t="s">
        <v>31</v>
      </c>
      <c r="Q221" s="921" t="s">
        <v>31</v>
      </c>
      <c r="R221" s="923"/>
      <c r="S221" s="923"/>
      <c r="T221" s="923" t="s">
        <v>31</v>
      </c>
      <c r="U221" s="923" t="s">
        <v>31</v>
      </c>
      <c r="V221" s="923" t="s">
        <v>31</v>
      </c>
      <c r="W221" s="923"/>
      <c r="X221" s="923" t="s">
        <v>31</v>
      </c>
      <c r="Y221" s="923"/>
      <c r="Z221" s="923"/>
      <c r="AA221" s="923" t="s">
        <v>31</v>
      </c>
      <c r="AB221" s="923" t="s">
        <v>289</v>
      </c>
      <c r="AC221" s="845" t="s">
        <v>31</v>
      </c>
      <c r="AD221" s="845" t="s">
        <v>31</v>
      </c>
      <c r="AE221" s="845" t="s">
        <v>31</v>
      </c>
      <c r="AF221" s="845"/>
      <c r="AG221" s="1073"/>
      <c r="AH221" s="189"/>
      <c r="AI221" s="190"/>
    </row>
    <row r="222" spans="1:35" ht="22.15" customHeight="1" x14ac:dyDescent="0.2">
      <c r="A222" s="1078">
        <v>3701</v>
      </c>
      <c r="B222" s="730" t="s">
        <v>290</v>
      </c>
      <c r="C222" s="845"/>
      <c r="D222" s="845"/>
      <c r="E222" s="845"/>
      <c r="F222" s="852" t="s">
        <v>31</v>
      </c>
      <c r="G222" s="845" t="s">
        <v>31</v>
      </c>
      <c r="H222" s="845" t="s">
        <v>31</v>
      </c>
      <c r="I222" s="845" t="s">
        <v>31</v>
      </c>
      <c r="J222" s="845"/>
      <c r="K222" s="845"/>
      <c r="L222" s="845"/>
      <c r="M222" s="845" t="s">
        <v>31</v>
      </c>
      <c r="N222" s="842" t="s">
        <v>31</v>
      </c>
      <c r="O222" s="845" t="s">
        <v>31</v>
      </c>
      <c r="P222" s="845" t="s">
        <v>31</v>
      </c>
      <c r="Q222" s="845" t="s">
        <v>31</v>
      </c>
      <c r="R222" s="845"/>
      <c r="S222" s="845"/>
      <c r="T222" s="845" t="s">
        <v>31</v>
      </c>
      <c r="U222" s="845" t="s">
        <v>31</v>
      </c>
      <c r="V222" s="845" t="s">
        <v>31</v>
      </c>
      <c r="W222" s="845"/>
      <c r="X222" s="845" t="s">
        <v>31</v>
      </c>
      <c r="Y222" s="843"/>
      <c r="Z222" s="843"/>
      <c r="AA222" s="843" t="s">
        <v>31</v>
      </c>
      <c r="AB222" s="845" t="s">
        <v>31</v>
      </c>
      <c r="AC222" s="845" t="s">
        <v>31</v>
      </c>
      <c r="AD222" s="845" t="s">
        <v>31</v>
      </c>
      <c r="AE222" s="845" t="s">
        <v>31</v>
      </c>
      <c r="AF222" s="845"/>
      <c r="AG222" s="1073"/>
      <c r="AH222" s="189"/>
      <c r="AI222" s="190"/>
    </row>
    <row r="223" spans="1:35" ht="22.15" customHeight="1" x14ac:dyDescent="0.2">
      <c r="A223" s="1074">
        <v>3701</v>
      </c>
      <c r="B223" s="730" t="s">
        <v>291</v>
      </c>
      <c r="C223" s="845"/>
      <c r="D223" s="845"/>
      <c r="E223" s="845"/>
      <c r="F223" s="852" t="s">
        <v>31</v>
      </c>
      <c r="G223" s="845" t="s">
        <v>31</v>
      </c>
      <c r="H223" s="845" t="s">
        <v>31</v>
      </c>
      <c r="I223" s="845" t="s">
        <v>31</v>
      </c>
      <c r="J223" s="845"/>
      <c r="K223" s="845"/>
      <c r="L223" s="845"/>
      <c r="M223" s="845" t="s">
        <v>31</v>
      </c>
      <c r="N223" s="842" t="s">
        <v>31</v>
      </c>
      <c r="O223" s="845" t="s">
        <v>31</v>
      </c>
      <c r="P223" s="845" t="s">
        <v>31</v>
      </c>
      <c r="Q223" s="845" t="s">
        <v>31</v>
      </c>
      <c r="R223" s="845"/>
      <c r="S223" s="845"/>
      <c r="T223" s="845" t="s">
        <v>31</v>
      </c>
      <c r="U223" s="845" t="s">
        <v>31</v>
      </c>
      <c r="V223" s="845" t="s">
        <v>31</v>
      </c>
      <c r="W223" s="845"/>
      <c r="X223" s="845" t="s">
        <v>31</v>
      </c>
      <c r="Y223" s="843"/>
      <c r="Z223" s="843"/>
      <c r="AA223" s="843" t="s">
        <v>31</v>
      </c>
      <c r="AB223" s="845" t="s">
        <v>31</v>
      </c>
      <c r="AC223" s="845" t="s">
        <v>31</v>
      </c>
      <c r="AD223" s="845" t="s">
        <v>31</v>
      </c>
      <c r="AE223" s="845" t="s">
        <v>31</v>
      </c>
      <c r="AF223" s="845"/>
      <c r="AG223" s="1079"/>
      <c r="AH223" s="189"/>
      <c r="AI223" s="190"/>
    </row>
    <row r="224" spans="1:35" ht="22.15" customHeight="1" x14ac:dyDescent="0.2">
      <c r="A224" s="1074">
        <v>3701</v>
      </c>
      <c r="B224" s="730" t="s">
        <v>292</v>
      </c>
      <c r="C224" s="845"/>
      <c r="D224" s="845"/>
      <c r="E224" s="845"/>
      <c r="F224" s="852" t="s">
        <v>31</v>
      </c>
      <c r="G224" s="845" t="s">
        <v>31</v>
      </c>
      <c r="H224" s="845" t="s">
        <v>31</v>
      </c>
      <c r="I224" s="845" t="s">
        <v>31</v>
      </c>
      <c r="J224" s="845"/>
      <c r="K224" s="845"/>
      <c r="L224" s="845"/>
      <c r="M224" s="845" t="s">
        <v>31</v>
      </c>
      <c r="N224" s="842" t="s">
        <v>31</v>
      </c>
      <c r="O224" s="845" t="s">
        <v>31</v>
      </c>
      <c r="P224" s="845" t="s">
        <v>31</v>
      </c>
      <c r="Q224" s="845" t="s">
        <v>31</v>
      </c>
      <c r="R224" s="845"/>
      <c r="S224" s="845"/>
      <c r="T224" s="845" t="s">
        <v>31</v>
      </c>
      <c r="U224" s="845" t="s">
        <v>31</v>
      </c>
      <c r="V224" s="845" t="s">
        <v>31</v>
      </c>
      <c r="W224" s="845"/>
      <c r="X224" s="845" t="s">
        <v>31</v>
      </c>
      <c r="Y224" s="843"/>
      <c r="Z224" s="843"/>
      <c r="AA224" s="843" t="s">
        <v>31</v>
      </c>
      <c r="AB224" s="845" t="s">
        <v>31</v>
      </c>
      <c r="AC224" s="845" t="s">
        <v>31</v>
      </c>
      <c r="AD224" s="845" t="s">
        <v>31</v>
      </c>
      <c r="AE224" s="845" t="s">
        <v>31</v>
      </c>
      <c r="AF224" s="845"/>
      <c r="AG224" s="1080"/>
      <c r="AH224" s="189"/>
      <c r="AI224" s="190"/>
    </row>
    <row r="225" spans="1:35" ht="22.15" customHeight="1" x14ac:dyDescent="0.2">
      <c r="A225" s="1074"/>
      <c r="B225" s="1081"/>
      <c r="C225" s="845"/>
      <c r="D225" s="845"/>
      <c r="E225" s="845"/>
      <c r="F225" s="852" t="s">
        <v>31</v>
      </c>
      <c r="G225" s="845" t="s">
        <v>31</v>
      </c>
      <c r="H225" s="845" t="s">
        <v>31</v>
      </c>
      <c r="I225" s="845" t="s">
        <v>31</v>
      </c>
      <c r="J225" s="845"/>
      <c r="K225" s="845"/>
      <c r="L225" s="845"/>
      <c r="M225" s="845" t="s">
        <v>31</v>
      </c>
      <c r="N225" s="842" t="s">
        <v>31</v>
      </c>
      <c r="O225" s="845" t="s">
        <v>31</v>
      </c>
      <c r="P225" s="845" t="s">
        <v>31</v>
      </c>
      <c r="Q225" s="845" t="s">
        <v>31</v>
      </c>
      <c r="R225" s="845"/>
      <c r="S225" s="845"/>
      <c r="T225" s="845" t="s">
        <v>31</v>
      </c>
      <c r="U225" s="845" t="s">
        <v>31</v>
      </c>
      <c r="V225" s="845" t="s">
        <v>31</v>
      </c>
      <c r="W225" s="845"/>
      <c r="X225" s="845" t="s">
        <v>31</v>
      </c>
      <c r="Y225" s="843"/>
      <c r="Z225" s="843"/>
      <c r="AA225" s="843" t="s">
        <v>31</v>
      </c>
      <c r="AB225" s="845" t="s">
        <v>31</v>
      </c>
      <c r="AC225" s="845" t="s">
        <v>31</v>
      </c>
      <c r="AD225" s="845" t="s">
        <v>31</v>
      </c>
      <c r="AE225" s="845" t="s">
        <v>31</v>
      </c>
      <c r="AF225" s="845"/>
      <c r="AG225" s="1073"/>
      <c r="AH225" s="189"/>
      <c r="AI225" s="190"/>
    </row>
    <row r="226" spans="1:35" ht="22.15" customHeight="1" x14ac:dyDescent="0.2">
      <c r="A226" s="1074"/>
      <c r="B226" s="730" t="s">
        <v>293</v>
      </c>
      <c r="C226" s="845"/>
      <c r="D226" s="845"/>
      <c r="E226" s="845"/>
      <c r="F226" s="852" t="s">
        <v>31</v>
      </c>
      <c r="G226" s="845" t="s">
        <v>31</v>
      </c>
      <c r="H226" s="845" t="s">
        <v>31</v>
      </c>
      <c r="I226" s="845" t="s">
        <v>31</v>
      </c>
      <c r="J226" s="845"/>
      <c r="K226" s="845"/>
      <c r="L226" s="845"/>
      <c r="M226" s="845" t="s">
        <v>31</v>
      </c>
      <c r="N226" s="842" t="s">
        <v>31</v>
      </c>
      <c r="O226" s="845" t="s">
        <v>31</v>
      </c>
      <c r="P226" s="845" t="s">
        <v>31</v>
      </c>
      <c r="Q226" s="845" t="s">
        <v>31</v>
      </c>
      <c r="R226" s="845"/>
      <c r="S226" s="845"/>
      <c r="T226" s="845" t="s">
        <v>31</v>
      </c>
      <c r="U226" s="845" t="s">
        <v>31</v>
      </c>
      <c r="V226" s="845" t="s">
        <v>31</v>
      </c>
      <c r="W226" s="845"/>
      <c r="X226" s="845" t="s">
        <v>31</v>
      </c>
      <c r="Y226" s="843"/>
      <c r="Z226" s="843"/>
      <c r="AA226" s="843" t="s">
        <v>31</v>
      </c>
      <c r="AB226" s="845" t="s">
        <v>31</v>
      </c>
      <c r="AC226" s="845" t="s">
        <v>31</v>
      </c>
      <c r="AD226" s="845" t="s">
        <v>31</v>
      </c>
      <c r="AE226" s="845" t="s">
        <v>31</v>
      </c>
      <c r="AF226" s="845"/>
      <c r="AG226" s="1073"/>
      <c r="AH226" s="189"/>
      <c r="AI226" s="190"/>
    </row>
    <row r="227" spans="1:35" ht="22.15" customHeight="1" x14ac:dyDescent="0.2">
      <c r="A227" s="1074"/>
      <c r="B227" s="730" t="s">
        <v>294</v>
      </c>
      <c r="C227" s="921"/>
      <c r="D227" s="921"/>
      <c r="E227" s="921"/>
      <c r="F227" s="1076" t="s">
        <v>31</v>
      </c>
      <c r="G227" s="921" t="s">
        <v>31</v>
      </c>
      <c r="H227" s="921" t="s">
        <v>31</v>
      </c>
      <c r="I227" s="921" t="s">
        <v>31</v>
      </c>
      <c r="J227" s="921"/>
      <c r="K227" s="921"/>
      <c r="L227" s="921"/>
      <c r="M227" s="921" t="s">
        <v>31</v>
      </c>
      <c r="N227" s="922" t="s">
        <v>31</v>
      </c>
      <c r="O227" s="921" t="s">
        <v>31</v>
      </c>
      <c r="P227" s="921" t="s">
        <v>31</v>
      </c>
      <c r="Q227" s="921" t="s">
        <v>31</v>
      </c>
      <c r="R227" s="921"/>
      <c r="S227" s="921"/>
      <c r="T227" s="921" t="s">
        <v>31</v>
      </c>
      <c r="U227" s="921" t="s">
        <v>31</v>
      </c>
      <c r="V227" s="921" t="s">
        <v>31</v>
      </c>
      <c r="W227" s="921"/>
      <c r="X227" s="921" t="s">
        <v>31</v>
      </c>
      <c r="Y227" s="1082"/>
      <c r="Z227" s="1082"/>
      <c r="AA227" s="1082" t="s">
        <v>31</v>
      </c>
      <c r="AB227" s="921" t="s">
        <v>31</v>
      </c>
      <c r="AC227" s="921" t="s">
        <v>31</v>
      </c>
      <c r="AD227" s="921" t="s">
        <v>31</v>
      </c>
      <c r="AE227" s="921" t="s">
        <v>31</v>
      </c>
      <c r="AF227" s="921"/>
      <c r="AG227" s="1083"/>
      <c r="AH227" s="189"/>
      <c r="AI227" s="190"/>
    </row>
    <row r="228" spans="1:35" ht="22.15" customHeight="1" x14ac:dyDescent="0.2">
      <c r="A228" s="1074"/>
      <c r="B228" s="730" t="s">
        <v>295</v>
      </c>
      <c r="C228" s="845"/>
      <c r="D228" s="845"/>
      <c r="E228" s="845"/>
      <c r="F228" s="852" t="s">
        <v>31</v>
      </c>
      <c r="G228" s="845" t="s">
        <v>31</v>
      </c>
      <c r="H228" s="845" t="s">
        <v>31</v>
      </c>
      <c r="I228" s="845" t="s">
        <v>31</v>
      </c>
      <c r="J228" s="845"/>
      <c r="K228" s="845"/>
      <c r="L228" s="845"/>
      <c r="M228" s="845" t="s">
        <v>31</v>
      </c>
      <c r="N228" s="842" t="s">
        <v>31</v>
      </c>
      <c r="O228" s="845" t="s">
        <v>31</v>
      </c>
      <c r="P228" s="845" t="s">
        <v>31</v>
      </c>
      <c r="Q228" s="845" t="s">
        <v>31</v>
      </c>
      <c r="R228" s="845"/>
      <c r="S228" s="845"/>
      <c r="T228" s="845" t="s">
        <v>31</v>
      </c>
      <c r="U228" s="845" t="s">
        <v>31</v>
      </c>
      <c r="V228" s="845" t="s">
        <v>31</v>
      </c>
      <c r="W228" s="845"/>
      <c r="X228" s="845" t="s">
        <v>31</v>
      </c>
      <c r="Y228" s="843"/>
      <c r="Z228" s="843"/>
      <c r="AA228" s="843" t="s">
        <v>31</v>
      </c>
      <c r="AB228" s="845" t="s">
        <v>31</v>
      </c>
      <c r="AC228" s="845" t="s">
        <v>31</v>
      </c>
      <c r="AD228" s="845" t="s">
        <v>31</v>
      </c>
      <c r="AE228" s="845" t="s">
        <v>31</v>
      </c>
      <c r="AF228" s="845"/>
      <c r="AG228" s="1073"/>
      <c r="AH228" s="189"/>
      <c r="AI228" s="190"/>
    </row>
    <row r="229" spans="1:35" ht="22.15" customHeight="1" x14ac:dyDescent="0.2">
      <c r="A229" s="1074"/>
      <c r="B229" s="730" t="s">
        <v>296</v>
      </c>
      <c r="C229" s="845"/>
      <c r="D229" s="845"/>
      <c r="E229" s="845"/>
      <c r="F229" s="852" t="s">
        <v>31</v>
      </c>
      <c r="G229" s="845" t="s">
        <v>31</v>
      </c>
      <c r="H229" s="845" t="s">
        <v>31</v>
      </c>
      <c r="I229" s="845" t="s">
        <v>31</v>
      </c>
      <c r="J229" s="845"/>
      <c r="K229" s="845"/>
      <c r="L229" s="845"/>
      <c r="M229" s="845" t="s">
        <v>31</v>
      </c>
      <c r="N229" s="842" t="s">
        <v>31</v>
      </c>
      <c r="O229" s="845" t="s">
        <v>31</v>
      </c>
      <c r="P229" s="845" t="s">
        <v>31</v>
      </c>
      <c r="Q229" s="845" t="s">
        <v>31</v>
      </c>
      <c r="R229" s="845"/>
      <c r="S229" s="845"/>
      <c r="T229" s="845" t="s">
        <v>31</v>
      </c>
      <c r="U229" s="845" t="s">
        <v>31</v>
      </c>
      <c r="V229" s="845" t="s">
        <v>31</v>
      </c>
      <c r="W229" s="845"/>
      <c r="X229" s="845" t="s">
        <v>31</v>
      </c>
      <c r="Y229" s="843"/>
      <c r="Z229" s="843"/>
      <c r="AA229" s="843" t="s">
        <v>31</v>
      </c>
      <c r="AB229" s="845" t="s">
        <v>31</v>
      </c>
      <c r="AC229" s="845" t="s">
        <v>31</v>
      </c>
      <c r="AD229" s="845" t="s">
        <v>31</v>
      </c>
      <c r="AE229" s="845" t="s">
        <v>31</v>
      </c>
      <c r="AF229" s="845"/>
      <c r="AG229" s="1079"/>
      <c r="AH229" s="189"/>
      <c r="AI229" s="190"/>
    </row>
    <row r="230" spans="1:35" ht="22.15" customHeight="1" x14ac:dyDescent="0.2">
      <c r="A230" s="1074"/>
      <c r="B230" s="1084" t="s">
        <v>297</v>
      </c>
      <c r="C230" s="845"/>
      <c r="D230" s="845"/>
      <c r="E230" s="845"/>
      <c r="F230" s="737"/>
      <c r="G230" s="850"/>
      <c r="H230" s="850"/>
      <c r="I230" s="845"/>
      <c r="J230" s="845"/>
      <c r="K230" s="845"/>
      <c r="L230" s="845"/>
      <c r="M230" s="845"/>
      <c r="N230" s="842"/>
      <c r="O230" s="845"/>
      <c r="P230" s="845"/>
      <c r="Q230" s="845"/>
      <c r="R230" s="845"/>
      <c r="S230" s="845"/>
      <c r="T230" s="845"/>
      <c r="U230" s="845"/>
      <c r="V230" s="845"/>
      <c r="W230" s="845"/>
      <c r="X230" s="845"/>
      <c r="Y230" s="843"/>
      <c r="Z230" s="843"/>
      <c r="AA230" s="843"/>
      <c r="AB230" s="845"/>
      <c r="AC230" s="845"/>
      <c r="AD230" s="845"/>
      <c r="AE230" s="845"/>
      <c r="AF230" s="842"/>
      <c r="AG230" s="1073"/>
      <c r="AH230" s="186"/>
      <c r="AI230" s="107"/>
    </row>
    <row r="231" spans="1:35" ht="22.15" customHeight="1" x14ac:dyDescent="0.2">
      <c r="A231" s="1074"/>
      <c r="B231" s="730"/>
      <c r="C231" s="845"/>
      <c r="D231" s="845"/>
      <c r="E231" s="845"/>
      <c r="F231" s="737"/>
      <c r="G231" s="850"/>
      <c r="H231" s="850"/>
      <c r="I231" s="845"/>
      <c r="J231" s="845"/>
      <c r="K231" s="845"/>
      <c r="L231" s="845"/>
      <c r="M231" s="845"/>
      <c r="N231" s="842"/>
      <c r="O231" s="845"/>
      <c r="P231" s="845"/>
      <c r="Q231" s="845"/>
      <c r="R231" s="845"/>
      <c r="S231" s="845"/>
      <c r="T231" s="845"/>
      <c r="U231" s="845"/>
      <c r="V231" s="845"/>
      <c r="W231" s="845"/>
      <c r="X231" s="845"/>
      <c r="Y231" s="843"/>
      <c r="Z231" s="843"/>
      <c r="AA231" s="843"/>
      <c r="AB231" s="845"/>
      <c r="AC231" s="845"/>
      <c r="AD231" s="845"/>
      <c r="AE231" s="845"/>
      <c r="AF231" s="842"/>
      <c r="AG231" s="1085"/>
      <c r="AH231" s="186"/>
      <c r="AI231" s="107"/>
    </row>
    <row r="232" spans="1:35" ht="22.15" customHeight="1" x14ac:dyDescent="0.2">
      <c r="A232" s="751"/>
      <c r="B232" s="1086" t="s">
        <v>298</v>
      </c>
      <c r="C232" s="845"/>
      <c r="D232" s="845"/>
      <c r="E232" s="845"/>
      <c r="F232" s="845"/>
      <c r="G232" s="845"/>
      <c r="H232" s="845"/>
      <c r="I232" s="845"/>
      <c r="J232" s="845"/>
      <c r="K232" s="845"/>
      <c r="L232" s="845"/>
      <c r="M232" s="845"/>
      <c r="N232" s="845"/>
      <c r="O232" s="845"/>
      <c r="P232" s="845"/>
      <c r="Q232" s="845"/>
      <c r="R232" s="845"/>
      <c r="S232" s="845"/>
      <c r="T232" s="845"/>
      <c r="U232" s="845"/>
      <c r="V232" s="845"/>
      <c r="W232" s="845"/>
      <c r="X232" s="845"/>
      <c r="Y232" s="845"/>
      <c r="Z232" s="845"/>
      <c r="AA232" s="845"/>
      <c r="AB232" s="845"/>
      <c r="AC232" s="845"/>
      <c r="AD232" s="845"/>
      <c r="AE232" s="845"/>
      <c r="AF232" s="845"/>
      <c r="AG232" s="1073"/>
      <c r="AH232" s="186"/>
      <c r="AI232" s="107"/>
    </row>
    <row r="233" spans="1:35" ht="22.15" customHeight="1" x14ac:dyDescent="0.2">
      <c r="A233" s="751"/>
      <c r="B233" s="730" t="s">
        <v>299</v>
      </c>
      <c r="C233" s="845"/>
      <c r="D233" s="845"/>
      <c r="E233" s="845"/>
      <c r="F233" s="852" t="s">
        <v>31</v>
      </c>
      <c r="G233" s="852"/>
      <c r="H233" s="845" t="s">
        <v>31</v>
      </c>
      <c r="I233" s="845" t="s">
        <v>31</v>
      </c>
      <c r="J233" s="845"/>
      <c r="K233" s="845"/>
      <c r="L233" s="845"/>
      <c r="M233" s="845" t="s">
        <v>31</v>
      </c>
      <c r="N233" s="842" t="s">
        <v>31</v>
      </c>
      <c r="O233" s="845" t="s">
        <v>31</v>
      </c>
      <c r="P233" s="845" t="s">
        <v>31</v>
      </c>
      <c r="Q233" s="845" t="s">
        <v>31</v>
      </c>
      <c r="R233" s="845"/>
      <c r="S233" s="845"/>
      <c r="T233" s="845" t="s">
        <v>31</v>
      </c>
      <c r="U233" s="845" t="s">
        <v>31</v>
      </c>
      <c r="V233" s="845" t="s">
        <v>31</v>
      </c>
      <c r="W233" s="845"/>
      <c r="X233" s="845" t="s">
        <v>31</v>
      </c>
      <c r="Y233" s="843"/>
      <c r="Z233" s="843"/>
      <c r="AA233" s="843" t="s">
        <v>31</v>
      </c>
      <c r="AB233" s="845" t="s">
        <v>31</v>
      </c>
      <c r="AC233" s="845" t="s">
        <v>31</v>
      </c>
      <c r="AD233" s="845" t="s">
        <v>31</v>
      </c>
      <c r="AE233" s="845" t="s">
        <v>31</v>
      </c>
      <c r="AF233" s="845"/>
      <c r="AG233" s="1085"/>
      <c r="AH233" s="186"/>
      <c r="AI233" s="107"/>
    </row>
    <row r="234" spans="1:35" ht="22.15" customHeight="1" x14ac:dyDescent="0.2">
      <c r="A234" s="751"/>
      <c r="B234" s="751"/>
      <c r="C234" s="845"/>
      <c r="D234" s="845"/>
      <c r="E234" s="845"/>
      <c r="F234" s="845"/>
      <c r="G234" s="845"/>
      <c r="H234" s="845"/>
      <c r="I234" s="845"/>
      <c r="J234" s="845"/>
      <c r="K234" s="845"/>
      <c r="L234" s="845"/>
      <c r="M234" s="845"/>
      <c r="N234" s="845"/>
      <c r="O234" s="845"/>
      <c r="P234" s="845"/>
      <c r="Q234" s="845"/>
      <c r="R234" s="845"/>
      <c r="S234" s="845"/>
      <c r="T234" s="845"/>
      <c r="U234" s="845"/>
      <c r="V234" s="845"/>
      <c r="W234" s="845"/>
      <c r="X234" s="845"/>
      <c r="Y234" s="845"/>
      <c r="Z234" s="845"/>
      <c r="AA234" s="845"/>
      <c r="AB234" s="845"/>
      <c r="AC234" s="845"/>
      <c r="AD234" s="845"/>
      <c r="AE234" s="845"/>
      <c r="AF234" s="845"/>
      <c r="AG234" s="1073"/>
      <c r="AH234" s="186"/>
      <c r="AI234" s="107"/>
    </row>
    <row r="235" spans="1:35" ht="22.15" customHeight="1" x14ac:dyDescent="0.2">
      <c r="A235" s="751"/>
      <c r="B235" s="751"/>
      <c r="C235" s="845"/>
      <c r="D235" s="845"/>
      <c r="E235" s="845"/>
      <c r="F235" s="845"/>
      <c r="G235" s="845"/>
      <c r="H235" s="1045"/>
      <c r="I235" s="845"/>
      <c r="J235" s="845"/>
      <c r="K235" s="845"/>
      <c r="L235" s="845"/>
      <c r="M235" s="845"/>
      <c r="N235" s="845"/>
      <c r="O235" s="845"/>
      <c r="P235" s="845"/>
      <c r="Q235" s="845"/>
      <c r="R235" s="845"/>
      <c r="S235" s="845"/>
      <c r="T235" s="845"/>
      <c r="U235" s="845"/>
      <c r="V235" s="845"/>
      <c r="W235" s="845"/>
      <c r="X235" s="845"/>
      <c r="Y235" s="845"/>
      <c r="Z235" s="845"/>
      <c r="AA235" s="845"/>
      <c r="AB235" s="845"/>
      <c r="AC235" s="845"/>
      <c r="AD235" s="845"/>
      <c r="AE235" s="845"/>
      <c r="AF235" s="845"/>
      <c r="AG235" s="1085"/>
      <c r="AH235" s="186"/>
      <c r="AI235" s="107"/>
    </row>
    <row r="236" spans="1:35" ht="22.15" customHeight="1" x14ac:dyDescent="0.2">
      <c r="A236" s="1074"/>
      <c r="B236" s="1081"/>
      <c r="C236" s="845"/>
      <c r="D236" s="845"/>
      <c r="E236" s="845"/>
      <c r="F236" s="845"/>
      <c r="G236" s="845"/>
      <c r="H236" s="845"/>
      <c r="I236" s="845"/>
      <c r="J236" s="845"/>
      <c r="K236" s="845"/>
      <c r="L236" s="845"/>
      <c r="M236" s="845"/>
      <c r="N236" s="845"/>
      <c r="O236" s="845"/>
      <c r="P236" s="845"/>
      <c r="Q236" s="845"/>
      <c r="R236" s="845"/>
      <c r="S236" s="845"/>
      <c r="T236" s="845"/>
      <c r="U236" s="845"/>
      <c r="V236" s="845"/>
      <c r="W236" s="845"/>
      <c r="X236" s="845"/>
      <c r="Y236" s="845"/>
      <c r="Z236" s="845"/>
      <c r="AA236" s="845"/>
      <c r="AB236" s="845"/>
      <c r="AC236" s="845"/>
      <c r="AD236" s="845"/>
      <c r="AE236" s="845"/>
      <c r="AF236" s="845"/>
      <c r="AG236" s="1085"/>
      <c r="AH236" s="186"/>
      <c r="AI236" s="107"/>
    </row>
    <row r="237" spans="1:35" ht="22.15" customHeight="1" x14ac:dyDescent="0.2">
      <c r="A237" s="1074"/>
      <c r="B237" s="1087"/>
      <c r="C237" s="845"/>
      <c r="D237" s="845"/>
      <c r="E237" s="845"/>
      <c r="F237" s="845"/>
      <c r="G237" s="845"/>
      <c r="H237" s="845"/>
      <c r="I237" s="845"/>
      <c r="J237" s="845"/>
      <c r="K237" s="845"/>
      <c r="L237" s="845"/>
      <c r="M237" s="845"/>
      <c r="N237" s="845"/>
      <c r="O237" s="845"/>
      <c r="P237" s="845"/>
      <c r="Q237" s="845"/>
      <c r="R237" s="845"/>
      <c r="S237" s="845"/>
      <c r="T237" s="845"/>
      <c r="U237" s="845"/>
      <c r="V237" s="845"/>
      <c r="W237" s="845"/>
      <c r="X237" s="845"/>
      <c r="Y237" s="845"/>
      <c r="Z237" s="845"/>
      <c r="AA237" s="845"/>
      <c r="AB237" s="845"/>
      <c r="AC237" s="845"/>
      <c r="AD237" s="845"/>
      <c r="AE237" s="845"/>
      <c r="AF237" s="845"/>
      <c r="AG237" s="1085"/>
      <c r="AH237" s="186"/>
      <c r="AI237" s="107"/>
    </row>
    <row r="238" spans="1:35" ht="22.15" customHeight="1" x14ac:dyDescent="0.2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2" spans="1:35" ht="21" customHeight="1" thickBot="1" x14ac:dyDescent="0.25">
      <c r="A242" s="162" t="s">
        <v>300</v>
      </c>
    </row>
    <row r="243" spans="1:35" ht="21" customHeight="1" x14ac:dyDescent="0.2">
      <c r="B243" s="530" t="s">
        <v>267</v>
      </c>
      <c r="C243" s="500"/>
      <c r="D243" s="516" t="s">
        <v>90</v>
      </c>
      <c r="E243" s="473"/>
      <c r="F243" s="504"/>
      <c r="G243" s="500"/>
      <c r="H243" s="516" t="s">
        <v>91</v>
      </c>
      <c r="I243" s="473"/>
      <c r="J243" s="504"/>
      <c r="K243" s="500"/>
      <c r="L243" s="516" t="s">
        <v>92</v>
      </c>
      <c r="M243" s="473"/>
      <c r="N243" s="504"/>
      <c r="O243" s="500"/>
      <c r="P243" s="516" t="s">
        <v>93</v>
      </c>
      <c r="Q243" s="473"/>
      <c r="R243" s="504"/>
      <c r="S243" s="500"/>
      <c r="T243" s="516" t="s">
        <v>94</v>
      </c>
      <c r="U243" s="473"/>
      <c r="V243" s="504"/>
      <c r="W243" s="500"/>
      <c r="X243" s="516" t="s">
        <v>95</v>
      </c>
      <c r="Y243" s="473"/>
      <c r="Z243" s="504"/>
      <c r="AA243" s="500"/>
      <c r="AB243" s="516" t="s">
        <v>96</v>
      </c>
      <c r="AC243" s="473"/>
      <c r="AD243" s="473"/>
      <c r="AE243" s="519" t="s">
        <v>97</v>
      </c>
      <c r="AF243" s="473"/>
      <c r="AG243" s="473"/>
      <c r="AH243" s="473"/>
      <c r="AI243" s="474"/>
    </row>
    <row r="244" spans="1:35" ht="21" customHeight="1" x14ac:dyDescent="0.2">
      <c r="B244" s="3"/>
      <c r="C244" s="156"/>
      <c r="D244" s="117"/>
      <c r="E244" s="166"/>
      <c r="F244" s="168"/>
      <c r="G244" s="156"/>
      <c r="H244" s="117"/>
      <c r="I244" s="166"/>
      <c r="J244" s="168"/>
      <c r="K244" s="156"/>
      <c r="L244" s="117"/>
      <c r="M244" s="166"/>
      <c r="N244" s="168"/>
      <c r="O244" s="156"/>
      <c r="P244" s="117"/>
      <c r="Q244" s="166"/>
      <c r="R244" s="168"/>
      <c r="S244" s="156"/>
      <c r="T244" s="117"/>
      <c r="U244" s="166"/>
      <c r="V244" s="168"/>
      <c r="W244" s="156"/>
      <c r="X244" s="117"/>
      <c r="Y244" s="166"/>
      <c r="Z244" s="168"/>
      <c r="AA244" s="156"/>
      <c r="AB244" s="117"/>
      <c r="AC244" s="166"/>
      <c r="AD244" s="166"/>
      <c r="AE244" s="118"/>
      <c r="AF244" s="166"/>
      <c r="AG244" s="14"/>
      <c r="AH244" s="14"/>
      <c r="AI244" s="119"/>
    </row>
    <row r="245" spans="1:35" ht="21" customHeight="1" x14ac:dyDescent="0.2">
      <c r="A245" s="110"/>
      <c r="B245" s="1088">
        <v>3701</v>
      </c>
      <c r="C245" s="906" t="s">
        <v>272</v>
      </c>
      <c r="D245" s="907"/>
      <c r="E245" s="166"/>
      <c r="F245" s="168"/>
      <c r="G245" s="906" t="s">
        <v>272</v>
      </c>
      <c r="H245" s="117"/>
      <c r="I245" s="166"/>
      <c r="J245" s="168"/>
      <c r="K245" s="906" t="s">
        <v>272</v>
      </c>
      <c r="L245" s="117"/>
      <c r="M245" s="166"/>
      <c r="N245" s="168"/>
      <c r="O245" s="906" t="s">
        <v>272</v>
      </c>
      <c r="P245" s="117"/>
      <c r="Q245" s="166"/>
      <c r="R245" s="168"/>
      <c r="S245" s="156" t="s">
        <v>273</v>
      </c>
      <c r="T245" s="117"/>
      <c r="U245" s="166"/>
      <c r="V245" s="168"/>
      <c r="W245" s="156"/>
      <c r="X245" s="117"/>
      <c r="Y245" s="166"/>
      <c r="Z245" s="168"/>
      <c r="AA245" s="156"/>
      <c r="AB245" s="117"/>
      <c r="AC245" s="166"/>
      <c r="AD245" s="166"/>
      <c r="AE245" s="118"/>
      <c r="AF245" s="166"/>
      <c r="AG245" s="14"/>
      <c r="AH245" s="14"/>
      <c r="AI245" s="119"/>
    </row>
    <row r="246" spans="1:35" ht="21" customHeight="1" x14ac:dyDescent="0.2">
      <c r="B246" s="1088"/>
      <c r="C246" s="906"/>
      <c r="D246" s="907"/>
      <c r="E246" s="166"/>
      <c r="F246" s="168"/>
      <c r="G246" s="906"/>
      <c r="H246" s="117"/>
      <c r="I246" s="166"/>
      <c r="J246" s="168"/>
      <c r="K246" s="906"/>
      <c r="L246" s="117"/>
      <c r="M246" s="166"/>
      <c r="N246" s="168"/>
      <c r="O246" s="906"/>
      <c r="P246" s="117"/>
      <c r="Q246" s="166"/>
      <c r="R246" s="168"/>
      <c r="S246" s="906"/>
      <c r="T246" s="117"/>
      <c r="U246" s="166"/>
      <c r="V246" s="168"/>
      <c r="W246" s="156"/>
      <c r="X246" s="117"/>
      <c r="Y246" s="166"/>
      <c r="Z246" s="168"/>
      <c r="AA246" s="156"/>
      <c r="AB246" s="117"/>
      <c r="AC246" s="166"/>
      <c r="AD246" s="166"/>
      <c r="AE246" s="118"/>
      <c r="AF246" s="166"/>
      <c r="AG246" s="14"/>
      <c r="AH246" s="14"/>
      <c r="AI246" s="119"/>
    </row>
    <row r="247" spans="1:35" ht="21" customHeight="1" x14ac:dyDescent="0.2">
      <c r="B247" s="1088">
        <v>3702</v>
      </c>
      <c r="C247" s="906" t="s">
        <v>301</v>
      </c>
      <c r="D247" s="907"/>
      <c r="E247" s="166"/>
      <c r="F247" s="168"/>
      <c r="G247" s="906" t="s">
        <v>301</v>
      </c>
      <c r="H247" s="907"/>
      <c r="I247" s="166"/>
      <c r="J247" s="168"/>
      <c r="K247" s="906" t="s">
        <v>301</v>
      </c>
      <c r="L247" s="907"/>
      <c r="M247" s="166"/>
      <c r="N247" s="168"/>
      <c r="O247" s="906" t="s">
        <v>301</v>
      </c>
      <c r="P247" s="907"/>
      <c r="Q247" s="166"/>
      <c r="R247" s="168"/>
      <c r="S247" s="906" t="s">
        <v>302</v>
      </c>
      <c r="T247" s="907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B248" s="1088"/>
      <c r="C248" s="994"/>
      <c r="D248" s="907"/>
      <c r="E248" s="166"/>
      <c r="F248" s="168"/>
      <c r="G248" s="117"/>
      <c r="H248" s="117"/>
      <c r="I248" s="166"/>
      <c r="J248" s="168"/>
      <c r="K248" s="117"/>
      <c r="L248" s="117"/>
      <c r="M248" s="166"/>
      <c r="N248" s="168"/>
      <c r="O248" s="117"/>
      <c r="P248" s="117"/>
      <c r="Q248" s="166"/>
      <c r="R248" s="168"/>
      <c r="S248" s="117"/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1088" t="s">
        <v>139</v>
      </c>
      <c r="C249" s="994" t="s">
        <v>303</v>
      </c>
      <c r="D249" s="907"/>
      <c r="E249" s="166"/>
      <c r="F249" s="168"/>
      <c r="G249" s="994" t="s">
        <v>303</v>
      </c>
      <c r="H249" s="907"/>
      <c r="I249" s="166"/>
      <c r="J249" s="168"/>
      <c r="K249" s="994" t="s">
        <v>303</v>
      </c>
      <c r="L249" s="907"/>
      <c r="M249" s="166"/>
      <c r="N249" s="168"/>
      <c r="O249" s="994" t="s">
        <v>303</v>
      </c>
      <c r="P249" s="907"/>
      <c r="Q249" s="166"/>
      <c r="R249" s="168"/>
      <c r="S249" s="117" t="s">
        <v>304</v>
      </c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x14ac:dyDescent="0.2">
      <c r="B250" s="1088" t="s">
        <v>143</v>
      </c>
      <c r="C250" s="994" t="s">
        <v>305</v>
      </c>
      <c r="D250" s="907"/>
      <c r="E250" s="166"/>
      <c r="F250" s="168"/>
      <c r="G250" s="994" t="s">
        <v>305</v>
      </c>
      <c r="H250" s="907"/>
      <c r="I250" s="166"/>
      <c r="J250" s="168"/>
      <c r="K250" s="994" t="s">
        <v>305</v>
      </c>
      <c r="L250" s="907"/>
      <c r="M250" s="166"/>
      <c r="N250" s="168"/>
      <c r="O250" s="994" t="s">
        <v>305</v>
      </c>
      <c r="P250" s="907"/>
      <c r="Q250" s="166"/>
      <c r="R250" s="168"/>
      <c r="S250" s="117" t="s">
        <v>306</v>
      </c>
      <c r="T250" s="117"/>
      <c r="U250" s="166"/>
      <c r="V250" s="168"/>
      <c r="W250" s="156"/>
      <c r="X250" s="117"/>
      <c r="Y250" s="166"/>
      <c r="Z250" s="168"/>
      <c r="AA250" s="156"/>
      <c r="AB250" s="117"/>
      <c r="AC250" s="166"/>
      <c r="AD250" s="166"/>
      <c r="AE250" s="118"/>
      <c r="AF250" s="166"/>
      <c r="AG250" s="14"/>
      <c r="AH250" s="14"/>
      <c r="AI250" s="119"/>
    </row>
    <row r="251" spans="1:35" ht="21" customHeight="1" thickBot="1" x14ac:dyDescent="0.25">
      <c r="B251" s="1089" t="s">
        <v>153</v>
      </c>
      <c r="C251" s="1006" t="s">
        <v>307</v>
      </c>
      <c r="D251" s="1090"/>
      <c r="E251" s="1091"/>
      <c r="F251" s="1092"/>
      <c r="G251" s="1006" t="s">
        <v>307</v>
      </c>
      <c r="H251" s="1090"/>
      <c r="I251" s="1091"/>
      <c r="J251" s="1092"/>
      <c r="K251" s="1006" t="s">
        <v>307</v>
      </c>
      <c r="L251" s="1090"/>
      <c r="M251" s="1091"/>
      <c r="N251" s="1092"/>
      <c r="O251" s="1006" t="s">
        <v>307</v>
      </c>
      <c r="P251" s="1090"/>
      <c r="Q251" s="1091"/>
      <c r="R251" s="1092"/>
      <c r="S251" s="1093" t="s">
        <v>308</v>
      </c>
      <c r="T251" s="1093"/>
      <c r="U251" s="1091"/>
      <c r="V251" s="1092"/>
      <c r="W251" s="1094"/>
      <c r="X251" s="1093"/>
      <c r="Y251" s="1095"/>
      <c r="Z251" s="1096"/>
      <c r="AA251" s="1097"/>
      <c r="AB251" s="1093"/>
      <c r="AC251" s="1095"/>
      <c r="AD251" s="1095"/>
      <c r="AE251" s="1098"/>
      <c r="AF251" s="1095"/>
      <c r="AG251" s="1091"/>
      <c r="AH251" s="1091"/>
      <c r="AI251" s="1099"/>
    </row>
    <row r="252" spans="1:35" ht="21" customHeight="1" x14ac:dyDescent="0.2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 x14ac:dyDescent="0.2">
      <c r="A253" s="123" t="s">
        <v>309</v>
      </c>
    </row>
    <row r="254" spans="1:35" ht="21" customHeight="1" thickBot="1" x14ac:dyDescent="0.25">
      <c r="A254" s="944"/>
      <c r="B254" s="766" t="s">
        <v>29</v>
      </c>
      <c r="C254" s="816">
        <v>1</v>
      </c>
      <c r="D254" s="816">
        <v>2</v>
      </c>
      <c r="E254" s="816">
        <v>3</v>
      </c>
      <c r="F254" s="772">
        <v>4</v>
      </c>
      <c r="G254" s="816">
        <v>5</v>
      </c>
      <c r="H254" s="772">
        <v>6</v>
      </c>
      <c r="I254" s="772">
        <v>7</v>
      </c>
      <c r="J254" s="816">
        <v>8</v>
      </c>
      <c r="K254" s="816">
        <v>9</v>
      </c>
      <c r="L254" s="816">
        <v>10</v>
      </c>
      <c r="M254" s="772">
        <v>11</v>
      </c>
      <c r="N254" s="772">
        <v>12</v>
      </c>
      <c r="O254" s="772">
        <v>13</v>
      </c>
      <c r="P254" s="772">
        <v>14</v>
      </c>
      <c r="Q254" s="772">
        <v>15</v>
      </c>
      <c r="R254" s="816">
        <v>16</v>
      </c>
      <c r="S254" s="816">
        <v>17</v>
      </c>
      <c r="T254" s="772">
        <v>18</v>
      </c>
      <c r="U254" s="772">
        <v>19</v>
      </c>
      <c r="V254" s="772">
        <v>20</v>
      </c>
      <c r="W254" s="816">
        <v>21</v>
      </c>
      <c r="X254" s="772">
        <v>22</v>
      </c>
      <c r="Y254" s="816">
        <v>23</v>
      </c>
      <c r="Z254" s="816">
        <v>24</v>
      </c>
      <c r="AA254" s="772">
        <v>25</v>
      </c>
      <c r="AB254" s="772">
        <v>26</v>
      </c>
      <c r="AC254" s="772">
        <v>27</v>
      </c>
      <c r="AD254" s="772">
        <v>28</v>
      </c>
      <c r="AE254" s="772">
        <v>29</v>
      </c>
      <c r="AF254" s="816">
        <v>30</v>
      </c>
      <c r="AG254" s="818">
        <v>31</v>
      </c>
      <c r="AH254" s="184"/>
      <c r="AI254" s="185"/>
    </row>
    <row r="255" spans="1:35" ht="21" customHeight="1" x14ac:dyDescent="0.2">
      <c r="A255" s="531">
        <v>3701</v>
      </c>
      <c r="B255" s="476"/>
      <c r="C255" s="845"/>
      <c r="D255" s="845"/>
      <c r="E255" s="845"/>
      <c r="F255" s="852" t="s">
        <v>31</v>
      </c>
      <c r="G255" s="852"/>
      <c r="H255" s="845" t="s">
        <v>31</v>
      </c>
      <c r="I255" s="845" t="s">
        <v>31</v>
      </c>
      <c r="J255" s="845"/>
      <c r="K255" s="845"/>
      <c r="L255" s="845"/>
      <c r="M255" s="845" t="s">
        <v>31</v>
      </c>
      <c r="N255" s="842" t="s">
        <v>31</v>
      </c>
      <c r="O255" s="845" t="s">
        <v>31</v>
      </c>
      <c r="P255" s="845" t="s">
        <v>31</v>
      </c>
      <c r="Q255" s="845" t="s">
        <v>31</v>
      </c>
      <c r="R255" s="845"/>
      <c r="S255" s="845"/>
      <c r="T255" s="845" t="s">
        <v>31</v>
      </c>
      <c r="U255" s="845" t="s">
        <v>31</v>
      </c>
      <c r="V255" s="845" t="s">
        <v>31</v>
      </c>
      <c r="W255" s="845"/>
      <c r="X255" s="845" t="s">
        <v>31</v>
      </c>
      <c r="Y255" s="843"/>
      <c r="Z255" s="843"/>
      <c r="AA255" s="843" t="s">
        <v>31</v>
      </c>
      <c r="AB255" s="845" t="s">
        <v>31</v>
      </c>
      <c r="AC255" s="845" t="s">
        <v>31</v>
      </c>
      <c r="AD255" s="845" t="s">
        <v>31</v>
      </c>
      <c r="AE255" s="845" t="s">
        <v>31</v>
      </c>
      <c r="AF255" s="845"/>
      <c r="AG255" s="478"/>
      <c r="AH255" s="189"/>
      <c r="AI255" s="190"/>
    </row>
    <row r="256" spans="1:35" ht="21" customHeight="1" x14ac:dyDescent="0.2">
      <c r="A256" s="1100">
        <v>3702</v>
      </c>
      <c r="B256" s="832" t="s">
        <v>310</v>
      </c>
      <c r="C256" s="845"/>
      <c r="D256" s="845"/>
      <c r="E256" s="845"/>
      <c r="F256" s="852" t="s">
        <v>31</v>
      </c>
      <c r="G256" s="852"/>
      <c r="H256" s="845" t="s">
        <v>31</v>
      </c>
      <c r="I256" s="845" t="s">
        <v>31</v>
      </c>
      <c r="J256" s="845"/>
      <c r="K256" s="845"/>
      <c r="L256" s="845"/>
      <c r="M256" s="845" t="s">
        <v>31</v>
      </c>
      <c r="N256" s="842" t="s">
        <v>31</v>
      </c>
      <c r="O256" s="845" t="s">
        <v>31</v>
      </c>
      <c r="P256" s="845" t="s">
        <v>31</v>
      </c>
      <c r="Q256" s="845" t="s">
        <v>31</v>
      </c>
      <c r="R256" s="845"/>
      <c r="S256" s="845"/>
      <c r="T256" s="849" t="s">
        <v>47</v>
      </c>
      <c r="U256" s="845" t="s">
        <v>31</v>
      </c>
      <c r="V256" s="845" t="s">
        <v>31</v>
      </c>
      <c r="W256" s="845"/>
      <c r="X256" s="845" t="s">
        <v>31</v>
      </c>
      <c r="Y256" s="843"/>
      <c r="Z256" s="843"/>
      <c r="AA256" s="843" t="s">
        <v>31</v>
      </c>
      <c r="AB256" s="845" t="s">
        <v>31</v>
      </c>
      <c r="AC256" s="728" t="s">
        <v>31</v>
      </c>
      <c r="AD256" s="1101" t="s">
        <v>47</v>
      </c>
      <c r="AE256" s="1101" t="s">
        <v>0</v>
      </c>
      <c r="AF256" s="1102"/>
      <c r="AG256" s="1103"/>
      <c r="AH256" s="189"/>
      <c r="AI256" s="190"/>
    </row>
    <row r="257" spans="1:35" ht="21" customHeight="1" x14ac:dyDescent="0.2">
      <c r="A257" s="1100"/>
      <c r="B257" s="832"/>
      <c r="C257" s="885"/>
      <c r="D257" s="885"/>
      <c r="E257" s="885"/>
      <c r="F257" s="885"/>
      <c r="G257" s="885"/>
      <c r="H257" s="885"/>
      <c r="I257" s="885"/>
      <c r="J257" s="885"/>
      <c r="K257" s="885"/>
      <c r="L257" s="885"/>
      <c r="M257" s="1104"/>
      <c r="N257" s="885"/>
      <c r="O257" s="885"/>
      <c r="P257" s="885"/>
      <c r="Q257" s="885"/>
      <c r="R257" s="885"/>
      <c r="S257" s="885"/>
      <c r="T257" s="885"/>
      <c r="U257" s="885"/>
      <c r="V257" s="885"/>
      <c r="W257" s="885"/>
      <c r="X257" s="885"/>
      <c r="Y257" s="885"/>
      <c r="Z257" s="885"/>
      <c r="AA257" s="885"/>
      <c r="AB257" s="885"/>
      <c r="AC257" s="885"/>
      <c r="AD257" s="885"/>
      <c r="AE257" s="885"/>
      <c r="AF257" s="885"/>
      <c r="AG257" s="887"/>
      <c r="AH257" s="189"/>
      <c r="AI257" s="190"/>
    </row>
    <row r="258" spans="1:35" ht="21" customHeight="1" thickBot="1" x14ac:dyDescent="0.25">
      <c r="A258" s="1105"/>
      <c r="B258" s="1106"/>
      <c r="C258" s="772"/>
      <c r="D258" s="772"/>
      <c r="E258" s="772"/>
      <c r="F258" s="772"/>
      <c r="G258" s="772"/>
      <c r="H258" s="772"/>
      <c r="I258" s="772"/>
      <c r="J258" s="772"/>
      <c r="K258" s="772"/>
      <c r="L258" s="772"/>
      <c r="M258" s="772"/>
      <c r="N258" s="772"/>
      <c r="O258" s="772"/>
      <c r="P258" s="772"/>
      <c r="Q258" s="772"/>
      <c r="R258" s="772"/>
      <c r="S258" s="772"/>
      <c r="T258" s="772"/>
      <c r="U258" s="772"/>
      <c r="V258" s="772"/>
      <c r="W258" s="772"/>
      <c r="X258" s="772"/>
      <c r="Y258" s="772"/>
      <c r="Z258" s="772"/>
      <c r="AA258" s="772"/>
      <c r="AB258" s="772"/>
      <c r="AC258" s="772"/>
      <c r="AD258" s="772"/>
      <c r="AE258" s="772"/>
      <c r="AF258" s="772"/>
      <c r="AG258" s="890"/>
      <c r="AH258" s="189"/>
      <c r="AI258" s="190"/>
    </row>
    <row r="259" spans="1:35" ht="21" customHeight="1" x14ac:dyDescent="0.2">
      <c r="A259" s="251"/>
      <c r="B259" s="1107" t="s">
        <v>311</v>
      </c>
      <c r="C259" s="1108"/>
      <c r="D259" s="1108"/>
      <c r="E259" s="1108"/>
      <c r="F259" s="1108"/>
      <c r="G259" s="1108"/>
      <c r="H259" s="1108"/>
      <c r="I259" s="1108"/>
      <c r="J259" s="1108"/>
      <c r="K259" s="1108"/>
      <c r="L259" s="1108"/>
      <c r="M259" s="1108"/>
      <c r="N259" s="1108"/>
      <c r="O259" s="1108"/>
      <c r="P259" s="1108"/>
      <c r="Q259" s="1108"/>
      <c r="R259" s="1108"/>
      <c r="S259" s="1108"/>
      <c r="T259" s="1108"/>
      <c r="U259" s="1108"/>
      <c r="V259" s="1108"/>
      <c r="W259" s="1108"/>
      <c r="X259" s="1108"/>
      <c r="Y259" s="1108"/>
      <c r="Z259" s="1108"/>
      <c r="AA259" s="1108"/>
      <c r="AB259" s="1108"/>
      <c r="AC259" s="1108"/>
      <c r="AD259" s="1108"/>
      <c r="AE259" s="1108"/>
      <c r="AF259" s="1108"/>
      <c r="AG259" s="1109"/>
      <c r="AH259" s="187"/>
      <c r="AI259" s="188"/>
    </row>
    <row r="260" spans="1:35" ht="21" customHeight="1" x14ac:dyDescent="0.2">
      <c r="A260" s="1100">
        <v>3702</v>
      </c>
      <c r="B260" s="1056" t="s">
        <v>312</v>
      </c>
      <c r="C260" s="885"/>
      <c r="D260" s="885"/>
      <c r="E260" s="885"/>
      <c r="F260" s="852" t="s">
        <v>288</v>
      </c>
      <c r="G260" s="852" t="s">
        <v>288</v>
      </c>
      <c r="H260" s="885" t="s">
        <v>313</v>
      </c>
      <c r="I260" s="885" t="s">
        <v>313</v>
      </c>
      <c r="J260" s="885"/>
      <c r="K260" s="885"/>
      <c r="L260" s="885"/>
      <c r="M260" s="885" t="s">
        <v>313</v>
      </c>
      <c r="N260" s="885" t="s">
        <v>313</v>
      </c>
      <c r="O260" s="885" t="s">
        <v>313</v>
      </c>
      <c r="P260" s="885" t="s">
        <v>313</v>
      </c>
      <c r="Q260" s="885" t="s">
        <v>313</v>
      </c>
      <c r="R260" s="885"/>
      <c r="S260" s="885"/>
      <c r="T260" s="885" t="s">
        <v>313</v>
      </c>
      <c r="U260" s="885" t="s">
        <v>313</v>
      </c>
      <c r="V260" s="885" t="s">
        <v>313</v>
      </c>
      <c r="W260" s="885"/>
      <c r="X260" s="885" t="s">
        <v>313</v>
      </c>
      <c r="Y260" s="885"/>
      <c r="Z260" s="885"/>
      <c r="AA260" s="849" t="s">
        <v>47</v>
      </c>
      <c r="AB260" s="1110" t="s">
        <v>313</v>
      </c>
      <c r="AC260" s="885" t="s">
        <v>313</v>
      </c>
      <c r="AD260" s="849" t="s">
        <v>47</v>
      </c>
      <c r="AE260" s="885" t="s">
        <v>313</v>
      </c>
      <c r="AF260" s="885"/>
      <c r="AG260" s="1111"/>
      <c r="AH260" s="189"/>
      <c r="AI260" s="190"/>
    </row>
    <row r="261" spans="1:35" ht="21" customHeight="1" x14ac:dyDescent="0.2">
      <c r="A261" s="1100"/>
      <c r="B261" s="1052" t="s">
        <v>314</v>
      </c>
      <c r="C261" s="885"/>
      <c r="D261" s="885"/>
      <c r="E261" s="885"/>
      <c r="F261" s="885" t="s">
        <v>315</v>
      </c>
      <c r="G261" s="885"/>
      <c r="H261" s="885" t="s">
        <v>315</v>
      </c>
      <c r="I261" s="885" t="s">
        <v>315</v>
      </c>
      <c r="J261" s="885"/>
      <c r="K261" s="885"/>
      <c r="L261" s="885"/>
      <c r="M261" s="885" t="s">
        <v>315</v>
      </c>
      <c r="N261" s="885" t="s">
        <v>315</v>
      </c>
      <c r="O261" s="885" t="s">
        <v>315</v>
      </c>
      <c r="P261" s="885" t="s">
        <v>315</v>
      </c>
      <c r="Q261" s="885" t="s">
        <v>315</v>
      </c>
      <c r="R261" s="885"/>
      <c r="S261" s="885"/>
      <c r="T261" s="885" t="s">
        <v>315</v>
      </c>
      <c r="U261" s="885" t="s">
        <v>315</v>
      </c>
      <c r="V261" s="885" t="s">
        <v>315</v>
      </c>
      <c r="W261" s="885"/>
      <c r="X261" s="885" t="s">
        <v>315</v>
      </c>
      <c r="Y261" s="885"/>
      <c r="Z261" s="885"/>
      <c r="AA261" s="885" t="s">
        <v>315</v>
      </c>
      <c r="AB261" s="885" t="s">
        <v>315</v>
      </c>
      <c r="AC261" s="885" t="s">
        <v>315</v>
      </c>
      <c r="AD261" s="885" t="s">
        <v>315</v>
      </c>
      <c r="AE261" s="885" t="s">
        <v>315</v>
      </c>
      <c r="AF261" s="885"/>
      <c r="AG261" s="1111"/>
      <c r="AH261" s="189"/>
      <c r="AI261" s="190"/>
    </row>
    <row r="262" spans="1:35" ht="21" customHeight="1" thickBot="1" x14ac:dyDescent="0.25">
      <c r="A262" s="1112"/>
      <c r="B262" s="1060" t="s">
        <v>316</v>
      </c>
      <c r="C262" s="876"/>
      <c r="D262" s="876"/>
      <c r="E262" s="876"/>
      <c r="F262" s="876" t="s">
        <v>317</v>
      </c>
      <c r="G262" s="876"/>
      <c r="H262" s="876" t="s">
        <v>317</v>
      </c>
      <c r="I262" s="876" t="s">
        <v>317</v>
      </c>
      <c r="J262" s="876"/>
      <c r="K262" s="876"/>
      <c r="L262" s="876"/>
      <c r="M262" s="876" t="s">
        <v>317</v>
      </c>
      <c r="N262" s="876" t="s">
        <v>317</v>
      </c>
      <c r="O262" s="876" t="s">
        <v>317</v>
      </c>
      <c r="P262" s="876" t="s">
        <v>317</v>
      </c>
      <c r="Q262" s="876" t="s">
        <v>317</v>
      </c>
      <c r="R262" s="876"/>
      <c r="S262" s="876"/>
      <c r="T262" s="876" t="s">
        <v>317</v>
      </c>
      <c r="U262" s="876" t="s">
        <v>317</v>
      </c>
      <c r="V262" s="876" t="s">
        <v>317</v>
      </c>
      <c r="W262" s="876"/>
      <c r="X262" s="1113" t="s">
        <v>317</v>
      </c>
      <c r="Y262" s="876"/>
      <c r="Z262" s="876"/>
      <c r="AA262" s="876" t="s">
        <v>317</v>
      </c>
      <c r="AB262" s="1113" t="s">
        <v>317</v>
      </c>
      <c r="AC262" s="876" t="s">
        <v>317</v>
      </c>
      <c r="AD262" s="876" t="s">
        <v>317</v>
      </c>
      <c r="AE262" s="849" t="s">
        <v>47</v>
      </c>
      <c r="AF262" s="876"/>
      <c r="AG262" s="1114"/>
      <c r="AH262" s="189"/>
      <c r="AI262" s="190"/>
    </row>
    <row r="263" spans="1:35" ht="21" customHeight="1" x14ac:dyDescent="0.2"/>
    <row r="264" spans="1:35" ht="21" customHeight="1" x14ac:dyDescent="0.2"/>
    <row r="265" spans="1:35" ht="21" customHeight="1" thickBot="1" x14ac:dyDescent="0.25">
      <c r="A265" s="162" t="s">
        <v>318</v>
      </c>
    </row>
    <row r="266" spans="1:35" ht="21" customHeight="1" x14ac:dyDescent="0.2">
      <c r="B266" s="530" t="s">
        <v>267</v>
      </c>
      <c r="C266" s="500"/>
      <c r="D266" s="516" t="s">
        <v>90</v>
      </c>
      <c r="E266" s="473"/>
      <c r="F266" s="504"/>
      <c r="G266" s="500"/>
      <c r="H266" s="516" t="s">
        <v>91</v>
      </c>
      <c r="I266" s="473"/>
      <c r="J266" s="504"/>
      <c r="K266" s="500"/>
      <c r="L266" s="516" t="s">
        <v>92</v>
      </c>
      <c r="M266" s="473"/>
      <c r="N266" s="504"/>
      <c r="O266" s="500"/>
      <c r="P266" s="516" t="s">
        <v>93</v>
      </c>
      <c r="Q266" s="473"/>
      <c r="R266" s="504"/>
      <c r="S266" s="500"/>
      <c r="T266" s="516" t="s">
        <v>94</v>
      </c>
      <c r="U266" s="473"/>
      <c r="V266" s="504"/>
      <c r="W266" s="500"/>
      <c r="X266" s="516" t="s">
        <v>95</v>
      </c>
      <c r="Y266" s="473"/>
      <c r="Z266" s="504"/>
      <c r="AA266" s="500"/>
      <c r="AB266" s="516" t="s">
        <v>96</v>
      </c>
      <c r="AC266" s="473"/>
      <c r="AD266" s="473"/>
      <c r="AE266" s="519" t="s">
        <v>97</v>
      </c>
      <c r="AF266" s="473"/>
      <c r="AG266" s="473"/>
      <c r="AH266" s="473"/>
      <c r="AI266" s="474"/>
    </row>
    <row r="267" spans="1:35" ht="21" customHeight="1" x14ac:dyDescent="0.2">
      <c r="B267" s="3">
        <v>8500</v>
      </c>
      <c r="C267" s="906" t="s">
        <v>319</v>
      </c>
      <c r="D267" s="117"/>
      <c r="E267" s="14"/>
      <c r="F267" s="116"/>
      <c r="G267" s="906" t="s">
        <v>319</v>
      </c>
      <c r="H267" s="117"/>
      <c r="I267" s="14"/>
      <c r="J267" s="116"/>
      <c r="K267" s="906" t="s">
        <v>319</v>
      </c>
      <c r="L267" s="117"/>
      <c r="M267" s="14"/>
      <c r="N267" s="116"/>
      <c r="O267" s="906" t="s">
        <v>319</v>
      </c>
      <c r="P267" s="117"/>
      <c r="Q267" s="14"/>
      <c r="R267" s="116"/>
      <c r="S267" s="906" t="s">
        <v>320</v>
      </c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 thickBot="1" x14ac:dyDescent="0.25">
      <c r="A268" s="110"/>
      <c r="B268" s="1115"/>
      <c r="C268" s="1116"/>
      <c r="D268" s="1117"/>
      <c r="E268" s="1091"/>
      <c r="F268" s="1092"/>
      <c r="G268" s="1116"/>
      <c r="H268" s="1093"/>
      <c r="I268" s="1091"/>
      <c r="J268" s="1092"/>
      <c r="K268" s="1116"/>
      <c r="L268" s="1093"/>
      <c r="M268" s="1091"/>
      <c r="N268" s="1092"/>
      <c r="O268" s="1116"/>
      <c r="P268" s="1093"/>
      <c r="Q268" s="1091"/>
      <c r="R268" s="1092"/>
      <c r="S268" s="1116"/>
      <c r="T268" s="1093"/>
      <c r="U268" s="1091"/>
      <c r="V268" s="1092"/>
      <c r="W268" s="1094"/>
      <c r="X268" s="1093"/>
      <c r="Y268" s="1091"/>
      <c r="Z268" s="1092"/>
      <c r="AA268" s="1094"/>
      <c r="AB268" s="1093"/>
      <c r="AC268" s="1091"/>
      <c r="AD268" s="1091"/>
      <c r="AE268" s="1098"/>
      <c r="AF268" s="1091"/>
      <c r="AG268" s="1091"/>
      <c r="AH268" s="1091"/>
      <c r="AI268" s="1099"/>
    </row>
    <row r="269" spans="1:35" ht="21" customHeight="1" x14ac:dyDescent="0.2">
      <c r="A269" s="16" t="s">
        <v>321</v>
      </c>
    </row>
    <row r="270" spans="1:35" ht="21" customHeight="1" thickBot="1" x14ac:dyDescent="0.25">
      <c r="A270" s="1118"/>
      <c r="B270" s="1119" t="s">
        <v>29</v>
      </c>
      <c r="C270" s="816">
        <v>1</v>
      </c>
      <c r="D270" s="816">
        <v>2</v>
      </c>
      <c r="E270" s="816">
        <v>3</v>
      </c>
      <c r="F270" s="772">
        <v>4</v>
      </c>
      <c r="G270" s="772">
        <v>5</v>
      </c>
      <c r="H270" s="772">
        <v>6</v>
      </c>
      <c r="I270" s="772">
        <v>7</v>
      </c>
      <c r="J270" s="816">
        <v>8</v>
      </c>
      <c r="K270" s="816">
        <v>9</v>
      </c>
      <c r="L270" s="816">
        <v>10</v>
      </c>
      <c r="M270" s="772">
        <v>11</v>
      </c>
      <c r="N270" s="772">
        <v>12</v>
      </c>
      <c r="O270" s="772">
        <v>13</v>
      </c>
      <c r="P270" s="772">
        <v>14</v>
      </c>
      <c r="Q270" s="772">
        <v>15</v>
      </c>
      <c r="R270" s="816">
        <v>16</v>
      </c>
      <c r="S270" s="816">
        <v>17</v>
      </c>
      <c r="T270" s="772">
        <v>18</v>
      </c>
      <c r="U270" s="772">
        <v>19</v>
      </c>
      <c r="V270" s="772">
        <v>20</v>
      </c>
      <c r="W270" s="816">
        <v>21</v>
      </c>
      <c r="X270" s="772">
        <v>22</v>
      </c>
      <c r="Y270" s="816">
        <v>23</v>
      </c>
      <c r="Z270" s="816">
        <v>24</v>
      </c>
      <c r="AA270" s="772">
        <v>25</v>
      </c>
      <c r="AB270" s="772">
        <v>26</v>
      </c>
      <c r="AC270" s="772">
        <v>27</v>
      </c>
      <c r="AD270" s="772">
        <v>28</v>
      </c>
      <c r="AE270" s="772">
        <v>29</v>
      </c>
      <c r="AF270" s="816">
        <v>30</v>
      </c>
      <c r="AG270" s="818">
        <v>31</v>
      </c>
      <c r="AH270" s="184"/>
      <c r="AI270" s="185"/>
    </row>
    <row r="271" spans="1:35" ht="21" customHeight="1" x14ac:dyDescent="0.2">
      <c r="A271" s="8">
        <v>8500</v>
      </c>
      <c r="B271" s="157" t="s">
        <v>322</v>
      </c>
      <c r="C271" s="845"/>
      <c r="D271" s="845"/>
      <c r="E271" s="845"/>
      <c r="F271" s="852" t="s">
        <v>31</v>
      </c>
      <c r="G271" s="852" t="s">
        <v>31</v>
      </c>
      <c r="H271" s="845" t="s">
        <v>31</v>
      </c>
      <c r="I271" s="845" t="s">
        <v>31</v>
      </c>
      <c r="J271" s="845"/>
      <c r="K271" s="845"/>
      <c r="L271" s="845"/>
      <c r="M271" s="845" t="s">
        <v>31</v>
      </c>
      <c r="N271" s="842" t="s">
        <v>31</v>
      </c>
      <c r="O271" s="845" t="s">
        <v>31</v>
      </c>
      <c r="P271" s="845" t="s">
        <v>31</v>
      </c>
      <c r="Q271" s="845" t="s">
        <v>31</v>
      </c>
      <c r="R271" s="845"/>
      <c r="S271" s="845"/>
      <c r="T271" s="845" t="s">
        <v>31</v>
      </c>
      <c r="U271" s="845" t="s">
        <v>31</v>
      </c>
      <c r="V271" s="845" t="s">
        <v>31</v>
      </c>
      <c r="W271" s="845"/>
      <c r="X271" s="845" t="s">
        <v>31</v>
      </c>
      <c r="Y271" s="843"/>
      <c r="Z271" s="843"/>
      <c r="AA271" s="843" t="s">
        <v>31</v>
      </c>
      <c r="AB271" s="845" t="s">
        <v>31</v>
      </c>
      <c r="AC271" s="845" t="s">
        <v>31</v>
      </c>
      <c r="AD271" s="845" t="s">
        <v>31</v>
      </c>
      <c r="AE271" s="845" t="s">
        <v>31</v>
      </c>
      <c r="AF271" s="845"/>
      <c r="AG271" s="845"/>
      <c r="AH271" s="196"/>
      <c r="AI271" s="197"/>
    </row>
    <row r="272" spans="1:35" ht="21" customHeight="1" x14ac:dyDescent="0.2">
      <c r="A272" s="822"/>
      <c r="B272" s="1120" t="s">
        <v>323</v>
      </c>
      <c r="C272" s="845"/>
      <c r="D272" s="845"/>
      <c r="E272" s="845"/>
      <c r="F272" s="852" t="s">
        <v>31</v>
      </c>
      <c r="G272" s="852" t="s">
        <v>31</v>
      </c>
      <c r="H272" s="845" t="s">
        <v>31</v>
      </c>
      <c r="I272" s="845" t="s">
        <v>31</v>
      </c>
      <c r="J272" s="845"/>
      <c r="K272" s="845"/>
      <c r="L272" s="845"/>
      <c r="M272" s="845" t="s">
        <v>31</v>
      </c>
      <c r="N272" s="842" t="s">
        <v>31</v>
      </c>
      <c r="O272" s="845" t="s">
        <v>31</v>
      </c>
      <c r="P272" s="845" t="s">
        <v>31</v>
      </c>
      <c r="Q272" s="845" t="s">
        <v>31</v>
      </c>
      <c r="R272" s="845"/>
      <c r="S272" s="845"/>
      <c r="T272" s="845" t="s">
        <v>31</v>
      </c>
      <c r="U272" s="845" t="s">
        <v>31</v>
      </c>
      <c r="V272" s="845" t="s">
        <v>31</v>
      </c>
      <c r="W272" s="845"/>
      <c r="X272" s="845" t="s">
        <v>31</v>
      </c>
      <c r="Y272" s="843"/>
      <c r="Z272" s="843"/>
      <c r="AA272" s="843" t="s">
        <v>31</v>
      </c>
      <c r="AB272" s="845" t="s">
        <v>31</v>
      </c>
      <c r="AC272" s="845" t="s">
        <v>31</v>
      </c>
      <c r="AD272" s="845" t="s">
        <v>31</v>
      </c>
      <c r="AE272" s="845" t="s">
        <v>31</v>
      </c>
      <c r="AF272" s="845"/>
      <c r="AG272" s="845"/>
      <c r="AH272" s="196"/>
      <c r="AI272" s="197"/>
    </row>
    <row r="273" spans="1:35" ht="22.15" customHeight="1" x14ac:dyDescent="0.2">
      <c r="A273" s="1121"/>
      <c r="B273" s="1120" t="s">
        <v>324</v>
      </c>
      <c r="C273" s="845"/>
      <c r="D273" s="845"/>
      <c r="E273" s="845"/>
      <c r="F273" s="1122" t="s">
        <v>31</v>
      </c>
      <c r="G273" s="1122" t="s">
        <v>31</v>
      </c>
      <c r="H273" s="845" t="s">
        <v>31</v>
      </c>
      <c r="I273" s="845" t="s">
        <v>31</v>
      </c>
      <c r="J273" s="845"/>
      <c r="K273" s="845"/>
      <c r="L273" s="845"/>
      <c r="M273" s="845" t="s">
        <v>31</v>
      </c>
      <c r="N273" s="842" t="s">
        <v>31</v>
      </c>
      <c r="O273" s="845" t="s">
        <v>31</v>
      </c>
      <c r="P273" s="845" t="s">
        <v>31</v>
      </c>
      <c r="Q273" s="845" t="s">
        <v>31</v>
      </c>
      <c r="R273" s="845"/>
      <c r="S273" s="845"/>
      <c r="T273" s="845" t="s">
        <v>31</v>
      </c>
      <c r="U273" s="845" t="s">
        <v>31</v>
      </c>
      <c r="V273" s="845" t="s">
        <v>31</v>
      </c>
      <c r="W273" s="845"/>
      <c r="X273" s="845" t="s">
        <v>31</v>
      </c>
      <c r="Y273" s="843"/>
      <c r="Z273" s="843"/>
      <c r="AA273" s="843" t="s">
        <v>31</v>
      </c>
      <c r="AB273" s="845" t="s">
        <v>31</v>
      </c>
      <c r="AC273" s="845" t="s">
        <v>31</v>
      </c>
      <c r="AD273" s="845" t="s">
        <v>31</v>
      </c>
      <c r="AE273" s="845" t="s">
        <v>31</v>
      </c>
      <c r="AF273" s="845"/>
      <c r="AG273" s="845"/>
      <c r="AH273" s="196"/>
      <c r="AI273" s="197"/>
    </row>
    <row r="274" spans="1:35" ht="22.15" customHeight="1" x14ac:dyDescent="0.2">
      <c r="A274" s="102"/>
      <c r="B274" s="1123"/>
      <c r="C274" s="845"/>
      <c r="D274" s="845"/>
      <c r="E274" s="845"/>
      <c r="F274" s="845"/>
      <c r="G274" s="845"/>
      <c r="H274" s="845"/>
      <c r="I274" s="845"/>
      <c r="J274" s="845"/>
      <c r="K274" s="845"/>
      <c r="L274" s="845"/>
      <c r="M274" s="845"/>
      <c r="N274" s="845"/>
      <c r="O274" s="845"/>
      <c r="P274" s="845"/>
      <c r="Q274" s="845"/>
      <c r="R274" s="845"/>
      <c r="S274" s="845"/>
      <c r="T274" s="845"/>
      <c r="U274" s="845"/>
      <c r="V274" s="845"/>
      <c r="W274" s="845"/>
      <c r="X274" s="845"/>
      <c r="Y274" s="845"/>
      <c r="Z274" s="845"/>
      <c r="AA274" s="845"/>
      <c r="AB274" s="845"/>
      <c r="AC274" s="845"/>
      <c r="AD274" s="845"/>
      <c r="AE274" s="845"/>
      <c r="AF274" s="845"/>
      <c r="AG274" s="852"/>
      <c r="AH274" s="196"/>
      <c r="AI274" s="197"/>
    </row>
    <row r="275" spans="1:35" ht="21" customHeight="1" x14ac:dyDescent="0.2">
      <c r="A275" s="1036"/>
      <c r="B275" s="1123"/>
      <c r="C275" s="885"/>
      <c r="D275" s="885"/>
      <c r="E275" s="885"/>
      <c r="F275" s="885"/>
      <c r="G275" s="885"/>
      <c r="H275" s="885"/>
      <c r="I275" s="885"/>
      <c r="J275" s="885"/>
      <c r="K275" s="885"/>
      <c r="L275" s="885"/>
      <c r="M275" s="885"/>
      <c r="N275" s="827"/>
      <c r="O275" s="827"/>
      <c r="P275" s="885"/>
      <c r="Q275" s="885"/>
      <c r="R275" s="885"/>
      <c r="S275" s="885"/>
      <c r="T275" s="885"/>
      <c r="U275" s="885"/>
      <c r="V275" s="885"/>
      <c r="W275" s="885"/>
      <c r="X275" s="885"/>
      <c r="Y275" s="885"/>
      <c r="Z275" s="885"/>
      <c r="AA275" s="885"/>
      <c r="AB275" s="827"/>
      <c r="AC275" s="827"/>
      <c r="AD275" s="885"/>
      <c r="AE275" s="885"/>
      <c r="AF275" s="885"/>
      <c r="AG275" s="885"/>
      <c r="AH275" s="198"/>
      <c r="AI275" s="199"/>
    </row>
    <row r="276" spans="1:35" ht="22.15" customHeight="1" x14ac:dyDescent="0.2">
      <c r="A276" s="1124"/>
      <c r="B276" s="1125"/>
      <c r="C276" s="885"/>
      <c r="D276" s="885"/>
      <c r="E276" s="885"/>
      <c r="F276" s="885"/>
      <c r="G276" s="885"/>
      <c r="H276" s="885"/>
      <c r="I276" s="885"/>
      <c r="J276" s="885"/>
      <c r="K276" s="885"/>
      <c r="L276" s="885"/>
      <c r="M276" s="885"/>
      <c r="N276" s="827"/>
      <c r="O276" s="827"/>
      <c r="P276" s="885"/>
      <c r="Q276" s="885"/>
      <c r="R276" s="885"/>
      <c r="S276" s="885"/>
      <c r="T276" s="885"/>
      <c r="U276" s="885"/>
      <c r="V276" s="885"/>
      <c r="W276" s="885"/>
      <c r="X276" s="885"/>
      <c r="Y276" s="885"/>
      <c r="Z276" s="885"/>
      <c r="AA276" s="885"/>
      <c r="AB276" s="827"/>
      <c r="AC276" s="827"/>
      <c r="AD276" s="885"/>
      <c r="AE276" s="885"/>
      <c r="AF276" s="885"/>
      <c r="AG276" s="885"/>
      <c r="AH276" s="198"/>
      <c r="AI276" s="199"/>
    </row>
    <row r="277" spans="1:35" ht="22.15" customHeight="1" thickBot="1" x14ac:dyDescent="0.25">
      <c r="A277" s="854"/>
      <c r="B277" s="685"/>
      <c r="C277" s="1126"/>
      <c r="D277" s="1127"/>
      <c r="E277" s="1127"/>
      <c r="F277" s="1127"/>
      <c r="G277" s="1127"/>
      <c r="H277" s="1127"/>
      <c r="I277" s="1127"/>
      <c r="J277" s="1127"/>
      <c r="K277" s="1127"/>
      <c r="L277" s="1127"/>
      <c r="M277" s="1127"/>
      <c r="N277" s="1128"/>
      <c r="O277" s="1128"/>
      <c r="P277" s="1127"/>
      <c r="Q277" s="1127"/>
      <c r="R277" s="1127"/>
      <c r="S277" s="1127"/>
      <c r="T277" s="1127"/>
      <c r="U277" s="1127"/>
      <c r="V277" s="1127"/>
      <c r="W277" s="1127"/>
      <c r="X277" s="1127"/>
      <c r="Y277" s="1127"/>
      <c r="Z277" s="1127"/>
      <c r="AA277" s="1127"/>
      <c r="AB277" s="1128"/>
      <c r="AC277" s="1128"/>
      <c r="AD277" s="1127"/>
      <c r="AE277" s="1127"/>
      <c r="AF277" s="1127"/>
      <c r="AG277" s="1129"/>
      <c r="AH277" s="198"/>
      <c r="AI277" s="199"/>
    </row>
    <row r="278" spans="1:35" ht="22.15" customHeight="1" x14ac:dyDescent="0.2">
      <c r="A278" s="262"/>
      <c r="B278" s="263"/>
      <c r="C278" s="255"/>
      <c r="D278" s="255"/>
      <c r="E278" s="255"/>
      <c r="F278" s="255"/>
      <c r="G278" s="255"/>
      <c r="H278" s="255"/>
      <c r="I278" s="255"/>
      <c r="J278" s="255"/>
      <c r="K278" s="255"/>
      <c r="L278" s="255"/>
      <c r="M278" s="255"/>
      <c r="N278" s="229"/>
      <c r="O278" s="229"/>
      <c r="P278" s="255"/>
      <c r="Q278" s="255"/>
      <c r="R278" s="255"/>
      <c r="S278" s="255"/>
      <c r="T278" s="255"/>
      <c r="U278" s="255"/>
      <c r="V278" s="255"/>
      <c r="W278" s="255"/>
      <c r="X278" s="255"/>
      <c r="Y278" s="255"/>
      <c r="Z278" s="255"/>
      <c r="AA278" s="255"/>
      <c r="AB278" s="229"/>
      <c r="AC278" s="229"/>
      <c r="AD278" s="255"/>
      <c r="AE278" s="255"/>
      <c r="AF278" s="255"/>
      <c r="AG278" s="255"/>
      <c r="AH278" s="264"/>
      <c r="AI278" s="199"/>
    </row>
    <row r="279" spans="1:35" ht="24" customHeight="1" x14ac:dyDescent="0.2"/>
    <row r="280" spans="1:35" ht="25.5" customHeight="1" thickBot="1" x14ac:dyDescent="0.25">
      <c r="A280" s="162" t="s">
        <v>325</v>
      </c>
    </row>
    <row r="281" spans="1:35" ht="21" customHeight="1" x14ac:dyDescent="0.2">
      <c r="A281" s="1"/>
      <c r="B281" s="530" t="s">
        <v>267</v>
      </c>
      <c r="C281" s="500"/>
      <c r="D281" s="516" t="s">
        <v>90</v>
      </c>
      <c r="E281" s="473"/>
      <c r="F281" s="504"/>
      <c r="G281" s="500"/>
      <c r="H281" s="516" t="s">
        <v>91</v>
      </c>
      <c r="I281" s="473"/>
      <c r="J281" s="504"/>
      <c r="K281" s="500"/>
      <c r="L281" s="516" t="s">
        <v>92</v>
      </c>
      <c r="M281" s="473"/>
      <c r="N281" s="504"/>
      <c r="O281" s="500"/>
      <c r="P281" s="516" t="s">
        <v>93</v>
      </c>
      <c r="Q281" s="473"/>
      <c r="R281" s="504"/>
      <c r="S281" s="500"/>
      <c r="T281" s="516" t="s">
        <v>94</v>
      </c>
      <c r="U281" s="473"/>
      <c r="V281" s="504"/>
      <c r="W281" s="500"/>
      <c r="X281" s="516" t="s">
        <v>95</v>
      </c>
      <c r="Y281" s="473"/>
      <c r="Z281" s="504"/>
      <c r="AA281" s="500"/>
      <c r="AB281" s="516" t="s">
        <v>96</v>
      </c>
      <c r="AC281" s="473"/>
      <c r="AD281" s="473"/>
      <c r="AE281" s="519" t="s">
        <v>97</v>
      </c>
      <c r="AF281" s="473"/>
      <c r="AG281" s="473"/>
      <c r="AH281" s="473"/>
      <c r="AI281" s="474"/>
    </row>
    <row r="282" spans="1:35" ht="21" customHeight="1" x14ac:dyDescent="0.2">
      <c r="A282" s="1"/>
      <c r="B282" s="3"/>
      <c r="C282" s="8"/>
      <c r="D282" s="117"/>
      <c r="E282" s="14"/>
      <c r="F282" s="116"/>
      <c r="G282" s="8"/>
      <c r="H282" s="117"/>
      <c r="I282" s="14"/>
      <c r="J282" s="116"/>
      <c r="K282" s="8"/>
      <c r="L282" s="117"/>
      <c r="M282" s="14"/>
      <c r="N282" s="116"/>
      <c r="O282" s="8"/>
      <c r="P282" s="117"/>
      <c r="Q282" s="14"/>
      <c r="R282" s="116"/>
      <c r="S282" s="8"/>
      <c r="T282" s="117"/>
      <c r="U282" s="14"/>
      <c r="V282" s="116"/>
      <c r="W282" s="8"/>
      <c r="X282" s="117"/>
      <c r="Y282" s="14"/>
      <c r="Z282" s="116"/>
      <c r="AA282" s="8"/>
      <c r="AB282" s="117"/>
      <c r="AC282" s="14"/>
      <c r="AD282" s="14"/>
      <c r="AE282" s="118"/>
      <c r="AF282" s="14"/>
      <c r="AG282" s="14"/>
      <c r="AH282" s="14"/>
      <c r="AI282" s="119"/>
    </row>
    <row r="283" spans="1:35" ht="21" customHeight="1" x14ac:dyDescent="0.2">
      <c r="A283" s="110"/>
      <c r="B283" s="1088"/>
      <c r="C283" s="906"/>
      <c r="D283" s="761"/>
      <c r="E283" s="761"/>
      <c r="F283" s="996"/>
      <c r="G283" s="906"/>
      <c r="H283" s="761"/>
      <c r="I283" s="761"/>
      <c r="J283" s="996"/>
      <c r="K283" s="906"/>
      <c r="L283" s="761"/>
      <c r="M283" s="761"/>
      <c r="N283" s="996"/>
      <c r="O283" s="906"/>
      <c r="P283" s="761"/>
      <c r="Q283" s="761"/>
      <c r="R283" s="996"/>
      <c r="S283" s="906"/>
      <c r="T283" s="761"/>
      <c r="U283" s="761"/>
      <c r="V283" s="996"/>
      <c r="W283" s="906"/>
      <c r="X283" s="761"/>
      <c r="Y283" s="761"/>
      <c r="Z283" s="996"/>
      <c r="AA283" s="994"/>
      <c r="AB283" s="761"/>
      <c r="AC283" s="761"/>
      <c r="AD283" s="907"/>
      <c r="AE283" s="1130"/>
      <c r="AF283" s="761"/>
      <c r="AG283" s="761"/>
      <c r="AH283" s="907"/>
      <c r="AI283" s="809"/>
    </row>
    <row r="284" spans="1:35" ht="21" customHeight="1" thickBot="1" x14ac:dyDescent="0.25">
      <c r="A284" s="1"/>
      <c r="B284" s="754"/>
      <c r="C284" s="1006"/>
      <c r="D284" s="755"/>
      <c r="E284" s="755"/>
      <c r="F284" s="1025"/>
      <c r="G284" s="1006"/>
      <c r="H284" s="755"/>
      <c r="I284" s="755"/>
      <c r="J284" s="1025"/>
      <c r="K284" s="1006"/>
      <c r="L284" s="755"/>
      <c r="M284" s="755"/>
      <c r="N284" s="1025"/>
      <c r="O284" s="1006"/>
      <c r="P284" s="755"/>
      <c r="Q284" s="755"/>
      <c r="R284" s="1025"/>
      <c r="S284" s="1006"/>
      <c r="T284" s="755"/>
      <c r="U284" s="755"/>
      <c r="V284" s="1025"/>
      <c r="W284" s="756"/>
      <c r="X284" s="755"/>
      <c r="Y284" s="755"/>
      <c r="Z284" s="1025"/>
      <c r="AA284" s="756"/>
      <c r="AB284" s="755"/>
      <c r="AC284" s="755"/>
      <c r="AD284" s="1012"/>
      <c r="AE284" s="756"/>
      <c r="AF284" s="755"/>
      <c r="AG284" s="755"/>
      <c r="AH284" s="1012"/>
      <c r="AI284" s="874"/>
    </row>
    <row r="285" spans="1:35" ht="21" customHeight="1" x14ac:dyDescent="0.2">
      <c r="A285" s="1"/>
      <c r="B285" s="18"/>
      <c r="C285" s="64"/>
      <c r="F285" s="69"/>
      <c r="G285" s="64"/>
      <c r="J285" s="69"/>
      <c r="K285" s="64"/>
      <c r="N285" s="69"/>
      <c r="O285" s="64"/>
      <c r="R285" s="69"/>
      <c r="S285" s="64"/>
      <c r="V285" s="69"/>
      <c r="W285" s="69"/>
      <c r="Z285" s="69"/>
      <c r="AA285" s="69"/>
      <c r="AD285" s="69"/>
      <c r="AE285" s="69"/>
      <c r="AH285" s="69"/>
    </row>
    <row r="286" spans="1:35" ht="33" customHeight="1" x14ac:dyDescent="0.2">
      <c r="A286" s="162" t="s">
        <v>326</v>
      </c>
      <c r="B286" s="18"/>
      <c r="C286" s="64"/>
      <c r="F286" s="69"/>
      <c r="G286" s="64"/>
      <c r="J286" s="69"/>
      <c r="K286" s="64"/>
      <c r="N286" s="69"/>
      <c r="O286" s="64"/>
      <c r="R286" s="69"/>
      <c r="S286" s="64"/>
      <c r="V286" s="69"/>
      <c r="W286" s="69"/>
      <c r="Z286" s="69"/>
      <c r="AA286" s="69"/>
      <c r="AD286" s="69"/>
      <c r="AE286" s="69"/>
      <c r="AH286" s="69"/>
    </row>
    <row r="287" spans="1:35" ht="21" customHeight="1" thickBot="1" x14ac:dyDescent="0.25">
      <c r="A287" s="1131" t="s">
        <v>28</v>
      </c>
      <c r="B287" s="1119" t="s">
        <v>29</v>
      </c>
      <c r="C287" s="816">
        <v>1</v>
      </c>
      <c r="D287" s="816">
        <v>2</v>
      </c>
      <c r="E287" s="816">
        <v>3</v>
      </c>
      <c r="F287" s="772">
        <v>4</v>
      </c>
      <c r="G287" s="772">
        <v>5</v>
      </c>
      <c r="H287" s="772">
        <v>6</v>
      </c>
      <c r="I287" s="772">
        <v>7</v>
      </c>
      <c r="J287" s="816">
        <v>8</v>
      </c>
      <c r="K287" s="816">
        <v>9</v>
      </c>
      <c r="L287" s="816">
        <v>10</v>
      </c>
      <c r="M287" s="772">
        <v>11</v>
      </c>
      <c r="N287" s="772">
        <v>12</v>
      </c>
      <c r="O287" s="772">
        <v>13</v>
      </c>
      <c r="P287" s="772">
        <v>14</v>
      </c>
      <c r="Q287" s="772">
        <v>15</v>
      </c>
      <c r="R287" s="816">
        <v>16</v>
      </c>
      <c r="S287" s="816">
        <v>17</v>
      </c>
      <c r="T287" s="772">
        <v>18</v>
      </c>
      <c r="U287" s="772">
        <v>19</v>
      </c>
      <c r="V287" s="772">
        <v>20</v>
      </c>
      <c r="W287" s="816">
        <v>21</v>
      </c>
      <c r="X287" s="772">
        <v>22</v>
      </c>
      <c r="Y287" s="816">
        <v>23</v>
      </c>
      <c r="Z287" s="816">
        <v>24</v>
      </c>
      <c r="AA287" s="772">
        <v>25</v>
      </c>
      <c r="AB287" s="772">
        <v>26</v>
      </c>
      <c r="AC287" s="772">
        <v>27</v>
      </c>
      <c r="AD287" s="772">
        <v>28</v>
      </c>
      <c r="AE287" s="772">
        <v>29</v>
      </c>
      <c r="AF287" s="816">
        <v>30</v>
      </c>
      <c r="AG287" s="818">
        <v>31</v>
      </c>
      <c r="AH287" s="200"/>
      <c r="AI287" s="185"/>
    </row>
    <row r="288" spans="1:35" ht="21" customHeight="1" x14ac:dyDescent="0.2">
      <c r="A288" s="88"/>
      <c r="B288" s="158" t="s">
        <v>327</v>
      </c>
      <c r="C288" s="845"/>
      <c r="D288" s="845"/>
      <c r="E288" s="845"/>
      <c r="F288" s="852" t="s">
        <v>31</v>
      </c>
      <c r="G288" s="845" t="s">
        <v>31</v>
      </c>
      <c r="H288" s="845" t="s">
        <v>31</v>
      </c>
      <c r="I288" s="845" t="s">
        <v>31</v>
      </c>
      <c r="J288" s="845"/>
      <c r="K288" s="845"/>
      <c r="L288" s="845"/>
      <c r="M288" s="845" t="s">
        <v>31</v>
      </c>
      <c r="N288" s="842" t="s">
        <v>31</v>
      </c>
      <c r="O288" s="845" t="s">
        <v>31</v>
      </c>
      <c r="P288" s="845" t="s">
        <v>31</v>
      </c>
      <c r="Q288" s="845" t="s">
        <v>31</v>
      </c>
      <c r="R288" s="845"/>
      <c r="S288" s="845"/>
      <c r="T288" s="845" t="s">
        <v>31</v>
      </c>
      <c r="U288" s="845" t="s">
        <v>31</v>
      </c>
      <c r="V288" s="845" t="s">
        <v>31</v>
      </c>
      <c r="W288" s="845"/>
      <c r="X288" s="845" t="s">
        <v>31</v>
      </c>
      <c r="Y288" s="843"/>
      <c r="Z288" s="843"/>
      <c r="AA288" s="843" t="s">
        <v>31</v>
      </c>
      <c r="AB288" s="845" t="s">
        <v>31</v>
      </c>
      <c r="AC288" s="845" t="s">
        <v>31</v>
      </c>
      <c r="AD288" s="845" t="s">
        <v>31</v>
      </c>
      <c r="AE288" s="845" t="s">
        <v>31</v>
      </c>
      <c r="AF288" s="845"/>
      <c r="AG288" s="845"/>
      <c r="AH288" s="201"/>
      <c r="AI288" s="197"/>
    </row>
    <row r="289" spans="1:35" ht="21" customHeight="1" x14ac:dyDescent="0.2">
      <c r="A289" s="1132"/>
      <c r="B289" s="1133" t="s">
        <v>328</v>
      </c>
      <c r="C289" s="845"/>
      <c r="D289" s="845"/>
      <c r="E289" s="845"/>
      <c r="F289" s="852" t="s">
        <v>31</v>
      </c>
      <c r="G289" s="845" t="s">
        <v>31</v>
      </c>
      <c r="H289" s="845" t="s">
        <v>31</v>
      </c>
      <c r="I289" s="845" t="s">
        <v>31</v>
      </c>
      <c r="J289" s="845"/>
      <c r="K289" s="845"/>
      <c r="L289" s="845"/>
      <c r="M289" s="845" t="s">
        <v>31</v>
      </c>
      <c r="N289" s="842" t="s">
        <v>31</v>
      </c>
      <c r="O289" s="845" t="s">
        <v>31</v>
      </c>
      <c r="P289" s="845" t="s">
        <v>31</v>
      </c>
      <c r="Q289" s="845" t="s">
        <v>31</v>
      </c>
      <c r="R289" s="845"/>
      <c r="S289" s="845"/>
      <c r="T289" s="845" t="s">
        <v>31</v>
      </c>
      <c r="U289" s="845" t="s">
        <v>31</v>
      </c>
      <c r="V289" s="845" t="s">
        <v>31</v>
      </c>
      <c r="W289" s="845"/>
      <c r="X289" s="845" t="s">
        <v>31</v>
      </c>
      <c r="Y289" s="843"/>
      <c r="Z289" s="843"/>
      <c r="AA289" s="843" t="s">
        <v>31</v>
      </c>
      <c r="AB289" s="845" t="s">
        <v>31</v>
      </c>
      <c r="AC289" s="845" t="s">
        <v>31</v>
      </c>
      <c r="AD289" s="845" t="s">
        <v>31</v>
      </c>
      <c r="AE289" s="845" t="s">
        <v>31</v>
      </c>
      <c r="AF289" s="845"/>
      <c r="AG289" s="845"/>
      <c r="AH289" s="201"/>
      <c r="AI289" s="197"/>
    </row>
    <row r="290" spans="1:35" ht="21" customHeight="1" x14ac:dyDescent="0.2">
      <c r="A290" s="1100"/>
      <c r="B290" s="1133" t="s">
        <v>329</v>
      </c>
      <c r="C290" s="845"/>
      <c r="D290" s="845"/>
      <c r="E290" s="845"/>
      <c r="F290" s="852" t="s">
        <v>31</v>
      </c>
      <c r="G290" s="845" t="s">
        <v>31</v>
      </c>
      <c r="H290" s="845" t="s">
        <v>31</v>
      </c>
      <c r="I290" s="845" t="s">
        <v>31</v>
      </c>
      <c r="J290" s="845"/>
      <c r="K290" s="845"/>
      <c r="L290" s="845"/>
      <c r="M290" s="845" t="s">
        <v>31</v>
      </c>
      <c r="N290" s="842" t="s">
        <v>31</v>
      </c>
      <c r="O290" s="845" t="s">
        <v>31</v>
      </c>
      <c r="P290" s="845" t="s">
        <v>31</v>
      </c>
      <c r="Q290" s="845" t="s">
        <v>31</v>
      </c>
      <c r="R290" s="845"/>
      <c r="S290" s="845"/>
      <c r="T290" s="845" t="s">
        <v>31</v>
      </c>
      <c r="U290" s="845" t="s">
        <v>31</v>
      </c>
      <c r="V290" s="845" t="s">
        <v>31</v>
      </c>
      <c r="W290" s="845"/>
      <c r="X290" s="845" t="s">
        <v>31</v>
      </c>
      <c r="Y290" s="843"/>
      <c r="Z290" s="843"/>
      <c r="AA290" s="843" t="s">
        <v>31</v>
      </c>
      <c r="AB290" s="845" t="s">
        <v>31</v>
      </c>
      <c r="AC290" s="845" t="s">
        <v>31</v>
      </c>
      <c r="AD290" s="845" t="s">
        <v>31</v>
      </c>
      <c r="AE290" s="845" t="s">
        <v>31</v>
      </c>
      <c r="AF290" s="845"/>
      <c r="AG290" s="845"/>
      <c r="AH290" s="201"/>
      <c r="AI290" s="197"/>
    </row>
    <row r="291" spans="1:35" ht="21" customHeight="1" x14ac:dyDescent="0.2">
      <c r="A291" s="1100"/>
      <c r="B291" s="1133" t="s">
        <v>330</v>
      </c>
      <c r="C291" s="845"/>
      <c r="D291" s="845"/>
      <c r="E291" s="845"/>
      <c r="F291" s="852" t="s">
        <v>31</v>
      </c>
      <c r="G291" s="845" t="s">
        <v>31</v>
      </c>
      <c r="H291" s="845" t="s">
        <v>31</v>
      </c>
      <c r="I291" s="845" t="s">
        <v>31</v>
      </c>
      <c r="J291" s="845"/>
      <c r="K291" s="845"/>
      <c r="L291" s="845"/>
      <c r="M291" s="845" t="s">
        <v>31</v>
      </c>
      <c r="N291" s="842" t="s">
        <v>31</v>
      </c>
      <c r="O291" s="845" t="s">
        <v>31</v>
      </c>
      <c r="P291" s="845" t="s">
        <v>31</v>
      </c>
      <c r="Q291" s="845" t="s">
        <v>31</v>
      </c>
      <c r="R291" s="845"/>
      <c r="S291" s="845"/>
      <c r="T291" s="845" t="s">
        <v>31</v>
      </c>
      <c r="U291" s="845" t="s">
        <v>31</v>
      </c>
      <c r="V291" s="845" t="s">
        <v>31</v>
      </c>
      <c r="W291" s="845"/>
      <c r="X291" s="845" t="s">
        <v>31</v>
      </c>
      <c r="Y291" s="843"/>
      <c r="Z291" s="843"/>
      <c r="AA291" s="843" t="s">
        <v>31</v>
      </c>
      <c r="AB291" s="845" t="s">
        <v>31</v>
      </c>
      <c r="AC291" s="845" t="s">
        <v>31</v>
      </c>
      <c r="AD291" s="845" t="s">
        <v>31</v>
      </c>
      <c r="AE291" s="844" t="s">
        <v>31</v>
      </c>
      <c r="AF291" s="845"/>
      <c r="AG291" s="845"/>
      <c r="AH291" s="201"/>
      <c r="AI291" s="197"/>
    </row>
    <row r="292" spans="1:35" ht="21" customHeight="1" x14ac:dyDescent="0.2">
      <c r="A292" s="1100"/>
      <c r="B292" s="1133" t="s">
        <v>331</v>
      </c>
      <c r="C292" s="845"/>
      <c r="D292" s="845"/>
      <c r="E292" s="845"/>
      <c r="F292" s="852" t="s">
        <v>31</v>
      </c>
      <c r="G292" s="845" t="s">
        <v>31</v>
      </c>
      <c r="H292" s="845" t="s">
        <v>31</v>
      </c>
      <c r="I292" s="845" t="s">
        <v>31</v>
      </c>
      <c r="J292" s="845"/>
      <c r="K292" s="845"/>
      <c r="L292" s="845"/>
      <c r="M292" s="845" t="s">
        <v>31</v>
      </c>
      <c r="N292" s="842" t="s">
        <v>31</v>
      </c>
      <c r="O292" s="845" t="s">
        <v>31</v>
      </c>
      <c r="P292" s="845" t="s">
        <v>31</v>
      </c>
      <c r="Q292" s="845" t="s">
        <v>31</v>
      </c>
      <c r="R292" s="845"/>
      <c r="S292" s="845"/>
      <c r="T292" s="845" t="s">
        <v>31</v>
      </c>
      <c r="U292" s="845" t="s">
        <v>31</v>
      </c>
      <c r="V292" s="845" t="s">
        <v>31</v>
      </c>
      <c r="W292" s="845"/>
      <c r="X292" s="845" t="s">
        <v>31</v>
      </c>
      <c r="Y292" s="843"/>
      <c r="Z292" s="843"/>
      <c r="AA292" s="843" t="s">
        <v>31</v>
      </c>
      <c r="AB292" s="845" t="s">
        <v>31</v>
      </c>
      <c r="AC292" s="919" t="s">
        <v>31</v>
      </c>
      <c r="AD292" s="845" t="s">
        <v>31</v>
      </c>
      <c r="AE292" s="751" t="s">
        <v>31</v>
      </c>
      <c r="AF292" s="845"/>
      <c r="AG292" s="885"/>
      <c r="AH292" s="201"/>
      <c r="AI292" s="197"/>
    </row>
    <row r="293" spans="1:35" ht="21" customHeight="1" x14ac:dyDescent="0.2">
      <c r="A293" s="1100"/>
      <c r="B293" s="1133" t="s">
        <v>332</v>
      </c>
      <c r="C293" s="845"/>
      <c r="D293" s="845"/>
      <c r="E293" s="845"/>
      <c r="F293" s="852" t="s">
        <v>31</v>
      </c>
      <c r="G293" s="845" t="s">
        <v>31</v>
      </c>
      <c r="H293" s="845" t="s">
        <v>31</v>
      </c>
      <c r="I293" s="845" t="s">
        <v>31</v>
      </c>
      <c r="J293" s="845"/>
      <c r="K293" s="845"/>
      <c r="L293" s="845"/>
      <c r="M293" s="845" t="s">
        <v>31</v>
      </c>
      <c r="N293" s="842" t="s">
        <v>31</v>
      </c>
      <c r="O293" s="845" t="s">
        <v>31</v>
      </c>
      <c r="P293" s="845" t="s">
        <v>31</v>
      </c>
      <c r="Q293" s="845" t="s">
        <v>31</v>
      </c>
      <c r="R293" s="845"/>
      <c r="S293" s="845"/>
      <c r="T293" s="845" t="s">
        <v>31</v>
      </c>
      <c r="U293" s="845" t="s">
        <v>31</v>
      </c>
      <c r="V293" s="845" t="s">
        <v>31</v>
      </c>
      <c r="W293" s="845"/>
      <c r="X293" s="845" t="s">
        <v>31</v>
      </c>
      <c r="Y293" s="843"/>
      <c r="Z293" s="843"/>
      <c r="AA293" s="843" t="s">
        <v>31</v>
      </c>
      <c r="AB293" s="845" t="s">
        <v>31</v>
      </c>
      <c r="AC293" s="845" t="s">
        <v>31</v>
      </c>
      <c r="AD293" s="845" t="s">
        <v>31</v>
      </c>
      <c r="AE293" s="845" t="s">
        <v>31</v>
      </c>
      <c r="AF293" s="845"/>
      <c r="AG293" s="885"/>
      <c r="AH293" s="201"/>
      <c r="AI293" s="197"/>
    </row>
    <row r="294" spans="1:35" ht="21" customHeight="1" x14ac:dyDescent="0.2">
      <c r="A294" s="1100"/>
      <c r="B294" s="1133" t="s">
        <v>333</v>
      </c>
      <c r="C294" s="845"/>
      <c r="D294" s="845"/>
      <c r="E294" s="845"/>
      <c r="F294" s="852" t="s">
        <v>31</v>
      </c>
      <c r="G294" s="845" t="s">
        <v>31</v>
      </c>
      <c r="H294" s="845" t="s">
        <v>31</v>
      </c>
      <c r="I294" s="845" t="s">
        <v>31</v>
      </c>
      <c r="J294" s="845"/>
      <c r="K294" s="845"/>
      <c r="L294" s="845"/>
      <c r="M294" s="845" t="s">
        <v>31</v>
      </c>
      <c r="N294" s="842" t="s">
        <v>31</v>
      </c>
      <c r="O294" s="845" t="s">
        <v>31</v>
      </c>
      <c r="P294" s="845" t="s">
        <v>31</v>
      </c>
      <c r="Q294" s="845" t="s">
        <v>31</v>
      </c>
      <c r="R294" s="845"/>
      <c r="S294" s="845"/>
      <c r="T294" s="845" t="s">
        <v>31</v>
      </c>
      <c r="U294" s="845" t="s">
        <v>31</v>
      </c>
      <c r="V294" s="845" t="s">
        <v>31</v>
      </c>
      <c r="W294" s="845"/>
      <c r="X294" s="844" t="s">
        <v>31</v>
      </c>
      <c r="Y294" s="843"/>
      <c r="Z294" s="843"/>
      <c r="AA294" s="843" t="s">
        <v>31</v>
      </c>
      <c r="AB294" s="845" t="s">
        <v>31</v>
      </c>
      <c r="AC294" s="845" t="s">
        <v>31</v>
      </c>
      <c r="AD294" s="845" t="s">
        <v>31</v>
      </c>
      <c r="AE294" s="845" t="s">
        <v>31</v>
      </c>
      <c r="AF294" s="845"/>
      <c r="AG294" s="885"/>
      <c r="AH294" s="201"/>
      <c r="AI294" s="197"/>
    </row>
    <row r="295" spans="1:35" ht="21" customHeight="1" x14ac:dyDescent="0.2">
      <c r="A295" s="1100"/>
      <c r="B295" s="1133" t="s">
        <v>334</v>
      </c>
      <c r="C295" s="845"/>
      <c r="D295" s="845"/>
      <c r="E295" s="845"/>
      <c r="F295" s="852" t="s">
        <v>31</v>
      </c>
      <c r="G295" s="845" t="s">
        <v>31</v>
      </c>
      <c r="H295" s="845" t="s">
        <v>31</v>
      </c>
      <c r="I295" s="845" t="s">
        <v>31</v>
      </c>
      <c r="J295" s="845"/>
      <c r="K295" s="845"/>
      <c r="L295" s="845"/>
      <c r="M295" s="1134" t="s">
        <v>31</v>
      </c>
      <c r="N295" s="842" t="s">
        <v>31</v>
      </c>
      <c r="O295" s="845" t="s">
        <v>31</v>
      </c>
      <c r="P295" s="845" t="s">
        <v>31</v>
      </c>
      <c r="Q295" s="845" t="s">
        <v>31</v>
      </c>
      <c r="R295" s="845"/>
      <c r="S295" s="845"/>
      <c r="T295" s="845" t="s">
        <v>31</v>
      </c>
      <c r="U295" s="845" t="s">
        <v>31</v>
      </c>
      <c r="V295" s="845" t="s">
        <v>31</v>
      </c>
      <c r="W295" s="845"/>
      <c r="X295" s="845" t="s">
        <v>31</v>
      </c>
      <c r="Y295" s="843"/>
      <c r="Z295" s="843"/>
      <c r="AA295" s="843" t="s">
        <v>31</v>
      </c>
      <c r="AB295" s="845" t="s">
        <v>31</v>
      </c>
      <c r="AC295" s="845" t="s">
        <v>31</v>
      </c>
      <c r="AD295" s="845" t="s">
        <v>31</v>
      </c>
      <c r="AE295" s="845" t="s">
        <v>31</v>
      </c>
      <c r="AF295" s="845"/>
      <c r="AG295" s="885"/>
      <c r="AH295" s="201"/>
      <c r="AI295" s="197"/>
    </row>
    <row r="296" spans="1:35" ht="21" customHeight="1" x14ac:dyDescent="0.2">
      <c r="A296" s="1100"/>
      <c r="B296" s="1120"/>
      <c r="C296" s="845"/>
      <c r="D296" s="845"/>
      <c r="E296" s="845"/>
      <c r="F296" s="852" t="s">
        <v>31</v>
      </c>
      <c r="G296" s="845" t="s">
        <v>31</v>
      </c>
      <c r="H296" s="845" t="s">
        <v>31</v>
      </c>
      <c r="I296" s="845" t="s">
        <v>31</v>
      </c>
      <c r="J296" s="845"/>
      <c r="K296" s="845"/>
      <c r="L296" s="845"/>
      <c r="M296" s="845" t="s">
        <v>31</v>
      </c>
      <c r="N296" s="842" t="s">
        <v>31</v>
      </c>
      <c r="O296" s="845" t="s">
        <v>31</v>
      </c>
      <c r="P296" s="845" t="s">
        <v>31</v>
      </c>
      <c r="Q296" s="845" t="s">
        <v>31</v>
      </c>
      <c r="R296" s="845"/>
      <c r="S296" s="845"/>
      <c r="T296" s="845" t="s">
        <v>31</v>
      </c>
      <c r="U296" s="845" t="s">
        <v>31</v>
      </c>
      <c r="V296" s="845" t="s">
        <v>31</v>
      </c>
      <c r="W296" s="845"/>
      <c r="X296" s="845" t="s">
        <v>31</v>
      </c>
      <c r="Y296" s="843"/>
      <c r="Z296" s="843"/>
      <c r="AA296" s="843" t="s">
        <v>31</v>
      </c>
      <c r="AB296" s="845" t="s">
        <v>31</v>
      </c>
      <c r="AC296" s="845" t="s">
        <v>31</v>
      </c>
      <c r="AD296" s="845" t="s">
        <v>31</v>
      </c>
      <c r="AE296" s="845" t="s">
        <v>31</v>
      </c>
      <c r="AF296" s="845"/>
      <c r="AG296" s="885"/>
      <c r="AH296" s="201"/>
      <c r="AI296" s="197"/>
    </row>
    <row r="297" spans="1:35" ht="21" customHeight="1" x14ac:dyDescent="0.2">
      <c r="A297" s="1100"/>
      <c r="B297" s="1135" t="s">
        <v>335</v>
      </c>
      <c r="C297" s="845"/>
      <c r="D297" s="845"/>
      <c r="E297" s="845"/>
      <c r="F297" s="852" t="s">
        <v>31</v>
      </c>
      <c r="G297" s="845" t="s">
        <v>31</v>
      </c>
      <c r="H297" s="845" t="s">
        <v>31</v>
      </c>
      <c r="I297" s="845" t="s">
        <v>31</v>
      </c>
      <c r="J297" s="845"/>
      <c r="K297" s="845"/>
      <c r="L297" s="845"/>
      <c r="M297" s="845" t="s">
        <v>31</v>
      </c>
      <c r="N297" s="842" t="s">
        <v>31</v>
      </c>
      <c r="O297" s="845" t="s">
        <v>31</v>
      </c>
      <c r="P297" s="845" t="s">
        <v>31</v>
      </c>
      <c r="Q297" s="845" t="s">
        <v>31</v>
      </c>
      <c r="R297" s="845"/>
      <c r="S297" s="845"/>
      <c r="T297" s="845" t="s">
        <v>31</v>
      </c>
      <c r="U297" s="845" t="s">
        <v>31</v>
      </c>
      <c r="V297" s="845" t="s">
        <v>31</v>
      </c>
      <c r="W297" s="845"/>
      <c r="X297" s="844" t="s">
        <v>31</v>
      </c>
      <c r="Y297" s="844"/>
      <c r="Z297" s="844"/>
      <c r="AA297" s="844" t="s">
        <v>31</v>
      </c>
      <c r="AB297" s="844" t="s">
        <v>31</v>
      </c>
      <c r="AC297" s="844" t="s">
        <v>31</v>
      </c>
      <c r="AD297" s="844" t="s">
        <v>31</v>
      </c>
      <c r="AE297" s="845" t="s">
        <v>31</v>
      </c>
      <c r="AF297" s="845"/>
      <c r="AG297" s="885"/>
      <c r="AH297" s="201"/>
      <c r="AI297" s="197"/>
    </row>
    <row r="298" spans="1:35" ht="21" customHeight="1" x14ac:dyDescent="0.2">
      <c r="A298" s="1100"/>
      <c r="B298" s="730" t="s">
        <v>336</v>
      </c>
      <c r="C298" s="845"/>
      <c r="D298" s="845"/>
      <c r="E298" s="845"/>
      <c r="F298" s="852" t="s">
        <v>31</v>
      </c>
      <c r="G298" s="845" t="s">
        <v>31</v>
      </c>
      <c r="H298" s="845" t="s">
        <v>31</v>
      </c>
      <c r="I298" s="845" t="s">
        <v>31</v>
      </c>
      <c r="J298" s="845"/>
      <c r="K298" s="845"/>
      <c r="L298" s="845"/>
      <c r="M298" s="845" t="s">
        <v>31</v>
      </c>
      <c r="N298" s="842" t="s">
        <v>31</v>
      </c>
      <c r="O298" s="845" t="s">
        <v>31</v>
      </c>
      <c r="P298" s="845" t="s">
        <v>31</v>
      </c>
      <c r="Q298" s="845" t="s">
        <v>31</v>
      </c>
      <c r="R298" s="845"/>
      <c r="S298" s="845"/>
      <c r="T298" s="845" t="s">
        <v>31</v>
      </c>
      <c r="U298" s="845" t="s">
        <v>31</v>
      </c>
      <c r="V298" s="845" t="s">
        <v>31</v>
      </c>
      <c r="W298" s="845"/>
      <c r="X298" s="845" t="s">
        <v>31</v>
      </c>
      <c r="Y298" s="843"/>
      <c r="Z298" s="843"/>
      <c r="AA298" s="843" t="s">
        <v>31</v>
      </c>
      <c r="AB298" s="845" t="s">
        <v>31</v>
      </c>
      <c r="AC298" s="845" t="s">
        <v>31</v>
      </c>
      <c r="AD298" s="845" t="s">
        <v>31</v>
      </c>
      <c r="AE298" s="845" t="s">
        <v>31</v>
      </c>
      <c r="AF298" s="845"/>
      <c r="AG298" s="885"/>
      <c r="AH298" s="201"/>
      <c r="AI298" s="197"/>
    </row>
    <row r="299" spans="1:35" ht="21" customHeight="1" x14ac:dyDescent="0.2">
      <c r="A299" s="1100"/>
      <c r="B299" s="1135"/>
      <c r="C299" s="845"/>
      <c r="D299" s="1136"/>
      <c r="E299" s="845"/>
      <c r="F299" s="845"/>
      <c r="G299" s="845"/>
      <c r="H299" s="845"/>
      <c r="I299" s="845"/>
      <c r="J299" s="845"/>
      <c r="K299" s="845"/>
      <c r="L299" s="845"/>
      <c r="M299" s="845"/>
      <c r="N299" s="845"/>
      <c r="O299" s="845"/>
      <c r="P299" s="845"/>
      <c r="Q299" s="845"/>
      <c r="R299" s="845"/>
      <c r="S299" s="845"/>
      <c r="T299" s="845"/>
      <c r="U299" s="845"/>
      <c r="V299" s="845"/>
      <c r="W299" s="845"/>
      <c r="X299" s="845"/>
      <c r="Y299" s="845"/>
      <c r="Z299" s="845"/>
      <c r="AA299" s="845"/>
      <c r="AB299" s="845"/>
      <c r="AC299" s="845"/>
      <c r="AD299" s="845"/>
      <c r="AE299" s="845"/>
      <c r="AF299" s="845"/>
      <c r="AG299" s="885"/>
      <c r="AH299" s="201"/>
      <c r="AI299" s="197"/>
    </row>
    <row r="300" spans="1:35" ht="21" customHeight="1" x14ac:dyDescent="0.2">
      <c r="A300" s="758"/>
      <c r="B300" s="1135"/>
      <c r="C300" s="885"/>
      <c r="D300" s="885"/>
      <c r="E300" s="885"/>
      <c r="F300" s="885"/>
      <c r="G300" s="885"/>
      <c r="H300" s="885"/>
      <c r="I300" s="885"/>
      <c r="J300" s="885"/>
      <c r="K300" s="885"/>
      <c r="L300" s="885"/>
      <c r="M300" s="885"/>
      <c r="N300" s="827"/>
      <c r="O300" s="827"/>
      <c r="P300" s="885"/>
      <c r="Q300" s="885"/>
      <c r="R300" s="885"/>
      <c r="S300" s="885"/>
      <c r="T300" s="885"/>
      <c r="U300" s="885"/>
      <c r="V300" s="885"/>
      <c r="W300" s="885"/>
      <c r="X300" s="885"/>
      <c r="Y300" s="885"/>
      <c r="Z300" s="885"/>
      <c r="AA300" s="885"/>
      <c r="AB300" s="827"/>
      <c r="AC300" s="827"/>
      <c r="AD300" s="885"/>
      <c r="AE300" s="885"/>
      <c r="AF300" s="885"/>
      <c r="AG300" s="885"/>
      <c r="AH300" s="201"/>
      <c r="AI300" s="199"/>
    </row>
    <row r="301" spans="1:35" ht="21" customHeight="1" thickBot="1" x14ac:dyDescent="0.25">
      <c r="A301" s="686"/>
      <c r="B301" s="687"/>
      <c r="C301" s="1126"/>
      <c r="D301" s="1127"/>
      <c r="E301" s="1127"/>
      <c r="F301" s="1127"/>
      <c r="G301" s="1127"/>
      <c r="H301" s="1127"/>
      <c r="I301" s="1127"/>
      <c r="J301" s="1127"/>
      <c r="K301" s="1127"/>
      <c r="L301" s="1127"/>
      <c r="M301" s="1127"/>
      <c r="N301" s="1128"/>
      <c r="O301" s="1128"/>
      <c r="P301" s="1127"/>
      <c r="Q301" s="1127"/>
      <c r="R301" s="1127"/>
      <c r="S301" s="1127"/>
      <c r="T301" s="1127"/>
      <c r="U301" s="1127"/>
      <c r="V301" s="1127"/>
      <c r="W301" s="1127"/>
      <c r="X301" s="1127"/>
      <c r="Y301" s="1127"/>
      <c r="Z301" s="1127"/>
      <c r="AA301" s="1127"/>
      <c r="AB301" s="1128"/>
      <c r="AC301" s="1128"/>
      <c r="AD301" s="1127"/>
      <c r="AE301" s="1127"/>
      <c r="AF301" s="1127"/>
      <c r="AG301" s="1127"/>
      <c r="AH301" s="201"/>
      <c r="AI301" s="199"/>
    </row>
  </sheetData>
  <protectedRanges>
    <protectedRange sqref="B226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85" name="Område1_1_1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E5E13-DE46-44C0-885E-8D94F59D75B0}">
  <sheetPr codeName="Ark64"/>
  <dimension ref="A1:AL304"/>
  <sheetViews>
    <sheetView zoomScale="90" zoomScaleNormal="90" workbookViewId="0">
      <pane xSplit="2" ySplit="3" topLeftCell="D48" activePane="bottomRight" state="frozen"/>
      <selection pane="topRight" activeCell="AJ273" sqref="AJ273"/>
      <selection pane="bottomLeft" activeCell="AJ273" sqref="AJ273"/>
      <selection pane="bottomRight" activeCell="B24" sqref="B24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26" width="4.140625" customWidth="1"/>
    <col min="27" max="27" width="5.140625" customWidth="1"/>
    <col min="28" max="28" width="5" customWidth="1"/>
    <col min="29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1137" t="s">
        <v>2</v>
      </c>
      <c r="C2" s="1138" t="s">
        <v>3</v>
      </c>
      <c r="D2" s="1139"/>
      <c r="E2" s="1140" t="s">
        <v>4</v>
      </c>
      <c r="F2" s="1141"/>
      <c r="G2" s="1142"/>
      <c r="H2" s="1142"/>
      <c r="I2" s="1142"/>
      <c r="J2" s="1142"/>
      <c r="K2" s="1143"/>
      <c r="L2" s="1144" t="s">
        <v>5</v>
      </c>
      <c r="M2" s="1145"/>
      <c r="N2" s="1146"/>
      <c r="O2" s="1147" t="s">
        <v>6</v>
      </c>
      <c r="P2" s="1148"/>
      <c r="Q2" s="1149"/>
      <c r="R2" s="1150"/>
      <c r="S2" s="1151" t="s">
        <v>7</v>
      </c>
      <c r="T2" s="1152"/>
      <c r="U2" s="1153"/>
      <c r="V2" s="1152"/>
      <c r="W2" s="1154" t="s">
        <v>8</v>
      </c>
      <c r="X2" s="1155"/>
      <c r="Y2" s="1156"/>
      <c r="Z2" s="164" t="s">
        <v>9</v>
      </c>
      <c r="AA2" s="1157"/>
      <c r="AB2" s="1158"/>
      <c r="AC2" s="1159"/>
      <c r="AD2" s="1160" t="s">
        <v>10</v>
      </c>
      <c r="AE2" s="1161"/>
      <c r="AF2" s="1161"/>
      <c r="AG2" s="1162"/>
    </row>
    <row r="3" spans="1:35" ht="13.35" customHeight="1" x14ac:dyDescent="0.2">
      <c r="A3" s="1"/>
      <c r="B3" s="1163" t="s">
        <v>11</v>
      </c>
      <c r="C3" s="1164" t="s">
        <v>12</v>
      </c>
      <c r="D3" s="1165"/>
      <c r="E3" s="91"/>
      <c r="F3" s="92"/>
      <c r="G3" s="92"/>
      <c r="H3" s="165" t="s">
        <v>13</v>
      </c>
      <c r="I3" s="93"/>
      <c r="J3" s="93"/>
      <c r="K3" s="94"/>
      <c r="L3" s="1166" t="s">
        <v>14</v>
      </c>
      <c r="M3" s="1167"/>
      <c r="N3" s="1168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1167"/>
      <c r="AA3" s="1167"/>
      <c r="AB3" s="1169"/>
      <c r="AC3" s="1170"/>
      <c r="AD3" s="1171" t="s">
        <v>17</v>
      </c>
      <c r="AE3" s="1172"/>
      <c r="AF3" s="1172"/>
      <c r="AG3" s="1173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1174" t="s">
        <v>20</v>
      </c>
      <c r="B6" s="1167"/>
      <c r="C6" s="1175"/>
      <c r="D6" s="1174" t="s">
        <v>21</v>
      </c>
      <c r="E6" s="1167"/>
      <c r="F6" s="1167"/>
      <c r="G6" s="1167"/>
      <c r="H6" s="1176"/>
      <c r="I6" s="1167"/>
      <c r="J6" s="1167"/>
      <c r="K6" s="1167"/>
      <c r="L6" s="1177" t="s">
        <v>22</v>
      </c>
      <c r="M6" s="1167"/>
      <c r="N6" s="1167"/>
      <c r="O6" s="1167"/>
      <c r="P6" s="1167"/>
      <c r="Q6" s="1167"/>
      <c r="R6" s="1167"/>
      <c r="S6" s="1175"/>
      <c r="T6" s="1178"/>
      <c r="U6" s="1167"/>
      <c r="V6" s="1167"/>
      <c r="W6" s="1167"/>
      <c r="X6" s="1167"/>
      <c r="Y6" s="1167"/>
      <c r="Z6" s="1167"/>
      <c r="AA6" s="1175"/>
      <c r="AB6" s="1179"/>
      <c r="AC6" s="1180"/>
      <c r="AD6" s="1180"/>
      <c r="AE6" s="1180"/>
      <c r="AF6" s="1180"/>
      <c r="AG6" s="1181"/>
    </row>
    <row r="7" spans="1:35" ht="22.15" customHeight="1" x14ac:dyDescent="0.2">
      <c r="A7" s="1174" t="s">
        <v>23</v>
      </c>
      <c r="B7" s="1167"/>
      <c r="C7" s="1167"/>
      <c r="D7" s="1167"/>
      <c r="E7" s="1167"/>
      <c r="F7" s="1167"/>
      <c r="G7" s="1167"/>
      <c r="H7" s="1167"/>
      <c r="I7" s="1167"/>
      <c r="J7" s="1167"/>
      <c r="K7" s="1175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167"/>
      <c r="V7" s="1167"/>
      <c r="W7" s="1167"/>
      <c r="X7" s="1167"/>
      <c r="Y7" s="1167"/>
      <c r="Z7" s="1167"/>
      <c r="AA7" s="1167"/>
      <c r="AB7" s="1182"/>
      <c r="AC7" s="1167"/>
      <c r="AD7" s="1167"/>
      <c r="AE7" s="1167"/>
      <c r="AF7" s="1167"/>
      <c r="AG7" s="1175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A10" s="162" t="s">
        <v>337</v>
      </c>
      <c r="L10" s="100"/>
      <c r="AB10" s="1"/>
    </row>
    <row r="11" spans="1:35" ht="22.15" customHeight="1" x14ac:dyDescent="0.2">
      <c r="B11" s="101" t="s">
        <v>27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</row>
    <row r="12" spans="1:35" ht="22.15" customHeight="1" thickBot="1" x14ac:dyDescent="0.25">
      <c r="A12" s="1183" t="s">
        <v>28</v>
      </c>
      <c r="B12" s="1184" t="s">
        <v>29</v>
      </c>
      <c r="C12" s="1185">
        <v>1</v>
      </c>
      <c r="D12" s="1186">
        <v>2</v>
      </c>
      <c r="E12" s="1186">
        <v>3</v>
      </c>
      <c r="F12" s="1186">
        <v>4</v>
      </c>
      <c r="G12" s="1185">
        <v>5</v>
      </c>
      <c r="H12" s="1185">
        <v>6</v>
      </c>
      <c r="I12" s="1185">
        <v>7</v>
      </c>
      <c r="J12" s="1186">
        <v>8</v>
      </c>
      <c r="K12" s="1186">
        <v>9</v>
      </c>
      <c r="L12" s="1186">
        <v>10</v>
      </c>
      <c r="M12" s="1186">
        <v>11</v>
      </c>
      <c r="N12" s="1186">
        <v>12</v>
      </c>
      <c r="O12" s="1185">
        <v>13</v>
      </c>
      <c r="P12" s="1185">
        <v>14</v>
      </c>
      <c r="Q12" s="1186">
        <v>15</v>
      </c>
      <c r="R12" s="1186">
        <v>16</v>
      </c>
      <c r="S12" s="1186">
        <v>17</v>
      </c>
      <c r="T12" s="1186">
        <v>18</v>
      </c>
      <c r="U12" s="1186">
        <v>19</v>
      </c>
      <c r="V12" s="1185">
        <v>20</v>
      </c>
      <c r="W12" s="1185">
        <v>21</v>
      </c>
      <c r="X12" s="1186">
        <v>22</v>
      </c>
      <c r="Y12" s="1186">
        <v>23</v>
      </c>
      <c r="Z12" s="1186">
        <v>24</v>
      </c>
      <c r="AA12" s="1186">
        <v>25</v>
      </c>
      <c r="AB12" s="1186">
        <v>26</v>
      </c>
      <c r="AC12" s="1185">
        <v>27</v>
      </c>
      <c r="AD12" s="1185">
        <v>28</v>
      </c>
      <c r="AE12" s="1186">
        <v>29</v>
      </c>
      <c r="AF12" s="1186">
        <v>30</v>
      </c>
      <c r="AG12" s="1187"/>
      <c r="AH12" s="184"/>
      <c r="AI12" s="185"/>
    </row>
    <row r="13" spans="1:35" ht="22.15" customHeight="1" x14ac:dyDescent="0.2">
      <c r="A13" s="456">
        <v>8500</v>
      </c>
      <c r="B13" s="457" t="s">
        <v>30</v>
      </c>
      <c r="C13" s="458"/>
      <c r="D13" s="458" t="s">
        <v>31</v>
      </c>
      <c r="E13" s="458" t="s">
        <v>31</v>
      </c>
      <c r="F13" s="458" t="s">
        <v>31</v>
      </c>
      <c r="G13" s="458"/>
      <c r="H13" s="458"/>
      <c r="I13" s="458"/>
      <c r="J13" s="458" t="s">
        <v>31</v>
      </c>
      <c r="K13" s="458" t="s">
        <v>31</v>
      </c>
      <c r="L13" s="458" t="s">
        <v>31</v>
      </c>
      <c r="M13" s="458" t="s">
        <v>31</v>
      </c>
      <c r="N13" s="458" t="s">
        <v>31</v>
      </c>
      <c r="O13" s="458"/>
      <c r="P13" s="458"/>
      <c r="Q13" s="458" t="s">
        <v>31</v>
      </c>
      <c r="R13" s="458" t="s">
        <v>31</v>
      </c>
      <c r="S13" s="458" t="s">
        <v>31</v>
      </c>
      <c r="T13" s="458" t="s">
        <v>31</v>
      </c>
      <c r="U13" s="463" t="s">
        <v>31</v>
      </c>
      <c r="V13" s="458"/>
      <c r="W13" s="458"/>
      <c r="X13" s="458" t="s">
        <v>31</v>
      </c>
      <c r="Y13" s="458" t="s">
        <v>31</v>
      </c>
      <c r="Z13" s="458" t="s">
        <v>31</v>
      </c>
      <c r="AA13" s="458" t="s">
        <v>31</v>
      </c>
      <c r="AB13" s="458" t="s">
        <v>31</v>
      </c>
      <c r="AC13" s="458"/>
      <c r="AD13" s="458"/>
      <c r="AE13" s="532" t="s">
        <v>31</v>
      </c>
      <c r="AF13" s="532" t="s">
        <v>31</v>
      </c>
      <c r="AG13" s="464"/>
      <c r="AH13" s="190"/>
      <c r="AI13" s="190"/>
    </row>
    <row r="14" spans="1:35" ht="22.15" customHeight="1" x14ac:dyDescent="0.2">
      <c r="A14" s="1188" t="s">
        <v>33</v>
      </c>
      <c r="B14" s="1189"/>
      <c r="C14" s="1189"/>
      <c r="D14" s="1189"/>
      <c r="E14" s="1189"/>
      <c r="F14" s="1189"/>
      <c r="G14" s="1189"/>
      <c r="H14" s="1189"/>
      <c r="I14" s="1189"/>
      <c r="J14" s="1189"/>
      <c r="K14" s="1189"/>
      <c r="L14" s="1189"/>
      <c r="M14" s="1189"/>
      <c r="N14" s="1189"/>
      <c r="O14" s="1189"/>
      <c r="P14" s="1189"/>
      <c r="Q14" s="1189"/>
      <c r="R14" s="1189"/>
      <c r="S14" s="1189"/>
      <c r="T14" s="1189"/>
      <c r="U14" s="1189"/>
      <c r="V14" s="1189"/>
      <c r="W14" s="1189"/>
      <c r="X14" s="1189"/>
      <c r="Y14" s="1189"/>
      <c r="Z14" s="1189"/>
      <c r="AA14" s="1189"/>
      <c r="AB14" s="1189"/>
      <c r="AC14" s="1189"/>
      <c r="AD14" s="1189"/>
      <c r="AE14" s="1189"/>
      <c r="AF14" s="1189"/>
      <c r="AG14" s="1190"/>
      <c r="AH14" s="188"/>
      <c r="AI14" s="188"/>
    </row>
    <row r="15" spans="1:35" ht="22.15" customHeight="1" x14ac:dyDescent="0.2">
      <c r="A15" s="1191">
        <v>8546</v>
      </c>
      <c r="B15" s="1192" t="s">
        <v>34</v>
      </c>
      <c r="C15" s="1193" t="s">
        <v>35</v>
      </c>
      <c r="D15" s="1193" t="s">
        <v>35</v>
      </c>
      <c r="E15" s="1193" t="s">
        <v>35</v>
      </c>
      <c r="F15" s="1193" t="s">
        <v>35</v>
      </c>
      <c r="G15" s="1193" t="s">
        <v>35</v>
      </c>
      <c r="H15" s="1194"/>
      <c r="I15" s="1194"/>
      <c r="J15" s="1195">
        <v>1</v>
      </c>
      <c r="K15" s="1196">
        <v>1</v>
      </c>
      <c r="L15" s="1195">
        <v>1</v>
      </c>
      <c r="M15" s="1197">
        <v>1</v>
      </c>
      <c r="N15" s="1198">
        <v>1</v>
      </c>
      <c r="O15" s="1193"/>
      <c r="P15" s="1199"/>
      <c r="Q15" s="1200">
        <v>2</v>
      </c>
      <c r="R15" s="1200">
        <v>2</v>
      </c>
      <c r="S15" s="1200">
        <v>2</v>
      </c>
      <c r="T15" s="1200">
        <v>2</v>
      </c>
      <c r="U15" s="1200">
        <v>2</v>
      </c>
      <c r="V15" s="1200" t="s">
        <v>36</v>
      </c>
      <c r="W15" s="1200" t="s">
        <v>36</v>
      </c>
      <c r="X15" s="1200" t="s">
        <v>35</v>
      </c>
      <c r="Y15" s="1200" t="s">
        <v>35</v>
      </c>
      <c r="Z15" s="1200" t="s">
        <v>35</v>
      </c>
      <c r="AA15" s="1200" t="s">
        <v>35</v>
      </c>
      <c r="AB15" s="1200" t="s">
        <v>35</v>
      </c>
      <c r="AC15" s="1200"/>
      <c r="AD15" s="1200"/>
      <c r="AE15" s="1200">
        <v>4</v>
      </c>
      <c r="AF15" s="1200">
        <v>4</v>
      </c>
      <c r="AG15" s="1201"/>
      <c r="AH15" s="190"/>
      <c r="AI15" s="190"/>
    </row>
    <row r="16" spans="1:35" ht="22.15" customHeight="1" x14ac:dyDescent="0.2">
      <c r="A16" s="1191">
        <v>8546</v>
      </c>
      <c r="B16" s="1202" t="s">
        <v>38</v>
      </c>
      <c r="C16" s="1203">
        <v>4</v>
      </c>
      <c r="D16" s="1194">
        <v>4</v>
      </c>
      <c r="E16" s="1194">
        <v>4</v>
      </c>
      <c r="F16" s="1199">
        <v>4</v>
      </c>
      <c r="G16" s="1199">
        <v>4</v>
      </c>
      <c r="H16" s="1199" t="s">
        <v>37</v>
      </c>
      <c r="I16" s="1194" t="s">
        <v>37</v>
      </c>
      <c r="J16" s="1203" t="s">
        <v>35</v>
      </c>
      <c r="K16" s="1199" t="s">
        <v>35</v>
      </c>
      <c r="L16" s="1194" t="s">
        <v>35</v>
      </c>
      <c r="M16" s="1194" t="s">
        <v>35</v>
      </c>
      <c r="N16" s="1194" t="s">
        <v>35</v>
      </c>
      <c r="O16" s="1194"/>
      <c r="P16" s="1194"/>
      <c r="Q16" s="1204">
        <v>1</v>
      </c>
      <c r="R16" s="1204">
        <v>1</v>
      </c>
      <c r="S16" s="1204">
        <v>1</v>
      </c>
      <c r="T16" s="1204">
        <v>1</v>
      </c>
      <c r="U16" s="1204">
        <v>1</v>
      </c>
      <c r="V16" s="1205"/>
      <c r="W16" s="1205" t="s">
        <v>118</v>
      </c>
      <c r="X16" s="1194">
        <v>2</v>
      </c>
      <c r="Y16" s="1194">
        <v>2</v>
      </c>
      <c r="Z16" s="1194">
        <v>2</v>
      </c>
      <c r="AA16" s="1194">
        <v>2</v>
      </c>
      <c r="AB16" s="1194">
        <v>2</v>
      </c>
      <c r="AC16" s="1194" t="s">
        <v>36</v>
      </c>
      <c r="AD16" s="1194" t="s">
        <v>36</v>
      </c>
      <c r="AE16" s="1194" t="s">
        <v>35</v>
      </c>
      <c r="AF16" s="1194" t="s">
        <v>35</v>
      </c>
      <c r="AG16" s="1201"/>
      <c r="AH16" s="190"/>
      <c r="AI16" s="190"/>
    </row>
    <row r="17" spans="1:37" ht="22.15" customHeight="1" x14ac:dyDescent="0.2">
      <c r="A17" s="1191">
        <v>8546</v>
      </c>
      <c r="B17" s="1192" t="s">
        <v>39</v>
      </c>
      <c r="C17" s="1199">
        <v>2</v>
      </c>
      <c r="D17" s="1194">
        <v>2</v>
      </c>
      <c r="E17" s="1194">
        <v>2</v>
      </c>
      <c r="F17" s="1194">
        <v>2</v>
      </c>
      <c r="G17" s="1194">
        <v>2</v>
      </c>
      <c r="H17" s="1194" t="s">
        <v>36</v>
      </c>
      <c r="I17" s="1194" t="s">
        <v>36</v>
      </c>
      <c r="J17" s="1194" t="s">
        <v>35</v>
      </c>
      <c r="K17" s="1194" t="s">
        <v>35</v>
      </c>
      <c r="L17" s="1194" t="s">
        <v>35</v>
      </c>
      <c r="M17" s="1194" t="s">
        <v>35</v>
      </c>
      <c r="N17" s="1199" t="s">
        <v>35</v>
      </c>
      <c r="O17" s="1199"/>
      <c r="P17" s="1199"/>
      <c r="Q17" s="1199">
        <v>4</v>
      </c>
      <c r="R17" s="1199">
        <v>4</v>
      </c>
      <c r="S17" s="1194">
        <v>4</v>
      </c>
      <c r="T17" s="1194">
        <v>4</v>
      </c>
      <c r="U17" s="1194">
        <v>4</v>
      </c>
      <c r="V17" s="1194" t="s">
        <v>37</v>
      </c>
      <c r="W17" s="1203" t="s">
        <v>37</v>
      </c>
      <c r="X17" s="1194" t="s">
        <v>35</v>
      </c>
      <c r="Y17" s="1199" t="s">
        <v>35</v>
      </c>
      <c r="Z17" s="1199" t="s">
        <v>35</v>
      </c>
      <c r="AA17" s="1199" t="s">
        <v>35</v>
      </c>
      <c r="AB17" s="1199" t="s">
        <v>35</v>
      </c>
      <c r="AC17" s="1199"/>
      <c r="AD17" s="1194"/>
      <c r="AE17" s="1194">
        <v>1</v>
      </c>
      <c r="AF17" s="1194">
        <v>1</v>
      </c>
      <c r="AG17" s="1201"/>
      <c r="AH17" s="190"/>
      <c r="AI17" s="190"/>
    </row>
    <row r="18" spans="1:37" ht="22.15" customHeight="1" x14ac:dyDescent="0.2">
      <c r="A18" s="1191">
        <v>8546</v>
      </c>
      <c r="B18" s="1202" t="s">
        <v>40</v>
      </c>
      <c r="C18" s="1194">
        <v>1</v>
      </c>
      <c r="D18" s="1203">
        <v>1</v>
      </c>
      <c r="E18" s="1194">
        <v>1</v>
      </c>
      <c r="F18" s="1199">
        <v>1</v>
      </c>
      <c r="G18" s="1194">
        <v>1</v>
      </c>
      <c r="H18" s="1194"/>
      <c r="I18" s="1194"/>
      <c r="J18" s="1194">
        <v>2</v>
      </c>
      <c r="K18" s="1194">
        <v>2</v>
      </c>
      <c r="L18" s="1194">
        <v>2</v>
      </c>
      <c r="M18" s="1193">
        <v>2</v>
      </c>
      <c r="N18" s="1193">
        <v>2</v>
      </c>
      <c r="O18" s="1193" t="s">
        <v>36</v>
      </c>
      <c r="P18" s="1193" t="s">
        <v>36</v>
      </c>
      <c r="Q18" s="1193" t="s">
        <v>35</v>
      </c>
      <c r="R18" s="1193" t="s">
        <v>35</v>
      </c>
      <c r="S18" s="1193" t="s">
        <v>35</v>
      </c>
      <c r="T18" s="1194" t="s">
        <v>35</v>
      </c>
      <c r="U18" s="1194" t="s">
        <v>35</v>
      </c>
      <c r="V18" s="1194"/>
      <c r="W18" s="1194"/>
      <c r="X18" s="1203">
        <v>4</v>
      </c>
      <c r="Y18" s="1194">
        <v>4</v>
      </c>
      <c r="Z18" s="1194">
        <v>4</v>
      </c>
      <c r="AA18" s="1206">
        <v>4</v>
      </c>
      <c r="AB18" s="1206">
        <v>4</v>
      </c>
      <c r="AC18" s="1206" t="s">
        <v>37</v>
      </c>
      <c r="AD18" s="1206" t="s">
        <v>37</v>
      </c>
      <c r="AE18" s="1206" t="s">
        <v>35</v>
      </c>
      <c r="AF18" s="1206" t="s">
        <v>35</v>
      </c>
      <c r="AG18" s="1201"/>
      <c r="AH18" s="190"/>
      <c r="AI18" s="190"/>
    </row>
    <row r="19" spans="1:37" ht="22.15" customHeight="1" x14ac:dyDescent="0.2">
      <c r="A19" s="1191">
        <v>8546</v>
      </c>
      <c r="B19" s="1192" t="s">
        <v>41</v>
      </c>
      <c r="C19" s="1194" t="s">
        <v>35</v>
      </c>
      <c r="D19" s="1203" t="s">
        <v>35</v>
      </c>
      <c r="E19" s="1194" t="s">
        <v>35</v>
      </c>
      <c r="F19" s="1194" t="s">
        <v>35</v>
      </c>
      <c r="G19" s="1194" t="s">
        <v>35</v>
      </c>
      <c r="H19" s="1194"/>
      <c r="I19" s="1194"/>
      <c r="J19" s="1199">
        <v>4</v>
      </c>
      <c r="K19" s="1199">
        <v>4</v>
      </c>
      <c r="L19" s="1194">
        <v>4</v>
      </c>
      <c r="M19" s="1199">
        <v>4</v>
      </c>
      <c r="N19" s="1199">
        <v>4</v>
      </c>
      <c r="O19" s="1194" t="s">
        <v>37</v>
      </c>
      <c r="P19" s="1194" t="s">
        <v>37</v>
      </c>
      <c r="Q19" s="1194" t="s">
        <v>35</v>
      </c>
      <c r="R19" s="1194" t="s">
        <v>35</v>
      </c>
      <c r="S19" s="1194" t="s">
        <v>35</v>
      </c>
      <c r="T19" s="1194" t="s">
        <v>35</v>
      </c>
      <c r="U19" s="1199" t="s">
        <v>35</v>
      </c>
      <c r="V19" s="1199"/>
      <c r="W19" s="1194"/>
      <c r="X19" s="1194">
        <v>1</v>
      </c>
      <c r="Y19" s="1194">
        <v>1</v>
      </c>
      <c r="Z19" s="1194">
        <v>1</v>
      </c>
      <c r="AA19" s="1195">
        <v>1</v>
      </c>
      <c r="AB19" s="1195">
        <v>1</v>
      </c>
      <c r="AC19" s="1207"/>
      <c r="AD19" s="1194"/>
      <c r="AE19" s="1194">
        <v>2</v>
      </c>
      <c r="AF19" s="1194">
        <v>2</v>
      </c>
      <c r="AG19" s="1201"/>
      <c r="AH19" s="190"/>
      <c r="AI19" s="190"/>
    </row>
    <row r="20" spans="1:37" ht="22.15" customHeight="1" thickBot="1" x14ac:dyDescent="0.25">
      <c r="A20" s="1208" t="s">
        <v>42</v>
      </c>
      <c r="B20" s="1209"/>
      <c r="C20" s="1210"/>
      <c r="D20" s="1210"/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10"/>
      <c r="R20" s="1210"/>
      <c r="S20" s="1210"/>
      <c r="T20" s="1210"/>
      <c r="U20" s="1210"/>
      <c r="V20" s="1210"/>
      <c r="W20" s="1210"/>
      <c r="X20" s="1210"/>
      <c r="Y20" s="1210"/>
      <c r="Z20" s="1210"/>
      <c r="AA20" s="1210"/>
      <c r="AB20" s="1210"/>
      <c r="AC20" s="1210"/>
      <c r="AD20" s="1210"/>
      <c r="AE20" s="1210"/>
      <c r="AF20" s="1210"/>
      <c r="AG20" s="1211"/>
      <c r="AH20" s="188"/>
      <c r="AI20" s="188"/>
    </row>
    <row r="21" spans="1:37" ht="22.15" customHeight="1" x14ac:dyDescent="0.2">
      <c r="A21" s="465">
        <v>8500</v>
      </c>
      <c r="B21" s="466" t="s">
        <v>43</v>
      </c>
      <c r="C21" s="533"/>
      <c r="D21" s="533" t="s">
        <v>31</v>
      </c>
      <c r="E21" s="533" t="s">
        <v>31</v>
      </c>
      <c r="F21" s="533" t="s">
        <v>31</v>
      </c>
      <c r="G21" s="533" t="s">
        <v>31</v>
      </c>
      <c r="H21" s="533"/>
      <c r="I21" s="533"/>
      <c r="J21" s="533" t="s">
        <v>31</v>
      </c>
      <c r="K21" s="533" t="s">
        <v>31</v>
      </c>
      <c r="L21" s="533" t="s">
        <v>31</v>
      </c>
      <c r="M21" s="533" t="s">
        <v>31</v>
      </c>
      <c r="N21" s="533" t="s">
        <v>31</v>
      </c>
      <c r="O21" s="533"/>
      <c r="P21" s="533"/>
      <c r="Q21" s="534" t="s">
        <v>31</v>
      </c>
      <c r="R21" s="534" t="s">
        <v>31</v>
      </c>
      <c r="S21" s="534" t="s">
        <v>31</v>
      </c>
      <c r="T21" s="535" t="s">
        <v>31</v>
      </c>
      <c r="U21" s="535" t="s">
        <v>31</v>
      </c>
      <c r="V21" s="535"/>
      <c r="W21" s="1212" t="s">
        <v>47</v>
      </c>
      <c r="X21" s="535" t="s">
        <v>31</v>
      </c>
      <c r="Y21" s="534" t="s">
        <v>31</v>
      </c>
      <c r="Z21" s="536" t="s">
        <v>31</v>
      </c>
      <c r="AA21" s="535" t="s">
        <v>31</v>
      </c>
      <c r="AB21" s="535" t="s">
        <v>31</v>
      </c>
      <c r="AC21" s="535"/>
      <c r="AD21" s="535"/>
      <c r="AE21" s="535" t="s">
        <v>31</v>
      </c>
      <c r="AF21" s="535" t="s">
        <v>31</v>
      </c>
      <c r="AG21" s="537"/>
      <c r="AH21" s="190"/>
      <c r="AI21" s="190"/>
    </row>
    <row r="22" spans="1:37" ht="22.15" customHeight="1" x14ac:dyDescent="0.2">
      <c r="A22" s="1213">
        <v>8500</v>
      </c>
      <c r="B22" s="1214" t="s">
        <v>44</v>
      </c>
      <c r="C22" s="1215" t="s">
        <v>47</v>
      </c>
      <c r="D22" s="1215" t="s">
        <v>47</v>
      </c>
      <c r="E22" s="1215" t="s">
        <v>47</v>
      </c>
      <c r="F22" s="1216" t="s">
        <v>35</v>
      </c>
      <c r="G22" s="1216" t="s">
        <v>31</v>
      </c>
      <c r="H22" s="1217"/>
      <c r="I22" s="1217"/>
      <c r="J22" s="1216">
        <v>1</v>
      </c>
      <c r="K22" s="1216">
        <v>1</v>
      </c>
      <c r="L22" s="1218">
        <v>1</v>
      </c>
      <c r="M22" s="1216">
        <v>1</v>
      </c>
      <c r="N22" s="1217">
        <v>1</v>
      </c>
      <c r="O22" s="1216">
        <v>89</v>
      </c>
      <c r="P22" s="1216"/>
      <c r="Q22" s="1216">
        <v>2</v>
      </c>
      <c r="R22" s="1219">
        <v>2</v>
      </c>
      <c r="S22" s="1216">
        <v>2</v>
      </c>
      <c r="T22" s="1216">
        <v>2</v>
      </c>
      <c r="U22" s="1216">
        <v>2</v>
      </c>
      <c r="V22" s="1216" t="s">
        <v>36</v>
      </c>
      <c r="W22" s="1216" t="s">
        <v>36</v>
      </c>
      <c r="X22" s="1194" t="s">
        <v>35</v>
      </c>
      <c r="Y22" s="1199" t="s">
        <v>35</v>
      </c>
      <c r="Z22" s="1199" t="s">
        <v>35</v>
      </c>
      <c r="AA22" s="1220" t="s">
        <v>35</v>
      </c>
      <c r="AB22" s="1220" t="s">
        <v>35</v>
      </c>
      <c r="AC22" s="1216"/>
      <c r="AD22" s="1216"/>
      <c r="AE22" s="1218" t="s">
        <v>31</v>
      </c>
      <c r="AF22" s="1218" t="s">
        <v>31</v>
      </c>
      <c r="AG22" s="1221"/>
      <c r="AH22" s="190"/>
      <c r="AI22" s="190"/>
    </row>
    <row r="23" spans="1:37" ht="22.15" customHeight="1" x14ac:dyDescent="0.2">
      <c r="A23" s="1213">
        <v>8500</v>
      </c>
      <c r="B23" s="1222" t="s">
        <v>45</v>
      </c>
      <c r="C23" s="1199">
        <v>2</v>
      </c>
      <c r="D23" s="1194">
        <v>2</v>
      </c>
      <c r="E23" s="1194">
        <v>2</v>
      </c>
      <c r="F23" s="1194">
        <v>2</v>
      </c>
      <c r="G23" s="1194">
        <v>2</v>
      </c>
      <c r="H23" s="1194" t="s">
        <v>36</v>
      </c>
      <c r="I23" s="1194" t="s">
        <v>36</v>
      </c>
      <c r="J23" s="1194" t="s">
        <v>35</v>
      </c>
      <c r="K23" s="1194" t="s">
        <v>35</v>
      </c>
      <c r="L23" s="1194" t="s">
        <v>35</v>
      </c>
      <c r="M23" s="1194" t="s">
        <v>35</v>
      </c>
      <c r="N23" s="1194" t="s">
        <v>35</v>
      </c>
      <c r="O23" s="1223"/>
      <c r="P23" s="1223"/>
      <c r="Q23" s="1218" t="s">
        <v>31</v>
      </c>
      <c r="R23" s="1218" t="s">
        <v>31</v>
      </c>
      <c r="S23" s="1218" t="s">
        <v>31</v>
      </c>
      <c r="T23" s="1218" t="s">
        <v>31</v>
      </c>
      <c r="U23" s="1218" t="s">
        <v>31</v>
      </c>
      <c r="V23" s="1223"/>
      <c r="W23" s="1223" t="s">
        <v>112</v>
      </c>
      <c r="X23" s="1218" t="s">
        <v>31</v>
      </c>
      <c r="Y23" s="1218" t="s">
        <v>31</v>
      </c>
      <c r="Z23" s="1218" t="s">
        <v>31</v>
      </c>
      <c r="AA23" s="1216">
        <v>1</v>
      </c>
      <c r="AB23" s="1216">
        <v>1</v>
      </c>
      <c r="AC23" s="1216"/>
      <c r="AD23" s="1217"/>
      <c r="AE23" s="1216">
        <v>4</v>
      </c>
      <c r="AF23" s="1217">
        <v>4</v>
      </c>
      <c r="AG23" s="1221"/>
      <c r="AH23" s="190"/>
      <c r="AI23" s="190"/>
    </row>
    <row r="24" spans="1:37" ht="22.15" customHeight="1" x14ac:dyDescent="0.2">
      <c r="A24" s="1213"/>
      <c r="B24" s="1224"/>
      <c r="C24" s="1217"/>
      <c r="D24" s="1218"/>
      <c r="E24" s="1216"/>
      <c r="F24" s="1216"/>
      <c r="G24" s="1216"/>
      <c r="H24" s="1216"/>
      <c r="I24" s="1217"/>
      <c r="J24" s="1217"/>
      <c r="K24" s="1217"/>
      <c r="L24" s="1217"/>
      <c r="M24" s="1217"/>
      <c r="N24" s="1217"/>
      <c r="O24" s="1225"/>
      <c r="P24" s="1217"/>
      <c r="Q24" s="1217"/>
      <c r="R24" s="1226"/>
      <c r="S24" s="1226"/>
      <c r="T24" s="1217"/>
      <c r="U24" s="1217"/>
      <c r="V24" s="1217"/>
      <c r="W24" s="1217"/>
      <c r="X24" s="1217"/>
      <c r="Y24" s="1217"/>
      <c r="Z24" s="1217"/>
      <c r="AA24" s="1217"/>
      <c r="AB24" s="1217"/>
      <c r="AC24" s="1223"/>
      <c r="AD24" s="1223"/>
      <c r="AE24" s="1223"/>
      <c r="AF24" s="1223"/>
      <c r="AG24" s="1221"/>
    </row>
    <row r="25" spans="1:37" ht="22.15" customHeight="1" thickBot="1" x14ac:dyDescent="0.25">
      <c r="A25" s="688"/>
      <c r="B25" s="689" t="s">
        <v>338</v>
      </c>
      <c r="C25" s="690"/>
      <c r="D25" s="690"/>
      <c r="E25" s="690"/>
      <c r="F25" s="690"/>
      <c r="G25" s="690" t="s">
        <v>0</v>
      </c>
      <c r="H25" s="690"/>
      <c r="I25" s="690"/>
      <c r="J25" s="690"/>
      <c r="K25" s="690"/>
      <c r="L25" s="690" t="s">
        <v>0</v>
      </c>
      <c r="M25" s="690"/>
      <c r="N25" s="690" t="s">
        <v>0</v>
      </c>
      <c r="O25" s="690" t="s">
        <v>0</v>
      </c>
      <c r="P25" s="690"/>
      <c r="Q25" s="690"/>
      <c r="R25" s="690"/>
      <c r="S25" s="690"/>
      <c r="T25" s="690"/>
      <c r="U25" s="690" t="s">
        <v>0</v>
      </c>
      <c r="V25" s="690"/>
      <c r="W25" s="690"/>
      <c r="X25" s="690"/>
      <c r="Y25" s="690"/>
      <c r="Z25" s="690"/>
      <c r="AA25" s="690"/>
      <c r="AB25" s="690"/>
      <c r="AC25" s="690"/>
      <c r="AD25" s="690"/>
      <c r="AE25" s="690"/>
      <c r="AF25" s="690"/>
      <c r="AG25" s="218"/>
    </row>
    <row r="26" spans="1:37" ht="22.15" customHeight="1" x14ac:dyDescent="0.2">
      <c r="A26" s="102"/>
      <c r="L26" s="229" t="s">
        <v>165</v>
      </c>
      <c r="M26">
        <v>1</v>
      </c>
      <c r="N26">
        <v>1</v>
      </c>
      <c r="O26" t="s">
        <v>0</v>
      </c>
      <c r="Q26" t="s">
        <v>0</v>
      </c>
      <c r="R26" t="s">
        <v>0</v>
      </c>
      <c r="S26" t="s">
        <v>0</v>
      </c>
      <c r="T26" t="s">
        <v>0</v>
      </c>
      <c r="U26">
        <v>69</v>
      </c>
      <c r="V26" t="s">
        <v>0</v>
      </c>
      <c r="Y26">
        <v>9</v>
      </c>
      <c r="AA26" t="s">
        <v>0</v>
      </c>
    </row>
    <row r="27" spans="1:37" ht="22.15" customHeight="1" thickBot="1" x14ac:dyDescent="0.25">
      <c r="A27" s="102"/>
      <c r="M27" t="s">
        <v>0</v>
      </c>
      <c r="N27" t="s">
        <v>0</v>
      </c>
      <c r="R27">
        <v>3</v>
      </c>
      <c r="S27">
        <v>9</v>
      </c>
      <c r="T27">
        <v>3</v>
      </c>
      <c r="U27">
        <v>4</v>
      </c>
      <c r="AA27">
        <v>4</v>
      </c>
    </row>
    <row r="28" spans="1:37" ht="22.15" customHeight="1" x14ac:dyDescent="0.2">
      <c r="A28" s="102"/>
      <c r="AA28" s="477" t="s">
        <v>0</v>
      </c>
    </row>
    <row r="29" spans="1:37" ht="22.15" customHeight="1" x14ac:dyDescent="0.2">
      <c r="A29" s="102"/>
    </row>
    <row r="30" spans="1:37" ht="22.15" customHeight="1" x14ac:dyDescent="0.2">
      <c r="A30" s="102"/>
    </row>
    <row r="31" spans="1:37" ht="12.75" customHeight="1" thickBot="1" x14ac:dyDescent="0.25">
      <c r="A31" s="162" t="s">
        <v>48</v>
      </c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K31" s="1"/>
    </row>
    <row r="32" spans="1:37" ht="28.5" customHeight="1" x14ac:dyDescent="0.2">
      <c r="A32" s="302" t="s">
        <v>49</v>
      </c>
      <c r="B32" s="404"/>
      <c r="C32" s="404"/>
      <c r="D32" s="471" t="s">
        <v>50</v>
      </c>
      <c r="E32" s="405"/>
      <c r="F32" s="405"/>
      <c r="G32" s="405"/>
      <c r="H32" s="405"/>
      <c r="I32" s="405"/>
      <c r="J32" s="405"/>
      <c r="K32" s="405"/>
      <c r="L32" s="405"/>
      <c r="M32" s="406" t="s">
        <v>51</v>
      </c>
      <c r="N32" s="405"/>
      <c r="O32" s="405"/>
      <c r="P32" s="405"/>
      <c r="Q32" s="405"/>
      <c r="R32" s="405"/>
      <c r="S32" s="407"/>
      <c r="T32" s="3653" t="s">
        <v>52</v>
      </c>
      <c r="U32" s="3654"/>
      <c r="V32" s="3654"/>
      <c r="W32" s="3654"/>
      <c r="X32" s="3654"/>
      <c r="Y32" s="3654"/>
      <c r="Z32" s="3655"/>
      <c r="AA32" s="472" t="s">
        <v>53</v>
      </c>
      <c r="AB32" s="473"/>
      <c r="AC32" s="473"/>
      <c r="AD32" s="473"/>
      <c r="AE32" s="473"/>
      <c r="AF32" s="473"/>
      <c r="AG32" s="474"/>
      <c r="AK32" s="1"/>
    </row>
    <row r="33" spans="1:38" ht="22.15" customHeight="1" x14ac:dyDescent="0.2">
      <c r="A33" s="1227" t="s">
        <v>54</v>
      </c>
      <c r="B33" s="1180"/>
      <c r="C33" s="1180"/>
      <c r="D33" s="1228" t="s">
        <v>55</v>
      </c>
      <c r="E33" s="1229"/>
      <c r="F33" s="1167"/>
      <c r="G33" s="1167"/>
      <c r="H33" s="1167"/>
      <c r="I33" s="1167"/>
      <c r="J33" s="1167"/>
      <c r="K33" s="1167"/>
      <c r="L33" s="1175"/>
      <c r="M33" s="1230" t="s">
        <v>56</v>
      </c>
      <c r="N33" s="1180"/>
      <c r="O33" s="1231"/>
      <c r="P33" s="1180"/>
      <c r="Q33" s="1180"/>
      <c r="R33" s="1180"/>
      <c r="S33" s="1232"/>
      <c r="T33" s="1228" t="s">
        <v>57</v>
      </c>
      <c r="U33" s="1167"/>
      <c r="V33" s="1229"/>
      <c r="W33" s="1167"/>
      <c r="X33" s="1167"/>
      <c r="Y33" s="1167"/>
      <c r="Z33" s="1175"/>
      <c r="AA33" s="163" t="s">
        <v>58</v>
      </c>
      <c r="AD33" s="100"/>
      <c r="AG33" s="103"/>
      <c r="AK33" s="1"/>
    </row>
    <row r="34" spans="1:38" ht="22.15" customHeight="1" x14ac:dyDescent="0.2">
      <c r="A34" s="1233" t="s">
        <v>59</v>
      </c>
      <c r="B34" s="1167"/>
      <c r="C34" s="1167"/>
      <c r="D34" s="1234"/>
      <c r="E34" s="1167"/>
      <c r="F34" s="1167"/>
      <c r="G34" s="1175"/>
      <c r="H34" s="1182" t="s">
        <v>60</v>
      </c>
      <c r="I34" s="1167"/>
      <c r="J34" s="1167"/>
      <c r="K34" s="1167"/>
      <c r="L34" s="1167"/>
      <c r="M34" s="1235"/>
      <c r="N34" s="1167"/>
      <c r="O34" s="1167"/>
      <c r="P34" s="1167"/>
      <c r="Q34" s="1167"/>
      <c r="R34" s="1167"/>
      <c r="S34" s="1167"/>
      <c r="T34" s="1234"/>
      <c r="U34" s="162" t="s">
        <v>61</v>
      </c>
      <c r="AA34" s="1231"/>
      <c r="AB34" s="1180"/>
      <c r="AC34" s="1180"/>
      <c r="AD34" s="1180"/>
      <c r="AE34" s="1180"/>
      <c r="AF34" s="1180"/>
      <c r="AG34" s="1236"/>
      <c r="AK34" s="64"/>
    </row>
    <row r="35" spans="1:38" ht="22.15" customHeight="1" thickBot="1" x14ac:dyDescent="0.25">
      <c r="A35" s="1237" t="s">
        <v>62</v>
      </c>
      <c r="B35" s="1238"/>
      <c r="C35" s="1238"/>
      <c r="D35" s="1239"/>
      <c r="E35" s="1238"/>
      <c r="F35" s="1238"/>
      <c r="G35" s="1240"/>
      <c r="H35" s="1241" t="s">
        <v>63</v>
      </c>
      <c r="I35" s="1240"/>
      <c r="J35" s="1238"/>
      <c r="K35" s="1238"/>
      <c r="L35" s="1238"/>
      <c r="M35" s="1242"/>
      <c r="N35" s="1238"/>
      <c r="O35" s="1238"/>
      <c r="P35" s="1238"/>
      <c r="Q35" s="1243"/>
      <c r="R35" s="1243"/>
      <c r="S35" s="1243"/>
      <c r="T35" s="1239"/>
      <c r="U35" s="1244" t="s">
        <v>64</v>
      </c>
      <c r="V35" s="1238"/>
      <c r="W35" s="1238"/>
      <c r="X35" s="1238"/>
      <c r="Y35" s="1238"/>
      <c r="Z35" s="1238"/>
      <c r="AA35" s="1238"/>
      <c r="AB35" s="1238"/>
      <c r="AC35" s="1238"/>
      <c r="AD35" s="1238"/>
      <c r="AE35" s="1238"/>
      <c r="AF35" s="1238"/>
      <c r="AG35" s="1245"/>
      <c r="AK35" s="1"/>
    </row>
    <row r="36" spans="1:38" ht="22.15" customHeight="1" x14ac:dyDescent="0.2">
      <c r="B36" s="104" t="s">
        <v>27</v>
      </c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1"/>
      <c r="AJ36" s="177"/>
    </row>
    <row r="37" spans="1:38" ht="22.15" customHeight="1" thickBot="1" x14ac:dyDescent="0.25">
      <c r="A37" s="1246" t="s">
        <v>28</v>
      </c>
      <c r="B37" s="1247" t="s">
        <v>29</v>
      </c>
      <c r="C37" s="1185">
        <v>1</v>
      </c>
      <c r="D37" s="1186">
        <v>2</v>
      </c>
      <c r="E37" s="1186">
        <v>3</v>
      </c>
      <c r="F37" s="1186">
        <v>4</v>
      </c>
      <c r="G37" s="1185">
        <v>5</v>
      </c>
      <c r="H37" s="1185">
        <v>6</v>
      </c>
      <c r="I37" s="1185">
        <v>7</v>
      </c>
      <c r="J37" s="1186">
        <v>8</v>
      </c>
      <c r="K37" s="1186">
        <v>9</v>
      </c>
      <c r="L37" s="1186">
        <v>10</v>
      </c>
      <c r="M37" s="1186">
        <v>11</v>
      </c>
      <c r="N37" s="1186">
        <v>12</v>
      </c>
      <c r="O37" s="1185">
        <v>13</v>
      </c>
      <c r="P37" s="1185">
        <v>14</v>
      </c>
      <c r="Q37" s="1186">
        <v>15</v>
      </c>
      <c r="R37" s="1186">
        <v>16</v>
      </c>
      <c r="S37" s="1186">
        <v>17</v>
      </c>
      <c r="T37" s="1186">
        <v>18</v>
      </c>
      <c r="U37" s="1186">
        <v>19</v>
      </c>
      <c r="V37" s="1185">
        <v>20</v>
      </c>
      <c r="W37" s="1185">
        <v>21</v>
      </c>
      <c r="X37" s="1186">
        <v>22</v>
      </c>
      <c r="Y37" s="1186">
        <v>23</v>
      </c>
      <c r="Z37" s="1186">
        <v>24</v>
      </c>
      <c r="AA37" s="1186">
        <v>25</v>
      </c>
      <c r="AB37" s="1186">
        <v>26</v>
      </c>
      <c r="AC37" s="1185">
        <v>27</v>
      </c>
      <c r="AD37" s="1185">
        <v>28</v>
      </c>
      <c r="AE37" s="1186">
        <v>29</v>
      </c>
      <c r="AF37" s="1186">
        <v>30</v>
      </c>
      <c r="AG37" s="1248"/>
      <c r="AH37" s="184"/>
      <c r="AI37" s="185"/>
      <c r="AL37" t="s">
        <v>0</v>
      </c>
    </row>
    <row r="38" spans="1:38" ht="22.15" customHeight="1" x14ac:dyDescent="0.2">
      <c r="A38" s="475">
        <v>1</v>
      </c>
      <c r="B38" s="476" t="s">
        <v>65</v>
      </c>
      <c r="C38" s="477">
        <v>10</v>
      </c>
      <c r="D38" s="458">
        <v>10</v>
      </c>
      <c r="E38" s="477">
        <v>10</v>
      </c>
      <c r="F38" s="477">
        <v>10</v>
      </c>
      <c r="G38" s="477">
        <v>10</v>
      </c>
      <c r="H38" s="477" t="s">
        <v>67</v>
      </c>
      <c r="I38" s="477" t="s">
        <v>67</v>
      </c>
      <c r="J38" s="458" t="s">
        <v>35</v>
      </c>
      <c r="K38" s="477" t="s">
        <v>35</v>
      </c>
      <c r="L38" s="477" t="s">
        <v>35</v>
      </c>
      <c r="M38" s="477" t="s">
        <v>35</v>
      </c>
      <c r="N38" s="477" t="s">
        <v>35</v>
      </c>
      <c r="O38" s="458" t="s">
        <v>71</v>
      </c>
      <c r="P38" s="477" t="s">
        <v>71</v>
      </c>
      <c r="Q38" s="459">
        <v>7</v>
      </c>
      <c r="R38" s="458">
        <v>7</v>
      </c>
      <c r="S38" s="477">
        <v>7</v>
      </c>
      <c r="T38" s="477">
        <v>7</v>
      </c>
      <c r="U38" s="477">
        <v>7</v>
      </c>
      <c r="V38" s="477"/>
      <c r="W38" s="477"/>
      <c r="X38" s="459" t="s">
        <v>236</v>
      </c>
      <c r="Y38" s="459" t="s">
        <v>236</v>
      </c>
      <c r="Z38" s="477" t="s">
        <v>223</v>
      </c>
      <c r="AA38" s="477" t="s">
        <v>339</v>
      </c>
      <c r="AB38" s="477" t="s">
        <v>339</v>
      </c>
      <c r="AC38" s="459"/>
      <c r="AD38" s="459"/>
      <c r="AE38" s="477">
        <v>3</v>
      </c>
      <c r="AF38" s="477">
        <v>3</v>
      </c>
      <c r="AG38" s="478"/>
      <c r="AH38" s="189"/>
      <c r="AI38" s="190"/>
    </row>
    <row r="39" spans="1:38" ht="22.15" customHeight="1" x14ac:dyDescent="0.2">
      <c r="A39" s="1249">
        <v>6</v>
      </c>
      <c r="B39" s="1250" t="s">
        <v>0</v>
      </c>
      <c r="C39" s="1193">
        <v>11</v>
      </c>
      <c r="D39" s="1193">
        <v>11</v>
      </c>
      <c r="E39" s="1193">
        <v>11</v>
      </c>
      <c r="F39" s="1193">
        <v>11</v>
      </c>
      <c r="G39" s="1193">
        <v>11</v>
      </c>
      <c r="H39" s="1193" t="s">
        <v>73</v>
      </c>
      <c r="I39" s="1193" t="s">
        <v>73</v>
      </c>
      <c r="J39" s="1193" t="s">
        <v>35</v>
      </c>
      <c r="K39" s="1193" t="s">
        <v>35</v>
      </c>
      <c r="L39" s="1193" t="s">
        <v>35</v>
      </c>
      <c r="M39" s="1193" t="s">
        <v>35</v>
      </c>
      <c r="N39" s="1193" t="s">
        <v>35</v>
      </c>
      <c r="O39" s="1193" t="s">
        <v>69</v>
      </c>
      <c r="P39" s="1193" t="s">
        <v>69</v>
      </c>
      <c r="Q39" s="1193">
        <v>8</v>
      </c>
      <c r="R39" s="1193">
        <v>8</v>
      </c>
      <c r="S39" s="1193">
        <v>8</v>
      </c>
      <c r="T39" s="1193">
        <v>8</v>
      </c>
      <c r="U39" s="1193">
        <v>8</v>
      </c>
      <c r="V39" s="1193"/>
      <c r="W39" s="1193"/>
      <c r="X39" s="1193" t="s">
        <v>35</v>
      </c>
      <c r="Y39" s="1193" t="s">
        <v>35</v>
      </c>
      <c r="Z39" s="1193" t="s">
        <v>35</v>
      </c>
      <c r="AA39" s="1193" t="s">
        <v>35</v>
      </c>
      <c r="AB39" s="1193" t="s">
        <v>35</v>
      </c>
      <c r="AC39" s="1193"/>
      <c r="AD39" s="1193"/>
      <c r="AE39" s="1193">
        <v>1</v>
      </c>
      <c r="AF39" s="1193">
        <v>1</v>
      </c>
      <c r="AG39" s="1251"/>
      <c r="AH39" s="189"/>
      <c r="AI39" s="190"/>
    </row>
    <row r="40" spans="1:38" ht="22.15" customHeight="1" thickBot="1" x14ac:dyDescent="0.25">
      <c r="A40" s="1252">
        <v>11</v>
      </c>
      <c r="B40" s="1253" t="s">
        <v>72</v>
      </c>
      <c r="C40" s="1254">
        <v>9</v>
      </c>
      <c r="D40" s="1255">
        <v>9</v>
      </c>
      <c r="E40" s="1255">
        <v>9</v>
      </c>
      <c r="F40" s="1255">
        <v>9</v>
      </c>
      <c r="G40" s="1255">
        <v>9</v>
      </c>
      <c r="H40" s="1255" t="s">
        <v>66</v>
      </c>
      <c r="I40" s="1255" t="s">
        <v>67</v>
      </c>
      <c r="J40" s="1255" t="s">
        <v>35</v>
      </c>
      <c r="K40" s="1255" t="s">
        <v>35</v>
      </c>
      <c r="L40" s="1255" t="s">
        <v>35</v>
      </c>
      <c r="M40" s="1255" t="s">
        <v>35</v>
      </c>
      <c r="N40" s="1255" t="s">
        <v>35</v>
      </c>
      <c r="O40" s="1256" t="s">
        <v>68</v>
      </c>
      <c r="P40" s="1256" t="s">
        <v>69</v>
      </c>
      <c r="Q40" s="1256">
        <v>6</v>
      </c>
      <c r="R40" s="1256">
        <v>6</v>
      </c>
      <c r="S40" s="1256">
        <v>6</v>
      </c>
      <c r="T40" s="1256">
        <v>6</v>
      </c>
      <c r="U40" s="1256">
        <v>6</v>
      </c>
      <c r="V40" s="1256"/>
      <c r="W40" s="1256"/>
      <c r="X40" s="1256" t="s">
        <v>35</v>
      </c>
      <c r="Y40" s="1256" t="s">
        <v>35</v>
      </c>
      <c r="Z40" s="1256" t="s">
        <v>35</v>
      </c>
      <c r="AA40" s="1256" t="s">
        <v>35</v>
      </c>
      <c r="AB40" s="1256" t="s">
        <v>35</v>
      </c>
      <c r="AC40" s="1256"/>
      <c r="AD40" s="1256"/>
      <c r="AE40" s="1256">
        <v>5</v>
      </c>
      <c r="AF40" s="1256">
        <v>5</v>
      </c>
      <c r="AG40" s="1257"/>
      <c r="AH40" s="189"/>
      <c r="AI40" s="190"/>
    </row>
    <row r="41" spans="1:38" ht="22.15" customHeight="1" x14ac:dyDescent="0.2">
      <c r="A41" s="475">
        <v>2</v>
      </c>
      <c r="B41" s="183" t="s">
        <v>74</v>
      </c>
      <c r="C41" s="458" t="s">
        <v>35</v>
      </c>
      <c r="D41" s="458" t="s">
        <v>35</v>
      </c>
      <c r="E41" s="458" t="s">
        <v>35</v>
      </c>
      <c r="F41" s="458" t="s">
        <v>35</v>
      </c>
      <c r="G41" s="458" t="s">
        <v>35</v>
      </c>
      <c r="H41" s="538" t="s">
        <v>71</v>
      </c>
      <c r="I41" s="538" t="s">
        <v>71</v>
      </c>
      <c r="J41" s="458">
        <v>7</v>
      </c>
      <c r="K41" s="458">
        <v>7</v>
      </c>
      <c r="L41" s="477">
        <v>7</v>
      </c>
      <c r="M41" s="477">
        <v>7</v>
      </c>
      <c r="N41" s="477">
        <v>7</v>
      </c>
      <c r="O41" s="459"/>
      <c r="P41" s="477"/>
      <c r="Q41" s="481">
        <v>4</v>
      </c>
      <c r="R41" s="481">
        <v>4</v>
      </c>
      <c r="S41" s="461">
        <v>4</v>
      </c>
      <c r="T41" s="481">
        <v>4</v>
      </c>
      <c r="U41" s="481">
        <v>4</v>
      </c>
      <c r="V41" s="459"/>
      <c r="W41" s="459"/>
      <c r="X41" s="539">
        <v>3</v>
      </c>
      <c r="Y41" s="483">
        <v>3</v>
      </c>
      <c r="Z41" s="483" t="s">
        <v>340</v>
      </c>
      <c r="AA41" s="477">
        <v>3</v>
      </c>
      <c r="AB41" s="477">
        <v>3</v>
      </c>
      <c r="AC41" s="459"/>
      <c r="AD41" s="459"/>
      <c r="AE41" s="477">
        <v>11</v>
      </c>
      <c r="AF41" s="477">
        <v>11</v>
      </c>
      <c r="AG41" s="478"/>
      <c r="AH41" s="189"/>
      <c r="AI41" s="190"/>
    </row>
    <row r="42" spans="1:38" ht="22.15" customHeight="1" x14ac:dyDescent="0.2">
      <c r="A42" s="1249">
        <v>7</v>
      </c>
      <c r="B42" s="1202" t="s">
        <v>75</v>
      </c>
      <c r="C42" s="1258" t="s">
        <v>35</v>
      </c>
      <c r="D42" s="1258" t="s">
        <v>35</v>
      </c>
      <c r="E42" s="1259" t="s">
        <v>35</v>
      </c>
      <c r="F42" s="1259" t="s">
        <v>35</v>
      </c>
      <c r="G42" s="1259" t="s">
        <v>35</v>
      </c>
      <c r="H42" s="1259" t="s">
        <v>69</v>
      </c>
      <c r="I42" s="1259" t="s">
        <v>69</v>
      </c>
      <c r="J42" s="1258">
        <v>8</v>
      </c>
      <c r="K42" s="1260">
        <v>8</v>
      </c>
      <c r="L42" s="1260">
        <v>8</v>
      </c>
      <c r="M42" s="1260">
        <v>8</v>
      </c>
      <c r="N42" s="1259">
        <v>8</v>
      </c>
      <c r="O42" s="1259"/>
      <c r="P42" s="1259"/>
      <c r="Q42" s="1258" t="s">
        <v>35</v>
      </c>
      <c r="R42" s="1259" t="s">
        <v>35</v>
      </c>
      <c r="S42" s="1259" t="s">
        <v>35</v>
      </c>
      <c r="T42" s="1260" t="s">
        <v>35</v>
      </c>
      <c r="U42" s="1260" t="s">
        <v>35</v>
      </c>
      <c r="V42" s="1260"/>
      <c r="W42" s="1260"/>
      <c r="X42" s="1259">
        <v>1</v>
      </c>
      <c r="Y42" s="1259">
        <v>1</v>
      </c>
      <c r="Z42" s="1259">
        <v>1</v>
      </c>
      <c r="AA42" s="1259">
        <v>1</v>
      </c>
      <c r="AB42" s="1259">
        <v>1</v>
      </c>
      <c r="AC42" s="1259"/>
      <c r="AD42" s="1259"/>
      <c r="AE42" s="1259">
        <v>9</v>
      </c>
      <c r="AF42" s="1259">
        <v>9</v>
      </c>
      <c r="AG42" s="1261"/>
      <c r="AH42" s="189"/>
      <c r="AI42" s="190"/>
    </row>
    <row r="43" spans="1:38" ht="22.15" customHeight="1" thickBot="1" x14ac:dyDescent="0.25">
      <c r="A43" s="1252">
        <v>12</v>
      </c>
      <c r="B43" s="1262" t="s">
        <v>76</v>
      </c>
      <c r="C43" s="1255" t="s">
        <v>35</v>
      </c>
      <c r="D43" s="1263" t="s">
        <v>35</v>
      </c>
      <c r="E43" s="1264" t="s">
        <v>35</v>
      </c>
      <c r="F43" s="1255" t="s">
        <v>35</v>
      </c>
      <c r="G43" s="1255" t="s">
        <v>35</v>
      </c>
      <c r="H43" s="1255" t="s">
        <v>68</v>
      </c>
      <c r="I43" s="1255" t="s">
        <v>69</v>
      </c>
      <c r="J43" s="1255">
        <v>6</v>
      </c>
      <c r="K43" s="1254">
        <v>6</v>
      </c>
      <c r="L43" s="1265">
        <v>6</v>
      </c>
      <c r="M43" s="1266">
        <v>6</v>
      </c>
      <c r="N43" s="1266" t="s">
        <v>341</v>
      </c>
      <c r="O43" s="1255"/>
      <c r="P43" s="1255"/>
      <c r="Q43" s="1254" t="s">
        <v>35</v>
      </c>
      <c r="R43" s="1255" t="s">
        <v>35</v>
      </c>
      <c r="S43" s="1255" t="s">
        <v>35</v>
      </c>
      <c r="T43" s="1255" t="s">
        <v>35</v>
      </c>
      <c r="U43" s="1263" t="s">
        <v>35</v>
      </c>
      <c r="V43" s="1263"/>
      <c r="W43" s="1263"/>
      <c r="X43" s="1255">
        <v>5</v>
      </c>
      <c r="Y43" s="1265">
        <v>5</v>
      </c>
      <c r="Z43" s="1255">
        <v>5</v>
      </c>
      <c r="AA43" s="1255">
        <v>5</v>
      </c>
      <c r="AB43" s="1255">
        <v>5</v>
      </c>
      <c r="AC43" s="1254"/>
      <c r="AD43" s="1254"/>
      <c r="AE43" s="1254">
        <v>10</v>
      </c>
      <c r="AF43" s="1254">
        <v>10</v>
      </c>
      <c r="AG43" s="1248"/>
      <c r="AH43" s="189"/>
      <c r="AI43" s="190"/>
    </row>
    <row r="44" spans="1:38" ht="22.15" customHeight="1" x14ac:dyDescent="0.2">
      <c r="A44" s="475">
        <v>3</v>
      </c>
      <c r="B44" s="479" t="s">
        <v>77</v>
      </c>
      <c r="C44" s="480">
        <v>7</v>
      </c>
      <c r="D44" s="459">
        <v>7</v>
      </c>
      <c r="E44" s="477">
        <v>7</v>
      </c>
      <c r="F44" s="477">
        <v>7</v>
      </c>
      <c r="G44" s="477">
        <v>7</v>
      </c>
      <c r="H44" s="477"/>
      <c r="I44" s="477"/>
      <c r="J44" s="459">
        <v>4</v>
      </c>
      <c r="K44" s="459">
        <v>4</v>
      </c>
      <c r="L44" s="459">
        <v>4</v>
      </c>
      <c r="M44" s="459">
        <v>4</v>
      </c>
      <c r="N44" s="459">
        <v>4</v>
      </c>
      <c r="O44" s="459"/>
      <c r="P44" s="459"/>
      <c r="Q44" s="481">
        <v>3</v>
      </c>
      <c r="R44" s="485">
        <v>3</v>
      </c>
      <c r="S44" s="485">
        <v>3</v>
      </c>
      <c r="T44" s="485">
        <v>3</v>
      </c>
      <c r="U44" s="485">
        <v>3</v>
      </c>
      <c r="V44" s="459"/>
      <c r="W44" s="459"/>
      <c r="X44" s="458">
        <v>11</v>
      </c>
      <c r="Y44" s="477">
        <v>11</v>
      </c>
      <c r="Z44" s="477">
        <v>11</v>
      </c>
      <c r="AA44" s="477">
        <v>11</v>
      </c>
      <c r="AB44" s="477">
        <v>11</v>
      </c>
      <c r="AC44" s="482" t="s">
        <v>73</v>
      </c>
      <c r="AD44" s="477" t="s">
        <v>73</v>
      </c>
      <c r="AE44" s="477" t="s">
        <v>35</v>
      </c>
      <c r="AF44" s="477" t="s">
        <v>35</v>
      </c>
      <c r="AG44" s="478"/>
      <c r="AH44" s="189"/>
      <c r="AI44" s="190"/>
    </row>
    <row r="45" spans="1:38" ht="22.15" customHeight="1" x14ac:dyDescent="0.2">
      <c r="A45" s="1249">
        <v>8</v>
      </c>
      <c r="B45" s="1202"/>
      <c r="C45" s="1199">
        <v>8</v>
      </c>
      <c r="D45" s="1199">
        <v>8</v>
      </c>
      <c r="E45" s="1199">
        <v>8</v>
      </c>
      <c r="F45" s="1199">
        <v>8</v>
      </c>
      <c r="G45" s="1199">
        <v>8</v>
      </c>
      <c r="H45" s="1199"/>
      <c r="I45" s="1259"/>
      <c r="J45" s="1258" t="s">
        <v>35</v>
      </c>
      <c r="K45" s="1193" t="s">
        <v>35</v>
      </c>
      <c r="L45" s="1193" t="s">
        <v>35</v>
      </c>
      <c r="M45" s="1193" t="s">
        <v>35</v>
      </c>
      <c r="N45" s="1199" t="s">
        <v>35</v>
      </c>
      <c r="O45" s="1259"/>
      <c r="P45" s="1259"/>
      <c r="Q45" s="1259">
        <v>1</v>
      </c>
      <c r="R45" s="1259">
        <v>1</v>
      </c>
      <c r="S45" s="1259">
        <v>1</v>
      </c>
      <c r="T45" s="1259">
        <v>1</v>
      </c>
      <c r="U45" s="1259">
        <v>1</v>
      </c>
      <c r="V45" s="1259"/>
      <c r="W45" s="1259"/>
      <c r="X45" s="1258">
        <v>9</v>
      </c>
      <c r="Y45" s="1259">
        <v>9</v>
      </c>
      <c r="Z45" s="1259">
        <v>9</v>
      </c>
      <c r="AA45" s="1259">
        <v>9</v>
      </c>
      <c r="AB45" s="1259">
        <v>9</v>
      </c>
      <c r="AC45" s="1259" t="s">
        <v>66</v>
      </c>
      <c r="AD45" s="1199" t="s">
        <v>67</v>
      </c>
      <c r="AE45" s="1199" t="s">
        <v>35</v>
      </c>
      <c r="AF45" s="1267" t="s">
        <v>35</v>
      </c>
      <c r="AG45" s="1261"/>
      <c r="AH45" s="189"/>
      <c r="AI45" s="190"/>
    </row>
    <row r="46" spans="1:38" ht="22.15" customHeight="1" thickBot="1" x14ac:dyDescent="0.25">
      <c r="A46" s="1252">
        <v>13</v>
      </c>
      <c r="B46" s="1253" t="s">
        <v>79</v>
      </c>
      <c r="C46" s="1254">
        <v>6</v>
      </c>
      <c r="D46" s="1254">
        <v>6</v>
      </c>
      <c r="E46" s="1255">
        <v>6</v>
      </c>
      <c r="F46" s="1255">
        <v>6</v>
      </c>
      <c r="G46" s="1255">
        <v>6</v>
      </c>
      <c r="H46" s="1255"/>
      <c r="I46" s="1255"/>
      <c r="J46" s="1254" t="s">
        <v>35</v>
      </c>
      <c r="K46" s="1255" t="s">
        <v>35</v>
      </c>
      <c r="L46" s="1263" t="s">
        <v>35</v>
      </c>
      <c r="M46" s="1255" t="s">
        <v>35</v>
      </c>
      <c r="N46" s="1263" t="s">
        <v>35</v>
      </c>
      <c r="O46" s="1263"/>
      <c r="P46" s="1263"/>
      <c r="Q46" s="1268">
        <v>5</v>
      </c>
      <c r="R46" s="1268">
        <v>5</v>
      </c>
      <c r="S46" s="1268">
        <v>5</v>
      </c>
      <c r="T46" s="1268">
        <v>5</v>
      </c>
      <c r="U46" s="1268">
        <v>5</v>
      </c>
      <c r="V46" s="1255"/>
      <c r="W46" s="1255"/>
      <c r="X46" s="1255">
        <v>10</v>
      </c>
      <c r="Y46" s="1254">
        <v>10</v>
      </c>
      <c r="Z46" s="1265">
        <v>10</v>
      </c>
      <c r="AA46" s="1255">
        <v>10</v>
      </c>
      <c r="AB46" s="1255">
        <v>10</v>
      </c>
      <c r="AC46" s="1255" t="s">
        <v>67</v>
      </c>
      <c r="AD46" s="1255" t="s">
        <v>67</v>
      </c>
      <c r="AE46" s="1254" t="s">
        <v>35</v>
      </c>
      <c r="AF46" s="1255" t="s">
        <v>35</v>
      </c>
      <c r="AG46" s="1257"/>
      <c r="AH46" s="189"/>
      <c r="AI46" s="190"/>
    </row>
    <row r="47" spans="1:38" ht="22.15" customHeight="1" thickBot="1" x14ac:dyDescent="0.25">
      <c r="A47" s="475">
        <v>4</v>
      </c>
      <c r="B47" s="476" t="s">
        <v>82</v>
      </c>
      <c r="C47" s="459">
        <v>4</v>
      </c>
      <c r="D47" s="459">
        <v>4</v>
      </c>
      <c r="E47" s="477">
        <v>4</v>
      </c>
      <c r="F47" s="458">
        <v>4</v>
      </c>
      <c r="G47" s="1215" t="s">
        <v>47</v>
      </c>
      <c r="H47" s="1215" t="s">
        <v>47</v>
      </c>
      <c r="I47" s="1215" t="s">
        <v>47</v>
      </c>
      <c r="J47" s="1254" t="s">
        <v>35</v>
      </c>
      <c r="K47" s="1255" t="s">
        <v>35</v>
      </c>
      <c r="L47" s="1263" t="s">
        <v>35</v>
      </c>
      <c r="M47" s="458">
        <v>3</v>
      </c>
      <c r="N47" s="458">
        <v>3</v>
      </c>
      <c r="O47" s="458"/>
      <c r="P47" s="458"/>
      <c r="Q47" s="458">
        <v>5</v>
      </c>
      <c r="R47" s="458">
        <v>5</v>
      </c>
      <c r="S47" s="458">
        <v>5</v>
      </c>
      <c r="T47" s="458">
        <v>5</v>
      </c>
      <c r="U47" s="458">
        <v>5</v>
      </c>
      <c r="V47" s="482" t="s">
        <v>73</v>
      </c>
      <c r="W47" s="477" t="s">
        <v>73</v>
      </c>
      <c r="X47" s="477" t="s">
        <v>35</v>
      </c>
      <c r="Y47" s="458" t="s">
        <v>35</v>
      </c>
      <c r="Z47" s="477" t="s">
        <v>35</v>
      </c>
      <c r="AA47" s="1215" t="s">
        <v>47</v>
      </c>
      <c r="AB47" s="1215" t="s">
        <v>47</v>
      </c>
      <c r="AC47" s="1215" t="s">
        <v>69</v>
      </c>
      <c r="AD47" s="477" t="s">
        <v>69</v>
      </c>
      <c r="AE47" s="459">
        <v>8</v>
      </c>
      <c r="AF47" s="477">
        <v>8</v>
      </c>
      <c r="AG47" s="478"/>
      <c r="AH47" s="189"/>
      <c r="AI47" s="190"/>
    </row>
    <row r="48" spans="1:38" ht="22.15" customHeight="1" x14ac:dyDescent="0.2">
      <c r="A48" s="1249">
        <v>9</v>
      </c>
      <c r="B48" s="1202" t="s">
        <v>84</v>
      </c>
      <c r="C48" s="1258" t="s">
        <v>35</v>
      </c>
      <c r="D48" s="1259" t="s">
        <v>35</v>
      </c>
      <c r="E48" s="1259" t="s">
        <v>35</v>
      </c>
      <c r="F48" s="1259" t="s">
        <v>35</v>
      </c>
      <c r="G48" s="1259" t="s">
        <v>35</v>
      </c>
      <c r="H48" s="1259"/>
      <c r="I48" s="1259"/>
      <c r="J48" s="1259">
        <v>1</v>
      </c>
      <c r="K48" s="1259">
        <v>1</v>
      </c>
      <c r="L48" s="1259">
        <v>1</v>
      </c>
      <c r="M48" s="1269">
        <v>1</v>
      </c>
      <c r="N48" s="1269">
        <v>1</v>
      </c>
      <c r="O48" s="1259"/>
      <c r="P48" s="1259"/>
      <c r="Q48" s="1200">
        <v>9</v>
      </c>
      <c r="R48" s="1200">
        <v>9</v>
      </c>
      <c r="S48" s="1200">
        <v>9</v>
      </c>
      <c r="T48" s="1200">
        <v>9</v>
      </c>
      <c r="U48" s="1200">
        <v>9</v>
      </c>
      <c r="V48" s="1200" t="s">
        <v>66</v>
      </c>
      <c r="W48" s="1200" t="s">
        <v>67</v>
      </c>
      <c r="X48" s="1200" t="s">
        <v>35</v>
      </c>
      <c r="Y48" s="1200" t="s">
        <v>35</v>
      </c>
      <c r="Z48" s="1200" t="s">
        <v>35</v>
      </c>
      <c r="AA48" s="1200" t="s">
        <v>35</v>
      </c>
      <c r="AB48" s="1200" t="s">
        <v>35</v>
      </c>
      <c r="AC48" s="1200" t="s">
        <v>68</v>
      </c>
      <c r="AD48" s="1200" t="s">
        <v>69</v>
      </c>
      <c r="AE48" s="1200">
        <v>6</v>
      </c>
      <c r="AF48" s="1200">
        <v>6</v>
      </c>
      <c r="AG48" s="1261"/>
      <c r="AH48" s="189"/>
      <c r="AI48" s="190"/>
    </row>
    <row r="49" spans="1:35" ht="22.15" customHeight="1" thickBot="1" x14ac:dyDescent="0.25">
      <c r="A49" s="1252">
        <v>14</v>
      </c>
      <c r="B49" s="1253" t="s">
        <v>85</v>
      </c>
      <c r="C49" s="1254" t="s">
        <v>35</v>
      </c>
      <c r="D49" s="1255" t="s">
        <v>35</v>
      </c>
      <c r="E49" s="1255" t="s">
        <v>35</v>
      </c>
      <c r="F49" s="1255" t="s">
        <v>35</v>
      </c>
      <c r="G49" s="1263" t="s">
        <v>35</v>
      </c>
      <c r="H49" s="1263"/>
      <c r="I49" s="1263"/>
      <c r="J49" s="1255">
        <v>5</v>
      </c>
      <c r="K49" s="1255">
        <v>5</v>
      </c>
      <c r="L49" s="1255">
        <v>5</v>
      </c>
      <c r="M49" s="1255">
        <v>5</v>
      </c>
      <c r="N49" s="1255">
        <v>5</v>
      </c>
      <c r="O49" s="1254"/>
      <c r="P49" s="1255"/>
      <c r="Q49" s="1255">
        <v>10</v>
      </c>
      <c r="R49" s="1254">
        <v>10</v>
      </c>
      <c r="S49" s="1255">
        <v>10</v>
      </c>
      <c r="T49" s="1255">
        <v>10</v>
      </c>
      <c r="U49" s="1255">
        <v>10</v>
      </c>
      <c r="V49" s="1255" t="s">
        <v>67</v>
      </c>
      <c r="W49" s="1255" t="s">
        <v>67</v>
      </c>
      <c r="X49" s="1254" t="s">
        <v>35</v>
      </c>
      <c r="Y49" s="1255" t="s">
        <v>35</v>
      </c>
      <c r="Z49" s="1255" t="s">
        <v>35</v>
      </c>
      <c r="AA49" s="1255" t="s">
        <v>35</v>
      </c>
      <c r="AB49" s="1255" t="s">
        <v>35</v>
      </c>
      <c r="AC49" s="1254" t="s">
        <v>71</v>
      </c>
      <c r="AD49" s="1255" t="s">
        <v>71</v>
      </c>
      <c r="AE49" s="1255">
        <v>7</v>
      </c>
      <c r="AF49" s="1254">
        <v>7</v>
      </c>
      <c r="AG49" s="1248"/>
      <c r="AH49" s="189"/>
      <c r="AI49" s="190"/>
    </row>
    <row r="50" spans="1:35" ht="22.15" customHeight="1" x14ac:dyDescent="0.2">
      <c r="A50" s="475">
        <v>5</v>
      </c>
      <c r="B50" s="1202" t="s">
        <v>86</v>
      </c>
      <c r="C50" s="459">
        <v>3</v>
      </c>
      <c r="D50" s="477">
        <v>3</v>
      </c>
      <c r="E50" s="477">
        <v>3</v>
      </c>
      <c r="F50" s="459">
        <v>3</v>
      </c>
      <c r="G50" s="459">
        <v>3</v>
      </c>
      <c r="H50" s="459"/>
      <c r="I50" s="459"/>
      <c r="J50" s="459">
        <v>11</v>
      </c>
      <c r="K50" s="477">
        <v>11</v>
      </c>
      <c r="L50" s="477">
        <v>11</v>
      </c>
      <c r="M50" s="477">
        <v>11</v>
      </c>
      <c r="N50" s="477">
        <v>11</v>
      </c>
      <c r="O50" s="458" t="s">
        <v>73</v>
      </c>
      <c r="P50" s="477" t="s">
        <v>73</v>
      </c>
      <c r="Q50" s="477" t="s">
        <v>35</v>
      </c>
      <c r="R50" s="458" t="s">
        <v>35</v>
      </c>
      <c r="S50" s="477" t="s">
        <v>35</v>
      </c>
      <c r="T50" s="477" t="s">
        <v>35</v>
      </c>
      <c r="U50" s="459" t="s">
        <v>35</v>
      </c>
      <c r="V50" s="459" t="s">
        <v>69</v>
      </c>
      <c r="W50" s="459" t="s">
        <v>69</v>
      </c>
      <c r="X50" s="459">
        <v>8</v>
      </c>
      <c r="Y50" s="460">
        <v>8</v>
      </c>
      <c r="Z50" s="459">
        <v>8</v>
      </c>
      <c r="AA50" s="459">
        <v>8</v>
      </c>
      <c r="AB50" s="459">
        <v>8</v>
      </c>
      <c r="AC50" s="459"/>
      <c r="AD50" s="477"/>
      <c r="AE50" s="477" t="s">
        <v>35</v>
      </c>
      <c r="AF50" s="480" t="s">
        <v>35</v>
      </c>
      <c r="AG50" s="486"/>
      <c r="AH50" s="189"/>
      <c r="AI50" s="190"/>
    </row>
    <row r="51" spans="1:35" ht="22.15" customHeight="1" x14ac:dyDescent="0.2">
      <c r="A51" s="1249">
        <v>10</v>
      </c>
      <c r="B51" s="1202" t="s">
        <v>87</v>
      </c>
      <c r="C51" s="1259">
        <v>1</v>
      </c>
      <c r="D51" s="1259">
        <v>1</v>
      </c>
      <c r="E51" s="1270">
        <v>1</v>
      </c>
      <c r="F51" s="1199">
        <v>1</v>
      </c>
      <c r="G51" s="1193">
        <v>1</v>
      </c>
      <c r="H51" s="1193"/>
      <c r="I51" s="1193"/>
      <c r="J51" s="1193">
        <v>9</v>
      </c>
      <c r="K51" s="1193">
        <v>9</v>
      </c>
      <c r="L51" s="1193">
        <v>9</v>
      </c>
      <c r="M51" s="1193">
        <v>9</v>
      </c>
      <c r="N51" s="1193">
        <v>9</v>
      </c>
      <c r="O51" s="1193" t="s">
        <v>66</v>
      </c>
      <c r="P51" s="1193" t="s">
        <v>67</v>
      </c>
      <c r="Q51" s="1200" t="s">
        <v>35</v>
      </c>
      <c r="R51" s="1200" t="s">
        <v>35</v>
      </c>
      <c r="S51" s="1200" t="s">
        <v>35</v>
      </c>
      <c r="T51" s="1200" t="s">
        <v>35</v>
      </c>
      <c r="U51" s="1200" t="s">
        <v>35</v>
      </c>
      <c r="V51" s="1200" t="s">
        <v>68</v>
      </c>
      <c r="W51" s="1200" t="s">
        <v>69</v>
      </c>
      <c r="X51" s="1200">
        <v>6</v>
      </c>
      <c r="Y51" s="1200">
        <v>6</v>
      </c>
      <c r="Z51" s="1200">
        <v>6</v>
      </c>
      <c r="AA51" s="1200">
        <v>6</v>
      </c>
      <c r="AB51" s="1200">
        <v>6</v>
      </c>
      <c r="AC51" s="1200"/>
      <c r="AD51" s="1200"/>
      <c r="AE51" s="1200" t="s">
        <v>35</v>
      </c>
      <c r="AF51" s="1200" t="s">
        <v>35</v>
      </c>
      <c r="AG51" s="1261"/>
      <c r="AH51" s="189"/>
      <c r="AI51" s="190"/>
    </row>
    <row r="52" spans="1:35" ht="22.15" customHeight="1" thickBot="1" x14ac:dyDescent="0.25">
      <c r="A52" s="1252">
        <v>15</v>
      </c>
      <c r="B52" s="1253" t="s">
        <v>88</v>
      </c>
      <c r="C52" s="1255"/>
      <c r="D52" s="1271">
        <v>5</v>
      </c>
      <c r="E52" s="1271">
        <v>5</v>
      </c>
      <c r="F52" s="1272">
        <v>5</v>
      </c>
      <c r="G52" s="1263"/>
      <c r="H52" s="1263"/>
      <c r="I52" s="1263"/>
      <c r="J52" s="1263">
        <v>10</v>
      </c>
      <c r="K52" s="1254">
        <v>10</v>
      </c>
      <c r="L52" s="1255">
        <v>10</v>
      </c>
      <c r="M52" s="1255">
        <v>10</v>
      </c>
      <c r="N52" s="1255">
        <v>10</v>
      </c>
      <c r="O52" s="1255" t="s">
        <v>67</v>
      </c>
      <c r="P52" s="1255" t="s">
        <v>67</v>
      </c>
      <c r="Q52" s="1254" t="s">
        <v>35</v>
      </c>
      <c r="R52" s="1255" t="s">
        <v>35</v>
      </c>
      <c r="S52" s="1255" t="s">
        <v>35</v>
      </c>
      <c r="T52" s="1255" t="s">
        <v>35</v>
      </c>
      <c r="U52" s="1255" t="s">
        <v>35</v>
      </c>
      <c r="V52" s="1255" t="s">
        <v>71</v>
      </c>
      <c r="W52" s="1255" t="s">
        <v>71</v>
      </c>
      <c r="X52" s="1255">
        <v>7</v>
      </c>
      <c r="Y52" s="1254">
        <v>7</v>
      </c>
      <c r="Z52" s="1255">
        <v>7</v>
      </c>
      <c r="AA52" s="1255">
        <v>7</v>
      </c>
      <c r="AB52" s="1255">
        <v>7</v>
      </c>
      <c r="AC52" s="1255"/>
      <c r="AD52" s="1255"/>
      <c r="AE52" s="1254">
        <v>4</v>
      </c>
      <c r="AF52" s="1263">
        <v>4</v>
      </c>
      <c r="AG52" s="1273"/>
      <c r="AH52" s="189"/>
      <c r="AI52" s="190"/>
    </row>
    <row r="53" spans="1:35" ht="22.15" customHeight="1" x14ac:dyDescent="0.2">
      <c r="A53" s="10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1"/>
    </row>
    <row r="54" spans="1:35" ht="22.15" customHeight="1" x14ac:dyDescent="0.2">
      <c r="A54" s="109"/>
      <c r="B54" s="64" t="s">
        <v>89</v>
      </c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  <c r="AH54" s="1"/>
    </row>
    <row r="55" spans="1:35" ht="22.15" customHeight="1" x14ac:dyDescent="0.2">
      <c r="A55" s="1274" t="s">
        <v>28</v>
      </c>
      <c r="B55" s="1274"/>
      <c r="C55" s="1275"/>
      <c r="D55" s="1274" t="s">
        <v>90</v>
      </c>
      <c r="E55" s="1276"/>
      <c r="F55" s="1275"/>
      <c r="G55" s="1274" t="s">
        <v>91</v>
      </c>
      <c r="H55" s="1276"/>
      <c r="I55" s="1275"/>
      <c r="J55" s="1274" t="s">
        <v>92</v>
      </c>
      <c r="K55" s="1276"/>
      <c r="L55" s="1275"/>
      <c r="M55" s="1274" t="s">
        <v>93</v>
      </c>
      <c r="N55" s="1276"/>
      <c r="O55" s="1275"/>
      <c r="P55" s="1274" t="s">
        <v>94</v>
      </c>
      <c r="Q55" s="1276"/>
      <c r="R55" s="1277"/>
      <c r="S55" s="1278" t="s">
        <v>95</v>
      </c>
      <c r="T55" s="1276"/>
      <c r="U55" s="1275"/>
      <c r="V55" s="1274" t="s">
        <v>96</v>
      </c>
      <c r="W55" s="1276"/>
      <c r="X55" s="1279" t="s">
        <v>97</v>
      </c>
      <c r="Y55" s="1276"/>
      <c r="Z55" s="1276"/>
      <c r="AA55" s="1280"/>
      <c r="AB55" s="1169"/>
      <c r="AC55" s="1169"/>
      <c r="AD55" s="1169"/>
      <c r="AE55" s="1169"/>
      <c r="AF55" s="1169"/>
      <c r="AG55" s="1170"/>
      <c r="AH55" s="1"/>
    </row>
    <row r="56" spans="1:35" ht="22.15" customHeight="1" x14ac:dyDescent="0.2">
      <c r="A56" s="1281">
        <v>8517</v>
      </c>
      <c r="B56" s="1282" t="s">
        <v>98</v>
      </c>
      <c r="C56" s="1283" t="s">
        <v>99</v>
      </c>
      <c r="D56" s="1284"/>
      <c r="E56" s="1168"/>
      <c r="F56" s="1283" t="s">
        <v>99</v>
      </c>
      <c r="G56" s="1284"/>
      <c r="H56" s="1168"/>
      <c r="I56" s="1283" t="s">
        <v>99</v>
      </c>
      <c r="J56" s="1284"/>
      <c r="K56" s="1168"/>
      <c r="L56" s="1283" t="s">
        <v>99</v>
      </c>
      <c r="M56" s="1284"/>
      <c r="N56" s="1168"/>
      <c r="O56" s="1283" t="s">
        <v>100</v>
      </c>
      <c r="P56" s="1284"/>
      <c r="Q56" s="1168"/>
      <c r="R56" s="1283" t="s">
        <v>99</v>
      </c>
      <c r="S56" s="1284"/>
      <c r="T56" s="1168"/>
      <c r="U56" s="1283" t="s">
        <v>99</v>
      </c>
      <c r="V56" s="1284"/>
      <c r="W56" s="1168"/>
      <c r="X56" s="1166"/>
      <c r="Y56" s="1169"/>
      <c r="Z56" s="1169"/>
      <c r="AA56" s="1169"/>
      <c r="AB56" s="1169"/>
      <c r="AC56" s="1169"/>
      <c r="AD56" s="1169"/>
      <c r="AE56" s="1169"/>
      <c r="AF56" s="1169"/>
      <c r="AG56" s="1170"/>
      <c r="AH56" s="1"/>
    </row>
    <row r="57" spans="1:35" ht="22.15" customHeight="1" x14ac:dyDescent="0.2">
      <c r="B57" s="1191" t="s">
        <v>101</v>
      </c>
      <c r="C57" s="1285" t="s">
        <v>102</v>
      </c>
      <c r="D57" s="1286"/>
      <c r="E57" s="1287"/>
      <c r="F57" s="1285" t="s">
        <v>102</v>
      </c>
      <c r="G57" s="1288"/>
      <c r="H57" s="1287"/>
      <c r="I57" s="1283" t="s">
        <v>102</v>
      </c>
      <c r="J57" s="1284"/>
      <c r="K57" s="1289"/>
      <c r="L57" s="1283" t="s">
        <v>102</v>
      </c>
      <c r="M57" s="1284"/>
      <c r="N57" s="1289"/>
      <c r="O57" s="1283" t="s">
        <v>103</v>
      </c>
      <c r="P57" s="1284"/>
      <c r="Q57" s="1168"/>
      <c r="R57" s="1290" t="s">
        <v>0</v>
      </c>
      <c r="S57" s="1284"/>
      <c r="T57" s="1289"/>
      <c r="U57" s="1284" t="s">
        <v>0</v>
      </c>
      <c r="V57" s="1284"/>
      <c r="W57" s="1168"/>
      <c r="X57" s="1291" t="s">
        <v>0</v>
      </c>
      <c r="Y57" s="72"/>
      <c r="Z57" s="72"/>
      <c r="AA57" s="72"/>
      <c r="AB57" s="72"/>
      <c r="AC57" s="72"/>
      <c r="AD57" s="72"/>
      <c r="AE57" s="72"/>
      <c r="AF57" s="72"/>
      <c r="AG57" s="111"/>
      <c r="AH57" s="1"/>
    </row>
    <row r="58" spans="1:35" ht="22.15" customHeight="1" x14ac:dyDescent="0.2">
      <c r="A58" s="1292"/>
      <c r="B58" s="1282" t="s">
        <v>104</v>
      </c>
      <c r="C58" s="1283" t="s">
        <v>105</v>
      </c>
      <c r="D58" s="1284"/>
      <c r="E58" s="1168"/>
      <c r="F58" s="1283" t="s">
        <v>105</v>
      </c>
      <c r="G58" s="1284"/>
      <c r="H58" s="1289"/>
      <c r="I58" s="1283" t="s">
        <v>105</v>
      </c>
      <c r="J58" s="1284"/>
      <c r="K58" s="1289"/>
      <c r="L58" s="1283" t="s">
        <v>105</v>
      </c>
      <c r="M58" s="1284"/>
      <c r="N58" s="1289"/>
      <c r="O58" s="1283" t="s">
        <v>106</v>
      </c>
      <c r="P58" s="1284"/>
      <c r="Q58" s="1168"/>
      <c r="R58" s="112"/>
      <c r="S58" s="113"/>
      <c r="T58" s="1289"/>
      <c r="U58" s="1284"/>
      <c r="V58" s="1284"/>
      <c r="W58" s="1168"/>
      <c r="X58" s="1166"/>
      <c r="Y58" s="1169"/>
      <c r="Z58" s="1169"/>
      <c r="AA58" s="1169"/>
      <c r="AB58" s="1169"/>
      <c r="AC58" s="1169"/>
      <c r="AD58" s="1169"/>
      <c r="AE58" s="1169"/>
      <c r="AF58" s="1169"/>
      <c r="AG58" s="1170"/>
      <c r="AH58" s="1"/>
    </row>
    <row r="59" spans="1:35" ht="22.15" customHeight="1" x14ac:dyDescent="0.2">
      <c r="A59" s="1274"/>
      <c r="B59" s="1191" t="s">
        <v>107</v>
      </c>
      <c r="C59" s="1293" t="s">
        <v>108</v>
      </c>
      <c r="D59" s="1293"/>
      <c r="E59" s="1294"/>
      <c r="F59" s="1293" t="s">
        <v>108</v>
      </c>
      <c r="G59" s="1293"/>
      <c r="H59" s="1294"/>
      <c r="I59" s="1293" t="s">
        <v>108</v>
      </c>
      <c r="J59" s="1293"/>
      <c r="K59" s="1294"/>
      <c r="L59" s="1293" t="s">
        <v>108</v>
      </c>
      <c r="M59" s="1293"/>
      <c r="N59" s="1294"/>
      <c r="O59" s="1293" t="s">
        <v>108</v>
      </c>
      <c r="P59" s="1293"/>
      <c r="Q59" s="1294"/>
      <c r="R59" s="1293" t="s">
        <v>108</v>
      </c>
      <c r="S59" s="1293"/>
      <c r="T59" s="1294"/>
      <c r="U59" s="1293" t="s">
        <v>108</v>
      </c>
      <c r="V59" s="1293"/>
      <c r="W59" s="1294"/>
      <c r="X59" s="1166"/>
      <c r="Y59" s="1169"/>
      <c r="Z59" s="1169"/>
      <c r="AA59" s="1169"/>
      <c r="AB59" s="1169"/>
      <c r="AC59" s="1169"/>
      <c r="AD59" s="1169"/>
      <c r="AE59" s="1169"/>
      <c r="AF59" s="1169"/>
      <c r="AG59" s="1170"/>
      <c r="AH59" s="1"/>
    </row>
    <row r="60" spans="1:35" ht="22.15" customHeight="1" x14ac:dyDescent="0.2">
      <c r="A60" s="59"/>
      <c r="B60" s="102"/>
      <c r="C60" s="69"/>
      <c r="D60" s="69"/>
      <c r="E60" s="19"/>
      <c r="F60" s="69"/>
      <c r="G60" s="69"/>
      <c r="H60" s="19"/>
      <c r="I60" s="69"/>
      <c r="J60" s="69"/>
      <c r="K60" s="19"/>
      <c r="L60" s="69"/>
      <c r="M60" s="69"/>
      <c r="N60" s="19"/>
      <c r="O60" s="69"/>
      <c r="P60" s="69"/>
      <c r="Q60" s="19"/>
      <c r="R60" s="69"/>
      <c r="S60" s="69"/>
      <c r="T60" s="19"/>
      <c r="U60" s="69"/>
      <c r="V60" s="69"/>
      <c r="W60" s="19"/>
      <c r="X60" s="19"/>
      <c r="Y60" s="72"/>
      <c r="Z60" s="72"/>
      <c r="AA60" s="72"/>
      <c r="AB60" s="72"/>
      <c r="AC60" s="72"/>
      <c r="AD60" s="72"/>
      <c r="AE60" s="72"/>
      <c r="AF60" s="72"/>
      <c r="AG60" s="72"/>
      <c r="AH60" s="1"/>
    </row>
    <row r="61" spans="1:35" ht="22.15" customHeight="1" thickBot="1" x14ac:dyDescent="0.25">
      <c r="A61" s="1295"/>
      <c r="B61" s="1184" t="s">
        <v>29</v>
      </c>
      <c r="C61" s="1185">
        <v>1</v>
      </c>
      <c r="D61" s="1186">
        <v>2</v>
      </c>
      <c r="E61" s="1186">
        <v>3</v>
      </c>
      <c r="F61" s="1186">
        <v>4</v>
      </c>
      <c r="G61" s="1185">
        <v>5</v>
      </c>
      <c r="H61" s="1185">
        <v>6</v>
      </c>
      <c r="I61" s="1185">
        <v>7</v>
      </c>
      <c r="J61" s="1186">
        <v>8</v>
      </c>
      <c r="K61" s="1186">
        <v>9</v>
      </c>
      <c r="L61" s="1186">
        <v>10</v>
      </c>
      <c r="M61" s="1186">
        <v>11</v>
      </c>
      <c r="N61" s="1186">
        <v>12</v>
      </c>
      <c r="O61" s="1185">
        <v>13</v>
      </c>
      <c r="P61" s="1185">
        <v>14</v>
      </c>
      <c r="Q61" s="1186">
        <v>15</v>
      </c>
      <c r="R61" s="1186">
        <v>16</v>
      </c>
      <c r="S61" s="1186">
        <v>17</v>
      </c>
      <c r="T61" s="1186">
        <v>18</v>
      </c>
      <c r="U61" s="1186">
        <v>19</v>
      </c>
      <c r="V61" s="1185">
        <v>20</v>
      </c>
      <c r="W61" s="1185">
        <v>21</v>
      </c>
      <c r="X61" s="1186">
        <v>22</v>
      </c>
      <c r="Y61" s="1186">
        <v>23</v>
      </c>
      <c r="Z61" s="1186">
        <v>24</v>
      </c>
      <c r="AA61" s="1186">
        <v>25</v>
      </c>
      <c r="AB61" s="1186">
        <v>26</v>
      </c>
      <c r="AC61" s="1185">
        <v>27</v>
      </c>
      <c r="AD61" s="1185">
        <v>28</v>
      </c>
      <c r="AE61" s="1186">
        <v>29</v>
      </c>
      <c r="AF61" s="1186">
        <v>30</v>
      </c>
      <c r="AG61" s="1248"/>
      <c r="AH61" s="1"/>
    </row>
    <row r="62" spans="1:35" ht="22.15" customHeight="1" x14ac:dyDescent="0.2">
      <c r="A62" s="252"/>
      <c r="B62" s="265" t="s">
        <v>109</v>
      </c>
      <c r="C62" s="277"/>
      <c r="D62" s="277" t="s">
        <v>31</v>
      </c>
      <c r="E62" s="277" t="s">
        <v>31</v>
      </c>
      <c r="F62" s="277" t="s">
        <v>31</v>
      </c>
      <c r="G62" s="277"/>
      <c r="H62" s="277"/>
      <c r="I62" s="277"/>
      <c r="J62" s="277" t="s">
        <v>31</v>
      </c>
      <c r="K62" s="277" t="s">
        <v>31</v>
      </c>
      <c r="L62" s="277" t="s">
        <v>31</v>
      </c>
      <c r="M62" s="277" t="s">
        <v>31</v>
      </c>
      <c r="N62" s="277" t="s">
        <v>31</v>
      </c>
      <c r="O62" s="277"/>
      <c r="P62" s="277"/>
      <c r="Q62" s="1296">
        <v>25</v>
      </c>
      <c r="R62" s="1296">
        <v>25</v>
      </c>
      <c r="S62" s="1296">
        <v>25</v>
      </c>
      <c r="T62" s="1296">
        <v>25</v>
      </c>
      <c r="U62" s="1296">
        <v>25</v>
      </c>
      <c r="V62" s="266"/>
      <c r="W62" s="266"/>
      <c r="X62" s="1223">
        <v>26</v>
      </c>
      <c r="Y62" s="1297">
        <v>26</v>
      </c>
      <c r="Z62" s="1223">
        <v>26</v>
      </c>
      <c r="AA62" s="1223">
        <v>26</v>
      </c>
      <c r="AB62" s="1223">
        <v>26</v>
      </c>
      <c r="AC62" s="1223">
        <v>26</v>
      </c>
      <c r="AD62" s="1223">
        <v>26</v>
      </c>
      <c r="AE62" s="477" t="s">
        <v>35</v>
      </c>
      <c r="AF62" s="477" t="s">
        <v>35</v>
      </c>
      <c r="AG62" s="270"/>
      <c r="AH62" s="1"/>
    </row>
    <row r="63" spans="1:35" ht="22.15" customHeight="1" thickBot="1" x14ac:dyDescent="0.25">
      <c r="A63" s="1298"/>
      <c r="B63" s="1250" t="s">
        <v>111</v>
      </c>
      <c r="C63" s="1217" t="s">
        <v>35</v>
      </c>
      <c r="D63" s="1217" t="s">
        <v>35</v>
      </c>
      <c r="E63" s="1217" t="s">
        <v>35</v>
      </c>
      <c r="F63" s="1217" t="s">
        <v>35</v>
      </c>
      <c r="G63" s="1215" t="s">
        <v>47</v>
      </c>
      <c r="H63" s="1215" t="s">
        <v>47</v>
      </c>
      <c r="I63" s="1215" t="s">
        <v>47</v>
      </c>
      <c r="J63" s="1217" t="s">
        <v>35</v>
      </c>
      <c r="K63" s="1217" t="s">
        <v>35</v>
      </c>
      <c r="L63" s="1217" t="s">
        <v>35</v>
      </c>
      <c r="M63" s="1215" t="s">
        <v>35</v>
      </c>
      <c r="N63" s="1217" t="s">
        <v>35</v>
      </c>
      <c r="O63" s="1216" t="s">
        <v>112</v>
      </c>
      <c r="P63" s="1216" t="s">
        <v>112</v>
      </c>
      <c r="Q63" s="1216" t="s">
        <v>35</v>
      </c>
      <c r="R63" s="1216" t="s">
        <v>35</v>
      </c>
      <c r="S63" s="1216" t="s">
        <v>35</v>
      </c>
      <c r="T63" s="1216" t="s">
        <v>35</v>
      </c>
      <c r="U63" s="1215" t="s">
        <v>47</v>
      </c>
      <c r="V63" s="1215" t="s">
        <v>47</v>
      </c>
      <c r="W63" s="1215" t="s">
        <v>47</v>
      </c>
      <c r="X63" s="1215" t="s">
        <v>47</v>
      </c>
      <c r="Y63" s="1299" t="s">
        <v>35</v>
      </c>
      <c r="Z63" s="1299" t="s">
        <v>35</v>
      </c>
      <c r="AA63" s="1300" t="s">
        <v>35</v>
      </c>
      <c r="AB63" s="1216" t="s">
        <v>35</v>
      </c>
      <c r="AC63" s="1216" t="s">
        <v>112</v>
      </c>
      <c r="AD63" s="1216" t="s">
        <v>112</v>
      </c>
      <c r="AE63" s="1223">
        <v>26</v>
      </c>
      <c r="AF63" s="1223">
        <v>26</v>
      </c>
      <c r="AG63" s="1221"/>
      <c r="AH63" s="1"/>
    </row>
    <row r="64" spans="1:35" ht="22.15" customHeight="1" x14ac:dyDescent="0.2">
      <c r="A64" s="1301"/>
      <c r="B64" s="1250" t="s">
        <v>113</v>
      </c>
      <c r="C64" s="459">
        <v>4</v>
      </c>
      <c r="D64" s="459">
        <v>4</v>
      </c>
      <c r="E64" s="477">
        <v>4</v>
      </c>
      <c r="F64" s="458">
        <v>4</v>
      </c>
      <c r="G64" s="458">
        <v>4</v>
      </c>
      <c r="H64" s="458"/>
      <c r="I64" s="458"/>
      <c r="J64" s="461">
        <v>3</v>
      </c>
      <c r="K64" s="461">
        <v>3</v>
      </c>
      <c r="L64" s="461">
        <v>3</v>
      </c>
      <c r="M64" s="461">
        <v>3</v>
      </c>
      <c r="N64" s="461">
        <v>3</v>
      </c>
      <c r="O64" s="458"/>
      <c r="P64" s="458"/>
      <c r="Q64" s="458">
        <v>11</v>
      </c>
      <c r="R64" s="458">
        <v>11</v>
      </c>
      <c r="S64" s="458">
        <v>11</v>
      </c>
      <c r="T64" s="477">
        <v>11</v>
      </c>
      <c r="U64" s="477">
        <v>11</v>
      </c>
      <c r="V64" s="482" t="s">
        <v>73</v>
      </c>
      <c r="W64" s="477" t="s">
        <v>73</v>
      </c>
      <c r="X64" s="477" t="s">
        <v>35</v>
      </c>
      <c r="Y64" s="458" t="s">
        <v>35</v>
      </c>
      <c r="Z64" s="477" t="s">
        <v>35</v>
      </c>
      <c r="AA64" s="1302" t="s">
        <v>342</v>
      </c>
      <c r="AB64" s="1303" t="s">
        <v>342</v>
      </c>
      <c r="AC64" s="477" t="s">
        <v>69</v>
      </c>
      <c r="AD64" s="477" t="s">
        <v>69</v>
      </c>
      <c r="AE64" s="459">
        <v>8</v>
      </c>
      <c r="AF64" s="477">
        <v>8</v>
      </c>
      <c r="AG64" s="1221"/>
      <c r="AH64" s="1"/>
    </row>
    <row r="65" spans="1:34" ht="22.15" customHeight="1" x14ac:dyDescent="0.2">
      <c r="A65" s="1250"/>
      <c r="B65" s="1304" t="s">
        <v>114</v>
      </c>
      <c r="C65" s="1216" t="s">
        <v>31</v>
      </c>
      <c r="D65" s="1305">
        <v>25</v>
      </c>
      <c r="E65" s="1305">
        <v>25</v>
      </c>
      <c r="F65" s="1216">
        <v>25</v>
      </c>
      <c r="G65" s="1216" t="s">
        <v>31</v>
      </c>
      <c r="H65" s="1216"/>
      <c r="I65" s="1217"/>
      <c r="J65" s="1217" t="s">
        <v>236</v>
      </c>
      <c r="K65" s="1296" t="s">
        <v>35</v>
      </c>
      <c r="L65" s="1305">
        <v>6</v>
      </c>
      <c r="M65" s="1296" t="s">
        <v>35</v>
      </c>
      <c r="N65" s="1296" t="s">
        <v>35</v>
      </c>
      <c r="O65" s="1215" t="s">
        <v>47</v>
      </c>
      <c r="P65" s="1215" t="s">
        <v>47</v>
      </c>
      <c r="Q65" s="1296" t="s">
        <v>35</v>
      </c>
      <c r="R65" s="1296" t="s">
        <v>35</v>
      </c>
      <c r="S65" s="1215" t="s">
        <v>47</v>
      </c>
      <c r="T65" s="1296" t="s">
        <v>35</v>
      </c>
      <c r="U65" s="1296" t="s">
        <v>35</v>
      </c>
      <c r="V65" s="1217"/>
      <c r="W65" s="1218"/>
      <c r="X65" s="1296">
        <v>25</v>
      </c>
      <c r="Y65" s="1296">
        <v>25</v>
      </c>
      <c r="Z65" s="1296">
        <v>25</v>
      </c>
      <c r="AA65" s="1296">
        <v>25</v>
      </c>
      <c r="AB65" s="1296">
        <v>25</v>
      </c>
      <c r="AC65" s="1217"/>
      <c r="AD65" s="1217"/>
      <c r="AE65" s="1306" t="s">
        <v>158</v>
      </c>
      <c r="AF65" s="1306" t="s">
        <v>158</v>
      </c>
      <c r="AG65" s="1221"/>
      <c r="AH65" s="1"/>
    </row>
    <row r="66" spans="1:34" ht="22.15" customHeight="1" thickBot="1" x14ac:dyDescent="0.25">
      <c r="A66" s="1250"/>
      <c r="B66" s="1304" t="s">
        <v>115</v>
      </c>
      <c r="C66" s="1217">
        <v>8</v>
      </c>
      <c r="D66" s="1305">
        <v>8</v>
      </c>
      <c r="E66" s="1305">
        <v>8</v>
      </c>
      <c r="F66" s="1216">
        <v>8</v>
      </c>
      <c r="G66" s="1216">
        <v>8</v>
      </c>
      <c r="H66" s="1216"/>
      <c r="I66" s="1217"/>
      <c r="J66" s="1296" t="s">
        <v>35</v>
      </c>
      <c r="K66" s="1296" t="s">
        <v>35</v>
      </c>
      <c r="L66" s="1296" t="s">
        <v>35</v>
      </c>
      <c r="M66" s="1296" t="s">
        <v>35</v>
      </c>
      <c r="N66" s="1215" t="s">
        <v>47</v>
      </c>
      <c r="O66" s="1215" t="s">
        <v>47</v>
      </c>
      <c r="P66" s="1215" t="s">
        <v>47</v>
      </c>
      <c r="Q66" s="1296" t="s">
        <v>35</v>
      </c>
      <c r="R66" s="1296" t="s">
        <v>35</v>
      </c>
      <c r="S66" s="1215" t="s">
        <v>47</v>
      </c>
      <c r="T66" s="1215" t="s">
        <v>47</v>
      </c>
      <c r="U66" s="1296" t="s">
        <v>35</v>
      </c>
      <c r="V66" s="1255" t="s">
        <v>112</v>
      </c>
      <c r="W66" s="1255" t="s">
        <v>112</v>
      </c>
      <c r="X66" s="1255">
        <v>6</v>
      </c>
      <c r="Y66" s="1254">
        <v>26</v>
      </c>
      <c r="Z66" s="1255">
        <v>6</v>
      </c>
      <c r="AA66" s="1255">
        <v>6</v>
      </c>
      <c r="AB66" s="1255">
        <v>6</v>
      </c>
      <c r="AC66" s="1307" t="s">
        <v>288</v>
      </c>
      <c r="AD66" s="1216"/>
      <c r="AE66" s="1216">
        <v>5</v>
      </c>
      <c r="AF66" s="1217">
        <v>5</v>
      </c>
      <c r="AG66" s="1221"/>
      <c r="AH66" s="1"/>
    </row>
    <row r="67" spans="1:34" ht="22.15" customHeight="1" thickBot="1" x14ac:dyDescent="0.25">
      <c r="A67" s="1250"/>
      <c r="B67" s="1250" t="s">
        <v>117</v>
      </c>
      <c r="C67" s="1217">
        <v>26</v>
      </c>
      <c r="D67" s="1217">
        <v>26</v>
      </c>
      <c r="E67" s="1217">
        <v>26</v>
      </c>
      <c r="F67" s="1217">
        <v>26</v>
      </c>
      <c r="G67" s="1223">
        <v>26</v>
      </c>
      <c r="H67" s="1223"/>
      <c r="I67" s="1217"/>
      <c r="J67" s="1217">
        <v>25</v>
      </c>
      <c r="K67" s="1217">
        <v>25</v>
      </c>
      <c r="L67" s="1217">
        <v>25</v>
      </c>
      <c r="M67" s="1217">
        <v>25</v>
      </c>
      <c r="N67" s="1217">
        <v>25</v>
      </c>
      <c r="O67" s="1218"/>
      <c r="P67" s="1218"/>
      <c r="Q67" s="1212" t="s">
        <v>47</v>
      </c>
      <c r="R67" s="1212" t="s">
        <v>47</v>
      </c>
      <c r="S67" s="1296" t="s">
        <v>35</v>
      </c>
      <c r="T67" s="1215" t="s">
        <v>47</v>
      </c>
      <c r="U67" s="1215" t="s">
        <v>47</v>
      </c>
      <c r="V67" s="1217"/>
      <c r="W67" s="1217"/>
      <c r="X67" s="540" t="s">
        <v>110</v>
      </c>
      <c r="Y67" s="540" t="s">
        <v>110</v>
      </c>
      <c r="Z67" s="540" t="s">
        <v>110</v>
      </c>
      <c r="AA67" s="540" t="s">
        <v>110</v>
      </c>
      <c r="AB67" s="541" t="s">
        <v>110</v>
      </c>
      <c r="AC67" s="541" t="s">
        <v>46</v>
      </c>
      <c r="AD67" s="541" t="s">
        <v>46</v>
      </c>
      <c r="AE67" s="1216" t="s">
        <v>35</v>
      </c>
      <c r="AF67" s="1217" t="s">
        <v>35</v>
      </c>
      <c r="AG67" s="1221"/>
      <c r="AH67" s="1"/>
    </row>
    <row r="68" spans="1:34" ht="22.15" customHeight="1" thickBot="1" x14ac:dyDescent="0.25">
      <c r="A68" s="1250"/>
      <c r="B68" s="1304" t="s">
        <v>119</v>
      </c>
      <c r="C68" s="1308" t="s">
        <v>35</v>
      </c>
      <c r="D68" s="1296" t="s">
        <v>35</v>
      </c>
      <c r="E68" s="1215" t="s">
        <v>47</v>
      </c>
      <c r="F68" s="1215" t="s">
        <v>47</v>
      </c>
      <c r="G68" s="1309" t="s">
        <v>35</v>
      </c>
      <c r="H68" s="1309"/>
      <c r="I68" s="1309"/>
      <c r="J68" s="1296" t="s">
        <v>35</v>
      </c>
      <c r="K68" s="1296" t="s">
        <v>35</v>
      </c>
      <c r="L68" s="1215" t="s">
        <v>47</v>
      </c>
      <c r="M68" s="1215" t="s">
        <v>47</v>
      </c>
      <c r="N68" s="1215" t="s">
        <v>47</v>
      </c>
      <c r="O68" s="1216"/>
      <c r="P68" s="1217"/>
      <c r="Q68" s="1254">
        <v>9</v>
      </c>
      <c r="R68" s="1255">
        <v>9</v>
      </c>
      <c r="S68" s="1271">
        <v>9</v>
      </c>
      <c r="T68" s="1255">
        <v>9</v>
      </c>
      <c r="U68" s="1255">
        <v>9</v>
      </c>
      <c r="V68" s="1255" t="s">
        <v>66</v>
      </c>
      <c r="W68" s="1255" t="s">
        <v>67</v>
      </c>
      <c r="X68" s="458" t="s">
        <v>35</v>
      </c>
      <c r="Y68" s="458" t="s">
        <v>35</v>
      </c>
      <c r="Z68" s="458" t="s">
        <v>35</v>
      </c>
      <c r="AA68" s="458" t="s">
        <v>35</v>
      </c>
      <c r="AB68" s="458" t="s">
        <v>35</v>
      </c>
      <c r="AC68" s="1255" t="s">
        <v>68</v>
      </c>
      <c r="AD68" s="1255" t="s">
        <v>69</v>
      </c>
      <c r="AE68" s="1217">
        <v>6</v>
      </c>
      <c r="AF68" s="1217">
        <v>6</v>
      </c>
      <c r="AG68" s="1221"/>
      <c r="AH68" s="1"/>
    </row>
    <row r="69" spans="1:34" ht="22.15" customHeight="1" x14ac:dyDescent="0.2">
      <c r="A69" s="1250"/>
      <c r="B69" s="1304" t="s">
        <v>120</v>
      </c>
      <c r="C69" s="1217" t="s">
        <v>31</v>
      </c>
      <c r="D69" s="1305" t="s">
        <v>31</v>
      </c>
      <c r="E69" s="1305" t="s">
        <v>31</v>
      </c>
      <c r="F69" s="1305" t="s">
        <v>31</v>
      </c>
      <c r="G69" s="1216" t="s">
        <v>31</v>
      </c>
      <c r="H69" s="1216"/>
      <c r="I69" s="1216"/>
      <c r="J69" s="1216">
        <v>3</v>
      </c>
      <c r="K69" s="1216" t="s">
        <v>31</v>
      </c>
      <c r="L69" s="1216">
        <v>3</v>
      </c>
      <c r="M69" s="1216" t="s">
        <v>31</v>
      </c>
      <c r="N69" s="1216" t="s">
        <v>31</v>
      </c>
      <c r="O69" s="1305"/>
      <c r="P69" s="1305"/>
      <c r="Q69" s="1305">
        <v>3</v>
      </c>
      <c r="R69" s="1216" t="s">
        <v>31</v>
      </c>
      <c r="S69" s="1305">
        <v>3</v>
      </c>
      <c r="T69" s="1216" t="s">
        <v>31</v>
      </c>
      <c r="U69" s="1310" t="s">
        <v>343</v>
      </c>
      <c r="V69" s="1310"/>
      <c r="W69" s="1217"/>
      <c r="X69" s="1217">
        <v>4</v>
      </c>
      <c r="Y69" s="1216" t="s">
        <v>31</v>
      </c>
      <c r="Z69" s="1311" t="s">
        <v>156</v>
      </c>
      <c r="AA69" s="1216" t="s">
        <v>31</v>
      </c>
      <c r="AB69" s="1217">
        <v>3</v>
      </c>
      <c r="AC69" s="1217"/>
      <c r="AD69" s="1217"/>
      <c r="AE69" s="1217" t="s">
        <v>31</v>
      </c>
      <c r="AF69" s="1216" t="s">
        <v>31</v>
      </c>
      <c r="AG69" s="1312"/>
      <c r="AH69" s="1"/>
    </row>
    <row r="70" spans="1:34" ht="22.15" customHeight="1" thickBot="1" x14ac:dyDescent="0.25">
      <c r="A70" s="1304"/>
      <c r="B70" s="1313" t="s">
        <v>0</v>
      </c>
      <c r="C70" s="1216"/>
      <c r="D70" s="1217" t="s">
        <v>31</v>
      </c>
      <c r="E70" s="1217" t="s">
        <v>31</v>
      </c>
      <c r="F70" s="1217" t="s">
        <v>31</v>
      </c>
      <c r="G70" s="1217"/>
      <c r="H70" s="1217"/>
      <c r="I70" s="1217"/>
      <c r="J70" s="1217" t="s">
        <v>31</v>
      </c>
      <c r="K70" s="1225" t="s">
        <v>31</v>
      </c>
      <c r="L70" s="1225" t="s">
        <v>31</v>
      </c>
      <c r="M70" s="1216" t="s">
        <v>31</v>
      </c>
      <c r="N70" s="1216" t="s">
        <v>31</v>
      </c>
      <c r="O70" s="1216"/>
      <c r="P70" s="1216"/>
      <c r="Q70" s="1216" t="s">
        <v>31</v>
      </c>
      <c r="R70" s="1225" t="s">
        <v>31</v>
      </c>
      <c r="S70" s="1217" t="s">
        <v>31</v>
      </c>
      <c r="T70" s="1314" t="s">
        <v>31</v>
      </c>
      <c r="U70" s="1314" t="s">
        <v>31</v>
      </c>
      <c r="V70" s="1217"/>
      <c r="W70" s="1217"/>
      <c r="X70" s="1217" t="s">
        <v>31</v>
      </c>
      <c r="Y70" s="1217" t="s">
        <v>31</v>
      </c>
      <c r="Z70" s="1216" t="s">
        <v>31</v>
      </c>
      <c r="AA70" s="1217" t="s">
        <v>31</v>
      </c>
      <c r="AB70" s="1217" t="s">
        <v>31</v>
      </c>
      <c r="AC70" s="1217"/>
      <c r="AD70" s="1217"/>
      <c r="AE70" s="1217" t="s">
        <v>31</v>
      </c>
      <c r="AF70" s="1217" t="s">
        <v>31</v>
      </c>
      <c r="AG70" s="1315"/>
      <c r="AH70" s="1"/>
    </row>
    <row r="71" spans="1:34" ht="22.15" customHeight="1" x14ac:dyDescent="0.2">
      <c r="A71" s="1304"/>
      <c r="B71" s="1316" t="s">
        <v>344</v>
      </c>
      <c r="C71" s="1317">
        <v>26</v>
      </c>
      <c r="D71" s="1317">
        <v>26</v>
      </c>
      <c r="E71" s="1317">
        <v>26</v>
      </c>
      <c r="F71" s="1317">
        <v>26</v>
      </c>
      <c r="G71" s="1317">
        <v>26</v>
      </c>
      <c r="H71" s="1217">
        <v>26</v>
      </c>
      <c r="I71" s="1217">
        <v>26</v>
      </c>
      <c r="J71" s="1217" t="s">
        <v>35</v>
      </c>
      <c r="K71" s="1296" t="s">
        <v>35</v>
      </c>
      <c r="L71" s="1296" t="s">
        <v>35</v>
      </c>
      <c r="M71" s="1219">
        <v>6</v>
      </c>
      <c r="N71" s="1219">
        <v>6</v>
      </c>
      <c r="O71" s="1296" t="s">
        <v>0</v>
      </c>
      <c r="P71" s="1296" t="s">
        <v>0</v>
      </c>
      <c r="Q71" s="1296">
        <v>26</v>
      </c>
      <c r="R71" s="1296">
        <v>26</v>
      </c>
      <c r="S71" s="1217">
        <v>26</v>
      </c>
      <c r="T71" s="1217">
        <v>26</v>
      </c>
      <c r="U71" s="1217">
        <v>26</v>
      </c>
      <c r="V71" s="1217" t="s">
        <v>112</v>
      </c>
      <c r="W71" s="1217" t="s">
        <v>112</v>
      </c>
      <c r="X71" s="458" t="s">
        <v>165</v>
      </c>
      <c r="Y71" s="458" t="s">
        <v>165</v>
      </c>
      <c r="Z71" s="458" t="s">
        <v>165</v>
      </c>
      <c r="AA71" s="458" t="s">
        <v>165</v>
      </c>
      <c r="AB71" s="458" t="s">
        <v>165</v>
      </c>
      <c r="AC71" s="1217"/>
      <c r="AD71" s="1217"/>
      <c r="AE71" s="458" t="s">
        <v>165</v>
      </c>
      <c r="AF71" s="458" t="s">
        <v>165</v>
      </c>
      <c r="AG71" s="1221"/>
      <c r="AH71" s="1"/>
    </row>
    <row r="72" spans="1:34" ht="22.15" customHeight="1" thickBot="1" x14ac:dyDescent="0.25">
      <c r="A72" s="1318"/>
      <c r="B72" s="1214" t="s">
        <v>122</v>
      </c>
      <c r="C72" s="1217" t="s">
        <v>35</v>
      </c>
      <c r="D72" s="1217" t="s">
        <v>35</v>
      </c>
      <c r="E72" s="1217" t="s">
        <v>35</v>
      </c>
      <c r="F72" s="1217" t="s">
        <v>47</v>
      </c>
      <c r="G72" s="1216" t="s">
        <v>35</v>
      </c>
      <c r="H72" s="1216"/>
      <c r="I72" s="1216"/>
      <c r="J72" s="1296" t="s">
        <v>35</v>
      </c>
      <c r="K72" s="1296" t="s">
        <v>35</v>
      </c>
      <c r="L72" s="1215" t="s">
        <v>47</v>
      </c>
      <c r="M72" s="1215" t="s">
        <v>47</v>
      </c>
      <c r="N72" s="1296" t="s">
        <v>35</v>
      </c>
      <c r="O72" s="1216" t="s">
        <v>112</v>
      </c>
      <c r="P72" s="1216"/>
      <c r="Q72" s="1319" t="s">
        <v>31</v>
      </c>
      <c r="R72" s="1216">
        <v>4</v>
      </c>
      <c r="S72" s="1216">
        <v>4</v>
      </c>
      <c r="T72" s="1320">
        <v>4</v>
      </c>
      <c r="U72" s="1320">
        <v>4</v>
      </c>
      <c r="V72" s="1321" t="s">
        <v>0</v>
      </c>
      <c r="W72" s="1321" t="s">
        <v>0</v>
      </c>
      <c r="X72" s="1320">
        <v>25</v>
      </c>
      <c r="Y72" s="1320">
        <v>25</v>
      </c>
      <c r="Z72" s="1320">
        <v>25</v>
      </c>
      <c r="AA72" s="1320">
        <v>25</v>
      </c>
      <c r="AB72" s="1320" t="s">
        <v>345</v>
      </c>
      <c r="AC72" s="1216" t="s">
        <v>112</v>
      </c>
      <c r="AD72" s="1216" t="s">
        <v>112</v>
      </c>
      <c r="AE72" s="1319" t="s">
        <v>31</v>
      </c>
      <c r="AF72" s="1319" t="s">
        <v>31</v>
      </c>
      <c r="AG72" s="1312"/>
      <c r="AH72" s="1"/>
    </row>
    <row r="73" spans="1:34" ht="22.15" customHeight="1" thickBot="1" x14ac:dyDescent="0.25">
      <c r="A73" s="1318"/>
      <c r="B73" s="379" t="s">
        <v>123</v>
      </c>
      <c r="C73" s="1216" t="s">
        <v>31</v>
      </c>
      <c r="D73" s="1322" t="s">
        <v>110</v>
      </c>
      <c r="E73" s="1322" t="s">
        <v>110</v>
      </c>
      <c r="F73" s="1322" t="s">
        <v>110</v>
      </c>
      <c r="G73" s="1322" t="s">
        <v>46</v>
      </c>
      <c r="H73" s="1322" t="s">
        <v>46</v>
      </c>
      <c r="I73" s="1322" t="s">
        <v>46</v>
      </c>
      <c r="J73" s="1296" t="s">
        <v>35</v>
      </c>
      <c r="K73" s="1296" t="s">
        <v>35</v>
      </c>
      <c r="L73" s="1296" t="s">
        <v>35</v>
      </c>
      <c r="M73" s="1296" t="s">
        <v>35</v>
      </c>
      <c r="N73" s="1296" t="s">
        <v>35</v>
      </c>
      <c r="O73" s="1255" t="s">
        <v>0</v>
      </c>
      <c r="P73" s="1255" t="s">
        <v>0</v>
      </c>
      <c r="Q73" s="1299" t="s">
        <v>110</v>
      </c>
      <c r="R73" s="1299" t="s">
        <v>110</v>
      </c>
      <c r="S73" s="1299" t="s">
        <v>110</v>
      </c>
      <c r="T73" s="1299" t="s">
        <v>110</v>
      </c>
      <c r="U73" s="1299" t="s">
        <v>110</v>
      </c>
      <c r="V73" s="541" t="s">
        <v>46</v>
      </c>
      <c r="W73" s="541" t="s">
        <v>46</v>
      </c>
      <c r="X73" s="477" t="s">
        <v>35</v>
      </c>
      <c r="Y73" s="477" t="s">
        <v>35</v>
      </c>
      <c r="Z73" s="477" t="s">
        <v>35</v>
      </c>
      <c r="AA73" s="477" t="s">
        <v>35</v>
      </c>
      <c r="AB73" s="477" t="s">
        <v>35</v>
      </c>
      <c r="AC73" s="1216"/>
      <c r="AD73" s="1216"/>
      <c r="AE73" s="1216">
        <v>69</v>
      </c>
      <c r="AF73" s="1216">
        <v>69</v>
      </c>
      <c r="AG73" s="1312"/>
      <c r="AH73" s="1"/>
    </row>
    <row r="74" spans="1:34" ht="22.15" customHeight="1" x14ac:dyDescent="0.2">
      <c r="A74" s="1318"/>
      <c r="B74" s="379" t="s">
        <v>124</v>
      </c>
      <c r="C74" s="1216" t="s">
        <v>31</v>
      </c>
      <c r="D74" s="1216">
        <v>5</v>
      </c>
      <c r="E74" s="1216">
        <v>5</v>
      </c>
      <c r="F74" s="1216">
        <v>5</v>
      </c>
      <c r="G74" s="1216" t="s">
        <v>31</v>
      </c>
      <c r="H74" s="1216"/>
      <c r="I74" s="1216"/>
      <c r="J74" s="1296">
        <v>26</v>
      </c>
      <c r="K74" s="1296">
        <v>26</v>
      </c>
      <c r="L74" s="1296">
        <v>26</v>
      </c>
      <c r="M74" s="1296">
        <v>26</v>
      </c>
      <c r="N74" s="1296">
        <v>26</v>
      </c>
      <c r="O74" s="1296">
        <v>26</v>
      </c>
      <c r="P74" s="1296">
        <v>26</v>
      </c>
      <c r="Q74" s="1323"/>
      <c r="R74" s="1323"/>
      <c r="S74" s="1323"/>
      <c r="T74" s="1323"/>
      <c r="U74" s="1323"/>
      <c r="V74" s="1323"/>
      <c r="W74" s="1323"/>
      <c r="X74" s="1323"/>
      <c r="Y74" s="1323"/>
      <c r="Z74" s="1323"/>
      <c r="AA74" s="1323"/>
      <c r="AB74" s="1323"/>
      <c r="AC74" s="1323"/>
      <c r="AD74" s="1323"/>
      <c r="AE74" s="1323"/>
      <c r="AF74" s="1323"/>
      <c r="AG74" s="1312"/>
      <c r="AH74" s="1"/>
    </row>
    <row r="75" spans="1:34" ht="22.15" customHeight="1" thickBot="1" x14ac:dyDescent="0.25">
      <c r="A75" s="669"/>
      <c r="B75" s="1301" t="s">
        <v>196</v>
      </c>
      <c r="C75" s="669"/>
      <c r="D75" s="669"/>
      <c r="E75" s="669"/>
      <c r="F75" s="669"/>
      <c r="G75" s="669"/>
      <c r="H75" s="669"/>
      <c r="I75" s="669"/>
      <c r="J75" s="669"/>
      <c r="K75" s="669"/>
      <c r="L75" s="669"/>
      <c r="M75" s="669"/>
      <c r="N75" s="669"/>
      <c r="O75" s="669"/>
      <c r="P75" s="669"/>
      <c r="Q75" s="1296">
        <v>8</v>
      </c>
      <c r="R75" s="1324">
        <v>8</v>
      </c>
      <c r="S75" s="1324">
        <v>8</v>
      </c>
      <c r="T75" s="1324">
        <v>8</v>
      </c>
      <c r="U75" s="1324">
        <v>8</v>
      </c>
      <c r="V75" s="1215" t="s">
        <v>47</v>
      </c>
      <c r="W75" s="1215" t="s">
        <v>47</v>
      </c>
      <c r="X75" s="1296" t="s">
        <v>35</v>
      </c>
      <c r="Y75" s="1296" t="s">
        <v>35</v>
      </c>
      <c r="Z75" s="1296" t="s">
        <v>35</v>
      </c>
      <c r="AA75" s="1296" t="s">
        <v>35</v>
      </c>
      <c r="AB75" s="1296" t="s">
        <v>35</v>
      </c>
      <c r="AC75" s="1215" t="s">
        <v>47</v>
      </c>
      <c r="AD75" s="1215" t="s">
        <v>47</v>
      </c>
      <c r="AE75" s="1215" t="s">
        <v>47</v>
      </c>
      <c r="AF75" s="1299" t="s">
        <v>35</v>
      </c>
      <c r="AG75" s="237"/>
      <c r="AH75" s="1"/>
    </row>
    <row r="76" spans="1:34" ht="22.15" customHeight="1" thickBot="1" x14ac:dyDescent="0.25">
      <c r="A76" s="1325"/>
      <c r="B76" s="1326"/>
      <c r="C76" s="245"/>
      <c r="D76" s="245"/>
      <c r="E76" s="245"/>
      <c r="F76" s="245"/>
      <c r="G76" s="245"/>
      <c r="H76" s="245"/>
      <c r="I76" s="245"/>
      <c r="J76" s="245"/>
      <c r="K76" s="245"/>
      <c r="L76" s="245"/>
      <c r="M76" s="245"/>
      <c r="N76" s="245"/>
      <c r="O76" s="245"/>
      <c r="P76" s="245"/>
      <c r="Q76" s="245"/>
      <c r="R76" s="245"/>
      <c r="S76" s="245"/>
      <c r="T76" s="245"/>
      <c r="U76" s="245"/>
      <c r="V76" s="245"/>
      <c r="W76" s="245"/>
      <c r="X76" s="245"/>
      <c r="Y76" s="245"/>
      <c r="Z76" s="245"/>
      <c r="AA76" s="245"/>
      <c r="AB76" s="245"/>
      <c r="AC76" s="245"/>
      <c r="AD76" s="245"/>
      <c r="AE76" s="245"/>
      <c r="AF76" s="245"/>
      <c r="AG76" s="1327"/>
      <c r="AH76" s="1"/>
    </row>
    <row r="77" spans="1:34" ht="22.15" customHeight="1" thickBot="1" x14ac:dyDescent="0.25">
      <c r="A77" s="377"/>
      <c r="B77" s="378" t="s">
        <v>125</v>
      </c>
      <c r="C77" s="1185">
        <v>1</v>
      </c>
      <c r="D77" s="1186">
        <v>2</v>
      </c>
      <c r="E77" s="1186">
        <v>3</v>
      </c>
      <c r="F77" s="1186">
        <v>4</v>
      </c>
      <c r="G77" s="1185">
        <v>5</v>
      </c>
      <c r="H77" s="1185">
        <v>6</v>
      </c>
      <c r="I77" s="1185">
        <v>7</v>
      </c>
      <c r="J77" s="1186">
        <v>8</v>
      </c>
      <c r="K77" s="1186">
        <v>9</v>
      </c>
      <c r="L77" s="1186">
        <v>10</v>
      </c>
      <c r="M77" s="1186">
        <v>11</v>
      </c>
      <c r="N77" s="1186">
        <v>12</v>
      </c>
      <c r="O77" s="1185">
        <v>13</v>
      </c>
      <c r="P77" s="1185">
        <v>14</v>
      </c>
      <c r="Q77" s="1186">
        <v>15</v>
      </c>
      <c r="R77" s="1186">
        <v>16</v>
      </c>
      <c r="S77" s="1186">
        <v>17</v>
      </c>
      <c r="T77" s="1186">
        <v>18</v>
      </c>
      <c r="U77" s="1186">
        <v>19</v>
      </c>
      <c r="V77" s="1185">
        <v>20</v>
      </c>
      <c r="W77" s="1185">
        <v>21</v>
      </c>
      <c r="X77" s="1186">
        <v>22</v>
      </c>
      <c r="Y77" s="1186">
        <v>23</v>
      </c>
      <c r="Z77" s="1186">
        <v>24</v>
      </c>
      <c r="AA77" s="1186">
        <v>25</v>
      </c>
      <c r="AB77" s="1186">
        <v>26</v>
      </c>
      <c r="AC77" s="1185">
        <v>27</v>
      </c>
      <c r="AD77" s="1185">
        <v>28</v>
      </c>
      <c r="AE77" s="1186">
        <v>29</v>
      </c>
      <c r="AF77" s="1186">
        <v>30</v>
      </c>
      <c r="AG77" s="1248"/>
      <c r="AH77" s="1"/>
    </row>
    <row r="78" spans="1:34" ht="22.15" customHeight="1" thickBot="1" x14ac:dyDescent="0.25">
      <c r="A78" s="379"/>
      <c r="B78" s="1304" t="s">
        <v>126</v>
      </c>
      <c r="C78" s="380" t="s">
        <v>31</v>
      </c>
      <c r="D78" s="1328"/>
      <c r="E78" s="1328"/>
      <c r="F78" s="1193" t="s">
        <v>35</v>
      </c>
      <c r="G78" s="1193" t="s">
        <v>31</v>
      </c>
      <c r="H78" s="1254" t="s">
        <v>71</v>
      </c>
      <c r="I78" s="1255" t="s">
        <v>71</v>
      </c>
      <c r="J78" s="1217" t="s">
        <v>35</v>
      </c>
      <c r="K78" s="1217" t="s">
        <v>35</v>
      </c>
      <c r="L78" s="1296" t="s">
        <v>35</v>
      </c>
      <c r="M78" s="1296" t="s">
        <v>35</v>
      </c>
      <c r="N78" s="1296" t="s">
        <v>35</v>
      </c>
      <c r="O78" s="1255" t="s">
        <v>68</v>
      </c>
      <c r="P78" s="1255" t="s">
        <v>69</v>
      </c>
      <c r="Q78" s="1296">
        <v>22</v>
      </c>
      <c r="R78" s="1296">
        <v>22</v>
      </c>
      <c r="S78" s="1296">
        <v>22</v>
      </c>
      <c r="T78" s="1296">
        <v>22</v>
      </c>
      <c r="U78" s="1329">
        <v>22</v>
      </c>
      <c r="V78" s="1255" t="s">
        <v>0</v>
      </c>
      <c r="W78" s="1255" t="s">
        <v>0</v>
      </c>
      <c r="X78" s="1296" t="s">
        <v>35</v>
      </c>
      <c r="Y78" s="1296" t="s">
        <v>35</v>
      </c>
      <c r="Z78" s="413" t="s">
        <v>223</v>
      </c>
      <c r="AA78" s="1320" t="s">
        <v>81</v>
      </c>
      <c r="AB78" s="1318" t="s">
        <v>35</v>
      </c>
      <c r="AC78" s="1254" t="s">
        <v>71</v>
      </c>
      <c r="AD78" s="1255" t="s">
        <v>71</v>
      </c>
      <c r="AE78" s="1255">
        <v>7</v>
      </c>
      <c r="AF78" s="1254">
        <v>7</v>
      </c>
      <c r="AG78" s="387"/>
      <c r="AH78" s="1"/>
    </row>
    <row r="79" spans="1:34" ht="22.15" customHeight="1" thickBot="1" x14ac:dyDescent="0.25">
      <c r="A79" s="1304"/>
      <c r="B79" s="1330" t="s">
        <v>127</v>
      </c>
      <c r="C79" s="1217" t="s">
        <v>31</v>
      </c>
      <c r="D79" s="1217" t="s">
        <v>31</v>
      </c>
      <c r="E79" s="1217" t="s">
        <v>31</v>
      </c>
      <c r="F79" s="1217">
        <v>11</v>
      </c>
      <c r="G79" s="1217" t="s">
        <v>35</v>
      </c>
      <c r="H79" s="1217"/>
      <c r="I79" s="1217"/>
      <c r="J79" s="1217">
        <v>21</v>
      </c>
      <c r="K79" s="1296">
        <v>21</v>
      </c>
      <c r="L79" s="1296">
        <v>21</v>
      </c>
      <c r="M79" s="1296">
        <v>21</v>
      </c>
      <c r="N79" s="1296">
        <v>21</v>
      </c>
      <c r="O79" s="1296">
        <v>21</v>
      </c>
      <c r="P79" s="1296">
        <v>21</v>
      </c>
      <c r="Q79" s="1217" t="s">
        <v>35</v>
      </c>
      <c r="R79" s="1217" t="s">
        <v>35</v>
      </c>
      <c r="S79" s="1217" t="s">
        <v>35</v>
      </c>
      <c r="T79" s="1217" t="s">
        <v>35</v>
      </c>
      <c r="U79" s="1217" t="s">
        <v>35</v>
      </c>
      <c r="V79" s="1255" t="s">
        <v>68</v>
      </c>
      <c r="W79" s="1255" t="s">
        <v>69</v>
      </c>
      <c r="X79" s="380" t="s">
        <v>35</v>
      </c>
      <c r="Y79" s="380">
        <v>6</v>
      </c>
      <c r="Z79" s="380">
        <v>10</v>
      </c>
      <c r="AA79" s="380" t="s">
        <v>35</v>
      </c>
      <c r="AB79" s="380" t="s">
        <v>35</v>
      </c>
      <c r="AC79" s="1259" t="s">
        <v>66</v>
      </c>
      <c r="AD79" s="1199" t="s">
        <v>67</v>
      </c>
      <c r="AE79" s="1217" t="s">
        <v>35</v>
      </c>
      <c r="AF79" s="1217" t="s">
        <v>35</v>
      </c>
      <c r="AG79" s="1312"/>
      <c r="AH79" s="1"/>
    </row>
    <row r="80" spans="1:34" ht="22.15" customHeight="1" x14ac:dyDescent="0.2">
      <c r="A80" s="1331"/>
      <c r="B80" s="1304" t="s">
        <v>128</v>
      </c>
      <c r="C80" s="1217" t="s">
        <v>31</v>
      </c>
      <c r="D80" s="1217" t="s">
        <v>31</v>
      </c>
      <c r="E80" s="1217" t="s">
        <v>31</v>
      </c>
      <c r="F80" s="1217" t="s">
        <v>31</v>
      </c>
      <c r="G80" s="1217" t="s">
        <v>31</v>
      </c>
      <c r="H80" s="1217"/>
      <c r="I80" s="1217"/>
      <c r="J80" s="1217" t="s">
        <v>31</v>
      </c>
      <c r="K80" s="1225" t="s">
        <v>31</v>
      </c>
      <c r="L80" s="1225" t="s">
        <v>31</v>
      </c>
      <c r="M80" s="1299" t="s">
        <v>31</v>
      </c>
      <c r="N80" s="1299" t="s">
        <v>31</v>
      </c>
      <c r="O80" s="1299"/>
      <c r="P80" s="1299"/>
      <c r="Q80" s="1299" t="s">
        <v>31</v>
      </c>
      <c r="R80" s="1225" t="s">
        <v>31</v>
      </c>
      <c r="S80" s="1217" t="s">
        <v>31</v>
      </c>
      <c r="T80" s="1314" t="s">
        <v>31</v>
      </c>
      <c r="U80" s="1314" t="s">
        <v>31</v>
      </c>
      <c r="V80" s="1217"/>
      <c r="W80" s="1217"/>
      <c r="X80" s="1217" t="s">
        <v>31</v>
      </c>
      <c r="Y80" s="1320" t="s">
        <v>289</v>
      </c>
      <c r="Z80" s="1332" t="s">
        <v>31</v>
      </c>
      <c r="AA80" s="1217" t="s">
        <v>31</v>
      </c>
      <c r="AB80" s="1217" t="s">
        <v>31</v>
      </c>
      <c r="AC80" s="1217"/>
      <c r="AD80" s="1217"/>
      <c r="AE80" s="1217" t="s">
        <v>31</v>
      </c>
      <c r="AF80" s="1217" t="s">
        <v>31</v>
      </c>
      <c r="AG80" s="1315"/>
      <c r="AH80" s="1"/>
    </row>
    <row r="81" spans="1:35" ht="22.15" customHeight="1" thickBot="1" x14ac:dyDescent="0.25">
      <c r="A81" s="691"/>
      <c r="B81" s="692" t="s">
        <v>129</v>
      </c>
      <c r="C81" s="1217" t="s">
        <v>35</v>
      </c>
      <c r="D81" s="1217" t="s">
        <v>35</v>
      </c>
      <c r="E81" s="1217" t="s">
        <v>35</v>
      </c>
      <c r="F81" s="1217" t="s">
        <v>35</v>
      </c>
      <c r="G81" s="693" t="s">
        <v>31</v>
      </c>
      <c r="H81" s="693">
        <v>89</v>
      </c>
      <c r="I81" s="690"/>
      <c r="J81" s="694">
        <v>8</v>
      </c>
      <c r="K81" s="694">
        <v>8</v>
      </c>
      <c r="L81" s="694">
        <v>8</v>
      </c>
      <c r="M81" s="694" t="s">
        <v>346</v>
      </c>
      <c r="N81" s="695">
        <v>8</v>
      </c>
      <c r="O81" s="693"/>
      <c r="P81" s="696"/>
      <c r="Q81" s="1255">
        <v>6</v>
      </c>
      <c r="R81" s="1254">
        <v>6</v>
      </c>
      <c r="S81" s="1255">
        <v>6</v>
      </c>
      <c r="T81" s="1255">
        <v>6</v>
      </c>
      <c r="U81" s="1255">
        <v>6</v>
      </c>
      <c r="V81" s="696"/>
      <c r="W81" s="696"/>
      <c r="X81" s="1258">
        <v>9</v>
      </c>
      <c r="Y81" s="1333">
        <v>9</v>
      </c>
      <c r="Z81" s="1259">
        <v>9</v>
      </c>
      <c r="AA81" s="1259">
        <v>9</v>
      </c>
      <c r="AB81" s="1259">
        <v>9</v>
      </c>
      <c r="AC81" s="1259" t="s">
        <v>0</v>
      </c>
      <c r="AD81" s="1199" t="s">
        <v>0</v>
      </c>
      <c r="AE81" s="696" t="s">
        <v>116</v>
      </c>
      <c r="AF81" s="690">
        <v>25</v>
      </c>
      <c r="AG81" s="218"/>
      <c r="AH81" s="1"/>
    </row>
    <row r="82" spans="1:35" ht="22.15" customHeight="1" thickBot="1" x14ac:dyDescent="0.25">
      <c r="A82" s="223"/>
      <c r="B82" s="279" t="s">
        <v>131</v>
      </c>
      <c r="C82" s="1306" t="s">
        <v>132</v>
      </c>
      <c r="D82" s="1306" t="s">
        <v>132</v>
      </c>
      <c r="E82" s="1306" t="s">
        <v>132</v>
      </c>
      <c r="F82" s="1306" t="s">
        <v>132</v>
      </c>
      <c r="G82" s="1306" t="s">
        <v>132</v>
      </c>
      <c r="H82" s="1306"/>
      <c r="I82" s="1306"/>
      <c r="J82" s="1306" t="s">
        <v>132</v>
      </c>
      <c r="K82" s="1306" t="s">
        <v>132</v>
      </c>
      <c r="L82" s="1306" t="s">
        <v>132</v>
      </c>
      <c r="M82" s="1306" t="s">
        <v>132</v>
      </c>
      <c r="N82" s="1306" t="s">
        <v>132</v>
      </c>
      <c r="O82" s="1306"/>
      <c r="P82" s="1306"/>
      <c r="Q82" s="1306" t="s">
        <v>132</v>
      </c>
      <c r="R82" s="1306" t="s">
        <v>132</v>
      </c>
      <c r="S82" s="1306" t="s">
        <v>132</v>
      </c>
      <c r="T82" s="1306" t="s">
        <v>132</v>
      </c>
      <c r="U82" s="1306" t="s">
        <v>132</v>
      </c>
      <c r="V82" s="1306"/>
      <c r="W82" s="1306"/>
      <c r="X82" s="1306" t="s">
        <v>132</v>
      </c>
      <c r="Y82" s="1306" t="s">
        <v>132</v>
      </c>
      <c r="Z82" s="1306" t="s">
        <v>132</v>
      </c>
      <c r="AA82" s="1306" t="s">
        <v>132</v>
      </c>
      <c r="AB82" s="1306" t="s">
        <v>132</v>
      </c>
      <c r="AC82" s="1306"/>
      <c r="AD82" s="1306"/>
      <c r="AE82" s="1306" t="s">
        <v>132</v>
      </c>
      <c r="AF82" s="1306" t="s">
        <v>132</v>
      </c>
      <c r="AG82" s="1315"/>
      <c r="AH82" s="1"/>
    </row>
    <row r="83" spans="1:35" ht="22.15" customHeight="1" thickBot="1" x14ac:dyDescent="0.25">
      <c r="A83" s="221"/>
      <c r="B83" s="222" t="s">
        <v>133</v>
      </c>
      <c r="C83" s="1193">
        <v>11</v>
      </c>
      <c r="D83" s="1193">
        <v>11</v>
      </c>
      <c r="E83" s="1193">
        <v>11</v>
      </c>
      <c r="F83" s="1198">
        <v>11</v>
      </c>
      <c r="G83" s="1193">
        <v>11</v>
      </c>
      <c r="H83" s="1193" t="s">
        <v>73</v>
      </c>
      <c r="I83" s="1193" t="s">
        <v>73</v>
      </c>
      <c r="J83" s="1193" t="s">
        <v>35</v>
      </c>
      <c r="K83" s="1193" t="s">
        <v>35</v>
      </c>
      <c r="L83" s="1193" t="s">
        <v>35</v>
      </c>
      <c r="M83" s="1193" t="s">
        <v>35</v>
      </c>
      <c r="N83" s="1193" t="s">
        <v>35</v>
      </c>
      <c r="O83" s="1193" t="s">
        <v>69</v>
      </c>
      <c r="P83" s="1193" t="s">
        <v>69</v>
      </c>
      <c r="Q83" s="1204" t="s">
        <v>346</v>
      </c>
      <c r="R83" s="1334">
        <v>8</v>
      </c>
      <c r="S83" s="1334">
        <v>8</v>
      </c>
      <c r="T83" s="1334">
        <v>8</v>
      </c>
      <c r="U83" s="1334">
        <v>8</v>
      </c>
      <c r="V83" s="1193"/>
      <c r="W83" s="1193"/>
      <c r="X83" s="1193" t="s">
        <v>35</v>
      </c>
      <c r="Y83" s="1193" t="s">
        <v>35</v>
      </c>
      <c r="Z83" s="1193" t="s">
        <v>35</v>
      </c>
      <c r="AA83" s="1193" t="s">
        <v>35</v>
      </c>
      <c r="AB83" s="1193" t="s">
        <v>35</v>
      </c>
      <c r="AC83" s="1193"/>
      <c r="AD83" s="1193"/>
      <c r="AE83" s="1193">
        <v>1</v>
      </c>
      <c r="AF83" s="1193">
        <v>1</v>
      </c>
      <c r="AG83" s="219"/>
      <c r="AH83" s="1335"/>
    </row>
    <row r="84" spans="1:35" ht="22.15" customHeight="1" thickBot="1" x14ac:dyDescent="0.25">
      <c r="A84" s="1336" t="s">
        <v>0</v>
      </c>
      <c r="B84" s="1330" t="s">
        <v>347</v>
      </c>
      <c r="C84" s="1337"/>
      <c r="D84" s="1337"/>
      <c r="E84" s="1337"/>
      <c r="F84" s="1338"/>
      <c r="G84" s="1338"/>
      <c r="H84" s="1338"/>
      <c r="I84" s="1338"/>
      <c r="J84" s="1338"/>
      <c r="K84" s="1338"/>
      <c r="L84" s="1338"/>
      <c r="M84" s="1338"/>
      <c r="N84" s="1338"/>
      <c r="O84" s="1338"/>
      <c r="P84" s="1338"/>
      <c r="Q84" s="1299" t="s">
        <v>31</v>
      </c>
      <c r="R84" s="1339" t="s">
        <v>165</v>
      </c>
      <c r="S84" s="1339" t="s">
        <v>165</v>
      </c>
      <c r="T84" s="1324">
        <v>22</v>
      </c>
      <c r="U84" s="1324">
        <v>22</v>
      </c>
      <c r="V84" s="1324">
        <v>22</v>
      </c>
      <c r="W84" s="1324">
        <v>22</v>
      </c>
      <c r="X84" s="1296" t="s">
        <v>35</v>
      </c>
      <c r="Y84" s="1296" t="s">
        <v>35</v>
      </c>
      <c r="Z84" s="1296" t="s">
        <v>35</v>
      </c>
      <c r="AA84" s="1296" t="s">
        <v>35</v>
      </c>
      <c r="AB84" s="1296" t="s">
        <v>35</v>
      </c>
      <c r="AC84" s="1218"/>
      <c r="AD84" s="1218"/>
      <c r="AE84" s="1218">
        <v>23</v>
      </c>
      <c r="AF84" s="1296">
        <v>23</v>
      </c>
      <c r="AG84" s="1340"/>
      <c r="AH84" s="1"/>
    </row>
    <row r="85" spans="1:35" ht="22.15" customHeight="1" x14ac:dyDescent="0.2">
      <c r="A85" s="1336" t="s">
        <v>0</v>
      </c>
      <c r="B85" s="1330" t="s">
        <v>348</v>
      </c>
      <c r="C85" s="1337"/>
      <c r="D85" s="1337"/>
      <c r="E85" s="1337"/>
      <c r="F85" s="1338"/>
      <c r="G85" s="1338"/>
      <c r="H85" s="1338"/>
      <c r="I85" s="1338"/>
      <c r="J85" s="1338"/>
      <c r="K85" s="1338"/>
      <c r="L85" s="1338"/>
      <c r="M85" s="1338"/>
      <c r="N85" s="1338"/>
      <c r="O85" s="1338"/>
      <c r="P85" s="1338"/>
      <c r="Q85" s="1299" t="s">
        <v>0</v>
      </c>
      <c r="R85" s="1299" t="s">
        <v>31</v>
      </c>
      <c r="S85" s="1339" t="s">
        <v>165</v>
      </c>
      <c r="T85" s="1339" t="s">
        <v>165</v>
      </c>
      <c r="U85" s="1339">
        <v>3</v>
      </c>
      <c r="V85" s="1341"/>
      <c r="W85" s="1337"/>
      <c r="X85" s="542">
        <v>8</v>
      </c>
      <c r="Y85" s="543">
        <v>8</v>
      </c>
      <c r="Z85" s="542">
        <v>8</v>
      </c>
      <c r="AA85" s="1296" t="s">
        <v>31</v>
      </c>
      <c r="AB85" s="1296" t="s">
        <v>31</v>
      </c>
      <c r="AC85" s="1341"/>
      <c r="AD85" s="1337"/>
      <c r="AE85" s="1342">
        <v>9</v>
      </c>
      <c r="AF85" s="1342">
        <v>9</v>
      </c>
      <c r="AG85" s="1340"/>
      <c r="AH85" s="1"/>
    </row>
    <row r="86" spans="1:35" ht="22.15" customHeight="1" x14ac:dyDescent="0.2">
      <c r="A86" s="64" t="s">
        <v>134</v>
      </c>
      <c r="AH86" s="1"/>
    </row>
    <row r="87" spans="1:35" ht="22.15" customHeight="1" thickBot="1" x14ac:dyDescent="0.25">
      <c r="A87" s="1343"/>
      <c r="B87" s="1247" t="s">
        <v>29</v>
      </c>
      <c r="C87" s="1185">
        <v>1</v>
      </c>
      <c r="D87" s="1186">
        <v>2</v>
      </c>
      <c r="E87" s="1186">
        <v>3</v>
      </c>
      <c r="F87" s="1186">
        <v>4</v>
      </c>
      <c r="G87" s="1185">
        <v>5</v>
      </c>
      <c r="H87" s="1185">
        <v>6</v>
      </c>
      <c r="I87" s="1185">
        <v>7</v>
      </c>
      <c r="J87" s="1186">
        <v>8</v>
      </c>
      <c r="K87" s="1186">
        <v>9</v>
      </c>
      <c r="L87" s="1186">
        <v>10</v>
      </c>
      <c r="M87" s="1186">
        <v>11</v>
      </c>
      <c r="N87" s="1186">
        <v>12</v>
      </c>
      <c r="O87" s="1185">
        <v>13</v>
      </c>
      <c r="P87" s="1185">
        <v>14</v>
      </c>
      <c r="Q87" s="1186">
        <v>15</v>
      </c>
      <c r="R87" s="1186">
        <v>16</v>
      </c>
      <c r="S87" s="1186">
        <v>17</v>
      </c>
      <c r="T87" s="1186">
        <v>18</v>
      </c>
      <c r="U87" s="1186">
        <v>19</v>
      </c>
      <c r="V87" s="1185">
        <v>20</v>
      </c>
      <c r="W87" s="1185">
        <v>21</v>
      </c>
      <c r="X87" s="1186">
        <v>22</v>
      </c>
      <c r="Y87" s="1186">
        <v>23</v>
      </c>
      <c r="Z87" s="1186">
        <v>24</v>
      </c>
      <c r="AA87" s="1186">
        <v>25</v>
      </c>
      <c r="AB87" s="1186">
        <v>26</v>
      </c>
      <c r="AC87" s="1185">
        <v>27</v>
      </c>
      <c r="AD87" s="1185">
        <v>28</v>
      </c>
      <c r="AE87" s="1186">
        <v>29</v>
      </c>
      <c r="AF87" s="1186">
        <v>30</v>
      </c>
      <c r="AG87" s="1248"/>
      <c r="AH87" s="1"/>
    </row>
    <row r="88" spans="1:35" ht="22.15" customHeight="1" x14ac:dyDescent="0.2">
      <c r="A88" s="487"/>
      <c r="B88" s="488" t="s">
        <v>135</v>
      </c>
      <c r="C88" s="458"/>
      <c r="D88" s="482"/>
      <c r="E88" s="458"/>
      <c r="F88" s="458"/>
      <c r="G88" s="458"/>
      <c r="H88" s="458"/>
      <c r="I88" s="458"/>
      <c r="J88" s="458"/>
      <c r="K88" s="458"/>
      <c r="L88" s="458"/>
      <c r="M88" s="458"/>
      <c r="N88" s="458"/>
      <c r="O88" s="458"/>
      <c r="P88" s="458"/>
      <c r="Q88" s="458"/>
      <c r="R88" s="458"/>
      <c r="S88" s="458"/>
      <c r="T88" s="458"/>
      <c r="U88" s="458"/>
      <c r="V88" s="458"/>
      <c r="W88" s="458"/>
      <c r="X88" s="458"/>
      <c r="Y88" s="458"/>
      <c r="Z88" s="458"/>
      <c r="AA88" s="458"/>
      <c r="AB88" s="458"/>
      <c r="AC88" s="458"/>
      <c r="AD88" s="458"/>
      <c r="AE88" s="458"/>
      <c r="AF88" s="458"/>
      <c r="AG88" s="464"/>
      <c r="AH88" s="1"/>
    </row>
    <row r="89" spans="1:35" ht="22.15" customHeight="1" x14ac:dyDescent="0.2">
      <c r="A89" s="1336">
        <v>2</v>
      </c>
      <c r="B89" s="1330"/>
      <c r="C89" s="1337"/>
      <c r="D89" s="1337"/>
      <c r="E89" s="1337"/>
      <c r="F89" s="1338"/>
      <c r="G89" s="1338"/>
      <c r="H89" s="1338"/>
      <c r="I89" s="1338"/>
      <c r="J89" s="1338"/>
      <c r="K89" s="1338"/>
      <c r="L89" s="1338"/>
      <c r="M89" s="1338"/>
      <c r="N89" s="1338"/>
      <c r="O89" s="1338"/>
      <c r="P89" s="1338"/>
      <c r="Q89" s="1338"/>
      <c r="R89" s="1341"/>
      <c r="S89" s="1341"/>
      <c r="T89" s="1341"/>
      <c r="U89" s="1341"/>
      <c r="V89" s="1341"/>
      <c r="W89" s="1337"/>
      <c r="X89" s="1337"/>
      <c r="Y89" s="1341"/>
      <c r="Z89" s="1341"/>
      <c r="AA89" s="1341"/>
      <c r="AB89" s="1341"/>
      <c r="AC89" s="1341"/>
      <c r="AD89" s="1337"/>
      <c r="AE89" s="1337"/>
      <c r="AF89" s="1344"/>
      <c r="AG89" s="1340"/>
      <c r="AH89" s="1"/>
    </row>
    <row r="90" spans="1:35" ht="22.15" customHeight="1" x14ac:dyDescent="0.2">
      <c r="A90" s="1336">
        <v>3</v>
      </c>
      <c r="B90" s="1345"/>
      <c r="C90" s="1346"/>
      <c r="D90" s="1346"/>
      <c r="E90" s="1346"/>
      <c r="F90" s="1346"/>
      <c r="G90" s="1346"/>
      <c r="H90" s="1346"/>
      <c r="I90" s="1346"/>
      <c r="J90" s="1346"/>
      <c r="K90" s="1346"/>
      <c r="L90" s="1346"/>
      <c r="M90" s="1346"/>
      <c r="N90" s="1346"/>
      <c r="O90" s="1346"/>
      <c r="P90" s="1346"/>
      <c r="Q90" s="1346"/>
      <c r="R90" s="1346"/>
      <c r="S90" s="1346"/>
      <c r="T90" s="1346"/>
      <c r="U90" s="1346"/>
      <c r="V90" s="1346"/>
      <c r="W90" s="1346"/>
      <c r="X90" s="1346"/>
      <c r="Y90" s="1346"/>
      <c r="Z90" s="1346"/>
      <c r="AA90" s="1346"/>
      <c r="AB90" s="1346"/>
      <c r="AC90" s="1346"/>
      <c r="AD90" s="1346"/>
      <c r="AE90" s="1346"/>
      <c r="AF90" s="1347"/>
      <c r="AG90" s="1251"/>
      <c r="AH90" s="1"/>
    </row>
    <row r="91" spans="1:35" ht="22.15" customHeight="1" thickBot="1" x14ac:dyDescent="0.25">
      <c r="A91" s="1336">
        <v>4</v>
      </c>
      <c r="B91" s="1253"/>
      <c r="C91" s="1348"/>
      <c r="D91" s="1348"/>
      <c r="E91" s="1348"/>
      <c r="F91" s="1348"/>
      <c r="G91" s="1348"/>
      <c r="H91" s="1348"/>
      <c r="I91" s="1348"/>
      <c r="J91" s="1348"/>
      <c r="K91" s="1348"/>
      <c r="L91" s="1348"/>
      <c r="M91" s="1348"/>
      <c r="N91" s="1348"/>
      <c r="O91" s="1348"/>
      <c r="P91" s="1348"/>
      <c r="Q91" s="1348"/>
      <c r="R91" s="1349"/>
      <c r="S91" s="1349"/>
      <c r="T91" s="1349"/>
      <c r="U91" s="1348"/>
      <c r="V91" s="1348"/>
      <c r="W91" s="1348"/>
      <c r="X91" s="1348"/>
      <c r="Y91" s="1348"/>
      <c r="Z91" s="1348"/>
      <c r="AA91" s="1348"/>
      <c r="AB91" s="1348"/>
      <c r="AC91" s="1348"/>
      <c r="AD91" s="1348"/>
      <c r="AE91" s="1348"/>
      <c r="AF91" s="1254"/>
      <c r="AG91" s="1248"/>
      <c r="AH91" s="1"/>
    </row>
    <row r="92" spans="1:35" ht="22.15" customHeight="1" thickBot="1" x14ac:dyDescent="0.25">
      <c r="A92" s="176" t="s">
        <v>136</v>
      </c>
      <c r="B92" s="177"/>
      <c r="C92" s="177"/>
      <c r="D92" s="177"/>
      <c r="E92" s="177"/>
      <c r="F92" s="177"/>
      <c r="G92" s="178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  <c r="AI92" s="177"/>
    </row>
    <row r="93" spans="1:35" ht="22.15" customHeight="1" thickBot="1" x14ac:dyDescent="0.25">
      <c r="A93" s="179"/>
      <c r="B93" s="303" t="s">
        <v>137</v>
      </c>
      <c r="C93" s="281"/>
      <c r="D93" s="282" t="s">
        <v>90</v>
      </c>
      <c r="E93" s="283"/>
      <c r="F93" s="284"/>
      <c r="G93" s="281"/>
      <c r="H93" s="282" t="s">
        <v>91</v>
      </c>
      <c r="I93" s="283"/>
      <c r="J93" s="284"/>
      <c r="K93" s="281"/>
      <c r="L93" s="282" t="s">
        <v>92</v>
      </c>
      <c r="M93" s="283"/>
      <c r="N93" s="284"/>
      <c r="O93" s="281"/>
      <c r="P93" s="282" t="s">
        <v>93</v>
      </c>
      <c r="Q93" s="283"/>
      <c r="R93" s="284"/>
      <c r="S93" s="285"/>
      <c r="T93" s="282" t="s">
        <v>94</v>
      </c>
      <c r="U93" s="283"/>
      <c r="V93" s="284"/>
      <c r="W93" s="281"/>
      <c r="X93" s="282" t="s">
        <v>95</v>
      </c>
      <c r="Y93" s="283"/>
      <c r="Z93" s="284"/>
      <c r="AA93" s="281"/>
      <c r="AB93" s="282" t="s">
        <v>96</v>
      </c>
      <c r="AC93" s="283"/>
      <c r="AD93" s="283"/>
      <c r="AE93" s="286" t="s">
        <v>138</v>
      </c>
      <c r="AF93" s="283"/>
      <c r="AG93" s="283"/>
      <c r="AH93" s="283"/>
      <c r="AI93" s="287"/>
    </row>
    <row r="94" spans="1:35" ht="22.15" customHeight="1" x14ac:dyDescent="0.2">
      <c r="A94" s="179"/>
      <c r="B94" s="489" t="s">
        <v>139</v>
      </c>
      <c r="C94" s="490" t="s">
        <v>140</v>
      </c>
      <c r="D94" s="283"/>
      <c r="E94" s="491"/>
      <c r="F94" s="492"/>
      <c r="G94" s="490" t="s">
        <v>140</v>
      </c>
      <c r="H94" s="491"/>
      <c r="I94" s="491"/>
      <c r="J94" s="492"/>
      <c r="K94" s="288" t="s">
        <v>140</v>
      </c>
      <c r="L94" s="283"/>
      <c r="M94" s="283"/>
      <c r="N94" s="289"/>
      <c r="O94" s="288" t="s">
        <v>141</v>
      </c>
      <c r="P94" s="283"/>
      <c r="Q94" s="491"/>
      <c r="R94" s="492"/>
      <c r="S94" s="490" t="s">
        <v>142</v>
      </c>
      <c r="T94" s="491"/>
      <c r="U94" s="491"/>
      <c r="V94" s="493"/>
      <c r="W94" s="494"/>
      <c r="X94" s="495"/>
      <c r="Y94" s="495"/>
      <c r="Z94" s="496"/>
      <c r="AA94" s="493"/>
      <c r="AB94" s="491"/>
      <c r="AC94" s="491"/>
      <c r="AD94" s="493"/>
      <c r="AE94" s="497">
        <v>37</v>
      </c>
      <c r="AF94" s="283"/>
      <c r="AG94" s="491"/>
      <c r="AH94" s="493"/>
      <c r="AI94" s="498"/>
    </row>
    <row r="95" spans="1:35" ht="22.15" customHeight="1" x14ac:dyDescent="0.2">
      <c r="A95" s="179"/>
      <c r="B95" s="1350" t="s">
        <v>143</v>
      </c>
      <c r="C95" s="1351" t="s">
        <v>144</v>
      </c>
      <c r="D95" s="1352"/>
      <c r="E95" s="1352"/>
      <c r="F95" s="1353"/>
      <c r="G95" s="1351" t="s">
        <v>145</v>
      </c>
      <c r="H95" s="1352"/>
      <c r="I95" s="1352"/>
      <c r="J95" s="1353"/>
      <c r="K95" s="1351" t="s">
        <v>146</v>
      </c>
      <c r="L95" s="1354" t="s">
        <v>147</v>
      </c>
      <c r="M95" s="1352"/>
      <c r="N95" s="1353"/>
      <c r="O95" s="1351" t="s">
        <v>146</v>
      </c>
      <c r="P95" s="1354" t="s">
        <v>147</v>
      </c>
      <c r="Q95" s="1352"/>
      <c r="R95" s="1353"/>
      <c r="S95" s="1351" t="s">
        <v>145</v>
      </c>
      <c r="T95" s="1354" t="s">
        <v>148</v>
      </c>
      <c r="U95" s="1352"/>
      <c r="V95" s="1353"/>
      <c r="W95" s="180" t="s">
        <v>149</v>
      </c>
      <c r="X95" s="236" t="s">
        <v>150</v>
      </c>
      <c r="Y95" s="181"/>
      <c r="Z95" s="181"/>
      <c r="AA95" s="1351" t="s">
        <v>151</v>
      </c>
      <c r="AB95" s="1355" t="s">
        <v>152</v>
      </c>
      <c r="AC95" s="1351"/>
      <c r="AD95" s="1351"/>
      <c r="AE95" s="1356">
        <v>68</v>
      </c>
      <c r="AF95" s="1352"/>
      <c r="AG95" s="1357"/>
      <c r="AH95" s="1358"/>
      <c r="AI95" s="1359"/>
    </row>
    <row r="96" spans="1:35" ht="22.15" customHeight="1" x14ac:dyDescent="0.2">
      <c r="A96" s="179"/>
      <c r="B96" s="1350" t="s">
        <v>153</v>
      </c>
      <c r="C96" s="1360" t="s">
        <v>154</v>
      </c>
      <c r="D96" s="1352"/>
      <c r="E96" s="1352"/>
      <c r="F96" s="1353"/>
      <c r="G96" s="1352" t="s">
        <v>154</v>
      </c>
      <c r="H96" s="1352"/>
      <c r="I96" s="1352"/>
      <c r="J96" s="1353"/>
      <c r="K96" s="1352" t="s">
        <v>154</v>
      </c>
      <c r="L96" s="1352"/>
      <c r="M96" s="1352"/>
      <c r="N96" s="1353"/>
      <c r="O96" s="1352" t="s">
        <v>154</v>
      </c>
      <c r="P96" s="1352"/>
      <c r="Q96" s="1352"/>
      <c r="R96" s="1353"/>
      <c r="S96" s="1352" t="s">
        <v>154</v>
      </c>
      <c r="T96" s="1352"/>
      <c r="U96" s="1352"/>
      <c r="V96" s="1353"/>
      <c r="W96" s="1351"/>
      <c r="X96" s="1352"/>
      <c r="Y96" s="1352"/>
      <c r="Z96" s="1353"/>
      <c r="AA96" s="1351"/>
      <c r="AB96" s="1352"/>
      <c r="AC96" s="1352"/>
      <c r="AD96" s="1354"/>
      <c r="AE96" s="1356">
        <v>0</v>
      </c>
      <c r="AF96" s="1357"/>
      <c r="AG96" s="1352"/>
      <c r="AH96" s="1354"/>
      <c r="AI96" s="1361"/>
    </row>
    <row r="97" spans="1:35" ht="22.15" customHeight="1" thickBot="1" x14ac:dyDescent="0.25">
      <c r="A97" s="179"/>
      <c r="B97" s="1362" t="s">
        <v>155</v>
      </c>
      <c r="C97" s="1363" t="s">
        <v>140</v>
      </c>
      <c r="D97" s="1364"/>
      <c r="E97" s="1365"/>
      <c r="F97" s="1366"/>
      <c r="G97" s="1363" t="s">
        <v>140</v>
      </c>
      <c r="H97" s="1364"/>
      <c r="I97" s="1365"/>
      <c r="J97" s="1366"/>
      <c r="K97" s="1363" t="s">
        <v>140</v>
      </c>
      <c r="L97" s="1364"/>
      <c r="M97" s="1365"/>
      <c r="N97" s="1366"/>
      <c r="O97" s="1363" t="s">
        <v>141</v>
      </c>
      <c r="P97" s="1365"/>
      <c r="Q97" s="1365"/>
      <c r="R97" s="1366"/>
      <c r="S97" s="1363" t="s">
        <v>142</v>
      </c>
      <c r="T97" s="1365"/>
      <c r="U97" s="1365"/>
      <c r="V97" s="1367"/>
      <c r="W97" s="1368"/>
      <c r="X97" s="1365"/>
      <c r="Y97" s="1365"/>
      <c r="Z97" s="1369"/>
      <c r="AA97" s="1367"/>
      <c r="AB97" s="1365"/>
      <c r="AC97" s="1365"/>
      <c r="AD97" s="1367"/>
      <c r="AE97" s="1370">
        <v>37</v>
      </c>
      <c r="AF97" s="1365"/>
      <c r="AG97" s="1365"/>
      <c r="AH97" s="1367"/>
      <c r="AI97" s="1371"/>
    </row>
    <row r="98" spans="1:35" ht="22.15" customHeight="1" x14ac:dyDescent="0.2">
      <c r="A98" s="182"/>
      <c r="B98" s="179"/>
      <c r="C98" s="177"/>
      <c r="D98" s="181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  <c r="AI98" s="177"/>
    </row>
    <row r="99" spans="1:35" ht="22.15" customHeight="1" thickBot="1" x14ac:dyDescent="0.25">
      <c r="A99" s="1372"/>
      <c r="B99" s="1373" t="s">
        <v>29</v>
      </c>
      <c r="C99" s="1185">
        <v>1</v>
      </c>
      <c r="D99" s="1186">
        <v>2</v>
      </c>
      <c r="E99" s="1186">
        <v>3</v>
      </c>
      <c r="F99" s="1186">
        <v>4</v>
      </c>
      <c r="G99" s="1185">
        <v>5</v>
      </c>
      <c r="H99" s="1185">
        <v>6</v>
      </c>
      <c r="I99" s="1185">
        <v>7</v>
      </c>
      <c r="J99" s="1186">
        <v>8</v>
      </c>
      <c r="K99" s="1186">
        <v>9</v>
      </c>
      <c r="L99" s="1186">
        <v>10</v>
      </c>
      <c r="M99" s="1186">
        <v>11</v>
      </c>
      <c r="N99" s="1186">
        <v>12</v>
      </c>
      <c r="O99" s="1185">
        <v>13</v>
      </c>
      <c r="P99" s="1185">
        <v>14</v>
      </c>
      <c r="Q99" s="1186">
        <v>15</v>
      </c>
      <c r="R99" s="1186">
        <v>16</v>
      </c>
      <c r="S99" s="1186">
        <v>17</v>
      </c>
      <c r="T99" s="1186">
        <v>18</v>
      </c>
      <c r="U99" s="1186">
        <v>19</v>
      </c>
      <c r="V99" s="1185">
        <v>20</v>
      </c>
      <c r="W99" s="1185">
        <v>21</v>
      </c>
      <c r="X99" s="1186">
        <v>22</v>
      </c>
      <c r="Y99" s="1186">
        <v>23</v>
      </c>
      <c r="Z99" s="1186">
        <v>24</v>
      </c>
      <c r="AA99" s="1186">
        <v>25</v>
      </c>
      <c r="AB99" s="1186">
        <v>26</v>
      </c>
      <c r="AC99" s="1185">
        <v>27</v>
      </c>
      <c r="AD99" s="1185">
        <v>28</v>
      </c>
      <c r="AE99" s="1186">
        <v>29</v>
      </c>
      <c r="AF99" s="1186">
        <v>30</v>
      </c>
      <c r="AG99" s="1248"/>
      <c r="AH99" s="191"/>
      <c r="AI99" s="192"/>
    </row>
    <row r="100" spans="1:35" ht="22.15" customHeight="1" x14ac:dyDescent="0.2">
      <c r="A100" s="499">
        <v>1</v>
      </c>
      <c r="B100" s="476"/>
      <c r="C100" s="541" t="s">
        <v>35</v>
      </c>
      <c r="D100" s="541" t="s">
        <v>35</v>
      </c>
      <c r="E100" s="541" t="s">
        <v>35</v>
      </c>
      <c r="F100" s="541" t="s">
        <v>35</v>
      </c>
      <c r="G100" s="541" t="s">
        <v>35</v>
      </c>
      <c r="H100" s="541"/>
      <c r="I100" s="541"/>
      <c r="J100" s="541" t="s">
        <v>156</v>
      </c>
      <c r="K100" s="541" t="s">
        <v>156</v>
      </c>
      <c r="L100" s="541" t="s">
        <v>156</v>
      </c>
      <c r="M100" s="541" t="s">
        <v>156</v>
      </c>
      <c r="N100" s="541" t="s">
        <v>156</v>
      </c>
      <c r="O100" s="541"/>
      <c r="P100" s="544"/>
      <c r="Q100" s="541" t="s">
        <v>156</v>
      </c>
      <c r="R100" s="541" t="s">
        <v>156</v>
      </c>
      <c r="S100" s="541" t="s">
        <v>156</v>
      </c>
      <c r="T100" s="541" t="s">
        <v>156</v>
      </c>
      <c r="U100" s="541" t="s">
        <v>156</v>
      </c>
      <c r="V100" s="541"/>
      <c r="W100" s="541"/>
      <c r="X100" s="540" t="s">
        <v>110</v>
      </c>
      <c r="Y100" s="540" t="s">
        <v>110</v>
      </c>
      <c r="Z100" s="540" t="s">
        <v>110</v>
      </c>
      <c r="AA100" s="540" t="s">
        <v>110</v>
      </c>
      <c r="AB100" s="541" t="s">
        <v>110</v>
      </c>
      <c r="AC100" s="541" t="s">
        <v>46</v>
      </c>
      <c r="AD100" s="541" t="s">
        <v>46</v>
      </c>
      <c r="AE100" s="541" t="s">
        <v>35</v>
      </c>
      <c r="AF100" s="541" t="s">
        <v>35</v>
      </c>
      <c r="AG100" s="545"/>
      <c r="AH100" s="193"/>
      <c r="AI100" s="194"/>
    </row>
    <row r="101" spans="1:35" ht="22.15" customHeight="1" x14ac:dyDescent="0.2">
      <c r="A101" s="1374">
        <v>2</v>
      </c>
      <c r="B101" s="1202" t="s">
        <v>157</v>
      </c>
      <c r="C101" s="1375" t="s">
        <v>46</v>
      </c>
      <c r="D101" s="1376" t="s">
        <v>110</v>
      </c>
      <c r="E101" s="1375" t="s">
        <v>110</v>
      </c>
      <c r="F101" s="1375" t="s">
        <v>110</v>
      </c>
      <c r="G101" s="1375" t="s">
        <v>46</v>
      </c>
      <c r="H101" s="1375" t="s">
        <v>46</v>
      </c>
      <c r="I101" s="1375" t="s">
        <v>46</v>
      </c>
      <c r="J101" s="1375" t="s">
        <v>35</v>
      </c>
      <c r="K101" s="1199" t="s">
        <v>35</v>
      </c>
      <c r="L101" s="1215" t="s">
        <v>35</v>
      </c>
      <c r="M101" s="1215" t="s">
        <v>35</v>
      </c>
      <c r="N101" s="1215" t="s">
        <v>35</v>
      </c>
      <c r="O101" s="1215"/>
      <c r="P101" s="1215"/>
      <c r="Q101" s="1259">
        <v>1</v>
      </c>
      <c r="R101" s="1259">
        <v>1</v>
      </c>
      <c r="S101" s="1259">
        <v>1</v>
      </c>
      <c r="T101" s="1259">
        <v>1</v>
      </c>
      <c r="U101" s="1259">
        <v>1</v>
      </c>
      <c r="V101" s="1377"/>
      <c r="W101" s="1377"/>
      <c r="X101" s="1215" t="s">
        <v>47</v>
      </c>
      <c r="Y101" s="1215" t="s">
        <v>47</v>
      </c>
      <c r="Z101" s="1215" t="s">
        <v>47</v>
      </c>
      <c r="AA101" s="1259" t="s">
        <v>35</v>
      </c>
      <c r="AB101" s="1259" t="s">
        <v>35</v>
      </c>
      <c r="AC101" s="1377"/>
      <c r="AD101" s="1377"/>
      <c r="AE101" s="1377" t="s">
        <v>110</v>
      </c>
      <c r="AF101" s="1377" t="s">
        <v>110</v>
      </c>
      <c r="AG101" s="1378"/>
      <c r="AH101" s="193"/>
      <c r="AI101" s="194"/>
    </row>
    <row r="102" spans="1:35" ht="22.15" customHeight="1" thickBot="1" x14ac:dyDescent="0.25">
      <c r="A102" s="1374">
        <v>3</v>
      </c>
      <c r="B102" s="1379" t="s">
        <v>159</v>
      </c>
      <c r="C102" s="1215" t="s">
        <v>47</v>
      </c>
      <c r="D102" s="1376" t="s">
        <v>47</v>
      </c>
      <c r="E102" s="1267" t="s">
        <v>156</v>
      </c>
      <c r="F102" s="1260" t="s">
        <v>156</v>
      </c>
      <c r="G102" s="1260" t="s">
        <v>156</v>
      </c>
      <c r="H102" s="1260"/>
      <c r="I102" s="1260"/>
      <c r="J102" s="1375" t="s">
        <v>110</v>
      </c>
      <c r="K102" s="1375" t="s">
        <v>110</v>
      </c>
      <c r="L102" s="1375" t="s">
        <v>110</v>
      </c>
      <c r="M102" s="1375" t="s">
        <v>110</v>
      </c>
      <c r="N102" s="1259" t="s">
        <v>110</v>
      </c>
      <c r="O102" s="1259" t="s">
        <v>46</v>
      </c>
      <c r="P102" s="1259" t="s">
        <v>46</v>
      </c>
      <c r="Q102" s="1259" t="s">
        <v>35</v>
      </c>
      <c r="R102" s="1259" t="s">
        <v>35</v>
      </c>
      <c r="S102" s="1380" t="s">
        <v>35</v>
      </c>
      <c r="T102" s="1380" t="s">
        <v>35</v>
      </c>
      <c r="U102" s="1215" t="s">
        <v>35</v>
      </c>
      <c r="V102" s="1215"/>
      <c r="W102" s="1215"/>
      <c r="X102" s="1215" t="s">
        <v>35</v>
      </c>
      <c r="Y102" s="1259" t="s">
        <v>35</v>
      </c>
      <c r="Z102" s="1215" t="s">
        <v>47</v>
      </c>
      <c r="AA102" s="1215" t="s">
        <v>47</v>
      </c>
      <c r="AB102" s="1215" t="s">
        <v>47</v>
      </c>
      <c r="AC102" s="1380"/>
      <c r="AD102" s="1311"/>
      <c r="AE102" s="1381" t="s">
        <v>243</v>
      </c>
      <c r="AF102" s="1381" t="s">
        <v>243</v>
      </c>
      <c r="AG102" s="1328"/>
      <c r="AH102" s="193"/>
      <c r="AI102" s="194"/>
    </row>
    <row r="103" spans="1:35" ht="22.15" customHeight="1" thickBot="1" x14ac:dyDescent="0.25">
      <c r="A103" s="1382">
        <v>4</v>
      </c>
      <c r="B103" s="1383"/>
      <c r="C103" s="1384" t="s">
        <v>156</v>
      </c>
      <c r="D103" s="1384" t="s">
        <v>156</v>
      </c>
      <c r="E103" s="1384" t="s">
        <v>156</v>
      </c>
      <c r="F103" s="1384" t="s">
        <v>156</v>
      </c>
      <c r="G103" s="1384" t="s">
        <v>156</v>
      </c>
      <c r="H103" s="1384"/>
      <c r="I103" s="1384"/>
      <c r="J103" s="1384" t="s">
        <v>156</v>
      </c>
      <c r="K103" s="1384" t="s">
        <v>156</v>
      </c>
      <c r="L103" s="1384" t="s">
        <v>156</v>
      </c>
      <c r="M103" s="1384" t="s">
        <v>156</v>
      </c>
      <c r="N103" s="1384" t="s">
        <v>156</v>
      </c>
      <c r="O103" s="1384" t="s">
        <v>0</v>
      </c>
      <c r="P103" s="1384" t="s">
        <v>0</v>
      </c>
      <c r="Q103" s="1384" t="s">
        <v>110</v>
      </c>
      <c r="R103" s="1384" t="s">
        <v>110</v>
      </c>
      <c r="S103" s="1384" t="s">
        <v>110</v>
      </c>
      <c r="T103" s="1384" t="s">
        <v>110</v>
      </c>
      <c r="U103" s="1384" t="s">
        <v>110</v>
      </c>
      <c r="V103" s="1384" t="s">
        <v>46</v>
      </c>
      <c r="W103" s="1384" t="s">
        <v>46</v>
      </c>
      <c r="X103" s="1384" t="s">
        <v>35</v>
      </c>
      <c r="Y103" s="1384" t="s">
        <v>35</v>
      </c>
      <c r="Z103" s="1384" t="s">
        <v>35</v>
      </c>
      <c r="AA103" s="1381" t="s">
        <v>35</v>
      </c>
      <c r="AB103" s="1381" t="s">
        <v>35</v>
      </c>
      <c r="AC103" s="1381"/>
      <c r="AD103" s="1381"/>
      <c r="AE103" s="1381" t="s">
        <v>156</v>
      </c>
      <c r="AF103" s="1384" t="s">
        <v>156</v>
      </c>
      <c r="AG103" s="1385"/>
      <c r="AH103" s="193"/>
      <c r="AI103" s="194"/>
    </row>
    <row r="104" spans="1:35" ht="22.15" customHeight="1" thickBot="1" x14ac:dyDescent="0.25">
      <c r="A104" s="231"/>
      <c r="B104" s="232"/>
      <c r="C104" s="233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3"/>
      <c r="U104" s="233"/>
      <c r="V104" s="233"/>
      <c r="W104" s="233"/>
      <c r="X104" s="233"/>
      <c r="Y104" s="233"/>
      <c r="Z104" s="233"/>
      <c r="AA104" s="233"/>
      <c r="AB104" s="233"/>
      <c r="AC104" s="233"/>
      <c r="AD104" s="233"/>
      <c r="AE104" s="233"/>
      <c r="AF104" s="233"/>
      <c r="AG104" s="234"/>
      <c r="AH104" s="235"/>
      <c r="AI104" s="194"/>
    </row>
    <row r="105" spans="1:35" ht="22.15" customHeight="1" x14ac:dyDescent="0.2">
      <c r="A105" s="72"/>
      <c r="B105" s="304" t="s">
        <v>160</v>
      </c>
      <c r="C105" s="500"/>
      <c r="D105" s="501" t="s">
        <v>90</v>
      </c>
      <c r="E105" s="502"/>
      <c r="F105" s="500"/>
      <c r="G105" s="503" t="s">
        <v>91</v>
      </c>
      <c r="H105" s="504"/>
      <c r="I105" s="505"/>
      <c r="J105" s="503" t="s">
        <v>92</v>
      </c>
      <c r="K105" s="506"/>
      <c r="L105" s="505"/>
      <c r="M105" s="507" t="s">
        <v>93</v>
      </c>
      <c r="N105" s="506"/>
      <c r="O105" s="505"/>
      <c r="P105" s="503" t="s">
        <v>94</v>
      </c>
      <c r="Q105" s="508"/>
      <c r="R105" s="505"/>
      <c r="S105" s="503" t="s">
        <v>95</v>
      </c>
      <c r="T105" s="509"/>
      <c r="U105" s="505"/>
      <c r="V105" s="503" t="s">
        <v>96</v>
      </c>
      <c r="W105" s="508"/>
      <c r="X105" s="510" t="s">
        <v>138</v>
      </c>
      <c r="Y105" s="511"/>
      <c r="Z105" s="511"/>
      <c r="AA105" s="512"/>
      <c r="AB105" s="290" t="s">
        <v>97</v>
      </c>
      <c r="AC105" s="291"/>
      <c r="AD105" s="291"/>
      <c r="AE105" s="292"/>
      <c r="AF105" s="292"/>
      <c r="AG105" s="293"/>
      <c r="AH105" s="235"/>
      <c r="AI105" s="194"/>
    </row>
    <row r="106" spans="1:35" ht="22.15" customHeight="1" x14ac:dyDescent="0.2">
      <c r="A106" s="72"/>
      <c r="B106" s="1386" t="s">
        <v>161</v>
      </c>
      <c r="C106" s="1387" t="s">
        <v>162</v>
      </c>
      <c r="D106" s="1169"/>
      <c r="E106" s="1170"/>
      <c r="F106" s="1387" t="s">
        <v>162</v>
      </c>
      <c r="G106" s="1169"/>
      <c r="H106" s="1170"/>
      <c r="I106" s="1387" t="s">
        <v>162</v>
      </c>
      <c r="J106" s="1169"/>
      <c r="K106" s="1170"/>
      <c r="L106" s="1387" t="s">
        <v>162</v>
      </c>
      <c r="M106" s="1169"/>
      <c r="N106" s="1170"/>
      <c r="O106" s="1387" t="s">
        <v>163</v>
      </c>
      <c r="P106" s="1169"/>
      <c r="Q106" s="1170"/>
      <c r="R106" s="1387"/>
      <c r="S106" s="1169"/>
      <c r="T106" s="1170"/>
      <c r="U106" s="1387"/>
      <c r="V106" s="1169"/>
      <c r="W106" s="1170"/>
      <c r="X106" s="1387"/>
      <c r="Y106" s="1388"/>
      <c r="Z106" s="1388"/>
      <c r="AA106" s="1388"/>
      <c r="AB106" s="1166"/>
      <c r="AC106" s="1388"/>
      <c r="AD106" s="1388"/>
      <c r="AE106" s="1388"/>
      <c r="AF106" s="1388"/>
      <c r="AG106" s="1389"/>
      <c r="AH106" s="235"/>
      <c r="AI106" s="194"/>
    </row>
    <row r="107" spans="1:35" ht="22.15" customHeight="1" x14ac:dyDescent="0.2">
      <c r="A107" s="72"/>
      <c r="B107" s="17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235"/>
      <c r="AI107" s="194"/>
    </row>
    <row r="108" spans="1:35" ht="22.15" customHeight="1" thickBot="1" x14ac:dyDescent="0.25">
      <c r="A108" s="1343" t="s">
        <v>28</v>
      </c>
      <c r="B108" s="1247" t="s">
        <v>29</v>
      </c>
      <c r="C108" s="1185">
        <v>1</v>
      </c>
      <c r="D108" s="1186">
        <v>2</v>
      </c>
      <c r="E108" s="1186">
        <v>3</v>
      </c>
      <c r="F108" s="1186">
        <v>4</v>
      </c>
      <c r="G108" s="1185">
        <v>5</v>
      </c>
      <c r="H108" s="1185">
        <v>6</v>
      </c>
      <c r="I108" s="1185">
        <v>7</v>
      </c>
      <c r="J108" s="1186">
        <v>8</v>
      </c>
      <c r="K108" s="1186">
        <v>9</v>
      </c>
      <c r="L108" s="1186">
        <v>10</v>
      </c>
      <c r="M108" s="1186">
        <v>11</v>
      </c>
      <c r="N108" s="1186">
        <v>12</v>
      </c>
      <c r="O108" s="1185">
        <v>13</v>
      </c>
      <c r="P108" s="1185">
        <v>14</v>
      </c>
      <c r="Q108" s="1186">
        <v>15</v>
      </c>
      <c r="R108" s="1186">
        <v>16</v>
      </c>
      <c r="S108" s="1186">
        <v>17</v>
      </c>
      <c r="T108" s="1186">
        <v>18</v>
      </c>
      <c r="U108" s="1186">
        <v>19</v>
      </c>
      <c r="V108" s="1185">
        <v>20</v>
      </c>
      <c r="W108" s="1185">
        <v>21</v>
      </c>
      <c r="X108" s="1186">
        <v>22</v>
      </c>
      <c r="Y108" s="1186">
        <v>23</v>
      </c>
      <c r="Z108" s="1186">
        <v>24</v>
      </c>
      <c r="AA108" s="1186">
        <v>25</v>
      </c>
      <c r="AB108" s="1186">
        <v>26</v>
      </c>
      <c r="AC108" s="1185">
        <v>27</v>
      </c>
      <c r="AD108" s="1185">
        <v>28</v>
      </c>
      <c r="AE108" s="1186">
        <v>29</v>
      </c>
      <c r="AF108" s="1186">
        <v>30</v>
      </c>
      <c r="AG108" s="1248"/>
      <c r="AH108" s="235"/>
      <c r="AI108" s="194"/>
    </row>
    <row r="109" spans="1:35" ht="22.15" customHeight="1" x14ac:dyDescent="0.2">
      <c r="A109" s="513">
        <v>8520</v>
      </c>
      <c r="B109" s="514" t="s">
        <v>164</v>
      </c>
      <c r="C109" s="458"/>
      <c r="D109" s="546" t="s">
        <v>165</v>
      </c>
      <c r="E109" s="458" t="s">
        <v>165</v>
      </c>
      <c r="F109" s="458" t="s">
        <v>165</v>
      </c>
      <c r="G109" s="458"/>
      <c r="H109" s="458"/>
      <c r="I109" s="458"/>
      <c r="J109" s="458" t="s">
        <v>165</v>
      </c>
      <c r="K109" s="458" t="s">
        <v>165</v>
      </c>
      <c r="L109" s="547" t="s">
        <v>165</v>
      </c>
      <c r="M109" s="458" t="s">
        <v>165</v>
      </c>
      <c r="N109" s="458" t="s">
        <v>165</v>
      </c>
      <c r="O109" s="458"/>
      <c r="P109" s="458"/>
      <c r="Q109" s="458" t="s">
        <v>165</v>
      </c>
      <c r="R109" s="458" t="s">
        <v>165</v>
      </c>
      <c r="S109" s="458" t="s">
        <v>165</v>
      </c>
      <c r="T109" s="458" t="s">
        <v>165</v>
      </c>
      <c r="U109" s="458" t="s">
        <v>165</v>
      </c>
      <c r="V109" s="458"/>
      <c r="W109" s="458"/>
      <c r="X109" s="532" t="s">
        <v>165</v>
      </c>
      <c r="Y109" s="532" t="s">
        <v>165</v>
      </c>
      <c r="Z109" s="532" t="s">
        <v>165</v>
      </c>
      <c r="AA109" s="532" t="s">
        <v>165</v>
      </c>
      <c r="AB109" s="532" t="s">
        <v>165</v>
      </c>
      <c r="AC109" s="532"/>
      <c r="AD109" s="532"/>
      <c r="AE109" s="532" t="s">
        <v>165</v>
      </c>
      <c r="AF109" s="532" t="s">
        <v>165</v>
      </c>
      <c r="AG109" s="464"/>
      <c r="AH109" s="235"/>
      <c r="AI109" s="194"/>
    </row>
    <row r="110" spans="1:35" ht="22.15" customHeight="1" x14ac:dyDescent="0.2">
      <c r="A110" s="243"/>
      <c r="B110" s="242"/>
      <c r="C110" s="229"/>
      <c r="D110" s="229"/>
      <c r="E110" s="229"/>
      <c r="F110" s="229"/>
      <c r="G110" s="229"/>
      <c r="H110" s="229"/>
      <c r="I110" s="229"/>
      <c r="J110" s="229"/>
      <c r="K110" s="229"/>
      <c r="L110" s="229"/>
      <c r="M110" s="229"/>
      <c r="N110" s="229"/>
      <c r="O110" s="229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35"/>
      <c r="AI110" s="194"/>
    </row>
    <row r="111" spans="1:35" ht="22.15" customHeight="1" x14ac:dyDescent="0.2">
      <c r="AH111" s="107"/>
      <c r="AI111" s="107"/>
    </row>
    <row r="112" spans="1:35" ht="22.15" customHeight="1" thickBot="1" x14ac:dyDescent="0.25">
      <c r="A112" s="173" t="s">
        <v>166</v>
      </c>
      <c r="B112" s="174"/>
      <c r="C112" s="174"/>
      <c r="D112" s="175"/>
      <c r="E112" s="175"/>
      <c r="F112" s="175"/>
      <c r="G112" s="10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4"/>
      <c r="AI112" s="174"/>
    </row>
    <row r="113" spans="1:35" ht="22.15" customHeight="1" x14ac:dyDescent="0.2">
      <c r="A113" s="173"/>
      <c r="B113" s="304" t="s">
        <v>167</v>
      </c>
      <c r="C113" s="515"/>
      <c r="D113" s="516" t="s">
        <v>90</v>
      </c>
      <c r="E113" s="517"/>
      <c r="F113" s="518"/>
      <c r="G113" s="515"/>
      <c r="H113" s="516" t="s">
        <v>91</v>
      </c>
      <c r="I113" s="517"/>
      <c r="J113" s="518"/>
      <c r="K113" s="515"/>
      <c r="L113" s="516" t="s">
        <v>92</v>
      </c>
      <c r="M113" s="517"/>
      <c r="N113" s="518"/>
      <c r="O113" s="515"/>
      <c r="P113" s="516" t="s">
        <v>93</v>
      </c>
      <c r="Q113" s="517"/>
      <c r="R113" s="518"/>
      <c r="S113" s="515"/>
      <c r="T113" s="516" t="s">
        <v>94</v>
      </c>
      <c r="U113" s="517"/>
      <c r="V113" s="518"/>
      <c r="W113" s="515"/>
      <c r="X113" s="516" t="s">
        <v>95</v>
      </c>
      <c r="Y113" s="517"/>
      <c r="Z113" s="518"/>
      <c r="AA113" s="515"/>
      <c r="AB113" s="516" t="s">
        <v>96</v>
      </c>
      <c r="AC113" s="517"/>
      <c r="AD113" s="517"/>
      <c r="AE113" s="519" t="s">
        <v>97</v>
      </c>
      <c r="AF113" s="517"/>
      <c r="AG113" s="517"/>
      <c r="AH113" s="517"/>
      <c r="AI113" s="520"/>
    </row>
    <row r="114" spans="1:35" ht="22.15" customHeight="1" x14ac:dyDescent="0.2">
      <c r="A114" s="173"/>
      <c r="B114" s="1390" t="s">
        <v>139</v>
      </c>
      <c r="C114" s="1391">
        <v>69</v>
      </c>
      <c r="D114" s="1392" t="s">
        <v>168</v>
      </c>
      <c r="E114" s="1392"/>
      <c r="F114" s="1393"/>
      <c r="G114" s="1391">
        <v>69</v>
      </c>
      <c r="H114" s="1392" t="s">
        <v>168</v>
      </c>
      <c r="I114" s="1392"/>
      <c r="J114" s="1393"/>
      <c r="K114" s="1391">
        <v>69</v>
      </c>
      <c r="L114" s="1392" t="s">
        <v>168</v>
      </c>
      <c r="M114" s="1392"/>
      <c r="N114" s="1393"/>
      <c r="O114" s="1391">
        <v>69</v>
      </c>
      <c r="P114" s="1392" t="s">
        <v>168</v>
      </c>
      <c r="Q114" s="1392"/>
      <c r="R114" s="1393"/>
      <c r="S114" s="1391">
        <v>69</v>
      </c>
      <c r="T114" s="1392" t="s">
        <v>168</v>
      </c>
      <c r="U114" s="1392"/>
      <c r="V114" s="1393"/>
      <c r="W114" s="1391"/>
      <c r="X114" s="1394"/>
      <c r="Y114" s="1394"/>
      <c r="Z114" s="1395"/>
      <c r="AA114" s="1391"/>
      <c r="AB114" s="1392"/>
      <c r="AC114" s="1392"/>
      <c r="AD114" s="1284"/>
      <c r="AE114" s="1396">
        <v>35</v>
      </c>
      <c r="AF114" s="1392"/>
      <c r="AG114" s="1392"/>
      <c r="AH114" s="1284"/>
      <c r="AI114" s="1397"/>
    </row>
    <row r="115" spans="1:35" ht="22.15" customHeight="1" x14ac:dyDescent="0.2">
      <c r="A115" s="173"/>
      <c r="B115" s="1390" t="s">
        <v>143</v>
      </c>
      <c r="C115" s="1391">
        <v>79</v>
      </c>
      <c r="D115" s="1392" t="s">
        <v>169</v>
      </c>
      <c r="E115" s="1392"/>
      <c r="F115" s="1393"/>
      <c r="G115" s="1391">
        <v>79</v>
      </c>
      <c r="H115" s="1392" t="s">
        <v>169</v>
      </c>
      <c r="I115" s="1392"/>
      <c r="J115" s="1393"/>
      <c r="K115" s="1391">
        <v>79</v>
      </c>
      <c r="L115" s="1392" t="s">
        <v>169</v>
      </c>
      <c r="M115" s="1392"/>
      <c r="N115" s="1393"/>
      <c r="O115" s="1391">
        <v>79</v>
      </c>
      <c r="P115" s="1392" t="s">
        <v>169</v>
      </c>
      <c r="Q115" s="1392"/>
      <c r="R115" s="1393"/>
      <c r="S115" s="1391">
        <v>79</v>
      </c>
      <c r="T115" s="1392" t="s">
        <v>169</v>
      </c>
      <c r="U115" s="1392"/>
      <c r="V115" s="1393"/>
      <c r="W115" s="1391"/>
      <c r="X115" s="1392"/>
      <c r="Y115" s="1392"/>
      <c r="Z115" s="1393"/>
      <c r="AA115" s="1392"/>
      <c r="AB115" s="1392"/>
      <c r="AC115" s="1392"/>
      <c r="AD115" s="1284"/>
      <c r="AE115" s="1396">
        <v>40</v>
      </c>
      <c r="AF115" s="1392"/>
      <c r="AG115" s="1392"/>
      <c r="AH115" s="1284"/>
      <c r="AI115" s="1397"/>
    </row>
    <row r="116" spans="1:35" ht="22.15" customHeight="1" x14ac:dyDescent="0.2">
      <c r="A116" s="173"/>
      <c r="B116" s="1390" t="s">
        <v>153</v>
      </c>
      <c r="C116" s="1391">
        <v>89</v>
      </c>
      <c r="D116" s="1392" t="s">
        <v>170</v>
      </c>
      <c r="E116" s="1392"/>
      <c r="F116" s="1393"/>
      <c r="G116" s="1391">
        <v>89</v>
      </c>
      <c r="H116" s="1392" t="s">
        <v>170</v>
      </c>
      <c r="I116" s="1392"/>
      <c r="J116" s="1393"/>
      <c r="K116" s="1391">
        <v>89</v>
      </c>
      <c r="L116" s="1392" t="s">
        <v>170</v>
      </c>
      <c r="M116" s="1392"/>
      <c r="N116" s="1393"/>
      <c r="O116" s="1391">
        <v>89</v>
      </c>
      <c r="P116" s="1392" t="s">
        <v>170</v>
      </c>
      <c r="Q116" s="1392"/>
      <c r="R116" s="1393"/>
      <c r="S116" s="1391">
        <v>89</v>
      </c>
      <c r="T116" s="1392" t="s">
        <v>171</v>
      </c>
      <c r="U116" s="1392"/>
      <c r="V116" s="1393"/>
      <c r="W116" s="1398"/>
      <c r="X116" s="1399" t="s">
        <v>172</v>
      </c>
      <c r="Y116" s="1399"/>
      <c r="Z116" s="1400"/>
      <c r="AA116" s="1398"/>
      <c r="AB116" s="1399"/>
      <c r="AC116" s="1399"/>
      <c r="AD116" s="1286"/>
      <c r="AE116" s="1396">
        <v>44</v>
      </c>
      <c r="AF116" s="1392"/>
      <c r="AG116" s="1392"/>
      <c r="AH116" s="1284"/>
      <c r="AI116" s="1397"/>
    </row>
    <row r="117" spans="1:35" ht="22.15" customHeight="1" x14ac:dyDescent="0.2">
      <c r="A117" s="173"/>
      <c r="B117" s="38" t="s">
        <v>155</v>
      </c>
      <c r="C117" s="1398">
        <v>99</v>
      </c>
      <c r="D117" s="1399" t="s">
        <v>173</v>
      </c>
      <c r="E117" s="1399"/>
      <c r="F117" s="1400"/>
      <c r="G117" s="1398">
        <v>99</v>
      </c>
      <c r="H117" s="1399" t="s">
        <v>173</v>
      </c>
      <c r="I117" s="1399"/>
      <c r="J117" s="1400"/>
      <c r="K117" s="1398">
        <v>99</v>
      </c>
      <c r="L117" s="1399" t="s">
        <v>173</v>
      </c>
      <c r="M117" s="1399"/>
      <c r="N117" s="1400"/>
      <c r="O117" s="1398">
        <v>99</v>
      </c>
      <c r="P117" s="1399" t="s">
        <v>173</v>
      </c>
      <c r="Q117" s="1399"/>
      <c r="R117" s="1400"/>
      <c r="S117" s="1398">
        <v>99</v>
      </c>
      <c r="T117" s="1399" t="s">
        <v>154</v>
      </c>
      <c r="U117" s="1399"/>
      <c r="V117" s="1286"/>
      <c r="W117" s="1285"/>
      <c r="X117" s="1286"/>
      <c r="Y117" s="1399"/>
      <c r="Z117" s="1400"/>
      <c r="AA117" s="1285"/>
      <c r="AB117" s="1286"/>
      <c r="AC117" s="1399"/>
      <c r="AD117" s="1400"/>
      <c r="AE117" s="1401">
        <v>28</v>
      </c>
      <c r="AF117" s="1399"/>
      <c r="AG117" s="1399"/>
      <c r="AH117" s="1286"/>
      <c r="AI117" s="1402"/>
    </row>
    <row r="118" spans="1:35" ht="22.15" customHeight="1" thickBot="1" x14ac:dyDescent="0.25">
      <c r="A118" s="173"/>
      <c r="B118" s="1403" t="s">
        <v>174</v>
      </c>
      <c r="C118" s="1404" t="s">
        <v>175</v>
      </c>
      <c r="D118" s="1405" t="s">
        <v>176</v>
      </c>
      <c r="E118" s="1406"/>
      <c r="F118" s="1240"/>
      <c r="G118" s="1404" t="s">
        <v>175</v>
      </c>
      <c r="H118" s="1405" t="s">
        <v>176</v>
      </c>
      <c r="I118" s="1238"/>
      <c r="J118" s="1406"/>
      <c r="K118" s="1404" t="s">
        <v>175</v>
      </c>
      <c r="L118" s="1405" t="s">
        <v>176</v>
      </c>
      <c r="M118" s="1406"/>
      <c r="N118" s="1407"/>
      <c r="O118" s="1404" t="s">
        <v>175</v>
      </c>
      <c r="P118" s="1405" t="s">
        <v>176</v>
      </c>
      <c r="Q118" s="1406"/>
      <c r="R118" s="1405"/>
      <c r="S118" s="1404" t="s">
        <v>175</v>
      </c>
      <c r="T118" s="1242" t="s">
        <v>177</v>
      </c>
      <c r="U118" s="1405"/>
      <c r="V118" s="1407"/>
      <c r="W118" s="1406"/>
      <c r="X118" s="1405"/>
      <c r="Y118" s="1405"/>
      <c r="Z118" s="1405"/>
      <c r="AA118" s="1408"/>
      <c r="AB118" s="1409"/>
      <c r="AC118" s="1405"/>
      <c r="AD118" s="1410"/>
      <c r="AE118" s="1405"/>
      <c r="AF118" s="1405"/>
      <c r="AG118" s="1405"/>
      <c r="AH118" s="1411"/>
      <c r="AI118" s="1412"/>
    </row>
    <row r="119" spans="1:35" ht="22.15" customHeight="1" x14ac:dyDescent="0.2">
      <c r="A119" s="108"/>
      <c r="B119" s="173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4"/>
      <c r="AI119" s="174"/>
    </row>
    <row r="120" spans="1:35" ht="22.15" customHeight="1" thickBot="1" x14ac:dyDescent="0.25">
      <c r="A120" s="1343"/>
      <c r="B120" s="1247" t="s">
        <v>29</v>
      </c>
      <c r="C120" s="1185">
        <v>1</v>
      </c>
      <c r="D120" s="1186">
        <v>2</v>
      </c>
      <c r="E120" s="1186">
        <v>3</v>
      </c>
      <c r="F120" s="1186">
        <v>4</v>
      </c>
      <c r="G120" s="1185">
        <v>5</v>
      </c>
      <c r="H120" s="1185">
        <v>6</v>
      </c>
      <c r="I120" s="1185">
        <v>7</v>
      </c>
      <c r="J120" s="1186">
        <v>8</v>
      </c>
      <c r="K120" s="1186">
        <v>9</v>
      </c>
      <c r="L120" s="1186">
        <v>10</v>
      </c>
      <c r="M120" s="1186">
        <v>11</v>
      </c>
      <c r="N120" s="1186">
        <v>12</v>
      </c>
      <c r="O120" s="1185">
        <v>13</v>
      </c>
      <c r="P120" s="1185">
        <v>14</v>
      </c>
      <c r="Q120" s="1186">
        <v>15</v>
      </c>
      <c r="R120" s="1186">
        <v>16</v>
      </c>
      <c r="S120" s="1186">
        <v>17</v>
      </c>
      <c r="T120" s="1186">
        <v>18</v>
      </c>
      <c r="U120" s="1186">
        <v>19</v>
      </c>
      <c r="V120" s="1185">
        <v>20</v>
      </c>
      <c r="W120" s="1185">
        <v>21</v>
      </c>
      <c r="X120" s="1186">
        <v>22</v>
      </c>
      <c r="Y120" s="1186">
        <v>23</v>
      </c>
      <c r="Z120" s="1186">
        <v>24</v>
      </c>
      <c r="AA120" s="1186">
        <v>25</v>
      </c>
      <c r="AB120" s="1186">
        <v>26</v>
      </c>
      <c r="AC120" s="1185">
        <v>27</v>
      </c>
      <c r="AD120" s="1185">
        <v>28</v>
      </c>
      <c r="AE120" s="1186">
        <v>29</v>
      </c>
      <c r="AF120" s="1186">
        <v>30</v>
      </c>
      <c r="AG120" s="1248"/>
      <c r="AH120" s="184"/>
      <c r="AI120" s="185"/>
    </row>
    <row r="121" spans="1:35" ht="22.15" customHeight="1" x14ac:dyDescent="0.2">
      <c r="A121" s="521">
        <v>1</v>
      </c>
      <c r="B121" s="522" t="s">
        <v>178</v>
      </c>
      <c r="C121" s="477"/>
      <c r="D121" s="458" t="s">
        <v>175</v>
      </c>
      <c r="E121" s="458" t="s">
        <v>175</v>
      </c>
      <c r="F121" s="458" t="s">
        <v>175</v>
      </c>
      <c r="G121" s="459"/>
      <c r="H121" s="477"/>
      <c r="I121" s="459"/>
      <c r="J121" s="1413">
        <v>69</v>
      </c>
      <c r="K121" s="1413">
        <v>69</v>
      </c>
      <c r="L121" s="1414">
        <v>69</v>
      </c>
      <c r="M121" s="1413">
        <v>69</v>
      </c>
      <c r="N121" s="1413">
        <v>69</v>
      </c>
      <c r="O121" s="477"/>
      <c r="P121" s="477"/>
      <c r="Q121" s="1413">
        <v>79</v>
      </c>
      <c r="R121" s="1413">
        <v>79</v>
      </c>
      <c r="S121" s="1413">
        <v>79</v>
      </c>
      <c r="T121" s="1413">
        <v>79</v>
      </c>
      <c r="U121" s="1413">
        <v>79</v>
      </c>
      <c r="V121" s="477"/>
      <c r="W121" s="477"/>
      <c r="X121" s="458">
        <v>89</v>
      </c>
      <c r="Y121" s="458">
        <v>89</v>
      </c>
      <c r="Z121" s="458">
        <v>89</v>
      </c>
      <c r="AA121" s="458">
        <v>89</v>
      </c>
      <c r="AB121" s="458">
        <v>89</v>
      </c>
      <c r="AC121" s="477" t="s">
        <v>0</v>
      </c>
      <c r="AD121" s="477"/>
      <c r="AE121" s="1413">
        <v>79</v>
      </c>
      <c r="AF121" s="1413">
        <v>79</v>
      </c>
      <c r="AG121" s="478"/>
      <c r="AH121" s="215"/>
      <c r="AI121" s="107"/>
    </row>
    <row r="122" spans="1:35" ht="22.15" customHeight="1" thickBot="1" x14ac:dyDescent="0.25">
      <c r="A122" s="1415">
        <v>2</v>
      </c>
      <c r="B122" s="1330" t="s">
        <v>179</v>
      </c>
      <c r="C122" s="1199"/>
      <c r="D122" s="1259">
        <v>69</v>
      </c>
      <c r="E122" s="1259">
        <v>69</v>
      </c>
      <c r="F122" s="1259">
        <v>69</v>
      </c>
      <c r="G122" s="1259"/>
      <c r="H122" s="1259"/>
      <c r="I122" s="1259"/>
      <c r="J122" s="1259">
        <v>79</v>
      </c>
      <c r="K122" s="1259">
        <v>79</v>
      </c>
      <c r="L122" s="1258">
        <v>79</v>
      </c>
      <c r="M122" s="1258">
        <v>79</v>
      </c>
      <c r="N122" s="1259">
        <v>79</v>
      </c>
      <c r="O122" s="1259"/>
      <c r="P122" s="1259"/>
      <c r="Q122" s="1377">
        <v>89</v>
      </c>
      <c r="R122" s="1377">
        <v>89</v>
      </c>
      <c r="S122" s="1377">
        <v>89</v>
      </c>
      <c r="T122" s="1377">
        <v>89</v>
      </c>
      <c r="U122" s="1377">
        <v>89</v>
      </c>
      <c r="V122" s="1377">
        <v>89</v>
      </c>
      <c r="W122" s="1377"/>
      <c r="X122" s="1377">
        <v>99</v>
      </c>
      <c r="Y122" s="1377">
        <v>99</v>
      </c>
      <c r="Z122" s="1377">
        <v>99</v>
      </c>
      <c r="AA122" s="1377">
        <v>99</v>
      </c>
      <c r="AB122" s="1377" t="s">
        <v>35</v>
      </c>
      <c r="AC122" s="1377">
        <v>89</v>
      </c>
      <c r="AD122" s="1377"/>
      <c r="AE122" s="1377" t="s">
        <v>175</v>
      </c>
      <c r="AF122" s="1377" t="s">
        <v>175</v>
      </c>
      <c r="AG122" s="1416"/>
      <c r="AH122" s="216"/>
      <c r="AI122" s="172"/>
    </row>
    <row r="123" spans="1:35" ht="22.15" customHeight="1" x14ac:dyDescent="0.2">
      <c r="A123" s="1415">
        <v>3</v>
      </c>
      <c r="B123" s="1330" t="s">
        <v>180</v>
      </c>
      <c r="C123" s="1413"/>
      <c r="D123" s="1413">
        <v>79</v>
      </c>
      <c r="E123" s="1413">
        <v>79</v>
      </c>
      <c r="F123" s="1413">
        <v>79</v>
      </c>
      <c r="G123" s="1413"/>
      <c r="H123" s="1413"/>
      <c r="I123" s="1413"/>
      <c r="J123" s="1413">
        <v>89</v>
      </c>
      <c r="K123" s="1413">
        <v>89</v>
      </c>
      <c r="L123" s="1413">
        <v>89</v>
      </c>
      <c r="M123" s="1413">
        <v>89</v>
      </c>
      <c r="N123" s="1413">
        <v>89</v>
      </c>
      <c r="O123" s="1413" t="s">
        <v>0</v>
      </c>
      <c r="P123" s="1413"/>
      <c r="Q123" s="458">
        <v>99</v>
      </c>
      <c r="R123" s="458">
        <v>1</v>
      </c>
      <c r="S123" s="458">
        <v>1</v>
      </c>
      <c r="T123" s="458">
        <v>1</v>
      </c>
      <c r="U123" s="548">
        <v>1</v>
      </c>
      <c r="V123" s="1413"/>
      <c r="W123" s="1413"/>
      <c r="X123" s="1413">
        <v>79</v>
      </c>
      <c r="Y123" s="1413" t="s">
        <v>175</v>
      </c>
      <c r="Z123" s="1413">
        <v>79</v>
      </c>
      <c r="AA123" s="1413">
        <v>79</v>
      </c>
      <c r="AB123" s="1413">
        <v>79</v>
      </c>
      <c r="AC123" s="1413"/>
      <c r="AD123" s="1413"/>
      <c r="AE123" s="1414">
        <v>69</v>
      </c>
      <c r="AF123" s="1414">
        <v>69</v>
      </c>
      <c r="AG123" s="1417"/>
      <c r="AH123" s="215"/>
      <c r="AI123" s="107"/>
    </row>
    <row r="124" spans="1:35" ht="22.15" customHeight="1" thickBot="1" x14ac:dyDescent="0.25">
      <c r="A124" s="1415">
        <v>4</v>
      </c>
      <c r="B124" s="1330"/>
      <c r="C124" s="1344"/>
      <c r="D124" s="1344">
        <v>89</v>
      </c>
      <c r="E124" s="1344">
        <v>89</v>
      </c>
      <c r="F124" s="1258">
        <v>89</v>
      </c>
      <c r="G124" s="1258"/>
      <c r="H124" s="1258">
        <v>89</v>
      </c>
      <c r="I124" s="1258"/>
      <c r="J124" s="1258">
        <v>99</v>
      </c>
      <c r="K124" s="1259">
        <v>99</v>
      </c>
      <c r="L124" s="1258">
        <v>99</v>
      </c>
      <c r="M124" s="1258">
        <v>99</v>
      </c>
      <c r="N124" s="1258" t="s">
        <v>35</v>
      </c>
      <c r="O124" s="1258"/>
      <c r="P124" s="1258"/>
      <c r="Q124" s="1344" t="s">
        <v>175</v>
      </c>
      <c r="R124" s="1344" t="s">
        <v>175</v>
      </c>
      <c r="S124" s="1258" t="s">
        <v>175</v>
      </c>
      <c r="T124" s="1258" t="s">
        <v>181</v>
      </c>
      <c r="U124" s="1258" t="s">
        <v>181</v>
      </c>
      <c r="V124" s="1258"/>
      <c r="W124" s="1258"/>
      <c r="X124" s="1258">
        <v>69</v>
      </c>
      <c r="Y124" s="1344">
        <v>69</v>
      </c>
      <c r="Z124" s="1311">
        <v>69</v>
      </c>
      <c r="AA124" s="1258">
        <v>69</v>
      </c>
      <c r="AB124" s="1258">
        <v>69</v>
      </c>
      <c r="AC124" s="1258"/>
      <c r="AD124" s="1258"/>
      <c r="AE124" s="1258">
        <v>79</v>
      </c>
      <c r="AF124" s="1344">
        <v>79</v>
      </c>
      <c r="AG124" s="1418"/>
      <c r="AH124" s="215"/>
      <c r="AI124" s="107"/>
    </row>
    <row r="125" spans="1:35" ht="22.15" customHeight="1" thickBot="1" x14ac:dyDescent="0.25">
      <c r="A125" s="1419">
        <v>5</v>
      </c>
      <c r="B125" s="1420" t="s">
        <v>182</v>
      </c>
      <c r="C125" s="1421"/>
      <c r="D125" s="1413">
        <v>79</v>
      </c>
      <c r="E125" s="1413">
        <v>79</v>
      </c>
      <c r="F125" s="1413">
        <v>79</v>
      </c>
      <c r="G125" s="1255" t="s">
        <v>35</v>
      </c>
      <c r="H125" s="1255"/>
      <c r="I125" s="1255"/>
      <c r="J125" s="458" t="s">
        <v>175</v>
      </c>
      <c r="K125" s="458" t="s">
        <v>175</v>
      </c>
      <c r="L125" s="458" t="s">
        <v>175</v>
      </c>
      <c r="M125" s="458" t="s">
        <v>175</v>
      </c>
      <c r="N125" s="458" t="s">
        <v>175</v>
      </c>
      <c r="O125" s="1421"/>
      <c r="P125" s="1421"/>
      <c r="Q125" s="1413">
        <v>69</v>
      </c>
      <c r="R125" s="1413">
        <v>69</v>
      </c>
      <c r="S125" s="1413">
        <v>69</v>
      </c>
      <c r="T125" s="1413">
        <v>69</v>
      </c>
      <c r="U125" s="1270">
        <v>69</v>
      </c>
      <c r="V125" s="1421"/>
      <c r="W125" s="1421"/>
      <c r="X125" s="1413">
        <v>79</v>
      </c>
      <c r="Y125" s="1413">
        <v>79</v>
      </c>
      <c r="Z125" s="1413">
        <v>79</v>
      </c>
      <c r="AA125" s="1413">
        <v>79</v>
      </c>
      <c r="AB125" s="1413">
        <v>79</v>
      </c>
      <c r="AC125" s="1421"/>
      <c r="AD125" s="1421"/>
      <c r="AE125" s="458">
        <v>89</v>
      </c>
      <c r="AF125" s="458">
        <v>89</v>
      </c>
      <c r="AG125" s="1422"/>
      <c r="AH125" s="215"/>
      <c r="AI125" s="107"/>
    </row>
    <row r="126" spans="1:35" ht="22.15" customHeight="1" x14ac:dyDescent="0.2">
      <c r="A126" s="256"/>
      <c r="B126" s="257"/>
      <c r="C126" s="258"/>
      <c r="D126" s="258"/>
      <c r="E126" s="258"/>
      <c r="F126" s="229"/>
      <c r="G126" s="255"/>
      <c r="H126" s="255"/>
      <c r="I126" s="255"/>
      <c r="J126" s="255"/>
      <c r="K126" s="255"/>
      <c r="L126" s="229"/>
      <c r="M126" s="229"/>
      <c r="N126" s="258"/>
      <c r="O126" s="258"/>
      <c r="P126" s="258"/>
      <c r="Q126" s="258"/>
      <c r="R126" s="258"/>
      <c r="S126" s="229"/>
      <c r="T126" s="259"/>
      <c r="U126" s="258"/>
      <c r="V126" s="258"/>
      <c r="W126" s="258"/>
      <c r="X126" s="258"/>
      <c r="Y126" s="258"/>
      <c r="Z126" s="260"/>
      <c r="AA126" s="260"/>
      <c r="AB126" s="258"/>
      <c r="AC126" s="258"/>
      <c r="AD126" s="258"/>
      <c r="AE126" s="258"/>
      <c r="AF126" s="258"/>
      <c r="AG126" s="260"/>
      <c r="AH126" s="215"/>
      <c r="AI126" s="107"/>
    </row>
    <row r="127" spans="1:35" ht="22.15" customHeight="1" x14ac:dyDescent="0.2">
      <c r="A127" s="109"/>
      <c r="B127" s="110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7"/>
      <c r="AI127" s="107"/>
    </row>
    <row r="128" spans="1:35" ht="22.15" customHeight="1" thickBot="1" x14ac:dyDescent="0.25">
      <c r="A128" s="173" t="s">
        <v>183</v>
      </c>
      <c r="B128" s="174"/>
      <c r="C128" s="174"/>
      <c r="D128" s="175"/>
      <c r="E128" s="175"/>
      <c r="F128" s="175"/>
      <c r="G128" s="10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4"/>
      <c r="AI128" s="174"/>
    </row>
    <row r="129" spans="1:35" ht="22.15" customHeight="1" x14ac:dyDescent="0.2">
      <c r="A129" s="173"/>
      <c r="B129" s="304" t="s">
        <v>167</v>
      </c>
      <c r="C129" s="515"/>
      <c r="D129" s="516" t="s">
        <v>90</v>
      </c>
      <c r="E129" s="517"/>
      <c r="F129" s="518"/>
      <c r="G129" s="515"/>
      <c r="H129" s="516" t="s">
        <v>91</v>
      </c>
      <c r="I129" s="517"/>
      <c r="J129" s="518"/>
      <c r="K129" s="515"/>
      <c r="L129" s="516" t="s">
        <v>92</v>
      </c>
      <c r="M129" s="517"/>
      <c r="N129" s="518"/>
      <c r="O129" s="515"/>
      <c r="P129" s="516" t="s">
        <v>93</v>
      </c>
      <c r="Q129" s="517"/>
      <c r="R129" s="518"/>
      <c r="S129" s="515"/>
      <c r="T129" s="516" t="s">
        <v>94</v>
      </c>
      <c r="U129" s="517"/>
      <c r="V129" s="518"/>
      <c r="W129" s="515"/>
      <c r="X129" s="516" t="s">
        <v>95</v>
      </c>
      <c r="Y129" s="517"/>
      <c r="Z129" s="518"/>
      <c r="AA129" s="515"/>
      <c r="AB129" s="516" t="s">
        <v>96</v>
      </c>
      <c r="AC129" s="517"/>
      <c r="AD129" s="517"/>
      <c r="AE129" s="519" t="s">
        <v>97</v>
      </c>
      <c r="AF129" s="517"/>
      <c r="AG129" s="517"/>
      <c r="AH129" s="517"/>
      <c r="AI129" s="520"/>
    </row>
    <row r="130" spans="1:35" ht="22.15" customHeight="1" x14ac:dyDescent="0.2">
      <c r="A130" s="173"/>
      <c r="B130" s="1390" t="s">
        <v>184</v>
      </c>
      <c r="C130" s="1283" t="s">
        <v>185</v>
      </c>
      <c r="D130" s="1392"/>
      <c r="E130" s="1392"/>
      <c r="F130" s="1393"/>
      <c r="G130" s="1283" t="s">
        <v>185</v>
      </c>
      <c r="H130" s="1392"/>
      <c r="I130" s="1392"/>
      <c r="J130" s="1393"/>
      <c r="K130" s="1283" t="s">
        <v>185</v>
      </c>
      <c r="L130" s="1392"/>
      <c r="M130" s="1392"/>
      <c r="N130" s="1393"/>
      <c r="O130" s="1283" t="s">
        <v>185</v>
      </c>
      <c r="P130" s="1392"/>
      <c r="Q130" s="1392"/>
      <c r="R130" s="1393"/>
      <c r="S130" s="1283" t="s">
        <v>185</v>
      </c>
      <c r="T130" s="1392"/>
      <c r="U130" s="1392"/>
      <c r="V130" s="1393"/>
      <c r="W130" s="1283" t="s">
        <v>186</v>
      </c>
      <c r="X130" s="1394"/>
      <c r="Y130" s="1394"/>
      <c r="Z130" s="1395"/>
      <c r="AA130" s="1283" t="s">
        <v>186</v>
      </c>
      <c r="AB130" s="1392"/>
      <c r="AC130" s="1392"/>
      <c r="AD130" s="1284"/>
      <c r="AE130" s="1396">
        <v>68</v>
      </c>
      <c r="AF130" s="208"/>
      <c r="AG130" s="208"/>
      <c r="AH130" s="208"/>
      <c r="AI130" s="209"/>
    </row>
    <row r="131" spans="1:35" ht="22.15" customHeight="1" x14ac:dyDescent="0.2">
      <c r="A131" s="173"/>
      <c r="B131" s="1390" t="s">
        <v>143</v>
      </c>
      <c r="C131" s="1283" t="s">
        <v>154</v>
      </c>
      <c r="D131" s="1392"/>
      <c r="E131" s="1392"/>
      <c r="F131" s="1393"/>
      <c r="G131" s="1283" t="s">
        <v>154</v>
      </c>
      <c r="H131" s="1392"/>
      <c r="I131" s="1392"/>
      <c r="J131" s="1393"/>
      <c r="K131" s="1283" t="s">
        <v>154</v>
      </c>
      <c r="L131" s="1392"/>
      <c r="M131" s="1392"/>
      <c r="N131" s="1393"/>
      <c r="O131" s="1283" t="s">
        <v>154</v>
      </c>
      <c r="P131" s="1392"/>
      <c r="Q131" s="1392"/>
      <c r="R131" s="1393"/>
      <c r="S131" s="1283" t="s">
        <v>154</v>
      </c>
      <c r="T131" s="1392"/>
      <c r="U131" s="1392"/>
      <c r="V131" s="1393"/>
      <c r="W131" s="1283" t="s">
        <v>154</v>
      </c>
      <c r="X131" s="1392"/>
      <c r="Y131" s="1392"/>
      <c r="Z131" s="1393"/>
      <c r="AA131" s="1392" t="s">
        <v>154</v>
      </c>
      <c r="AB131" s="1392"/>
      <c r="AC131" s="1392"/>
      <c r="AD131" s="1284"/>
      <c r="AE131" s="1396">
        <v>0</v>
      </c>
      <c r="AF131" s="208"/>
      <c r="AG131" s="208"/>
      <c r="AH131" s="208"/>
      <c r="AI131" s="209"/>
    </row>
    <row r="132" spans="1:35" ht="22.15" customHeight="1" x14ac:dyDescent="0.2">
      <c r="A132" s="173"/>
      <c r="B132" s="1390" t="s">
        <v>187</v>
      </c>
      <c r="C132" s="1283" t="s">
        <v>185</v>
      </c>
      <c r="D132" s="1392"/>
      <c r="E132" s="1392"/>
      <c r="F132" s="1393"/>
      <c r="G132" s="1283" t="s">
        <v>185</v>
      </c>
      <c r="H132" s="1392"/>
      <c r="I132" s="1392"/>
      <c r="J132" s="1393"/>
      <c r="K132" s="1283" t="s">
        <v>185</v>
      </c>
      <c r="L132" s="1392"/>
      <c r="M132" s="1392"/>
      <c r="N132" s="1393"/>
      <c r="O132" s="1283" t="s">
        <v>185</v>
      </c>
      <c r="P132" s="1392"/>
      <c r="Q132" s="1392"/>
      <c r="R132" s="1393"/>
      <c r="S132" s="1283" t="s">
        <v>185</v>
      </c>
      <c r="T132" s="1392"/>
      <c r="U132" s="1392"/>
      <c r="V132" s="1393"/>
      <c r="W132" s="1283" t="s">
        <v>186</v>
      </c>
      <c r="X132" s="1394"/>
      <c r="Y132" s="1394"/>
      <c r="Z132" s="1395"/>
      <c r="AA132" s="1283" t="s">
        <v>186</v>
      </c>
      <c r="AB132" s="1392"/>
      <c r="AC132" s="1392"/>
      <c r="AD132" s="1284"/>
      <c r="AE132" s="1396">
        <v>68</v>
      </c>
      <c r="AF132" s="1392"/>
      <c r="AG132" s="1392" t="s">
        <v>0</v>
      </c>
      <c r="AH132" s="1284"/>
      <c r="AI132" s="1397"/>
    </row>
    <row r="133" spans="1:35" ht="22.15" customHeight="1" x14ac:dyDescent="0.2">
      <c r="A133" s="173"/>
      <c r="B133" s="1390" t="s">
        <v>155</v>
      </c>
      <c r="C133" s="1283" t="s">
        <v>154</v>
      </c>
      <c r="D133" s="1392"/>
      <c r="E133" s="1392"/>
      <c r="F133" s="1393"/>
      <c r="G133" s="1283" t="s">
        <v>154</v>
      </c>
      <c r="H133" s="1392"/>
      <c r="I133" s="1392"/>
      <c r="J133" s="1393"/>
      <c r="K133" s="1283" t="s">
        <v>154</v>
      </c>
      <c r="L133" s="1392"/>
      <c r="M133" s="1392"/>
      <c r="N133" s="1393"/>
      <c r="O133" s="1283" t="s">
        <v>154</v>
      </c>
      <c r="P133" s="1392"/>
      <c r="Q133" s="1392"/>
      <c r="R133" s="1393"/>
      <c r="S133" s="1283" t="s">
        <v>154</v>
      </c>
      <c r="T133" s="1392"/>
      <c r="U133" s="1392"/>
      <c r="V133" s="1393"/>
      <c r="W133" s="1283" t="s">
        <v>154</v>
      </c>
      <c r="X133" s="1392"/>
      <c r="Y133" s="1392"/>
      <c r="Z133" s="1393"/>
      <c r="AA133" s="1392" t="s">
        <v>154</v>
      </c>
      <c r="AB133" s="1392"/>
      <c r="AC133" s="1392"/>
      <c r="AD133" s="1284"/>
      <c r="AE133" s="1396">
        <v>0</v>
      </c>
      <c r="AF133" s="1392"/>
      <c r="AG133" s="1392"/>
      <c r="AH133" s="1284"/>
      <c r="AI133" s="1397"/>
    </row>
    <row r="134" spans="1:35" ht="22.15" customHeight="1" x14ac:dyDescent="0.2">
      <c r="A134" s="173"/>
      <c r="B134" s="1390" t="s">
        <v>188</v>
      </c>
      <c r="C134" s="1283" t="s">
        <v>185</v>
      </c>
      <c r="D134" s="1392"/>
      <c r="E134" s="1392"/>
      <c r="F134" s="1393"/>
      <c r="G134" s="1283" t="s">
        <v>185</v>
      </c>
      <c r="H134" s="1392"/>
      <c r="I134" s="1392"/>
      <c r="J134" s="1393"/>
      <c r="K134" s="1283" t="s">
        <v>185</v>
      </c>
      <c r="L134" s="1392"/>
      <c r="M134" s="1392"/>
      <c r="N134" s="1393"/>
      <c r="O134" s="1283" t="s">
        <v>185</v>
      </c>
      <c r="P134" s="1392"/>
      <c r="Q134" s="1392"/>
      <c r="R134" s="1393"/>
      <c r="S134" s="1283" t="s">
        <v>185</v>
      </c>
      <c r="T134" s="1392"/>
      <c r="U134" s="1392"/>
      <c r="V134" s="1393"/>
      <c r="W134" s="1283" t="s">
        <v>189</v>
      </c>
      <c r="X134" s="1399"/>
      <c r="Y134" s="1399"/>
      <c r="Z134" s="1400"/>
      <c r="AA134" s="1283" t="s">
        <v>189</v>
      </c>
      <c r="AB134" s="1399"/>
      <c r="AC134" s="1399"/>
      <c r="AD134" s="1286"/>
      <c r="AE134" s="1396">
        <v>68</v>
      </c>
      <c r="AF134" s="1392"/>
      <c r="AG134" s="1392"/>
      <c r="AH134" s="1284"/>
      <c r="AI134" s="1397"/>
    </row>
    <row r="135" spans="1:35" ht="22.15" customHeight="1" thickBot="1" x14ac:dyDescent="0.25">
      <c r="A135" s="173"/>
      <c r="B135" s="1390" t="s">
        <v>190</v>
      </c>
      <c r="C135" s="1423" t="s">
        <v>154</v>
      </c>
      <c r="D135" s="1424"/>
      <c r="E135" s="1424"/>
      <c r="F135" s="1425"/>
      <c r="G135" s="1423" t="s">
        <v>154</v>
      </c>
      <c r="H135" s="1424"/>
      <c r="I135" s="1424"/>
      <c r="J135" s="1425"/>
      <c r="K135" s="1423" t="s">
        <v>154</v>
      </c>
      <c r="L135" s="1424"/>
      <c r="M135" s="1424"/>
      <c r="N135" s="1425"/>
      <c r="O135" s="1423" t="s">
        <v>154</v>
      </c>
      <c r="P135" s="1424"/>
      <c r="Q135" s="1424"/>
      <c r="R135" s="1425"/>
      <c r="S135" s="1423" t="s">
        <v>154</v>
      </c>
      <c r="T135" s="1424"/>
      <c r="U135" s="1424"/>
      <c r="V135" s="1411"/>
      <c r="W135" s="1423" t="s">
        <v>154</v>
      </c>
      <c r="X135" s="1411"/>
      <c r="Y135" s="1424"/>
      <c r="Z135" s="1425"/>
      <c r="AA135" s="1423" t="s">
        <v>154</v>
      </c>
      <c r="AB135" s="1411"/>
      <c r="AC135" s="1424"/>
      <c r="AD135" s="1425"/>
      <c r="AE135" s="1426" t="s">
        <v>191</v>
      </c>
      <c r="AF135" s="1424"/>
      <c r="AG135" s="1424"/>
      <c r="AH135" s="1411"/>
      <c r="AI135" s="1412"/>
    </row>
    <row r="136" spans="1:35" ht="22.15" customHeight="1" x14ac:dyDescent="0.2">
      <c r="A136" s="108"/>
      <c r="B136" s="173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4"/>
      <c r="AI136" s="174"/>
    </row>
    <row r="137" spans="1:35" ht="22.15" customHeight="1" thickBot="1" x14ac:dyDescent="0.25">
      <c r="A137" s="1343"/>
      <c r="B137" s="1184" t="s">
        <v>29</v>
      </c>
      <c r="C137" s="1185">
        <v>1</v>
      </c>
      <c r="D137" s="1186">
        <v>2</v>
      </c>
      <c r="E137" s="1186">
        <v>3</v>
      </c>
      <c r="F137" s="1186">
        <v>4</v>
      </c>
      <c r="G137" s="1185">
        <v>5</v>
      </c>
      <c r="H137" s="1185">
        <v>6</v>
      </c>
      <c r="I137" s="1185">
        <v>7</v>
      </c>
      <c r="J137" s="1186">
        <v>8</v>
      </c>
      <c r="K137" s="1186">
        <v>9</v>
      </c>
      <c r="L137" s="1186">
        <v>10</v>
      </c>
      <c r="M137" s="1186">
        <v>11</v>
      </c>
      <c r="N137" s="1186">
        <v>12</v>
      </c>
      <c r="O137" s="1185">
        <v>13</v>
      </c>
      <c r="P137" s="1185">
        <v>14</v>
      </c>
      <c r="Q137" s="1186">
        <v>15</v>
      </c>
      <c r="R137" s="1186">
        <v>16</v>
      </c>
      <c r="S137" s="1186">
        <v>17</v>
      </c>
      <c r="T137" s="1186">
        <v>18</v>
      </c>
      <c r="U137" s="1186">
        <v>19</v>
      </c>
      <c r="V137" s="1185">
        <v>20</v>
      </c>
      <c r="W137" s="1185">
        <v>21</v>
      </c>
      <c r="X137" s="1186">
        <v>22</v>
      </c>
      <c r="Y137" s="1186">
        <v>23</v>
      </c>
      <c r="Z137" s="1186">
        <v>24</v>
      </c>
      <c r="AA137" s="1186">
        <v>25</v>
      </c>
      <c r="AB137" s="1186">
        <v>26</v>
      </c>
      <c r="AC137" s="1185">
        <v>27</v>
      </c>
      <c r="AD137" s="1185">
        <v>28</v>
      </c>
      <c r="AE137" s="1186">
        <v>29</v>
      </c>
      <c r="AF137" s="1186">
        <v>30</v>
      </c>
      <c r="AG137" s="1248"/>
      <c r="AH137" s="184"/>
      <c r="AI137" s="185"/>
    </row>
    <row r="138" spans="1:35" ht="22.15" customHeight="1" x14ac:dyDescent="0.2">
      <c r="A138" s="408">
        <v>1</v>
      </c>
      <c r="B138" s="252" t="s">
        <v>192</v>
      </c>
      <c r="C138" s="409" t="s">
        <v>35</v>
      </c>
      <c r="D138" s="409" t="s">
        <v>35</v>
      </c>
      <c r="E138" s="409" t="s">
        <v>35</v>
      </c>
      <c r="F138" s="409" t="s">
        <v>35</v>
      </c>
      <c r="G138" s="409" t="s">
        <v>35</v>
      </c>
      <c r="H138" s="409"/>
      <c r="I138" s="409"/>
      <c r="J138" s="409">
        <v>21</v>
      </c>
      <c r="K138" s="409">
        <v>21</v>
      </c>
      <c r="L138" s="409">
        <v>21</v>
      </c>
      <c r="M138" s="409">
        <v>21</v>
      </c>
      <c r="N138" s="409">
        <v>21</v>
      </c>
      <c r="O138" s="409">
        <v>21</v>
      </c>
      <c r="P138" s="409">
        <v>21</v>
      </c>
      <c r="Q138" s="380" t="s">
        <v>35</v>
      </c>
      <c r="R138" s="380" t="s">
        <v>35</v>
      </c>
      <c r="S138" s="380" t="s">
        <v>35</v>
      </c>
      <c r="T138" s="380" t="s">
        <v>35</v>
      </c>
      <c r="U138" s="380" t="s">
        <v>35</v>
      </c>
      <c r="V138" s="380"/>
      <c r="W138" s="385"/>
      <c r="X138" s="380">
        <v>22</v>
      </c>
      <c r="Y138" s="380">
        <v>22</v>
      </c>
      <c r="Z138" s="385">
        <v>22</v>
      </c>
      <c r="AA138" s="380">
        <v>22</v>
      </c>
      <c r="AB138" s="380">
        <v>22</v>
      </c>
      <c r="AC138" s="380">
        <v>22</v>
      </c>
      <c r="AD138" s="380">
        <v>22</v>
      </c>
      <c r="AE138" s="380" t="s">
        <v>35</v>
      </c>
      <c r="AF138" s="380" t="s">
        <v>35</v>
      </c>
      <c r="AG138" s="387"/>
      <c r="AH138" s="107"/>
      <c r="AI138" s="107"/>
    </row>
    <row r="139" spans="1:35" ht="22.15" customHeight="1" x14ac:dyDescent="0.2">
      <c r="A139" s="1427">
        <v>2</v>
      </c>
      <c r="B139" s="1301" t="s">
        <v>193</v>
      </c>
      <c r="C139" s="1217" t="s">
        <v>35</v>
      </c>
      <c r="D139" s="1217" t="s">
        <v>35</v>
      </c>
      <c r="E139" s="1217" t="s">
        <v>35</v>
      </c>
      <c r="F139" s="1217" t="s">
        <v>35</v>
      </c>
      <c r="G139" s="1217" t="s">
        <v>35</v>
      </c>
      <c r="H139" s="1217"/>
      <c r="I139" s="1306"/>
      <c r="J139" s="1217">
        <v>22</v>
      </c>
      <c r="K139" s="1217">
        <v>22</v>
      </c>
      <c r="L139" s="1306">
        <v>22</v>
      </c>
      <c r="M139" s="1218">
        <v>22</v>
      </c>
      <c r="N139" s="1218">
        <v>22</v>
      </c>
      <c r="O139" s="1218">
        <v>22</v>
      </c>
      <c r="P139" s="1218">
        <v>22</v>
      </c>
      <c r="Q139" s="1218" t="s">
        <v>35</v>
      </c>
      <c r="R139" s="1218" t="s">
        <v>35</v>
      </c>
      <c r="S139" s="1218" t="s">
        <v>35</v>
      </c>
      <c r="T139" s="1218" t="s">
        <v>35</v>
      </c>
      <c r="U139" s="1218" t="s">
        <v>35</v>
      </c>
      <c r="V139" s="1218"/>
      <c r="W139" s="1306"/>
      <c r="X139" s="1217">
        <v>23</v>
      </c>
      <c r="Y139" s="1217">
        <v>23</v>
      </c>
      <c r="Z139" s="1306">
        <v>23</v>
      </c>
      <c r="AA139" s="1218">
        <v>23</v>
      </c>
      <c r="AB139" s="1218">
        <v>23</v>
      </c>
      <c r="AC139" s="1218">
        <v>23</v>
      </c>
      <c r="AD139" s="1218">
        <v>23</v>
      </c>
      <c r="AE139" s="1218" t="s">
        <v>35</v>
      </c>
      <c r="AF139" s="1218" t="s">
        <v>35</v>
      </c>
      <c r="AG139" s="1221"/>
      <c r="AH139" s="107"/>
      <c r="AI139" s="107"/>
    </row>
    <row r="140" spans="1:35" ht="22.15" customHeight="1" x14ac:dyDescent="0.2">
      <c r="A140" s="1427">
        <v>3</v>
      </c>
      <c r="B140" s="1301" t="s">
        <v>194</v>
      </c>
      <c r="C140" s="1217" t="s">
        <v>35</v>
      </c>
      <c r="D140" s="1217" t="s">
        <v>35</v>
      </c>
      <c r="E140" s="1217" t="s">
        <v>35</v>
      </c>
      <c r="F140" s="1217" t="s">
        <v>35</v>
      </c>
      <c r="G140" s="1218" t="s">
        <v>35</v>
      </c>
      <c r="H140" s="1218"/>
      <c r="I140" s="1306"/>
      <c r="J140" s="1217">
        <v>23</v>
      </c>
      <c r="K140" s="1217">
        <v>23</v>
      </c>
      <c r="L140" s="1306">
        <v>23</v>
      </c>
      <c r="M140" s="1217">
        <v>23</v>
      </c>
      <c r="N140" s="1217">
        <v>23</v>
      </c>
      <c r="O140" s="1217">
        <v>23</v>
      </c>
      <c r="P140" s="1217">
        <v>23</v>
      </c>
      <c r="Q140" s="1296" t="s">
        <v>35</v>
      </c>
      <c r="R140" s="1428" t="s">
        <v>35</v>
      </c>
      <c r="S140" s="1226" t="s">
        <v>35</v>
      </c>
      <c r="T140" s="1217" t="s">
        <v>35</v>
      </c>
      <c r="U140" s="1218" t="s">
        <v>35</v>
      </c>
      <c r="V140" s="1218"/>
      <c r="W140" s="1306"/>
      <c r="X140" s="1217">
        <v>21</v>
      </c>
      <c r="Y140" s="1217">
        <v>21</v>
      </c>
      <c r="Z140" s="1306">
        <v>21</v>
      </c>
      <c r="AA140" s="1217">
        <v>21</v>
      </c>
      <c r="AB140" s="1217">
        <v>21</v>
      </c>
      <c r="AC140" s="1217">
        <v>21</v>
      </c>
      <c r="AD140" s="1217">
        <v>21</v>
      </c>
      <c r="AE140" s="1217" t="s">
        <v>35</v>
      </c>
      <c r="AF140" s="1217" t="s">
        <v>35</v>
      </c>
      <c r="AG140" s="1221"/>
      <c r="AH140" s="107"/>
      <c r="AI140" s="107"/>
    </row>
    <row r="141" spans="1:35" ht="22.15" customHeight="1" x14ac:dyDescent="0.2">
      <c r="A141" s="1427">
        <v>4</v>
      </c>
      <c r="B141" s="1301" t="s">
        <v>195</v>
      </c>
      <c r="C141" s="1217">
        <v>23</v>
      </c>
      <c r="D141" s="1217">
        <v>23</v>
      </c>
      <c r="E141" s="1306">
        <v>23</v>
      </c>
      <c r="F141" s="1217">
        <v>23</v>
      </c>
      <c r="G141" s="1217">
        <v>23</v>
      </c>
      <c r="H141" s="1217">
        <v>23</v>
      </c>
      <c r="I141" s="1217">
        <v>23</v>
      </c>
      <c r="J141" s="1217" t="s">
        <v>35</v>
      </c>
      <c r="K141" s="1217" t="s">
        <v>35</v>
      </c>
      <c r="L141" s="1217" t="s">
        <v>35</v>
      </c>
      <c r="M141" s="1217" t="s">
        <v>35</v>
      </c>
      <c r="N141" s="1217" t="s">
        <v>35</v>
      </c>
      <c r="O141" s="1429"/>
      <c r="P141" s="1306"/>
      <c r="Q141" s="1217">
        <v>21</v>
      </c>
      <c r="R141" s="1217">
        <v>21</v>
      </c>
      <c r="S141" s="1306">
        <v>21</v>
      </c>
      <c r="T141" s="1217">
        <v>21</v>
      </c>
      <c r="U141" s="1217">
        <v>21</v>
      </c>
      <c r="V141" s="1217">
        <v>21</v>
      </c>
      <c r="W141" s="1217">
        <v>21</v>
      </c>
      <c r="X141" s="1217" t="s">
        <v>35</v>
      </c>
      <c r="Y141" s="1217" t="s">
        <v>35</v>
      </c>
      <c r="Z141" s="1217" t="s">
        <v>35</v>
      </c>
      <c r="AA141" s="1217" t="s">
        <v>35</v>
      </c>
      <c r="AB141" s="1217" t="s">
        <v>35</v>
      </c>
      <c r="AC141" s="1217"/>
      <c r="AD141" s="1306"/>
      <c r="AE141" s="1217">
        <v>22</v>
      </c>
      <c r="AF141" s="1217">
        <v>22</v>
      </c>
      <c r="AG141" s="1315"/>
      <c r="AH141" s="107"/>
      <c r="AI141" s="107"/>
    </row>
    <row r="142" spans="1:35" ht="22.15" customHeight="1" x14ac:dyDescent="0.2">
      <c r="A142" s="1427">
        <v>5</v>
      </c>
      <c r="B142" s="1301" t="s">
        <v>196</v>
      </c>
      <c r="C142" s="1217">
        <v>21</v>
      </c>
      <c r="D142" s="1217">
        <v>21</v>
      </c>
      <c r="E142" s="1306">
        <v>21</v>
      </c>
      <c r="F142" s="1218">
        <v>21</v>
      </c>
      <c r="G142" s="1217">
        <v>21</v>
      </c>
      <c r="H142" s="1216">
        <v>21</v>
      </c>
      <c r="I142" s="1430" t="s">
        <v>349</v>
      </c>
      <c r="J142" s="1296" t="s">
        <v>35</v>
      </c>
      <c r="K142" s="1296" t="s">
        <v>35</v>
      </c>
      <c r="L142" s="1296" t="s">
        <v>35</v>
      </c>
      <c r="M142" s="1217" t="s">
        <v>35</v>
      </c>
      <c r="N142" s="1217" t="s">
        <v>35</v>
      </c>
      <c r="O142" s="1217"/>
      <c r="P142" s="1306"/>
      <c r="Q142" s="1217">
        <v>8</v>
      </c>
      <c r="R142" s="1217">
        <v>8</v>
      </c>
      <c r="S142" s="1306" t="s">
        <v>350</v>
      </c>
      <c r="T142" s="1217">
        <v>8</v>
      </c>
      <c r="U142" s="1217">
        <v>8</v>
      </c>
      <c r="V142" s="1215" t="s">
        <v>47</v>
      </c>
      <c r="W142" s="1215" t="s">
        <v>47</v>
      </c>
      <c r="X142" s="1217" t="s">
        <v>35</v>
      </c>
      <c r="Y142" s="1217" t="s">
        <v>35</v>
      </c>
      <c r="Z142" s="1217" t="s">
        <v>35</v>
      </c>
      <c r="AA142" s="1217" t="s">
        <v>35</v>
      </c>
      <c r="AB142" s="1217" t="s">
        <v>35</v>
      </c>
      <c r="AC142" s="1218"/>
      <c r="AD142" s="1218"/>
      <c r="AE142" s="1218">
        <v>23</v>
      </c>
      <c r="AF142" s="1217">
        <v>23</v>
      </c>
      <c r="AG142" s="1315"/>
      <c r="AH142" s="107"/>
      <c r="AI142" s="107"/>
    </row>
    <row r="143" spans="1:35" ht="22.15" customHeight="1" thickBot="1" x14ac:dyDescent="0.25">
      <c r="A143" s="670">
        <v>6</v>
      </c>
      <c r="B143" s="671" t="s">
        <v>197</v>
      </c>
      <c r="C143" s="690">
        <v>22</v>
      </c>
      <c r="D143" s="690">
        <v>22</v>
      </c>
      <c r="E143" s="696">
        <v>22</v>
      </c>
      <c r="F143" s="690">
        <v>22</v>
      </c>
      <c r="G143" s="690">
        <v>22</v>
      </c>
      <c r="H143" s="680">
        <v>22</v>
      </c>
      <c r="I143" s="680">
        <v>22</v>
      </c>
      <c r="J143" s="680" t="s">
        <v>35</v>
      </c>
      <c r="K143" s="680" t="s">
        <v>35</v>
      </c>
      <c r="L143" s="680" t="s">
        <v>35</v>
      </c>
      <c r="M143" s="680" t="s">
        <v>35</v>
      </c>
      <c r="N143" s="676" t="s">
        <v>35</v>
      </c>
      <c r="O143" s="676"/>
      <c r="P143" s="696"/>
      <c r="Q143" s="690">
        <v>23</v>
      </c>
      <c r="R143" s="690">
        <v>23</v>
      </c>
      <c r="S143" s="696">
        <v>23</v>
      </c>
      <c r="T143" s="690">
        <v>23</v>
      </c>
      <c r="U143" s="690">
        <v>23</v>
      </c>
      <c r="V143" s="690">
        <v>23</v>
      </c>
      <c r="W143" s="690">
        <v>23</v>
      </c>
      <c r="X143" s="690" t="s">
        <v>35</v>
      </c>
      <c r="Y143" s="690" t="s">
        <v>35</v>
      </c>
      <c r="Z143" s="690" t="s">
        <v>35</v>
      </c>
      <c r="AA143" s="690" t="s">
        <v>35</v>
      </c>
      <c r="AB143" s="676" t="s">
        <v>35</v>
      </c>
      <c r="AC143" s="676"/>
      <c r="AD143" s="696"/>
      <c r="AE143" s="690">
        <v>21</v>
      </c>
      <c r="AF143" s="690">
        <v>21</v>
      </c>
      <c r="AG143" s="217"/>
      <c r="AH143" s="107"/>
      <c r="AI143" s="107"/>
    </row>
    <row r="144" spans="1:35" ht="22.15" customHeight="1" x14ac:dyDescent="0.2">
      <c r="A144" s="256"/>
      <c r="B144" s="228"/>
      <c r="C144" s="229"/>
      <c r="D144" s="229"/>
      <c r="E144" s="255"/>
      <c r="F144" s="229"/>
      <c r="G144" s="229"/>
      <c r="H144" s="261"/>
      <c r="I144" s="261"/>
      <c r="J144" s="261"/>
      <c r="K144" s="261"/>
      <c r="L144" s="261"/>
      <c r="M144" s="261"/>
      <c r="N144" s="216"/>
      <c r="O144" s="216"/>
      <c r="P144" s="255"/>
      <c r="Q144" s="229"/>
      <c r="R144" s="229"/>
      <c r="S144" s="255"/>
      <c r="T144" s="229"/>
      <c r="U144" s="229"/>
      <c r="V144" s="229"/>
      <c r="W144" s="229"/>
      <c r="X144" s="229"/>
      <c r="Y144" s="229"/>
      <c r="Z144" s="229"/>
      <c r="AA144" s="229"/>
      <c r="AB144" s="216"/>
      <c r="AC144" s="216"/>
      <c r="AD144" s="255"/>
      <c r="AE144" s="229"/>
      <c r="AF144" s="229"/>
      <c r="AG144" s="255"/>
      <c r="AH144" s="107"/>
      <c r="AI144" s="107"/>
    </row>
    <row r="145" spans="1:35" ht="22.15" customHeight="1" x14ac:dyDescent="0.2">
      <c r="A145" s="109"/>
      <c r="B145" s="110"/>
      <c r="C145" s="206"/>
      <c r="D145" s="206"/>
      <c r="E145" s="172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172"/>
      <c r="Q145" s="206"/>
      <c r="R145" s="206"/>
      <c r="S145" s="172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7"/>
      <c r="AD145" s="207"/>
      <c r="AE145" s="207"/>
      <c r="AF145" s="206"/>
      <c r="AG145" s="172"/>
      <c r="AH145" s="107"/>
      <c r="AI145" s="107"/>
    </row>
    <row r="146" spans="1:35" ht="22.15" customHeight="1" thickBot="1" x14ac:dyDescent="0.25">
      <c r="A146" s="162" t="s">
        <v>198</v>
      </c>
      <c r="D146" s="72"/>
      <c r="E146" s="72"/>
      <c r="F146" s="72"/>
      <c r="G146" s="105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</row>
    <row r="147" spans="1:35" ht="22.15" customHeight="1" x14ac:dyDescent="0.2">
      <c r="A147" s="1"/>
      <c r="B147" s="304" t="s">
        <v>167</v>
      </c>
      <c r="C147" s="500"/>
      <c r="D147" s="516" t="s">
        <v>90</v>
      </c>
      <c r="E147" s="473"/>
      <c r="F147" s="504"/>
      <c r="G147" s="500"/>
      <c r="H147" s="516" t="s">
        <v>91</v>
      </c>
      <c r="I147" s="473"/>
      <c r="J147" s="504"/>
      <c r="K147" s="500"/>
      <c r="L147" s="516" t="s">
        <v>92</v>
      </c>
      <c r="M147" s="473"/>
      <c r="N147" s="504"/>
      <c r="O147" s="500"/>
      <c r="P147" s="516" t="s">
        <v>93</v>
      </c>
      <c r="Q147" s="473"/>
      <c r="R147" s="504"/>
      <c r="S147" s="500"/>
      <c r="T147" s="516" t="s">
        <v>94</v>
      </c>
      <c r="U147" s="473"/>
      <c r="V147" s="504"/>
      <c r="W147" s="500"/>
      <c r="X147" s="516" t="s">
        <v>95</v>
      </c>
      <c r="Y147" s="473"/>
      <c r="Z147" s="504"/>
      <c r="AA147" s="500"/>
      <c r="AB147" s="516" t="s">
        <v>96</v>
      </c>
      <c r="AC147" s="473"/>
      <c r="AD147" s="473"/>
      <c r="AE147" s="519" t="s">
        <v>97</v>
      </c>
      <c r="AF147" s="473"/>
      <c r="AG147" s="473"/>
      <c r="AH147" s="473"/>
      <c r="AI147" s="474"/>
    </row>
    <row r="148" spans="1:35" ht="22.15" customHeight="1" x14ac:dyDescent="0.2">
      <c r="A148" s="1"/>
      <c r="B148" s="1390" t="s">
        <v>139</v>
      </c>
      <c r="C148" s="1283" t="s">
        <v>168</v>
      </c>
      <c r="D148" s="1167"/>
      <c r="E148" s="1167"/>
      <c r="F148" s="1393"/>
      <c r="G148" s="1283" t="s">
        <v>168</v>
      </c>
      <c r="H148" s="1167"/>
      <c r="I148" s="1167"/>
      <c r="J148" s="1393"/>
      <c r="K148" s="1283" t="s">
        <v>168</v>
      </c>
      <c r="L148" s="1167"/>
      <c r="M148" s="1167"/>
      <c r="N148" s="1393"/>
      <c r="O148" s="1283" t="s">
        <v>199</v>
      </c>
      <c r="P148" s="1167"/>
      <c r="Q148" s="1167"/>
      <c r="R148" s="1393"/>
      <c r="S148" s="1283" t="s">
        <v>154</v>
      </c>
      <c r="T148" s="1167"/>
      <c r="U148" s="1167"/>
      <c r="V148" s="1393"/>
      <c r="W148" s="1431"/>
      <c r="X148" s="1432"/>
      <c r="Y148" s="1432"/>
      <c r="Z148" s="1395"/>
      <c r="AA148" s="1391"/>
      <c r="AB148" s="1167"/>
      <c r="AC148" s="1167"/>
      <c r="AD148" s="1284"/>
      <c r="AE148" s="1396">
        <v>27</v>
      </c>
      <c r="AF148" s="1167"/>
      <c r="AG148" s="1167"/>
      <c r="AH148" s="1284"/>
      <c r="AI148" s="1176"/>
    </row>
    <row r="149" spans="1:35" ht="22.15" customHeight="1" x14ac:dyDescent="0.2">
      <c r="A149" s="1"/>
      <c r="B149" s="1390" t="s">
        <v>143</v>
      </c>
      <c r="C149" s="1283" t="s">
        <v>200</v>
      </c>
      <c r="D149" s="1167"/>
      <c r="E149" s="1167"/>
      <c r="F149" s="1393"/>
      <c r="G149" s="1283" t="s">
        <v>200</v>
      </c>
      <c r="H149" s="1167"/>
      <c r="I149" s="1167"/>
      <c r="J149" s="1393"/>
      <c r="K149" s="1283" t="s">
        <v>200</v>
      </c>
      <c r="L149" s="1167"/>
      <c r="M149" s="1167"/>
      <c r="N149" s="1393"/>
      <c r="O149" s="1283" t="s">
        <v>200</v>
      </c>
      <c r="P149" s="1167"/>
      <c r="Q149" s="1167"/>
      <c r="R149" s="1393"/>
      <c r="S149" s="1283" t="s">
        <v>168</v>
      </c>
      <c r="T149" s="1167"/>
      <c r="U149" s="1167"/>
      <c r="V149" s="1393"/>
      <c r="W149" s="1283"/>
      <c r="X149" s="1167"/>
      <c r="Y149" s="1167"/>
      <c r="Z149" s="1393"/>
      <c r="AA149" s="1167"/>
      <c r="AB149" s="1167"/>
      <c r="AC149" s="1167"/>
      <c r="AD149" s="1284"/>
      <c r="AE149" s="1396">
        <v>39</v>
      </c>
      <c r="AF149" s="1167"/>
      <c r="AG149" s="1167"/>
      <c r="AH149" s="1284"/>
      <c r="AI149" s="1176"/>
    </row>
    <row r="150" spans="1:35" ht="22.15" customHeight="1" x14ac:dyDescent="0.2">
      <c r="A150" s="1"/>
      <c r="B150" s="1390" t="s">
        <v>153</v>
      </c>
      <c r="C150" s="1283" t="s">
        <v>200</v>
      </c>
      <c r="D150" s="1167"/>
      <c r="E150" s="1167"/>
      <c r="F150" s="1393"/>
      <c r="G150" s="1283" t="s">
        <v>200</v>
      </c>
      <c r="H150" s="1167"/>
      <c r="I150" s="1167"/>
      <c r="J150" s="1393"/>
      <c r="K150" s="1283" t="s">
        <v>200</v>
      </c>
      <c r="L150" s="1167"/>
      <c r="M150" s="1167"/>
      <c r="N150" s="1393"/>
      <c r="O150" s="1283" t="s">
        <v>200</v>
      </c>
      <c r="P150" s="1167"/>
      <c r="Q150" s="1167"/>
      <c r="R150" s="1393"/>
      <c r="S150" s="1283" t="s">
        <v>200</v>
      </c>
      <c r="T150" s="1167"/>
      <c r="U150" s="1167"/>
      <c r="V150" s="1393"/>
      <c r="W150" s="1285" t="s">
        <v>201</v>
      </c>
      <c r="X150" s="1180"/>
      <c r="Y150" s="1180"/>
      <c r="Z150" s="1400"/>
      <c r="AA150" s="1398"/>
      <c r="AB150" s="1180"/>
      <c r="AC150" s="1180"/>
      <c r="AD150" s="1286"/>
      <c r="AE150" s="1396">
        <v>45</v>
      </c>
      <c r="AF150" s="1167"/>
      <c r="AG150" s="1167"/>
      <c r="AH150" s="1284"/>
      <c r="AI150" s="1176"/>
    </row>
    <row r="151" spans="1:35" ht="22.15" customHeight="1" thickBot="1" x14ac:dyDescent="0.25">
      <c r="A151" s="1"/>
      <c r="B151" s="1032" t="s">
        <v>155</v>
      </c>
      <c r="C151" s="1423"/>
      <c r="D151" s="1238"/>
      <c r="E151" s="1238"/>
      <c r="F151" s="1425"/>
      <c r="G151" s="1423"/>
      <c r="H151" s="1238"/>
      <c r="I151" s="1238"/>
      <c r="J151" s="1425"/>
      <c r="K151" s="1423"/>
      <c r="L151" s="1238"/>
      <c r="M151" s="1238"/>
      <c r="N151" s="1425"/>
      <c r="O151" s="1423"/>
      <c r="P151" s="1238"/>
      <c r="Q151" s="1238"/>
      <c r="R151" s="1425"/>
      <c r="S151" s="1423"/>
      <c r="T151" s="1238"/>
      <c r="U151" s="1238"/>
      <c r="V151" s="1411"/>
      <c r="W151" s="1423"/>
      <c r="X151" s="1411"/>
      <c r="Y151" s="1238"/>
      <c r="Z151" s="1425"/>
      <c r="AA151" s="1423"/>
      <c r="AB151" s="1411"/>
      <c r="AC151" s="1238"/>
      <c r="AD151" s="1425"/>
      <c r="AE151" s="1433"/>
      <c r="AF151" s="1238"/>
      <c r="AG151" s="1238"/>
      <c r="AH151" s="1411"/>
      <c r="AI151" s="1245"/>
    </row>
    <row r="152" spans="1:35" ht="22.15" customHeight="1" x14ac:dyDescent="0.2">
      <c r="A152" s="1"/>
      <c r="B152" s="162" t="s">
        <v>337</v>
      </c>
      <c r="D152" s="214"/>
      <c r="E152" s="214"/>
      <c r="F152" s="361"/>
      <c r="G152" s="361"/>
      <c r="H152" s="214"/>
      <c r="I152" s="214"/>
      <c r="J152" s="361"/>
      <c r="K152" s="361"/>
      <c r="L152" s="214"/>
      <c r="M152" s="214"/>
      <c r="N152" s="361"/>
      <c r="O152" s="361"/>
      <c r="P152" s="214"/>
      <c r="Q152" s="214"/>
      <c r="R152" s="361"/>
      <c r="S152" s="361"/>
      <c r="T152" s="214"/>
      <c r="U152" s="214"/>
      <c r="V152" s="361"/>
      <c r="W152" s="361"/>
      <c r="X152" s="361"/>
      <c r="Y152" s="214"/>
      <c r="Z152" s="361"/>
      <c r="AA152" s="361"/>
      <c r="AB152" s="361"/>
      <c r="AC152" s="214"/>
      <c r="AD152" s="361"/>
      <c r="AE152" s="362"/>
      <c r="AF152" s="214"/>
      <c r="AG152" s="214"/>
      <c r="AH152" s="361"/>
      <c r="AI152" s="214"/>
    </row>
    <row r="153" spans="1:35" ht="22.15" customHeight="1" x14ac:dyDescent="0.2">
      <c r="A153" s="108"/>
      <c r="B153" s="1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</row>
    <row r="154" spans="1:35" ht="22.15" customHeight="1" thickBot="1" x14ac:dyDescent="0.25">
      <c r="A154" s="1343"/>
      <c r="B154" s="1247" t="s">
        <v>29</v>
      </c>
      <c r="C154" s="1185">
        <v>1</v>
      </c>
      <c r="D154" s="1186">
        <v>2</v>
      </c>
      <c r="E154" s="1186">
        <v>3</v>
      </c>
      <c r="F154" s="1186">
        <v>4</v>
      </c>
      <c r="G154" s="1185">
        <v>5</v>
      </c>
      <c r="H154" s="1185">
        <v>6</v>
      </c>
      <c r="I154" s="1185">
        <v>7</v>
      </c>
      <c r="J154" s="1186">
        <v>8</v>
      </c>
      <c r="K154" s="1186">
        <v>9</v>
      </c>
      <c r="L154" s="1186">
        <v>10</v>
      </c>
      <c r="M154" s="1186">
        <v>11</v>
      </c>
      <c r="N154" s="1186">
        <v>12</v>
      </c>
      <c r="O154" s="1185">
        <v>13</v>
      </c>
      <c r="P154" s="1185">
        <v>14</v>
      </c>
      <c r="Q154" s="1186">
        <v>15</v>
      </c>
      <c r="R154" s="1186">
        <v>16</v>
      </c>
      <c r="S154" s="1186">
        <v>17</v>
      </c>
      <c r="T154" s="1186">
        <v>18</v>
      </c>
      <c r="U154" s="1186">
        <v>19</v>
      </c>
      <c r="V154" s="1185">
        <v>20</v>
      </c>
      <c r="W154" s="1185">
        <v>21</v>
      </c>
      <c r="X154" s="1186">
        <v>22</v>
      </c>
      <c r="Y154" s="1186">
        <v>23</v>
      </c>
      <c r="Z154" s="1186">
        <v>24</v>
      </c>
      <c r="AA154" s="1186">
        <v>25</v>
      </c>
      <c r="AB154" s="1186">
        <v>26</v>
      </c>
      <c r="AC154" s="1185">
        <v>27</v>
      </c>
      <c r="AD154" s="1185">
        <v>28</v>
      </c>
      <c r="AE154" s="1186">
        <v>29</v>
      </c>
      <c r="AF154" s="1186">
        <v>30</v>
      </c>
      <c r="AG154" s="1248"/>
      <c r="AH154" s="184"/>
      <c r="AI154" s="185"/>
    </row>
    <row r="155" spans="1:35" ht="22.15" customHeight="1" x14ac:dyDescent="0.2">
      <c r="A155" s="521">
        <v>1</v>
      </c>
      <c r="B155" s="523" t="s">
        <v>202</v>
      </c>
      <c r="C155" s="459"/>
      <c r="D155" s="458" t="s">
        <v>31</v>
      </c>
      <c r="E155" s="458" t="s">
        <v>31</v>
      </c>
      <c r="F155" s="458" t="s">
        <v>31</v>
      </c>
      <c r="G155" s="458"/>
      <c r="H155" s="458"/>
      <c r="I155" s="458"/>
      <c r="J155" s="459" t="s">
        <v>31</v>
      </c>
      <c r="K155" s="458" t="s">
        <v>31</v>
      </c>
      <c r="L155" s="458" t="s">
        <v>31</v>
      </c>
      <c r="M155" s="458" t="s">
        <v>31</v>
      </c>
      <c r="N155" s="463" t="s">
        <v>31</v>
      </c>
      <c r="O155" s="458"/>
      <c r="P155" s="458"/>
      <c r="Q155" s="459" t="s">
        <v>31</v>
      </c>
      <c r="R155" s="458" t="s">
        <v>31</v>
      </c>
      <c r="S155" s="458" t="s">
        <v>31</v>
      </c>
      <c r="T155" s="458" t="s">
        <v>31</v>
      </c>
      <c r="U155" s="458" t="s">
        <v>31</v>
      </c>
      <c r="V155" s="458"/>
      <c r="W155" s="458"/>
      <c r="X155" s="459" t="s">
        <v>31</v>
      </c>
      <c r="Y155" s="458" t="s">
        <v>31</v>
      </c>
      <c r="Z155" s="458" t="s">
        <v>31</v>
      </c>
      <c r="AA155" s="460" t="s">
        <v>31</v>
      </c>
      <c r="AB155" s="459" t="s">
        <v>31</v>
      </c>
      <c r="AC155" s="458"/>
      <c r="AD155" s="458"/>
      <c r="AE155" s="458" t="s">
        <v>31</v>
      </c>
      <c r="AF155" s="458" t="s">
        <v>31</v>
      </c>
      <c r="AG155" s="464"/>
      <c r="AH155" s="250"/>
      <c r="AI155" s="190"/>
    </row>
    <row r="156" spans="1:35" ht="22.15" customHeight="1" thickBot="1" x14ac:dyDescent="0.25">
      <c r="A156" s="1415">
        <v>2</v>
      </c>
      <c r="B156" s="1434" t="s">
        <v>203</v>
      </c>
      <c r="C156" s="1258"/>
      <c r="D156" s="1259" t="s">
        <v>205</v>
      </c>
      <c r="E156" s="1258" t="s">
        <v>205</v>
      </c>
      <c r="F156" s="1258" t="s">
        <v>205</v>
      </c>
      <c r="G156" s="1258" t="s">
        <v>35</v>
      </c>
      <c r="H156" s="1258"/>
      <c r="I156" s="1258"/>
      <c r="J156" s="1215" t="s">
        <v>47</v>
      </c>
      <c r="K156" s="1215" t="s">
        <v>47</v>
      </c>
      <c r="L156" s="1254" t="s">
        <v>35</v>
      </c>
      <c r="M156" s="1255" t="s">
        <v>35</v>
      </c>
      <c r="N156" s="1258" t="s">
        <v>35</v>
      </c>
      <c r="O156" s="1258"/>
      <c r="P156" s="1258"/>
      <c r="Q156" s="1215" t="s">
        <v>47</v>
      </c>
      <c r="R156" s="1215" t="s">
        <v>47</v>
      </c>
      <c r="S156" s="1254" t="s">
        <v>35</v>
      </c>
      <c r="T156" s="1255" t="s">
        <v>35</v>
      </c>
      <c r="U156" s="1258" t="s">
        <v>204</v>
      </c>
      <c r="V156" s="1258" t="s">
        <v>204</v>
      </c>
      <c r="W156" s="1258"/>
      <c r="X156" s="1258" t="s">
        <v>205</v>
      </c>
      <c r="Y156" s="1215" t="s">
        <v>47</v>
      </c>
      <c r="Z156" s="1255" t="s">
        <v>35</v>
      </c>
      <c r="AA156" s="1258" t="s">
        <v>205</v>
      </c>
      <c r="AB156" s="1258" t="s">
        <v>35</v>
      </c>
      <c r="AC156" s="1258"/>
      <c r="AD156" s="1258"/>
      <c r="AE156" s="1258" t="s">
        <v>207</v>
      </c>
      <c r="AF156" s="1258" t="s">
        <v>207</v>
      </c>
      <c r="AG156" s="1251"/>
      <c r="AH156" s="250"/>
      <c r="AI156" s="190"/>
    </row>
    <row r="157" spans="1:35" ht="22.15" customHeight="1" thickBot="1" x14ac:dyDescent="0.25">
      <c r="A157" s="1415">
        <v>3</v>
      </c>
      <c r="B157" s="1435" t="s">
        <v>208</v>
      </c>
      <c r="C157" s="1258"/>
      <c r="D157" s="1258" t="s">
        <v>207</v>
      </c>
      <c r="E157" s="1258" t="s">
        <v>207</v>
      </c>
      <c r="F157" s="1380" t="s">
        <v>207</v>
      </c>
      <c r="G157" s="1215" t="s">
        <v>47</v>
      </c>
      <c r="H157" s="1215" t="s">
        <v>47</v>
      </c>
      <c r="I157" s="1215" t="s">
        <v>47</v>
      </c>
      <c r="J157" s="1254" t="s">
        <v>35</v>
      </c>
      <c r="K157" s="1255" t="s">
        <v>35</v>
      </c>
      <c r="L157" s="1263" t="s">
        <v>35</v>
      </c>
      <c r="M157" s="1380" t="s">
        <v>204</v>
      </c>
      <c r="N157" s="1380" t="s">
        <v>204</v>
      </c>
      <c r="O157" s="1380" t="s">
        <v>204</v>
      </c>
      <c r="P157" s="1380"/>
      <c r="Q157" s="1380" t="s">
        <v>205</v>
      </c>
      <c r="R157" s="1380" t="s">
        <v>205</v>
      </c>
      <c r="S157" s="1380" t="s">
        <v>205</v>
      </c>
      <c r="T157" s="1380" t="s">
        <v>205</v>
      </c>
      <c r="U157" s="1258" t="s">
        <v>35</v>
      </c>
      <c r="V157" s="1258"/>
      <c r="W157" s="1258"/>
      <c r="X157" s="1258" t="s">
        <v>207</v>
      </c>
      <c r="Y157" s="1258" t="s">
        <v>207</v>
      </c>
      <c r="Z157" s="1258" t="s">
        <v>207</v>
      </c>
      <c r="AA157" s="1311" t="s">
        <v>207</v>
      </c>
      <c r="AB157" s="1311" t="s">
        <v>207</v>
      </c>
      <c r="AC157" s="1311"/>
      <c r="AD157" s="1311"/>
      <c r="AE157" s="1311" t="s">
        <v>204</v>
      </c>
      <c r="AF157" s="1311" t="s">
        <v>204</v>
      </c>
      <c r="AG157" s="1251"/>
      <c r="AH157" s="250"/>
      <c r="AI157" s="190"/>
    </row>
    <row r="158" spans="1:35" ht="22.15" customHeight="1" x14ac:dyDescent="0.2">
      <c r="A158" s="1415">
        <v>4</v>
      </c>
      <c r="B158" s="1435" t="s">
        <v>209</v>
      </c>
      <c r="C158" s="1258"/>
      <c r="D158" s="1258"/>
      <c r="E158" s="1258" t="s">
        <v>32</v>
      </c>
      <c r="F158" s="1258"/>
      <c r="G158" s="1258"/>
      <c r="H158" s="1258" t="s">
        <v>204</v>
      </c>
      <c r="I158" s="1258"/>
      <c r="J158" s="1258"/>
      <c r="K158" s="1258" t="s">
        <v>32</v>
      </c>
      <c r="L158" s="1258" t="s">
        <v>32</v>
      </c>
      <c r="M158" s="1258"/>
      <c r="N158" s="1258" t="s">
        <v>32</v>
      </c>
      <c r="O158" s="1258"/>
      <c r="P158" s="1258"/>
      <c r="Q158" s="1193"/>
      <c r="R158" s="1193" t="s">
        <v>32</v>
      </c>
      <c r="S158" s="1193" t="s">
        <v>32</v>
      </c>
      <c r="T158" s="1193"/>
      <c r="U158" s="1193" t="s">
        <v>32</v>
      </c>
      <c r="V158" s="1258"/>
      <c r="W158" s="1258"/>
      <c r="X158" s="1258"/>
      <c r="Y158" s="1258" t="s">
        <v>32</v>
      </c>
      <c r="Z158" s="1258"/>
      <c r="AA158" s="1258"/>
      <c r="AB158" s="1258"/>
      <c r="AC158" s="1258" t="s">
        <v>204</v>
      </c>
      <c r="AD158" s="1258"/>
      <c r="AE158" s="1258"/>
      <c r="AF158" s="1258" t="s">
        <v>32</v>
      </c>
      <c r="AG158" s="1251"/>
      <c r="AH158" s="250"/>
      <c r="AI158" s="190"/>
    </row>
    <row r="159" spans="1:35" ht="22.15" customHeight="1" x14ac:dyDescent="0.2">
      <c r="A159" s="1415">
        <v>5</v>
      </c>
      <c r="B159" s="1435" t="s">
        <v>210</v>
      </c>
      <c r="C159" s="1258"/>
      <c r="D159" s="1258" t="s">
        <v>31</v>
      </c>
      <c r="E159" s="1258"/>
      <c r="F159" s="1258" t="s">
        <v>31</v>
      </c>
      <c r="G159" s="1258"/>
      <c r="H159" s="1258"/>
      <c r="I159" s="1258"/>
      <c r="J159" s="1258" t="s">
        <v>32</v>
      </c>
      <c r="K159" s="1258"/>
      <c r="L159" s="1258"/>
      <c r="M159" s="1258" t="s">
        <v>31</v>
      </c>
      <c r="N159" s="1258"/>
      <c r="O159" s="1258"/>
      <c r="P159" s="1258"/>
      <c r="Q159" s="1258" t="s">
        <v>32</v>
      </c>
      <c r="R159" s="1258"/>
      <c r="S159" s="1258"/>
      <c r="T159" s="1258" t="s">
        <v>31</v>
      </c>
      <c r="U159" s="1258"/>
      <c r="V159" s="1258"/>
      <c r="W159" s="1258"/>
      <c r="X159" s="1275" t="s">
        <v>32</v>
      </c>
      <c r="Y159" s="1258"/>
      <c r="Z159" s="1258"/>
      <c r="AA159" s="1275" t="s">
        <v>31</v>
      </c>
      <c r="AB159" s="1258"/>
      <c r="AC159" s="1258"/>
      <c r="AD159" s="1258"/>
      <c r="AE159" s="1258" t="s">
        <v>32</v>
      </c>
      <c r="AF159" s="1258"/>
      <c r="AG159" s="1251"/>
      <c r="AH159" s="250"/>
      <c r="AI159" s="190"/>
    </row>
    <row r="160" spans="1:35" ht="22.15" customHeight="1" x14ac:dyDescent="0.2">
      <c r="A160" s="1415">
        <v>6</v>
      </c>
      <c r="B160" s="1202" t="s">
        <v>211</v>
      </c>
      <c r="C160" s="1258"/>
      <c r="D160" s="1200" t="s">
        <v>31</v>
      </c>
      <c r="E160" s="1200" t="s">
        <v>31</v>
      </c>
      <c r="F160" s="1200" t="s">
        <v>31</v>
      </c>
      <c r="G160" s="1258"/>
      <c r="H160" s="1258"/>
      <c r="I160" s="1258"/>
      <c r="J160" s="1199" t="s">
        <v>31</v>
      </c>
      <c r="K160" s="1258" t="s">
        <v>31</v>
      </c>
      <c r="L160" s="1258" t="s">
        <v>31</v>
      </c>
      <c r="M160" s="1258" t="s">
        <v>31</v>
      </c>
      <c r="N160" s="1258" t="s">
        <v>31</v>
      </c>
      <c r="O160" s="1258"/>
      <c r="P160" s="1258"/>
      <c r="Q160" s="1258" t="s">
        <v>31</v>
      </c>
      <c r="R160" s="1258" t="s">
        <v>31</v>
      </c>
      <c r="S160" s="1258" t="s">
        <v>31</v>
      </c>
      <c r="T160" s="1193" t="s">
        <v>31</v>
      </c>
      <c r="U160" s="1193" t="s">
        <v>31</v>
      </c>
      <c r="V160" s="1193"/>
      <c r="W160" s="1193"/>
      <c r="X160" s="1193" t="s">
        <v>31</v>
      </c>
      <c r="Y160" s="1258" t="s">
        <v>31</v>
      </c>
      <c r="Z160" s="1258" t="s">
        <v>31</v>
      </c>
      <c r="AA160" s="1258" t="s">
        <v>31</v>
      </c>
      <c r="AB160" s="1200" t="s">
        <v>31</v>
      </c>
      <c r="AC160" s="1258"/>
      <c r="AD160" s="1258"/>
      <c r="AE160" s="1258" t="s">
        <v>31</v>
      </c>
      <c r="AF160" s="1258" t="s">
        <v>31</v>
      </c>
      <c r="AG160" s="1251"/>
      <c r="AH160" s="215"/>
      <c r="AI160" s="107"/>
    </row>
    <row r="161" spans="1:36" ht="22.15" customHeight="1" thickBot="1" x14ac:dyDescent="0.25">
      <c r="A161" s="1419"/>
      <c r="B161" s="1253" t="s">
        <v>212</v>
      </c>
      <c r="C161" s="1254"/>
      <c r="D161" s="1254"/>
      <c r="E161" s="1254"/>
      <c r="F161" s="1254"/>
      <c r="G161" s="1254"/>
      <c r="H161" s="1254"/>
      <c r="I161" s="1254"/>
      <c r="J161" s="1254"/>
      <c r="K161" s="1254"/>
      <c r="L161" s="1254"/>
      <c r="M161" s="1254"/>
      <c r="N161" s="1254"/>
      <c r="O161" s="1254"/>
      <c r="P161" s="1254"/>
      <c r="Q161" s="1254"/>
      <c r="R161" s="1254"/>
      <c r="S161" s="1254"/>
      <c r="T161" s="1254"/>
      <c r="U161" s="1254"/>
      <c r="V161" s="1254"/>
      <c r="W161" s="1254"/>
      <c r="X161" s="1254"/>
      <c r="Y161" s="1254"/>
      <c r="Z161" s="1254"/>
      <c r="AA161" s="1254"/>
      <c r="AB161" s="1254"/>
      <c r="AC161" s="1254"/>
      <c r="AD161" s="1254"/>
      <c r="AE161" s="1254"/>
      <c r="AF161" s="1254"/>
      <c r="AG161" s="1248"/>
      <c r="AH161" s="107"/>
      <c r="AI161" s="107"/>
    </row>
    <row r="162" spans="1:36" ht="22.15" customHeight="1" x14ac:dyDescent="0.2">
      <c r="A162" s="256"/>
      <c r="B162" s="228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107"/>
      <c r="AI162" s="107"/>
    </row>
    <row r="163" spans="1:36" ht="22.15" customHeight="1" x14ac:dyDescent="0.2">
      <c r="A163" s="256"/>
      <c r="B163" s="228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107"/>
      <c r="AI163" s="107"/>
    </row>
    <row r="164" spans="1:36" ht="22.15" customHeight="1" thickBot="1" x14ac:dyDescent="0.25">
      <c r="A164" s="150" t="s">
        <v>213</v>
      </c>
      <c r="B164" s="72"/>
      <c r="C164" s="106" t="s">
        <v>99</v>
      </c>
      <c r="D164" s="72"/>
      <c r="E164" s="72"/>
      <c r="F164" s="106" t="s">
        <v>99</v>
      </c>
      <c r="G164" s="72"/>
      <c r="H164" s="72"/>
      <c r="I164" s="106" t="s">
        <v>99</v>
      </c>
      <c r="J164" s="106"/>
      <c r="K164" s="72"/>
      <c r="L164" s="106" t="s">
        <v>99</v>
      </c>
      <c r="M164" s="72"/>
      <c r="N164" s="72"/>
      <c r="O164" s="106" t="s">
        <v>99</v>
      </c>
      <c r="P164" s="72"/>
      <c r="Q164" s="106"/>
      <c r="R164" s="106" t="s">
        <v>99</v>
      </c>
      <c r="S164" s="72"/>
      <c r="T164" s="72"/>
      <c r="U164" s="106" t="s">
        <v>99</v>
      </c>
      <c r="V164" s="72"/>
      <c r="W164" s="106"/>
      <c r="X164" s="106"/>
      <c r="Y164" s="72"/>
      <c r="Z164" s="72"/>
      <c r="AA164" s="72"/>
      <c r="AB164" s="72"/>
      <c r="AC164" s="72"/>
      <c r="AD164" s="72"/>
      <c r="AE164" s="106"/>
      <c r="AF164" s="72"/>
      <c r="AG164" s="72"/>
      <c r="AH164" s="107"/>
      <c r="AI164" s="107"/>
    </row>
    <row r="165" spans="1:36" ht="22.15" customHeight="1" x14ac:dyDescent="0.2">
      <c r="A165" s="109"/>
      <c r="B165" s="294" t="s">
        <v>214</v>
      </c>
      <c r="C165" s="295"/>
      <c r="D165" s="296" t="s">
        <v>90</v>
      </c>
      <c r="E165" s="297"/>
      <c r="F165" s="298"/>
      <c r="G165" s="299"/>
      <c r="H165" s="296" t="s">
        <v>91</v>
      </c>
      <c r="I165" s="297"/>
      <c r="J165" s="298"/>
      <c r="K165" s="299"/>
      <c r="L165" s="296" t="s">
        <v>92</v>
      </c>
      <c r="M165" s="297"/>
      <c r="N165" s="298"/>
      <c r="O165" s="299"/>
      <c r="P165" s="296" t="s">
        <v>93</v>
      </c>
      <c r="Q165" s="297"/>
      <c r="R165" s="298"/>
      <c r="S165" s="299"/>
      <c r="T165" s="296" t="s">
        <v>94</v>
      </c>
      <c r="U165" s="297"/>
      <c r="V165" s="298"/>
      <c r="W165" s="299"/>
      <c r="X165" s="296" t="s">
        <v>95</v>
      </c>
      <c r="Y165" s="297"/>
      <c r="Z165" s="298"/>
      <c r="AA165" s="299"/>
      <c r="AB165" s="296" t="s">
        <v>96</v>
      </c>
      <c r="AC165" s="297"/>
      <c r="AD165" s="297"/>
      <c r="AE165" s="300" t="s">
        <v>97</v>
      </c>
      <c r="AF165" s="297"/>
      <c r="AG165" s="297"/>
      <c r="AH165" s="297"/>
      <c r="AI165" s="301"/>
    </row>
    <row r="166" spans="1:36" ht="22.15" customHeight="1" x14ac:dyDescent="0.2">
      <c r="A166" s="109"/>
      <c r="B166" s="1436" t="s">
        <v>215</v>
      </c>
      <c r="C166" s="1437" t="s">
        <v>216</v>
      </c>
      <c r="D166" s="1438" t="s">
        <v>217</v>
      </c>
      <c r="E166" s="1439"/>
      <c r="F166" s="1440"/>
      <c r="G166" s="1441"/>
      <c r="H166" s="1438" t="s">
        <v>217</v>
      </c>
      <c r="I166" s="1439"/>
      <c r="J166" s="1440"/>
      <c r="K166" s="1441"/>
      <c r="L166" s="1438" t="s">
        <v>217</v>
      </c>
      <c r="M166" s="1439"/>
      <c r="N166" s="1440"/>
      <c r="O166" s="1441"/>
      <c r="P166" s="1438" t="s">
        <v>218</v>
      </c>
      <c r="Q166" s="1439"/>
      <c r="R166" s="1440"/>
      <c r="S166" s="1441"/>
      <c r="T166" s="1438" t="s">
        <v>219</v>
      </c>
      <c r="U166" s="1440"/>
      <c r="V166" s="1442"/>
      <c r="W166" s="1443"/>
      <c r="X166" s="1444"/>
      <c r="Y166" s="1444"/>
      <c r="Z166" s="1442"/>
      <c r="AA166" s="1443"/>
      <c r="AB166" s="1444"/>
      <c r="AC166" s="1444"/>
      <c r="AD166" s="1444"/>
      <c r="AE166" s="1443"/>
      <c r="AF166" s="1444"/>
      <c r="AG166" s="1444"/>
      <c r="AH166" s="1445"/>
      <c r="AI166" s="1446"/>
    </row>
    <row r="167" spans="1:36" ht="22.15" customHeight="1" x14ac:dyDescent="0.2">
      <c r="A167" s="109"/>
      <c r="B167" s="1436" t="s">
        <v>215</v>
      </c>
      <c r="C167" s="1437" t="s">
        <v>220</v>
      </c>
      <c r="D167" s="1438" t="s">
        <v>217</v>
      </c>
      <c r="E167" s="1439"/>
      <c r="F167" s="1440"/>
      <c r="G167" s="1441"/>
      <c r="H167" s="1438" t="s">
        <v>217</v>
      </c>
      <c r="I167" s="1439"/>
      <c r="J167" s="1440"/>
      <c r="K167" s="1441"/>
      <c r="L167" s="1438" t="s">
        <v>217</v>
      </c>
      <c r="M167" s="1439"/>
      <c r="N167" s="1440"/>
      <c r="O167" s="1441"/>
      <c r="P167" s="1438" t="s">
        <v>218</v>
      </c>
      <c r="Q167" s="1439"/>
      <c r="R167" s="1440"/>
      <c r="S167" s="1441"/>
      <c r="T167" s="1438" t="s">
        <v>219</v>
      </c>
      <c r="U167" s="1440"/>
      <c r="V167" s="1442"/>
      <c r="W167" s="1443"/>
      <c r="X167" s="1444"/>
      <c r="Y167" s="1444"/>
      <c r="Z167" s="1442"/>
      <c r="AA167" s="1443"/>
      <c r="AB167" s="1444"/>
      <c r="AC167" s="1444"/>
      <c r="AD167" s="1444"/>
      <c r="AE167" s="1443"/>
      <c r="AF167" s="1444"/>
      <c r="AG167" s="1444"/>
      <c r="AH167" s="1445"/>
      <c r="AI167" s="1446"/>
    </row>
    <row r="168" spans="1:36" ht="22.15" customHeight="1" x14ac:dyDescent="0.2">
      <c r="A168" s="109"/>
      <c r="B168" s="1436" t="s">
        <v>221</v>
      </c>
      <c r="C168" s="1437" t="s">
        <v>158</v>
      </c>
      <c r="D168" s="1438" t="s">
        <v>217</v>
      </c>
      <c r="E168" s="1439"/>
      <c r="F168" s="1440"/>
      <c r="G168" s="1441"/>
      <c r="H168" s="1438" t="s">
        <v>217</v>
      </c>
      <c r="I168" s="1439"/>
      <c r="J168" s="1440"/>
      <c r="K168" s="1441"/>
      <c r="L168" s="1438" t="s">
        <v>217</v>
      </c>
      <c r="M168" s="1439"/>
      <c r="N168" s="1440"/>
      <c r="O168" s="1441"/>
      <c r="P168" s="1438" t="s">
        <v>218</v>
      </c>
      <c r="Q168" s="1439"/>
      <c r="R168" s="1440"/>
      <c r="S168" s="1441"/>
      <c r="T168" s="1438" t="s">
        <v>219</v>
      </c>
      <c r="U168" s="1440"/>
      <c r="V168" s="1442"/>
      <c r="W168" s="1443"/>
      <c r="X168" s="1444"/>
      <c r="Y168" s="1444"/>
      <c r="Z168" s="1442"/>
      <c r="AA168" s="1443"/>
      <c r="AB168" s="1444"/>
      <c r="AC168" s="1444"/>
      <c r="AD168" s="1444"/>
      <c r="AE168" s="1443"/>
      <c r="AF168" s="1444"/>
      <c r="AG168" s="1444"/>
      <c r="AH168" s="1445"/>
      <c r="AI168" s="1446"/>
    </row>
    <row r="169" spans="1:36" ht="22.15" customHeight="1" x14ac:dyDescent="0.2">
      <c r="A169" s="109"/>
      <c r="B169" s="1436" t="s">
        <v>222</v>
      </c>
      <c r="C169" s="1437" t="s">
        <v>223</v>
      </c>
      <c r="D169" s="1438" t="s">
        <v>224</v>
      </c>
      <c r="E169" s="1439"/>
      <c r="F169" s="1440"/>
      <c r="G169" s="1441"/>
      <c r="H169" s="1438" t="s">
        <v>224</v>
      </c>
      <c r="I169" s="1439"/>
      <c r="J169" s="1440"/>
      <c r="K169" s="1441"/>
      <c r="L169" s="1438" t="s">
        <v>224</v>
      </c>
      <c r="M169" s="1439"/>
      <c r="N169" s="1440"/>
      <c r="O169" s="1441"/>
      <c r="P169" s="1438" t="s">
        <v>225</v>
      </c>
      <c r="Q169" s="1439"/>
      <c r="R169" s="1440"/>
      <c r="S169" s="1441"/>
      <c r="T169" s="1438" t="s">
        <v>226</v>
      </c>
      <c r="U169" s="1440"/>
      <c r="V169" s="1442"/>
      <c r="W169" s="1443"/>
      <c r="X169" s="1444"/>
      <c r="Y169" s="1444"/>
      <c r="Z169" s="1442"/>
      <c r="AA169" s="1443"/>
      <c r="AB169" s="1444"/>
      <c r="AC169" s="1444"/>
      <c r="AD169" s="1444"/>
      <c r="AE169" s="1443"/>
      <c r="AF169" s="1444"/>
      <c r="AG169" s="1444"/>
      <c r="AH169" s="1445"/>
      <c r="AI169" s="1446"/>
    </row>
    <row r="170" spans="1:36" ht="22.15" customHeight="1" x14ac:dyDescent="0.2">
      <c r="A170" s="109"/>
      <c r="B170" s="1436" t="s">
        <v>227</v>
      </c>
      <c r="C170" s="1437" t="s">
        <v>228</v>
      </c>
      <c r="D170" s="1438" t="s">
        <v>229</v>
      </c>
      <c r="E170" s="1439"/>
      <c r="F170" s="1440"/>
      <c r="G170" s="1441"/>
      <c r="H170" s="1438" t="s">
        <v>229</v>
      </c>
      <c r="I170" s="1439"/>
      <c r="J170" s="1440"/>
      <c r="K170" s="1441"/>
      <c r="L170" s="1438" t="s">
        <v>230</v>
      </c>
      <c r="M170" s="1439"/>
      <c r="N170" s="1440"/>
      <c r="O170" s="1441"/>
      <c r="P170" s="1438" t="s">
        <v>231</v>
      </c>
      <c r="Q170" s="1439"/>
      <c r="R170" s="1440"/>
      <c r="S170" s="1441"/>
      <c r="T170" s="1438" t="s">
        <v>226</v>
      </c>
      <c r="U170" s="1440"/>
      <c r="V170" s="1442"/>
      <c r="W170" s="1443"/>
      <c r="X170" s="1444"/>
      <c r="Y170" s="1444"/>
      <c r="Z170" s="1442"/>
      <c r="AA170" s="1443"/>
      <c r="AB170" s="1444"/>
      <c r="AC170" s="1444"/>
      <c r="AD170" s="1444"/>
      <c r="AE170" s="1443"/>
      <c r="AF170" s="1444"/>
      <c r="AG170" s="1444"/>
      <c r="AH170" s="1445"/>
      <c r="AI170" s="1446"/>
    </row>
    <row r="171" spans="1:36" ht="22.15" customHeight="1" x14ac:dyDescent="0.2">
      <c r="A171" s="109"/>
      <c r="B171" s="1436" t="s">
        <v>232</v>
      </c>
      <c r="C171" s="1437" t="s">
        <v>233</v>
      </c>
      <c r="D171" s="1438" t="s">
        <v>217</v>
      </c>
      <c r="E171" s="1439"/>
      <c r="F171" s="1440"/>
      <c r="G171" s="1441"/>
      <c r="H171" s="1438" t="s">
        <v>217</v>
      </c>
      <c r="I171" s="1439"/>
      <c r="J171" s="1440"/>
      <c r="K171" s="1441"/>
      <c r="L171" s="1438" t="s">
        <v>217</v>
      </c>
      <c r="M171" s="1439"/>
      <c r="N171" s="1440"/>
      <c r="O171" s="1441"/>
      <c r="P171" s="1438" t="s">
        <v>217</v>
      </c>
      <c r="Q171" s="1439"/>
      <c r="R171" s="1440"/>
      <c r="S171" s="1441"/>
      <c r="T171" s="1438" t="s">
        <v>229</v>
      </c>
      <c r="U171" s="1440"/>
      <c r="V171" s="1442"/>
      <c r="W171" s="1443"/>
      <c r="X171" s="1444"/>
      <c r="Y171" s="1444"/>
      <c r="Z171" s="1442"/>
      <c r="AA171" s="1443"/>
      <c r="AB171" s="1444"/>
      <c r="AC171" s="1444"/>
      <c r="AD171" s="1444"/>
      <c r="AE171" s="1443"/>
      <c r="AF171" s="1444"/>
      <c r="AG171" s="1444"/>
      <c r="AH171" s="1445"/>
      <c r="AI171" s="1446"/>
    </row>
    <row r="172" spans="1:36" ht="22.15" customHeight="1" x14ac:dyDescent="0.2">
      <c r="A172" s="109"/>
      <c r="B172" s="1436" t="s">
        <v>234</v>
      </c>
      <c r="C172" s="1437" t="s">
        <v>235</v>
      </c>
      <c r="D172" s="1438" t="s">
        <v>217</v>
      </c>
      <c r="E172" s="1439"/>
      <c r="F172" s="1440"/>
      <c r="G172" s="1441"/>
      <c r="H172" s="1438" t="s">
        <v>217</v>
      </c>
      <c r="I172" s="1439"/>
      <c r="J172" s="1440"/>
      <c r="K172" s="1441"/>
      <c r="L172" s="1438" t="s">
        <v>217</v>
      </c>
      <c r="M172" s="1439"/>
      <c r="N172" s="1440"/>
      <c r="O172" s="1441"/>
      <c r="P172" s="1438" t="s">
        <v>218</v>
      </c>
      <c r="Q172" s="1439"/>
      <c r="R172" s="1440"/>
      <c r="S172" s="1441"/>
      <c r="T172" s="1438" t="s">
        <v>219</v>
      </c>
      <c r="U172" s="1440"/>
      <c r="V172" s="1442"/>
      <c r="W172" s="1443"/>
      <c r="X172" s="1444"/>
      <c r="Y172" s="1444"/>
      <c r="Z172" s="1442"/>
      <c r="AA172" s="1443"/>
      <c r="AB172" s="1444"/>
      <c r="AC172" s="1444"/>
      <c r="AD172" s="1444"/>
      <c r="AE172" s="1443"/>
      <c r="AF172" s="1444"/>
      <c r="AG172" s="1444"/>
      <c r="AH172" s="1445"/>
      <c r="AI172" s="1446"/>
    </row>
    <row r="173" spans="1:36" ht="22.15" customHeight="1" x14ac:dyDescent="0.2">
      <c r="A173" s="109"/>
      <c r="B173" s="1436" t="s">
        <v>234</v>
      </c>
      <c r="C173" s="1437" t="s">
        <v>236</v>
      </c>
      <c r="D173" s="1438" t="s">
        <v>217</v>
      </c>
      <c r="E173" s="1439"/>
      <c r="F173" s="1440"/>
      <c r="G173" s="1441"/>
      <c r="H173" s="1438" t="s">
        <v>217</v>
      </c>
      <c r="I173" s="1439"/>
      <c r="J173" s="1440"/>
      <c r="K173" s="1441"/>
      <c r="L173" s="1438" t="s">
        <v>217</v>
      </c>
      <c r="M173" s="1439"/>
      <c r="N173" s="1440"/>
      <c r="O173" s="1441"/>
      <c r="P173" s="1438" t="s">
        <v>218</v>
      </c>
      <c r="Q173" s="1439"/>
      <c r="R173" s="1440"/>
      <c r="S173" s="1441"/>
      <c r="T173" s="1438" t="s">
        <v>219</v>
      </c>
      <c r="U173" s="1440"/>
      <c r="V173" s="1442"/>
      <c r="W173" s="1443"/>
      <c r="X173" s="1444"/>
      <c r="Y173" s="1444"/>
      <c r="Z173" s="1442"/>
      <c r="AA173" s="1443"/>
      <c r="AB173" s="1444"/>
      <c r="AC173" s="1444"/>
      <c r="AD173" s="1444"/>
      <c r="AE173" s="1443"/>
      <c r="AF173" s="1444"/>
      <c r="AG173" s="1444"/>
      <c r="AH173" s="1445"/>
      <c r="AI173" s="1446"/>
    </row>
    <row r="174" spans="1:36" ht="22.15" customHeight="1" x14ac:dyDescent="0.2">
      <c r="A174" s="109"/>
      <c r="B174" s="1436" t="s">
        <v>237</v>
      </c>
      <c r="C174" s="1437" t="s">
        <v>238</v>
      </c>
      <c r="D174" s="1438" t="s">
        <v>217</v>
      </c>
      <c r="E174" s="1439"/>
      <c r="F174" s="1440"/>
      <c r="G174" s="1441"/>
      <c r="H174" s="1438" t="s">
        <v>217</v>
      </c>
      <c r="I174" s="1439"/>
      <c r="J174" s="1440"/>
      <c r="K174" s="1441"/>
      <c r="L174" s="1438" t="s">
        <v>217</v>
      </c>
      <c r="M174" s="1439"/>
      <c r="N174" s="1440"/>
      <c r="O174" s="1441"/>
      <c r="P174" s="1438" t="s">
        <v>239</v>
      </c>
      <c r="Q174" s="1439"/>
      <c r="R174" s="1440"/>
      <c r="S174" s="1441"/>
      <c r="T174" s="1438" t="s">
        <v>226</v>
      </c>
      <c r="U174" s="1440"/>
      <c r="V174" s="1442"/>
      <c r="W174" s="1443"/>
      <c r="X174" s="1444"/>
      <c r="Y174" s="1444"/>
      <c r="Z174" s="1442"/>
      <c r="AA174" s="1443"/>
      <c r="AB174" s="1444"/>
      <c r="AC174" s="1444"/>
      <c r="AD174" s="1444"/>
      <c r="AE174" s="1443"/>
      <c r="AF174" s="1444"/>
      <c r="AG174" s="1444"/>
      <c r="AH174" s="1445"/>
      <c r="AI174" s="1446"/>
    </row>
    <row r="175" spans="1:36" ht="22.15" customHeight="1" x14ac:dyDescent="0.2">
      <c r="A175" s="109"/>
      <c r="B175" s="1447" t="s">
        <v>240</v>
      </c>
      <c r="C175" s="1437" t="s">
        <v>80</v>
      </c>
      <c r="D175" s="1438" t="s">
        <v>217</v>
      </c>
      <c r="E175" s="1439"/>
      <c r="F175" s="1440"/>
      <c r="G175" s="1441"/>
      <c r="H175" s="1438" t="s">
        <v>217</v>
      </c>
      <c r="I175" s="1439"/>
      <c r="J175" s="1440"/>
      <c r="K175" s="1441"/>
      <c r="L175" s="1438" t="s">
        <v>217</v>
      </c>
      <c r="M175" s="1439"/>
      <c r="N175" s="1440"/>
      <c r="O175" s="1441"/>
      <c r="P175" s="1438" t="s">
        <v>218</v>
      </c>
      <c r="Q175" s="1439"/>
      <c r="R175" s="1440"/>
      <c r="S175" s="1441"/>
      <c r="T175" s="1438" t="s">
        <v>219</v>
      </c>
      <c r="U175" s="1440"/>
      <c r="V175" s="212"/>
      <c r="W175" s="1448"/>
      <c r="X175" s="211"/>
      <c r="Y175" s="211"/>
      <c r="Z175" s="212"/>
      <c r="AA175" s="1448"/>
      <c r="AB175" s="211"/>
      <c r="AC175" s="211"/>
      <c r="AD175" s="211"/>
      <c r="AE175" s="1448"/>
      <c r="AF175" s="211"/>
      <c r="AG175" s="211"/>
      <c r="AH175" s="213"/>
      <c r="AI175" s="1449"/>
      <c r="AJ175" s="214"/>
    </row>
    <row r="176" spans="1:36" ht="22.15" customHeight="1" x14ac:dyDescent="0.2">
      <c r="A176" s="109"/>
      <c r="B176" s="1436" t="s">
        <v>241</v>
      </c>
      <c r="C176" s="1437" t="s">
        <v>132</v>
      </c>
      <c r="D176" s="1438" t="s">
        <v>217</v>
      </c>
      <c r="E176" s="1439"/>
      <c r="F176" s="1440"/>
      <c r="G176" s="1441"/>
      <c r="H176" s="1438" t="s">
        <v>217</v>
      </c>
      <c r="I176" s="1439"/>
      <c r="J176" s="1440"/>
      <c r="K176" s="1441"/>
      <c r="L176" s="1438" t="s">
        <v>217</v>
      </c>
      <c r="M176" s="1439"/>
      <c r="N176" s="1440"/>
      <c r="O176" s="1441"/>
      <c r="P176" s="1438" t="s">
        <v>218</v>
      </c>
      <c r="Q176" s="1439"/>
      <c r="R176" s="1440"/>
      <c r="S176" s="1441"/>
      <c r="T176" s="1438" t="s">
        <v>219</v>
      </c>
      <c r="U176" s="1440"/>
      <c r="V176" s="1444"/>
      <c r="W176" s="1443"/>
      <c r="X176" s="1444"/>
      <c r="Y176" s="1444"/>
      <c r="Z176" s="1444"/>
      <c r="AA176" s="1443"/>
      <c r="AB176" s="1444"/>
      <c r="AC176" s="1444"/>
      <c r="AD176" s="1444"/>
      <c r="AE176" s="1443"/>
      <c r="AF176" s="1444"/>
      <c r="AG176" s="1444"/>
      <c r="AH176" s="1445"/>
      <c r="AI176" s="1446"/>
      <c r="AJ176" s="214"/>
    </row>
    <row r="177" spans="1:36" ht="22.15" customHeight="1" x14ac:dyDescent="0.2">
      <c r="A177" s="109"/>
      <c r="B177" s="1436" t="s">
        <v>242</v>
      </c>
      <c r="C177" s="1450" t="s">
        <v>243</v>
      </c>
      <c r="D177" s="1438" t="s">
        <v>244</v>
      </c>
      <c r="E177" s="1439"/>
      <c r="F177" s="1440"/>
      <c r="G177" s="1441"/>
      <c r="H177" s="1438" t="s">
        <v>244</v>
      </c>
      <c r="I177" s="1439"/>
      <c r="J177" s="1440"/>
      <c r="K177" s="1441"/>
      <c r="L177" s="1438" t="s">
        <v>244</v>
      </c>
      <c r="M177" s="1439"/>
      <c r="N177" s="1439"/>
      <c r="O177" s="1441"/>
      <c r="P177" s="1438" t="s">
        <v>244</v>
      </c>
      <c r="Q177" s="1439"/>
      <c r="R177" s="1439"/>
      <c r="S177" s="1441"/>
      <c r="T177" s="1438" t="s">
        <v>226</v>
      </c>
      <c r="U177" s="1440"/>
      <c r="V177" s="1444"/>
      <c r="W177" s="1451"/>
      <c r="X177" s="1444"/>
      <c r="Y177" s="1444"/>
      <c r="Z177" s="1444"/>
      <c r="AA177" s="1443"/>
      <c r="AB177" s="1444"/>
      <c r="AC177" s="1444"/>
      <c r="AD177" s="1444"/>
      <c r="AE177" s="1443"/>
      <c r="AF177" s="1444"/>
      <c r="AG177" s="1444"/>
      <c r="AH177" s="1445"/>
      <c r="AI177" s="1446"/>
      <c r="AJ177" s="214"/>
    </row>
    <row r="178" spans="1:36" ht="22.15" customHeight="1" x14ac:dyDescent="0.2">
      <c r="A178" s="109"/>
      <c r="B178" s="1436" t="s">
        <v>245</v>
      </c>
      <c r="C178" s="1450" t="s">
        <v>246</v>
      </c>
      <c r="D178" s="1438" t="s">
        <v>244</v>
      </c>
      <c r="E178" s="1439"/>
      <c r="F178" s="1440"/>
      <c r="G178" s="1441"/>
      <c r="H178" s="1438" t="s">
        <v>244</v>
      </c>
      <c r="I178" s="1439"/>
      <c r="J178" s="1440"/>
      <c r="K178" s="1441"/>
      <c r="L178" s="1438" t="s">
        <v>244</v>
      </c>
      <c r="M178" s="1439"/>
      <c r="N178" s="1439"/>
      <c r="O178" s="1441"/>
      <c r="P178" s="1438" t="s">
        <v>244</v>
      </c>
      <c r="Q178" s="1439"/>
      <c r="R178" s="1439"/>
      <c r="S178" s="1441"/>
      <c r="T178" s="1438" t="s">
        <v>226</v>
      </c>
      <c r="U178" s="1440"/>
      <c r="V178" s="1444"/>
      <c r="W178" s="1451"/>
      <c r="X178" s="1444"/>
      <c r="Y178" s="1444"/>
      <c r="Z178" s="1442"/>
      <c r="AA178" s="1452"/>
      <c r="AB178" s="1444"/>
      <c r="AC178" s="1444"/>
      <c r="AD178" s="1444"/>
      <c r="AE178" s="1443"/>
      <c r="AF178" s="1444"/>
      <c r="AG178" s="1444"/>
      <c r="AH178" s="1445"/>
      <c r="AI178" s="1446"/>
      <c r="AJ178" s="214"/>
    </row>
    <row r="179" spans="1:36" ht="22.15" customHeight="1" thickBot="1" x14ac:dyDescent="0.25">
      <c r="A179" s="109"/>
      <c r="B179" s="1436" t="s">
        <v>247</v>
      </c>
      <c r="C179" s="1450" t="s">
        <v>248</v>
      </c>
      <c r="D179" s="1438" t="s">
        <v>244</v>
      </c>
      <c r="E179" s="1439"/>
      <c r="F179" s="1440"/>
      <c r="G179" s="1441"/>
      <c r="H179" s="1438" t="s">
        <v>244</v>
      </c>
      <c r="I179" s="1439"/>
      <c r="J179" s="1440"/>
      <c r="K179" s="1441"/>
      <c r="L179" s="1438" t="s">
        <v>244</v>
      </c>
      <c r="M179" s="1439"/>
      <c r="N179" s="1439"/>
      <c r="O179" s="1441"/>
      <c r="P179" s="1438" t="s">
        <v>244</v>
      </c>
      <c r="Q179" s="1439"/>
      <c r="R179" s="1439"/>
      <c r="S179" s="1441"/>
      <c r="T179" s="1438" t="s">
        <v>226</v>
      </c>
      <c r="U179" s="1440"/>
      <c r="V179" s="1453"/>
      <c r="W179" s="677"/>
      <c r="X179" s="1453"/>
      <c r="Y179" s="1453"/>
      <c r="Z179" s="1454"/>
      <c r="AA179" s="1455"/>
      <c r="AB179" s="1453"/>
      <c r="AC179" s="1453"/>
      <c r="AD179" s="1453"/>
      <c r="AE179" s="678"/>
      <c r="AF179" s="1453"/>
      <c r="AG179" s="1453"/>
      <c r="AH179" s="1456"/>
      <c r="AI179" s="679"/>
      <c r="AJ179" s="214"/>
    </row>
    <row r="180" spans="1:36" ht="22.15" customHeight="1" x14ac:dyDescent="0.2">
      <c r="A180" s="109"/>
      <c r="B180" s="240"/>
      <c r="C180" s="241"/>
      <c r="D180" s="242"/>
      <c r="E180" s="243"/>
      <c r="F180" s="243"/>
      <c r="G180" s="244"/>
      <c r="H180" s="242"/>
      <c r="I180" s="243"/>
      <c r="J180" s="243"/>
      <c r="K180" s="244"/>
      <c r="L180" s="242"/>
      <c r="M180" s="243"/>
      <c r="N180" s="243"/>
      <c r="O180" s="244"/>
      <c r="P180" s="228"/>
      <c r="Q180" s="243"/>
      <c r="R180" s="243"/>
      <c r="S180" s="244"/>
      <c r="T180" s="228"/>
      <c r="U180" s="243"/>
      <c r="V180" s="243"/>
      <c r="W180" s="243"/>
      <c r="X180" s="243"/>
      <c r="Y180" s="243"/>
      <c r="Z180" s="243"/>
      <c r="AA180" s="244"/>
      <c r="AB180" s="243"/>
      <c r="AC180" s="243"/>
      <c r="AD180" s="243"/>
      <c r="AE180" s="244"/>
      <c r="AF180" s="243"/>
      <c r="AG180" s="243"/>
      <c r="AH180" s="215"/>
      <c r="AI180" s="215"/>
      <c r="AJ180" s="214"/>
    </row>
    <row r="181" spans="1:36" ht="22.15" customHeight="1" thickBot="1" x14ac:dyDescent="0.25">
      <c r="A181" s="148"/>
      <c r="B181" s="1457" t="s">
        <v>29</v>
      </c>
      <c r="C181" s="1185">
        <v>1</v>
      </c>
      <c r="D181" s="1186">
        <v>2</v>
      </c>
      <c r="E181" s="1186">
        <v>3</v>
      </c>
      <c r="F181" s="1186">
        <v>4</v>
      </c>
      <c r="G181" s="1185">
        <v>5</v>
      </c>
      <c r="H181" s="1185">
        <v>6</v>
      </c>
      <c r="I181" s="1185">
        <v>7</v>
      </c>
      <c r="J181" s="1186">
        <v>8</v>
      </c>
      <c r="K181" s="1186">
        <v>9</v>
      </c>
      <c r="L181" s="1186">
        <v>10</v>
      </c>
      <c r="M181" s="1186">
        <v>11</v>
      </c>
      <c r="N181" s="1186">
        <v>12</v>
      </c>
      <c r="O181" s="1185">
        <v>13</v>
      </c>
      <c r="P181" s="1185">
        <v>14</v>
      </c>
      <c r="Q181" s="1186">
        <v>15</v>
      </c>
      <c r="R181" s="1186">
        <v>16</v>
      </c>
      <c r="S181" s="1186">
        <v>17</v>
      </c>
      <c r="T181" s="1186">
        <v>18</v>
      </c>
      <c r="U181" s="1186">
        <v>19</v>
      </c>
      <c r="V181" s="1185">
        <v>20</v>
      </c>
      <c r="W181" s="1185">
        <v>21</v>
      </c>
      <c r="X181" s="1186">
        <v>22</v>
      </c>
      <c r="Y181" s="1186">
        <v>23</v>
      </c>
      <c r="Z181" s="1186">
        <v>24</v>
      </c>
      <c r="AA181" s="1186">
        <v>25</v>
      </c>
      <c r="AB181" s="1186">
        <v>26</v>
      </c>
      <c r="AC181" s="1185">
        <v>27</v>
      </c>
      <c r="AD181" s="1185">
        <v>28</v>
      </c>
      <c r="AE181" s="1186">
        <v>29</v>
      </c>
      <c r="AF181" s="1186">
        <v>30</v>
      </c>
      <c r="AG181" s="1458"/>
      <c r="AH181" s="195"/>
      <c r="AI181" s="185"/>
    </row>
    <row r="182" spans="1:36" ht="22.15" customHeight="1" x14ac:dyDescent="0.2">
      <c r="A182" s="109"/>
      <c r="B182" s="411" t="s">
        <v>249</v>
      </c>
      <c r="C182" s="385"/>
      <c r="D182" s="385" t="s">
        <v>216</v>
      </c>
      <c r="E182" s="385" t="s">
        <v>216</v>
      </c>
      <c r="F182" s="385" t="s">
        <v>216</v>
      </c>
      <c r="G182" s="385"/>
      <c r="H182" s="385"/>
      <c r="I182" s="385"/>
      <c r="J182" s="385" t="s">
        <v>216</v>
      </c>
      <c r="K182" s="385" t="s">
        <v>216</v>
      </c>
      <c r="L182" s="385" t="s">
        <v>216</v>
      </c>
      <c r="M182" s="385" t="s">
        <v>216</v>
      </c>
      <c r="N182" s="385" t="s">
        <v>216</v>
      </c>
      <c r="O182" s="385"/>
      <c r="P182" s="385"/>
      <c r="Q182" s="385" t="s">
        <v>216</v>
      </c>
      <c r="R182" s="385" t="s">
        <v>216</v>
      </c>
      <c r="S182" s="385" t="s">
        <v>216</v>
      </c>
      <c r="T182" s="385" t="s">
        <v>216</v>
      </c>
      <c r="U182" s="385" t="s">
        <v>216</v>
      </c>
      <c r="V182" s="1212" t="s">
        <v>47</v>
      </c>
      <c r="W182" s="385"/>
      <c r="X182" s="385" t="s">
        <v>216</v>
      </c>
      <c r="Y182" s="385" t="s">
        <v>216</v>
      </c>
      <c r="Z182" s="385" t="s">
        <v>216</v>
      </c>
      <c r="AA182" s="385" t="s">
        <v>216</v>
      </c>
      <c r="AB182" s="385" t="s">
        <v>216</v>
      </c>
      <c r="AC182" s="385"/>
      <c r="AD182" s="385"/>
      <c r="AE182" s="385" t="s">
        <v>216</v>
      </c>
      <c r="AF182" s="385" t="s">
        <v>216</v>
      </c>
      <c r="AG182" s="412"/>
      <c r="AH182" s="190"/>
      <c r="AI182" s="190"/>
    </row>
    <row r="183" spans="1:36" ht="22.15" customHeight="1" x14ac:dyDescent="0.2">
      <c r="A183" s="109"/>
      <c r="B183" s="1459" t="s">
        <v>250</v>
      </c>
      <c r="C183" s="1306"/>
      <c r="D183" s="1323" t="s">
        <v>216</v>
      </c>
      <c r="E183" s="1323" t="s">
        <v>216</v>
      </c>
      <c r="F183" s="1323" t="s">
        <v>216</v>
      </c>
      <c r="G183" s="1323"/>
      <c r="H183" s="1323"/>
      <c r="I183" s="1306"/>
      <c r="J183" s="1306" t="s">
        <v>216</v>
      </c>
      <c r="K183" s="1306" t="s">
        <v>216</v>
      </c>
      <c r="L183" s="1306" t="s">
        <v>216</v>
      </c>
      <c r="M183" s="1306" t="s">
        <v>216</v>
      </c>
      <c r="N183" s="1306" t="s">
        <v>216</v>
      </c>
      <c r="O183" s="1306"/>
      <c r="P183" s="1306"/>
      <c r="Q183" s="1306" t="s">
        <v>216</v>
      </c>
      <c r="R183" s="1306" t="s">
        <v>216</v>
      </c>
      <c r="S183" s="1306" t="s">
        <v>216</v>
      </c>
      <c r="T183" s="1306" t="s">
        <v>216</v>
      </c>
      <c r="U183" s="1306" t="s">
        <v>216</v>
      </c>
      <c r="V183" s="1212" t="s">
        <v>47</v>
      </c>
      <c r="W183" s="1306"/>
      <c r="X183" s="1306" t="s">
        <v>216</v>
      </c>
      <c r="Y183" s="1306" t="s">
        <v>351</v>
      </c>
      <c r="Z183" s="1306" t="s">
        <v>216</v>
      </c>
      <c r="AA183" s="1306" t="s">
        <v>216</v>
      </c>
      <c r="AB183" s="1306" t="s">
        <v>216</v>
      </c>
      <c r="AC183" s="1306"/>
      <c r="AD183" s="1306"/>
      <c r="AE183" s="1306" t="s">
        <v>216</v>
      </c>
      <c r="AF183" s="1306" t="s">
        <v>216</v>
      </c>
      <c r="AG183" s="1315"/>
      <c r="AH183" s="190"/>
      <c r="AI183" s="190"/>
    </row>
    <row r="184" spans="1:36" ht="22.15" customHeight="1" x14ac:dyDescent="0.2">
      <c r="A184" s="109"/>
      <c r="B184" s="1459" t="s">
        <v>251</v>
      </c>
      <c r="C184" s="1306"/>
      <c r="D184" s="1306" t="s">
        <v>220</v>
      </c>
      <c r="E184" s="1306" t="s">
        <v>220</v>
      </c>
      <c r="F184" s="1306" t="s">
        <v>220</v>
      </c>
      <c r="G184" s="1306"/>
      <c r="H184" s="1306"/>
      <c r="I184" s="1306"/>
      <c r="J184" s="1306" t="s">
        <v>220</v>
      </c>
      <c r="K184" s="1306" t="s">
        <v>220</v>
      </c>
      <c r="L184" s="1306" t="s">
        <v>220</v>
      </c>
      <c r="M184" s="1460" t="s">
        <v>352</v>
      </c>
      <c r="N184" s="1306" t="s">
        <v>220</v>
      </c>
      <c r="O184" s="1306"/>
      <c r="P184" s="1306"/>
      <c r="Q184" s="1306" t="s">
        <v>220</v>
      </c>
      <c r="R184" s="1306" t="s">
        <v>220</v>
      </c>
      <c r="S184" s="1306" t="s">
        <v>220</v>
      </c>
      <c r="T184" s="1306" t="s">
        <v>220</v>
      </c>
      <c r="U184" s="1306" t="s">
        <v>220</v>
      </c>
      <c r="V184" s="1306"/>
      <c r="W184" s="1306"/>
      <c r="X184" s="1306" t="s">
        <v>220</v>
      </c>
      <c r="Y184" s="1306" t="s">
        <v>220</v>
      </c>
      <c r="Z184" s="1306" t="s">
        <v>220</v>
      </c>
      <c r="AA184" s="1306" t="s">
        <v>220</v>
      </c>
      <c r="AB184" s="1306" t="s">
        <v>220</v>
      </c>
      <c r="AC184" s="1306"/>
      <c r="AD184" s="1306"/>
      <c r="AE184" s="1306" t="s">
        <v>220</v>
      </c>
      <c r="AF184" s="1306" t="s">
        <v>220</v>
      </c>
      <c r="AG184" s="1315"/>
      <c r="AH184" s="190"/>
      <c r="AI184" s="190"/>
    </row>
    <row r="185" spans="1:36" ht="22.15" customHeight="1" x14ac:dyDescent="0.2">
      <c r="A185" s="109"/>
      <c r="B185" s="1459" t="s">
        <v>252</v>
      </c>
      <c r="C185" s="1306"/>
      <c r="D185" s="1306" t="s">
        <v>158</v>
      </c>
      <c r="E185" s="1306" t="s">
        <v>158</v>
      </c>
      <c r="F185" s="1306" t="s">
        <v>158</v>
      </c>
      <c r="G185" s="1306"/>
      <c r="H185" s="1306"/>
      <c r="I185" s="1306"/>
      <c r="J185" s="1306" t="s">
        <v>158</v>
      </c>
      <c r="K185" s="1306" t="s">
        <v>158</v>
      </c>
      <c r="L185" s="1306" t="s">
        <v>158</v>
      </c>
      <c r="M185" s="1461" t="s">
        <v>158</v>
      </c>
      <c r="N185" s="1306" t="s">
        <v>158</v>
      </c>
      <c r="O185" s="1306"/>
      <c r="P185" s="1306"/>
      <c r="Q185" s="1462" t="s">
        <v>158</v>
      </c>
      <c r="R185" s="1462" t="s">
        <v>158</v>
      </c>
      <c r="S185" s="1462" t="s">
        <v>158</v>
      </c>
      <c r="T185" s="1462" t="s">
        <v>158</v>
      </c>
      <c r="U185" s="1462" t="s">
        <v>158</v>
      </c>
      <c r="V185" s="1462"/>
      <c r="W185" s="1462"/>
      <c r="X185" s="1462" t="s">
        <v>158</v>
      </c>
      <c r="Y185" s="1462" t="s">
        <v>158</v>
      </c>
      <c r="Z185" s="1462" t="s">
        <v>158</v>
      </c>
      <c r="AA185" s="1462" t="s">
        <v>158</v>
      </c>
      <c r="AB185" s="1462" t="s">
        <v>158</v>
      </c>
      <c r="AC185" s="1462"/>
      <c r="AD185" s="1462"/>
      <c r="AE185" s="1323" t="s">
        <v>158</v>
      </c>
      <c r="AF185" s="1323" t="s">
        <v>158</v>
      </c>
      <c r="AG185" s="1315"/>
      <c r="AH185" s="190"/>
      <c r="AI185" s="190"/>
    </row>
    <row r="186" spans="1:36" ht="22.15" customHeight="1" x14ac:dyDescent="0.2">
      <c r="A186" s="109"/>
      <c r="B186" s="1250" t="s">
        <v>253</v>
      </c>
      <c r="C186" s="1306"/>
      <c r="D186" s="1306" t="s">
        <v>223</v>
      </c>
      <c r="E186" s="1306" t="s">
        <v>223</v>
      </c>
      <c r="F186" s="1306" t="s">
        <v>223</v>
      </c>
      <c r="G186" s="1306"/>
      <c r="H186" s="1306"/>
      <c r="I186" s="1306"/>
      <c r="J186" s="1306" t="s">
        <v>223</v>
      </c>
      <c r="K186" s="1306" t="s">
        <v>223</v>
      </c>
      <c r="L186" s="1306" t="s">
        <v>223</v>
      </c>
      <c r="M186" s="1306" t="s">
        <v>223</v>
      </c>
      <c r="N186" s="1306" t="s">
        <v>223</v>
      </c>
      <c r="O186" s="1306"/>
      <c r="P186" s="1306"/>
      <c r="Q186" s="1306" t="s">
        <v>223</v>
      </c>
      <c r="R186" s="1306" t="s">
        <v>223</v>
      </c>
      <c r="S186" s="1306" t="s">
        <v>223</v>
      </c>
      <c r="T186" s="1306" t="s">
        <v>223</v>
      </c>
      <c r="U186" s="1306" t="s">
        <v>223</v>
      </c>
      <c r="V186" s="1306"/>
      <c r="W186" s="1306"/>
      <c r="X186" s="1306" t="s">
        <v>223</v>
      </c>
      <c r="Y186" s="1306" t="s">
        <v>223</v>
      </c>
      <c r="Z186" s="1306" t="s">
        <v>223</v>
      </c>
      <c r="AA186" s="1306" t="s">
        <v>223</v>
      </c>
      <c r="AB186" s="1306" t="s">
        <v>223</v>
      </c>
      <c r="AC186" s="1306"/>
      <c r="AD186" s="1306"/>
      <c r="AE186" s="1320" t="s">
        <v>353</v>
      </c>
      <c r="AF186" s="1332" t="s">
        <v>223</v>
      </c>
      <c r="AG186" s="1315"/>
      <c r="AH186" s="190"/>
      <c r="AI186" s="190"/>
    </row>
    <row r="187" spans="1:36" ht="22.15" customHeight="1" x14ac:dyDescent="0.2">
      <c r="A187" s="109"/>
      <c r="B187" s="1330" t="s">
        <v>254</v>
      </c>
      <c r="C187" s="1306"/>
      <c r="D187" s="1306" t="s">
        <v>228</v>
      </c>
      <c r="E187" s="1306" t="s">
        <v>228</v>
      </c>
      <c r="F187" s="1306" t="s">
        <v>228</v>
      </c>
      <c r="G187" s="1306"/>
      <c r="H187" s="1306"/>
      <c r="I187" s="1306"/>
      <c r="J187" s="1306" t="s">
        <v>228</v>
      </c>
      <c r="K187" s="1306" t="s">
        <v>228</v>
      </c>
      <c r="L187" s="1306" t="s">
        <v>228</v>
      </c>
      <c r="M187" s="1306" t="s">
        <v>228</v>
      </c>
      <c r="N187" s="1306" t="s">
        <v>228</v>
      </c>
      <c r="O187" s="1306"/>
      <c r="P187" s="1306"/>
      <c r="Q187" s="1306" t="s">
        <v>228</v>
      </c>
      <c r="R187" s="1306" t="s">
        <v>228</v>
      </c>
      <c r="S187" s="1306" t="s">
        <v>228</v>
      </c>
      <c r="T187" s="1306" t="s">
        <v>228</v>
      </c>
      <c r="U187" s="1306" t="s">
        <v>228</v>
      </c>
      <c r="V187" s="1306"/>
      <c r="W187" s="1306"/>
      <c r="X187" s="1306" t="s">
        <v>228</v>
      </c>
      <c r="Y187" s="1306" t="s">
        <v>228</v>
      </c>
      <c r="Z187" s="1306" t="s">
        <v>228</v>
      </c>
      <c r="AA187" s="1306" t="s">
        <v>228</v>
      </c>
      <c r="AB187" s="1306" t="s">
        <v>228</v>
      </c>
      <c r="AC187" s="1306"/>
      <c r="AD187" s="1306"/>
      <c r="AE187" s="1306" t="s">
        <v>228</v>
      </c>
      <c r="AF187" s="1306" t="s">
        <v>228</v>
      </c>
      <c r="AG187" s="1315"/>
      <c r="AH187" s="190"/>
      <c r="AI187" s="190"/>
    </row>
    <row r="188" spans="1:36" ht="22.15" customHeight="1" x14ac:dyDescent="0.2">
      <c r="A188" s="109"/>
      <c r="B188" s="1459" t="s">
        <v>255</v>
      </c>
      <c r="C188" s="1216"/>
      <c r="D188" s="1216" t="s">
        <v>233</v>
      </c>
      <c r="E188" s="1216" t="s">
        <v>233</v>
      </c>
      <c r="F188" s="1216" t="s">
        <v>233</v>
      </c>
      <c r="G188" s="1216"/>
      <c r="H188" s="1216"/>
      <c r="I188" s="1216"/>
      <c r="J188" s="1216" t="s">
        <v>233</v>
      </c>
      <c r="K188" s="1216" t="s">
        <v>233</v>
      </c>
      <c r="L188" s="1216" t="s">
        <v>233</v>
      </c>
      <c r="M188" s="1216" t="s">
        <v>233</v>
      </c>
      <c r="N188" s="1216" t="s">
        <v>233</v>
      </c>
      <c r="O188" s="1216"/>
      <c r="P188" s="1216"/>
      <c r="Q188" s="1216" t="s">
        <v>233</v>
      </c>
      <c r="R188" s="1216" t="s">
        <v>233</v>
      </c>
      <c r="S188" s="1216" t="s">
        <v>233</v>
      </c>
      <c r="T188" s="1216" t="s">
        <v>233</v>
      </c>
      <c r="U188" s="1216" t="s">
        <v>233</v>
      </c>
      <c r="V188" s="1216"/>
      <c r="W188" s="1216"/>
      <c r="X188" s="1216" t="s">
        <v>233</v>
      </c>
      <c r="Y188" s="1216" t="s">
        <v>233</v>
      </c>
      <c r="Z188" s="1216" t="s">
        <v>233</v>
      </c>
      <c r="AA188" s="1216" t="s">
        <v>233</v>
      </c>
      <c r="AB188" s="1216" t="s">
        <v>233</v>
      </c>
      <c r="AC188" s="1216"/>
      <c r="AD188" s="1216"/>
      <c r="AE188" s="1216" t="s">
        <v>233</v>
      </c>
      <c r="AF188" s="1216" t="s">
        <v>233</v>
      </c>
      <c r="AG188" s="1315"/>
      <c r="AH188" s="190"/>
      <c r="AI188" s="190"/>
    </row>
    <row r="189" spans="1:36" ht="22.15" customHeight="1" x14ac:dyDescent="0.2">
      <c r="A189" s="109"/>
      <c r="B189" s="1304" t="s">
        <v>256</v>
      </c>
      <c r="C189" s="1306"/>
      <c r="D189" s="1306" t="s">
        <v>235</v>
      </c>
      <c r="E189" s="1306" t="s">
        <v>235</v>
      </c>
      <c r="F189" s="1306" t="s">
        <v>235</v>
      </c>
      <c r="G189" s="1306"/>
      <c r="H189" s="1306"/>
      <c r="I189" s="1306"/>
      <c r="J189" s="1462" t="s">
        <v>235</v>
      </c>
      <c r="K189" s="1462" t="s">
        <v>235</v>
      </c>
      <c r="L189" s="1462" t="s">
        <v>235</v>
      </c>
      <c r="M189" s="1462" t="s">
        <v>235</v>
      </c>
      <c r="N189" s="1462" t="s">
        <v>235</v>
      </c>
      <c r="O189" s="1306"/>
      <c r="P189" s="1306"/>
      <c r="Q189" s="1306" t="s">
        <v>235</v>
      </c>
      <c r="R189" s="1306" t="s">
        <v>235</v>
      </c>
      <c r="S189" s="1306" t="s">
        <v>235</v>
      </c>
      <c r="T189" s="1306" t="s">
        <v>235</v>
      </c>
      <c r="U189" s="1306" t="s">
        <v>235</v>
      </c>
      <c r="V189" s="1306"/>
      <c r="W189" s="1306"/>
      <c r="X189" s="1306" t="s">
        <v>235</v>
      </c>
      <c r="Y189" s="1306" t="s">
        <v>235</v>
      </c>
      <c r="Z189" s="1306" t="s">
        <v>235</v>
      </c>
      <c r="AA189" s="1306" t="s">
        <v>235</v>
      </c>
      <c r="AB189" s="1320" t="s">
        <v>235</v>
      </c>
      <c r="AC189" s="1320"/>
      <c r="AD189" s="1320" t="s">
        <v>118</v>
      </c>
      <c r="AE189" s="1318" t="s">
        <v>235</v>
      </c>
      <c r="AF189" s="1318" t="s">
        <v>235</v>
      </c>
      <c r="AG189" s="1315"/>
      <c r="AH189" s="190"/>
      <c r="AI189" s="190"/>
    </row>
    <row r="190" spans="1:36" ht="22.15" customHeight="1" x14ac:dyDescent="0.2">
      <c r="A190" s="109"/>
      <c r="B190" s="1459" t="s">
        <v>257</v>
      </c>
      <c r="C190" s="1306"/>
      <c r="D190" s="1306" t="s">
        <v>236</v>
      </c>
      <c r="E190" s="1306" t="s">
        <v>236</v>
      </c>
      <c r="F190" s="1306" t="s">
        <v>236</v>
      </c>
      <c r="G190" s="1306"/>
      <c r="H190" s="1306"/>
      <c r="I190" s="1306"/>
      <c r="J190" s="1463" t="s">
        <v>236</v>
      </c>
      <c r="K190" s="1306" t="s">
        <v>236</v>
      </c>
      <c r="L190" s="1306" t="s">
        <v>236</v>
      </c>
      <c r="M190" s="1306" t="s">
        <v>236</v>
      </c>
      <c r="N190" s="1306" t="s">
        <v>236</v>
      </c>
      <c r="O190" s="1306"/>
      <c r="P190" s="1306"/>
      <c r="Q190" s="1306" t="s">
        <v>236</v>
      </c>
      <c r="R190" s="1306" t="s">
        <v>236</v>
      </c>
      <c r="S190" s="1306" t="s">
        <v>236</v>
      </c>
      <c r="T190" s="1306" t="s">
        <v>236</v>
      </c>
      <c r="U190" s="1320" t="s">
        <v>236</v>
      </c>
      <c r="V190" s="1320"/>
      <c r="W190" s="1320"/>
      <c r="X190" s="1320" t="s">
        <v>236</v>
      </c>
      <c r="Y190" s="1320" t="s">
        <v>354</v>
      </c>
      <c r="Z190" s="1464" t="s">
        <v>236</v>
      </c>
      <c r="AA190" s="1464" t="s">
        <v>236</v>
      </c>
      <c r="AB190" s="1464" t="s">
        <v>236</v>
      </c>
      <c r="AC190" s="1306"/>
      <c r="AD190" s="1306"/>
      <c r="AE190" s="1306" t="s">
        <v>236</v>
      </c>
      <c r="AF190" s="1306" t="s">
        <v>236</v>
      </c>
      <c r="AG190" s="1315"/>
      <c r="AH190" s="190"/>
      <c r="AI190" s="190"/>
    </row>
    <row r="191" spans="1:36" ht="22.15" customHeight="1" x14ac:dyDescent="0.2">
      <c r="A191" s="109"/>
      <c r="B191" s="1459" t="s">
        <v>258</v>
      </c>
      <c r="C191" s="1306"/>
      <c r="D191" s="1306" t="s">
        <v>238</v>
      </c>
      <c r="E191" s="1306" t="s">
        <v>238</v>
      </c>
      <c r="F191" s="1306" t="s">
        <v>238</v>
      </c>
      <c r="G191" s="1306"/>
      <c r="H191" s="1306"/>
      <c r="I191" s="1306"/>
      <c r="J191" s="1306" t="s">
        <v>238</v>
      </c>
      <c r="K191" s="1306" t="s">
        <v>238</v>
      </c>
      <c r="L191" s="1306" t="s">
        <v>238</v>
      </c>
      <c r="M191" s="1306" t="s">
        <v>238</v>
      </c>
      <c r="N191" s="1306" t="s">
        <v>238</v>
      </c>
      <c r="O191" s="1306"/>
      <c r="P191" s="1306"/>
      <c r="Q191" s="1306" t="s">
        <v>238</v>
      </c>
      <c r="R191" s="1306" t="s">
        <v>238</v>
      </c>
      <c r="S191" s="1306" t="s">
        <v>238</v>
      </c>
      <c r="T191" s="1306" t="s">
        <v>238</v>
      </c>
      <c r="U191" s="1306" t="s">
        <v>238</v>
      </c>
      <c r="V191" s="1306"/>
      <c r="W191" s="1306"/>
      <c r="X191" s="1306" t="s">
        <v>238</v>
      </c>
      <c r="Y191" s="1306" t="s">
        <v>238</v>
      </c>
      <c r="Z191" s="1306" t="s">
        <v>238</v>
      </c>
      <c r="AA191" s="1306" t="s">
        <v>238</v>
      </c>
      <c r="AB191" s="1306" t="s">
        <v>238</v>
      </c>
      <c r="AC191" s="1306"/>
      <c r="AD191" s="1306"/>
      <c r="AE191" s="1306" t="s">
        <v>238</v>
      </c>
      <c r="AF191" s="1306" t="s">
        <v>238</v>
      </c>
      <c r="AG191" s="1315"/>
      <c r="AH191" s="190"/>
      <c r="AI191" s="190"/>
    </row>
    <row r="192" spans="1:36" ht="22.15" customHeight="1" x14ac:dyDescent="0.2">
      <c r="A192" s="109"/>
      <c r="B192" s="1304" t="s">
        <v>260</v>
      </c>
      <c r="C192" s="1306"/>
      <c r="D192" s="1306" t="s">
        <v>80</v>
      </c>
      <c r="E192" s="1306" t="s">
        <v>80</v>
      </c>
      <c r="F192" s="1306" t="s">
        <v>80</v>
      </c>
      <c r="G192" s="1306"/>
      <c r="H192" s="1306"/>
      <c r="I192" s="1306"/>
      <c r="J192" s="1462" t="s">
        <v>80</v>
      </c>
      <c r="K192" s="1462" t="s">
        <v>80</v>
      </c>
      <c r="L192" s="1462" t="s">
        <v>80</v>
      </c>
      <c r="M192" s="1462" t="s">
        <v>80</v>
      </c>
      <c r="N192" s="1462" t="s">
        <v>80</v>
      </c>
      <c r="O192" s="1462"/>
      <c r="P192" s="1462"/>
      <c r="Q192" s="1306" t="s">
        <v>80</v>
      </c>
      <c r="R192" s="1306" t="s">
        <v>80</v>
      </c>
      <c r="S192" s="1306" t="s">
        <v>80</v>
      </c>
      <c r="T192" s="1306" t="s">
        <v>80</v>
      </c>
      <c r="U192" s="1306" t="s">
        <v>80</v>
      </c>
      <c r="V192" s="1306"/>
      <c r="W192" s="1306"/>
      <c r="X192" s="1306" t="s">
        <v>80</v>
      </c>
      <c r="Y192" s="1306" t="s">
        <v>80</v>
      </c>
      <c r="Z192" s="1306" t="s">
        <v>80</v>
      </c>
      <c r="AA192" s="1306" t="s">
        <v>80</v>
      </c>
      <c r="AB192" s="1306" t="s">
        <v>80</v>
      </c>
      <c r="AC192" s="1306"/>
      <c r="AD192" s="1306"/>
      <c r="AE192" s="1306" t="s">
        <v>80</v>
      </c>
      <c r="AF192" s="1306" t="s">
        <v>80</v>
      </c>
      <c r="AG192" s="1315"/>
      <c r="AH192" s="190"/>
      <c r="AI192" s="190"/>
    </row>
    <row r="193" spans="1:35" ht="22.15" customHeight="1" x14ac:dyDescent="0.2">
      <c r="A193" s="109"/>
      <c r="B193" s="1459" t="s">
        <v>261</v>
      </c>
      <c r="C193" s="1306"/>
      <c r="D193" s="1460" t="s">
        <v>132</v>
      </c>
      <c r="E193" s="1460" t="s">
        <v>132</v>
      </c>
      <c r="F193" s="1460" t="s">
        <v>132</v>
      </c>
      <c r="G193" s="1460"/>
      <c r="H193" s="1460"/>
      <c r="I193" s="1460"/>
      <c r="J193" s="1460" t="s">
        <v>132</v>
      </c>
      <c r="K193" s="1460" t="s">
        <v>132</v>
      </c>
      <c r="L193" s="1460" t="s">
        <v>132</v>
      </c>
      <c r="M193" s="1460" t="s">
        <v>132</v>
      </c>
      <c r="N193" s="1460" t="s">
        <v>132</v>
      </c>
      <c r="O193" s="1460"/>
      <c r="P193" s="1460"/>
      <c r="Q193" s="1460" t="s">
        <v>132</v>
      </c>
      <c r="R193" s="1306" t="s">
        <v>132</v>
      </c>
      <c r="S193" s="1306" t="s">
        <v>132</v>
      </c>
      <c r="T193" s="1306" t="s">
        <v>132</v>
      </c>
      <c r="U193" s="1306" t="s">
        <v>132</v>
      </c>
      <c r="V193" s="1306"/>
      <c r="W193" s="1306"/>
      <c r="X193" s="1306" t="s">
        <v>132</v>
      </c>
      <c r="Y193" s="1306" t="s">
        <v>132</v>
      </c>
      <c r="Z193" s="1306" t="s">
        <v>132</v>
      </c>
      <c r="AA193" s="1306" t="s">
        <v>132</v>
      </c>
      <c r="AB193" s="1306" t="s">
        <v>132</v>
      </c>
      <c r="AC193" s="1306"/>
      <c r="AD193" s="1306"/>
      <c r="AE193" s="1306" t="s">
        <v>132</v>
      </c>
      <c r="AF193" s="1306" t="s">
        <v>132</v>
      </c>
      <c r="AG193" s="1315"/>
      <c r="AH193" s="190"/>
      <c r="AI193" s="190"/>
    </row>
    <row r="194" spans="1:35" ht="22.15" customHeight="1" x14ac:dyDescent="0.2">
      <c r="A194" s="109"/>
      <c r="B194" s="1304" t="s">
        <v>355</v>
      </c>
      <c r="C194" s="1306"/>
      <c r="D194" s="1306" t="s">
        <v>243</v>
      </c>
      <c r="E194" s="1306" t="s">
        <v>243</v>
      </c>
      <c r="F194" s="1306" t="s">
        <v>243</v>
      </c>
      <c r="G194" s="1306"/>
      <c r="H194" s="1306"/>
      <c r="I194" s="1306"/>
      <c r="J194" s="1306" t="s">
        <v>243</v>
      </c>
      <c r="K194" s="1306" t="s">
        <v>243</v>
      </c>
      <c r="L194" s="1306" t="s">
        <v>243</v>
      </c>
      <c r="M194" s="1306" t="s">
        <v>243</v>
      </c>
      <c r="N194" s="1306" t="s">
        <v>243</v>
      </c>
      <c r="O194" s="1306"/>
      <c r="P194" s="1306"/>
      <c r="Q194" s="1306" t="s">
        <v>243</v>
      </c>
      <c r="R194" s="1306" t="s">
        <v>243</v>
      </c>
      <c r="S194" s="1306" t="s">
        <v>243</v>
      </c>
      <c r="T194" s="1306" t="s">
        <v>243</v>
      </c>
      <c r="U194" s="1306" t="s">
        <v>243</v>
      </c>
      <c r="V194" s="1306"/>
      <c r="W194" s="1306"/>
      <c r="X194" s="1306" t="s">
        <v>243</v>
      </c>
      <c r="Y194" s="1306" t="s">
        <v>243</v>
      </c>
      <c r="Z194" s="1306" t="s">
        <v>243</v>
      </c>
      <c r="AA194" s="1306" t="s">
        <v>243</v>
      </c>
      <c r="AB194" s="1306" t="s">
        <v>243</v>
      </c>
      <c r="AC194" s="1306"/>
      <c r="AD194" s="1306"/>
      <c r="AE194" s="1465" t="s">
        <v>243</v>
      </c>
      <c r="AF194" s="1306" t="s">
        <v>243</v>
      </c>
      <c r="AG194" s="1315"/>
      <c r="AH194" s="190"/>
      <c r="AI194" s="190"/>
    </row>
    <row r="195" spans="1:35" ht="22.15" customHeight="1" x14ac:dyDescent="0.2">
      <c r="A195" s="109"/>
      <c r="B195" s="1304" t="s">
        <v>263</v>
      </c>
      <c r="C195" s="1306"/>
      <c r="D195" s="1306" t="s">
        <v>246</v>
      </c>
      <c r="E195" s="1306" t="s">
        <v>246</v>
      </c>
      <c r="F195" s="1306" t="s">
        <v>246</v>
      </c>
      <c r="G195" s="1306"/>
      <c r="H195" s="1306"/>
      <c r="I195" s="1306"/>
      <c r="J195" s="1306" t="s">
        <v>246</v>
      </c>
      <c r="K195" s="1306" t="s">
        <v>246</v>
      </c>
      <c r="L195" s="1306" t="s">
        <v>246</v>
      </c>
      <c r="M195" s="1306" t="s">
        <v>246</v>
      </c>
      <c r="N195" s="1306" t="s">
        <v>246</v>
      </c>
      <c r="O195" s="1306"/>
      <c r="P195" s="1306"/>
      <c r="Q195" s="1306" t="s">
        <v>246</v>
      </c>
      <c r="R195" s="1306" t="s">
        <v>246</v>
      </c>
      <c r="S195" s="1306" t="s">
        <v>246</v>
      </c>
      <c r="T195" s="1306" t="s">
        <v>246</v>
      </c>
      <c r="U195" s="1306" t="s">
        <v>246</v>
      </c>
      <c r="V195" s="1306"/>
      <c r="W195" s="1306"/>
      <c r="X195" s="1306" t="s">
        <v>246</v>
      </c>
      <c r="Y195" s="1306" t="s">
        <v>246</v>
      </c>
      <c r="Z195" s="1306" t="s">
        <v>246</v>
      </c>
      <c r="AA195" s="1306" t="s">
        <v>246</v>
      </c>
      <c r="AB195" s="1306" t="s">
        <v>246</v>
      </c>
      <c r="AC195" s="1306"/>
      <c r="AD195" s="1306"/>
      <c r="AE195" s="1306" t="s">
        <v>246</v>
      </c>
      <c r="AF195" s="1306" t="s">
        <v>246</v>
      </c>
      <c r="AG195" s="1315"/>
      <c r="AH195" s="107"/>
      <c r="AI195" s="107"/>
    </row>
    <row r="196" spans="1:35" ht="21" customHeight="1" thickBot="1" x14ac:dyDescent="0.25">
      <c r="A196" s="148"/>
      <c r="B196" s="692" t="s">
        <v>264</v>
      </c>
      <c r="C196" s="696"/>
      <c r="D196" s="696" t="s">
        <v>248</v>
      </c>
      <c r="E196" s="696" t="s">
        <v>248</v>
      </c>
      <c r="F196" s="681" t="s">
        <v>248</v>
      </c>
      <c r="G196" s="681"/>
      <c r="H196" s="681"/>
      <c r="I196" s="681"/>
      <c r="J196" s="681" t="s">
        <v>248</v>
      </c>
      <c r="K196" s="681" t="s">
        <v>248</v>
      </c>
      <c r="L196" s="681" t="s">
        <v>248</v>
      </c>
      <c r="M196" s="681" t="s">
        <v>248</v>
      </c>
      <c r="N196" s="681" t="s">
        <v>248</v>
      </c>
      <c r="O196" s="681"/>
      <c r="P196" s="681"/>
      <c r="Q196" s="681" t="s">
        <v>248</v>
      </c>
      <c r="R196" s="681" t="s">
        <v>248</v>
      </c>
      <c r="S196" s="681" t="s">
        <v>248</v>
      </c>
      <c r="T196" s="681" t="s">
        <v>248</v>
      </c>
      <c r="U196" s="681" t="s">
        <v>248</v>
      </c>
      <c r="V196" s="681"/>
      <c r="W196" s="681"/>
      <c r="X196" s="681" t="s">
        <v>248</v>
      </c>
      <c r="Y196" s="681" t="s">
        <v>248</v>
      </c>
      <c r="Z196" s="681" t="s">
        <v>248</v>
      </c>
      <c r="AA196" s="681" t="s">
        <v>248</v>
      </c>
      <c r="AB196" s="681" t="s">
        <v>248</v>
      </c>
      <c r="AC196" s="681"/>
      <c r="AD196" s="681" t="s">
        <v>118</v>
      </c>
      <c r="AE196" s="686" t="s">
        <v>248</v>
      </c>
      <c r="AF196" s="686" t="s">
        <v>248</v>
      </c>
      <c r="AG196" s="217"/>
      <c r="AH196" s="115"/>
    </row>
    <row r="197" spans="1:35" ht="21" customHeight="1" x14ac:dyDescent="0.2">
      <c r="A197" s="148"/>
      <c r="B197" s="257"/>
      <c r="C197" s="255"/>
      <c r="D197" s="255"/>
      <c r="E197" s="255"/>
      <c r="F197" s="255"/>
      <c r="G197" s="255"/>
      <c r="H197" s="255"/>
      <c r="I197" s="255"/>
      <c r="J197" s="255"/>
      <c r="K197" s="255"/>
      <c r="L197" s="255"/>
      <c r="M197" s="255"/>
      <c r="N197" s="255"/>
      <c r="O197" s="255"/>
      <c r="P197" s="255"/>
      <c r="Q197" s="255"/>
      <c r="R197" s="255"/>
      <c r="S197" s="255"/>
      <c r="T197" s="255"/>
      <c r="U197" s="255"/>
      <c r="V197" s="255"/>
      <c r="W197" s="255"/>
      <c r="X197" s="255"/>
      <c r="Y197" s="255"/>
      <c r="Z197" s="255"/>
      <c r="AA197" s="255"/>
      <c r="AB197" s="255"/>
      <c r="AC197" s="255"/>
      <c r="AD197" s="255"/>
      <c r="AE197" s="255"/>
      <c r="AF197" s="255"/>
      <c r="AG197" s="255"/>
      <c r="AH197" s="115"/>
    </row>
    <row r="198" spans="1:35" ht="22.15" customHeight="1" x14ac:dyDescent="0.2"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</row>
    <row r="199" spans="1:35" ht="22.15" customHeight="1" thickBot="1" x14ac:dyDescent="0.25">
      <c r="A199" s="1" t="s">
        <v>266</v>
      </c>
      <c r="B199" s="59"/>
    </row>
    <row r="200" spans="1:35" ht="22.15" customHeight="1" x14ac:dyDescent="0.2">
      <c r="A200" s="1"/>
      <c r="B200" s="1466" t="s">
        <v>267</v>
      </c>
      <c r="C200" s="525" t="s">
        <v>90</v>
      </c>
      <c r="D200" s="525"/>
      <c r="E200" s="525"/>
      <c r="F200" s="525"/>
      <c r="G200" s="526" t="s">
        <v>91</v>
      </c>
      <c r="H200" s="525"/>
      <c r="I200" s="525"/>
      <c r="J200" s="525"/>
      <c r="K200" s="526" t="s">
        <v>92</v>
      </c>
      <c r="L200" s="525"/>
      <c r="M200" s="525"/>
      <c r="N200" s="525"/>
      <c r="O200" s="526" t="s">
        <v>93</v>
      </c>
      <c r="P200" s="525"/>
      <c r="Q200" s="525"/>
      <c r="R200" s="525"/>
      <c r="S200" s="526" t="s">
        <v>94</v>
      </c>
      <c r="T200" s="525"/>
      <c r="U200" s="525"/>
      <c r="V200" s="525"/>
      <c r="W200" s="527" t="s">
        <v>95</v>
      </c>
      <c r="X200" s="473"/>
      <c r="Y200" s="525"/>
      <c r="Z200" s="528"/>
      <c r="AA200" s="527" t="s">
        <v>96</v>
      </c>
      <c r="AB200" s="473"/>
      <c r="AC200" s="525"/>
      <c r="AD200" s="528"/>
      <c r="AE200" s="529" t="s">
        <v>97</v>
      </c>
      <c r="AF200" s="525"/>
      <c r="AG200" s="525"/>
      <c r="AH200" s="525"/>
      <c r="AI200" s="474"/>
    </row>
    <row r="201" spans="1:35" ht="22.15" customHeight="1" x14ac:dyDescent="0.2">
      <c r="A201" s="1"/>
      <c r="B201" s="1467">
        <v>3701</v>
      </c>
      <c r="C201" s="110" t="s">
        <v>268</v>
      </c>
      <c r="D201" s="110"/>
      <c r="E201" s="110"/>
      <c r="F201" s="110"/>
      <c r="G201" s="1468" t="s">
        <v>269</v>
      </c>
      <c r="H201" s="110"/>
      <c r="I201" s="110"/>
      <c r="J201" s="110"/>
      <c r="K201" s="1468" t="s">
        <v>269</v>
      </c>
      <c r="L201" s="110"/>
      <c r="M201" s="110"/>
      <c r="N201" s="110"/>
      <c r="O201" s="1468" t="s">
        <v>269</v>
      </c>
      <c r="P201" s="110"/>
      <c r="Q201" s="110"/>
      <c r="R201" s="110"/>
      <c r="S201" s="1468" t="s">
        <v>270</v>
      </c>
      <c r="T201" s="110"/>
      <c r="U201" s="110"/>
      <c r="V201" s="110"/>
      <c r="W201" s="1469"/>
      <c r="X201" s="1470"/>
      <c r="Y201" s="1235"/>
      <c r="Z201" s="1471"/>
      <c r="AA201" s="1469"/>
      <c r="AB201" s="1470"/>
      <c r="AC201" s="1235"/>
      <c r="AD201" s="1471"/>
      <c r="AE201" s="1391"/>
      <c r="AF201" s="1235"/>
      <c r="AG201" s="1235"/>
      <c r="AH201" s="1235"/>
      <c r="AI201" s="1176"/>
    </row>
    <row r="202" spans="1:35" ht="22.15" customHeight="1" x14ac:dyDescent="0.2">
      <c r="A202" s="1472"/>
      <c r="B202" s="1466"/>
      <c r="C202" s="1473"/>
      <c r="D202" s="1474"/>
      <c r="E202" s="1474"/>
      <c r="F202" s="1475"/>
      <c r="G202" s="1473"/>
      <c r="H202" s="1474"/>
      <c r="I202" s="1474"/>
      <c r="J202" s="1475"/>
      <c r="K202" s="1473"/>
      <c r="L202" s="1474"/>
      <c r="M202" s="1474"/>
      <c r="N202" s="1475"/>
      <c r="O202" s="1473"/>
      <c r="P202" s="1474"/>
      <c r="Q202" s="1474"/>
      <c r="R202" s="1475"/>
      <c r="S202" s="1473"/>
      <c r="T202" s="1474"/>
      <c r="U202" s="1474"/>
      <c r="V202" s="1474"/>
      <c r="W202" s="1469"/>
      <c r="X202" s="1470"/>
      <c r="Y202" s="1235"/>
      <c r="Z202" s="1471"/>
      <c r="AA202" s="1469"/>
      <c r="AB202" s="1470"/>
      <c r="AC202" s="1235"/>
      <c r="AD202" s="1471"/>
      <c r="AE202" s="1391"/>
      <c r="AF202" s="1235"/>
      <c r="AG202" s="1235"/>
      <c r="AH202" s="1235"/>
      <c r="AI202" s="1176"/>
    </row>
    <row r="203" spans="1:35" ht="22.15" customHeight="1" x14ac:dyDescent="0.2">
      <c r="A203" s="1472"/>
      <c r="B203" s="1466"/>
      <c r="C203" s="1473"/>
      <c r="D203" s="1474"/>
      <c r="E203" s="1474"/>
      <c r="F203" s="1475"/>
      <c r="G203" s="1473"/>
      <c r="H203" s="1474"/>
      <c r="I203" s="1474"/>
      <c r="J203" s="1475"/>
      <c r="K203" s="1473"/>
      <c r="L203" s="1474"/>
      <c r="M203" s="1474"/>
      <c r="N203" s="1475"/>
      <c r="O203" s="1473"/>
      <c r="P203" s="1474"/>
      <c r="Q203" s="1474"/>
      <c r="R203" s="1475"/>
      <c r="S203" s="1473"/>
      <c r="T203" s="1474"/>
      <c r="U203" s="1474"/>
      <c r="V203" s="1474"/>
      <c r="W203" s="1469"/>
      <c r="X203" s="1470"/>
      <c r="Y203" s="1235"/>
      <c r="Z203" s="1471"/>
      <c r="AA203" s="1469"/>
      <c r="AB203" s="1470"/>
      <c r="AC203" s="1235"/>
      <c r="AD203" s="1471"/>
      <c r="AE203" s="1391"/>
      <c r="AF203" s="1235"/>
      <c r="AG203" s="1235"/>
      <c r="AH203" s="1235"/>
      <c r="AI203" s="1176"/>
    </row>
    <row r="204" spans="1:35" ht="22.15" customHeight="1" thickBot="1" x14ac:dyDescent="0.25">
      <c r="A204" s="682"/>
      <c r="B204" s="683"/>
      <c r="C204" s="684"/>
      <c r="D204" s="1476"/>
      <c r="E204" s="1476"/>
      <c r="F204" s="1477"/>
      <c r="G204" s="684"/>
      <c r="H204" s="1476"/>
      <c r="I204" s="1476"/>
      <c r="J204" s="1477"/>
      <c r="K204" s="684"/>
      <c r="L204" s="1476"/>
      <c r="M204" s="1476"/>
      <c r="N204" s="1477"/>
      <c r="O204" s="684"/>
      <c r="P204" s="1476"/>
      <c r="Q204" s="1476"/>
      <c r="R204" s="1477"/>
      <c r="S204" s="684"/>
      <c r="T204" s="1476"/>
      <c r="U204" s="1476"/>
      <c r="V204" s="1476"/>
      <c r="W204" s="1478"/>
      <c r="X204" s="1479"/>
      <c r="Y204" s="1480"/>
      <c r="Z204" s="1481"/>
      <c r="AA204" s="1478"/>
      <c r="AB204" s="1479"/>
      <c r="AC204" s="1480"/>
      <c r="AD204" s="1481"/>
      <c r="AE204" s="1404"/>
      <c r="AF204" s="1242"/>
      <c r="AG204" s="1242"/>
      <c r="AH204" s="1242"/>
      <c r="AI204" s="1245"/>
    </row>
    <row r="205" spans="1:35" ht="22.15" customHeight="1" x14ac:dyDescent="0.2">
      <c r="AG205" s="110"/>
      <c r="AH205" s="110"/>
    </row>
    <row r="206" spans="1:35" ht="22.15" customHeight="1" x14ac:dyDescent="0.2">
      <c r="B206" s="1466">
        <v>3700</v>
      </c>
      <c r="C206" s="1235" t="s">
        <v>162</v>
      </c>
      <c r="D206" s="1235"/>
      <c r="E206" s="1235"/>
      <c r="F206" s="1235"/>
      <c r="G206" s="1482" t="s">
        <v>162</v>
      </c>
      <c r="H206" s="1235"/>
      <c r="I206" s="1235"/>
      <c r="J206" s="1235"/>
      <c r="K206" s="1482" t="s">
        <v>162</v>
      </c>
      <c r="L206" s="1235"/>
      <c r="M206" s="1235"/>
      <c r="N206" s="1235"/>
      <c r="O206" s="1482" t="s">
        <v>162</v>
      </c>
      <c r="P206" s="1235"/>
      <c r="Q206" s="1235"/>
      <c r="R206" s="1235"/>
      <c r="S206" s="1482" t="s">
        <v>163</v>
      </c>
      <c r="T206" s="1235"/>
      <c r="U206" s="1235"/>
      <c r="V206" s="1235"/>
      <c r="W206" s="1235"/>
      <c r="X206" s="1482"/>
      <c r="Y206" s="1235"/>
      <c r="Z206" s="1393"/>
      <c r="AA206" s="1391"/>
      <c r="AB206" s="1235"/>
      <c r="AC206" s="1235"/>
      <c r="AD206" s="1284"/>
      <c r="AE206" s="1483"/>
      <c r="AF206" s="1235"/>
      <c r="AG206" s="1235"/>
      <c r="AH206" s="1284"/>
      <c r="AI206" s="1176"/>
    </row>
    <row r="207" spans="1:35" ht="22.15" customHeight="1" x14ac:dyDescent="0.2">
      <c r="A207" s="1"/>
      <c r="B207" s="1466">
        <v>8514</v>
      </c>
      <c r="C207" s="1235" t="s">
        <v>269</v>
      </c>
      <c r="D207" s="1235"/>
      <c r="E207" s="1235"/>
      <c r="F207" s="1235"/>
      <c r="G207" s="1482" t="s">
        <v>269</v>
      </c>
      <c r="H207" s="1235"/>
      <c r="I207" s="1235"/>
      <c r="J207" s="1235"/>
      <c r="K207" s="1482" t="s">
        <v>269</v>
      </c>
      <c r="L207" s="1235"/>
      <c r="M207" s="1235"/>
      <c r="N207" s="1235"/>
      <c r="O207" s="1482" t="s">
        <v>269</v>
      </c>
      <c r="P207" s="1235"/>
      <c r="Q207" s="1235"/>
      <c r="R207" s="1235"/>
      <c r="S207" s="1482" t="s">
        <v>271</v>
      </c>
      <c r="T207" s="1235"/>
      <c r="U207" s="1235"/>
      <c r="V207" s="1235"/>
      <c r="W207" s="1235"/>
      <c r="X207" s="1482"/>
      <c r="Y207" s="1235"/>
      <c r="Z207" s="1393"/>
      <c r="AA207" s="1283"/>
      <c r="AB207" s="1235"/>
      <c r="AC207" s="1235"/>
      <c r="AD207" s="1284"/>
      <c r="AE207" s="1283"/>
      <c r="AF207" s="1235"/>
      <c r="AG207" s="1235"/>
      <c r="AH207" s="1284"/>
      <c r="AI207" s="1176"/>
    </row>
    <row r="208" spans="1:35" ht="22.15" customHeight="1" x14ac:dyDescent="0.2">
      <c r="A208" s="1"/>
      <c r="B208" s="1466">
        <v>8500</v>
      </c>
      <c r="C208" s="166" t="s">
        <v>272</v>
      </c>
      <c r="D208" s="166"/>
      <c r="E208" s="166"/>
      <c r="F208" s="166"/>
      <c r="G208" s="167" t="s">
        <v>272</v>
      </c>
      <c r="H208" s="166"/>
      <c r="I208" s="166"/>
      <c r="J208" s="166"/>
      <c r="K208" s="167" t="s">
        <v>272</v>
      </c>
      <c r="L208" s="166"/>
      <c r="M208" s="166"/>
      <c r="N208" s="166"/>
      <c r="O208" s="167" t="s">
        <v>272</v>
      </c>
      <c r="P208" s="166"/>
      <c r="Q208" s="166"/>
      <c r="R208" s="166"/>
      <c r="S208" s="167" t="s">
        <v>273</v>
      </c>
      <c r="T208" s="166"/>
      <c r="U208" s="166"/>
      <c r="V208" s="166"/>
      <c r="W208" s="166"/>
      <c r="X208" s="167"/>
      <c r="Y208" s="166"/>
      <c r="Z208" s="121"/>
      <c r="AA208" s="120"/>
      <c r="AB208" s="166"/>
      <c r="AC208" s="166"/>
      <c r="AD208" s="121"/>
      <c r="AE208" s="120"/>
      <c r="AF208" s="166"/>
      <c r="AG208" s="166"/>
      <c r="AH208" s="113"/>
      <c r="AI208" s="119"/>
    </row>
    <row r="209" spans="1:35" ht="22.15" customHeight="1" x14ac:dyDescent="0.2">
      <c r="A209" s="1"/>
      <c r="B209" s="1466">
        <v>8514</v>
      </c>
      <c r="C209" s="169" t="s">
        <v>269</v>
      </c>
      <c r="D209" s="169"/>
      <c r="E209" s="169"/>
      <c r="F209" s="169"/>
      <c r="G209" s="170" t="s">
        <v>269</v>
      </c>
      <c r="H209" s="169"/>
      <c r="I209" s="169"/>
      <c r="J209" s="169"/>
      <c r="K209" s="170" t="s">
        <v>269</v>
      </c>
      <c r="L209" s="169"/>
      <c r="M209" s="169"/>
      <c r="N209" s="169"/>
      <c r="O209" s="170" t="s">
        <v>269</v>
      </c>
      <c r="P209" s="169"/>
      <c r="Q209" s="169"/>
      <c r="R209" s="169"/>
      <c r="S209" s="170" t="s">
        <v>271</v>
      </c>
      <c r="T209" s="169"/>
      <c r="U209" s="169"/>
      <c r="V209" s="169"/>
      <c r="W209" s="169"/>
      <c r="X209" s="149"/>
      <c r="Y209" s="166"/>
      <c r="Z209" s="168"/>
      <c r="AA209" s="156"/>
      <c r="AB209" s="117"/>
      <c r="AC209" s="166"/>
      <c r="AD209" s="166"/>
      <c r="AE209" s="118"/>
      <c r="AF209" s="166"/>
      <c r="AG209" s="166"/>
      <c r="AH209" s="166"/>
      <c r="AI209" s="119"/>
    </row>
    <row r="210" spans="1:35" ht="22.15" customHeight="1" thickBot="1" x14ac:dyDescent="0.25">
      <c r="A210" s="1"/>
      <c r="B210" s="1484" t="s">
        <v>274</v>
      </c>
      <c r="C210" s="1242" t="s">
        <v>275</v>
      </c>
      <c r="D210" s="1242"/>
      <c r="E210" s="1242"/>
      <c r="F210" s="1242"/>
      <c r="G210" s="1485" t="s">
        <v>275</v>
      </c>
      <c r="H210" s="1242"/>
      <c r="I210" s="1242"/>
      <c r="J210" s="1242"/>
      <c r="K210" s="1486" t="s">
        <v>275</v>
      </c>
      <c r="L210" s="1242"/>
      <c r="M210" s="1242"/>
      <c r="N210" s="1242"/>
      <c r="O210" s="1485" t="s">
        <v>275</v>
      </c>
      <c r="P210" s="1242"/>
      <c r="Q210" s="1242"/>
      <c r="R210" s="1242"/>
      <c r="S210" s="1485" t="s">
        <v>276</v>
      </c>
      <c r="T210" s="1242"/>
      <c r="U210" s="1242"/>
      <c r="V210" s="1242"/>
      <c r="W210" s="1242"/>
      <c r="X210" s="1485"/>
      <c r="Y210" s="1242"/>
      <c r="Z210" s="1425"/>
      <c r="AA210" s="1404"/>
      <c r="AB210" s="1242"/>
      <c r="AC210" s="1242"/>
      <c r="AD210" s="1411"/>
      <c r="AE210" s="1487"/>
      <c r="AF210" s="1242"/>
      <c r="AG210" s="1242"/>
      <c r="AH210" s="1411"/>
      <c r="AI210" s="1245"/>
    </row>
    <row r="211" spans="1:35" ht="22.15" customHeight="1" x14ac:dyDescent="0.2">
      <c r="A211" s="1"/>
      <c r="B211" s="162" t="s">
        <v>337</v>
      </c>
      <c r="C211" s="228"/>
      <c r="D211" s="228"/>
      <c r="E211" s="228"/>
      <c r="F211" s="228"/>
      <c r="G211" s="228"/>
      <c r="H211" s="228"/>
      <c r="I211" s="228"/>
      <c r="J211" s="228"/>
      <c r="K211" s="228"/>
      <c r="L211" s="228"/>
      <c r="M211" s="228"/>
      <c r="N211" s="228"/>
      <c r="O211" s="228"/>
      <c r="P211" s="228"/>
      <c r="Q211" s="228"/>
      <c r="R211" s="228"/>
      <c r="S211" s="228"/>
      <c r="T211" s="228"/>
      <c r="U211" s="228"/>
      <c r="V211" s="228"/>
      <c r="W211" s="228"/>
      <c r="X211" s="228"/>
      <c r="Y211" s="228"/>
      <c r="Z211" s="361"/>
      <c r="AA211" s="364"/>
      <c r="AB211" s="228"/>
      <c r="AC211" s="228"/>
      <c r="AD211" s="361"/>
      <c r="AE211" s="365"/>
      <c r="AF211" s="228"/>
      <c r="AG211" s="228"/>
      <c r="AH211" s="361"/>
      <c r="AI211" s="214"/>
    </row>
    <row r="212" spans="1:35" ht="22.15" customHeight="1" x14ac:dyDescent="0.2">
      <c r="A212" s="1"/>
      <c r="B212" s="18"/>
      <c r="C212" s="64"/>
      <c r="D212" s="110"/>
      <c r="E212" s="110"/>
      <c r="F212" s="69"/>
      <c r="G212" s="64"/>
      <c r="H212" s="110"/>
      <c r="I212" s="110"/>
      <c r="J212" s="69"/>
      <c r="K212" s="64"/>
      <c r="L212" s="110"/>
      <c r="M212" s="110"/>
      <c r="N212" s="69"/>
      <c r="O212" s="64"/>
      <c r="P212" s="110"/>
      <c r="Q212" s="110"/>
      <c r="R212" s="69"/>
      <c r="S212" s="64"/>
      <c r="T212" s="110"/>
      <c r="U212" s="110"/>
      <c r="V212" s="69"/>
      <c r="W212" s="69"/>
      <c r="Z212" s="69"/>
      <c r="AA212" s="69"/>
      <c r="AD212" s="69"/>
      <c r="AE212" s="69"/>
      <c r="AH212" s="69"/>
    </row>
    <row r="213" spans="1:35" ht="22.15" customHeight="1" x14ac:dyDescent="0.2">
      <c r="A213" s="1" t="s">
        <v>277</v>
      </c>
      <c r="B213" s="18"/>
      <c r="C213" s="64"/>
      <c r="D213" s="110"/>
      <c r="E213" s="110"/>
      <c r="F213" s="69"/>
      <c r="G213" s="64"/>
      <c r="H213" s="110"/>
      <c r="I213" s="110"/>
      <c r="J213" s="69"/>
      <c r="K213" s="64"/>
      <c r="L213" s="110"/>
      <c r="M213" s="110"/>
      <c r="N213" s="69"/>
      <c r="O213" s="64"/>
      <c r="P213" s="110"/>
      <c r="Q213" s="110"/>
      <c r="R213" s="69"/>
      <c r="S213" s="64"/>
      <c r="T213" s="110"/>
      <c r="U213" s="110"/>
      <c r="V213" s="69"/>
      <c r="W213" s="69"/>
      <c r="Z213" s="69"/>
      <c r="AA213" s="69"/>
      <c r="AD213" s="69"/>
      <c r="AE213" s="69"/>
      <c r="AH213" s="69"/>
    </row>
    <row r="214" spans="1:35" ht="22.15" customHeight="1" thickBot="1" x14ac:dyDescent="0.25">
      <c r="A214" s="1343"/>
      <c r="B214" s="1247" t="s">
        <v>29</v>
      </c>
      <c r="C214" s="1185">
        <v>1</v>
      </c>
      <c r="D214" s="1186">
        <v>2</v>
      </c>
      <c r="E214" s="1186">
        <v>3</v>
      </c>
      <c r="F214" s="1186">
        <v>4</v>
      </c>
      <c r="G214" s="1185">
        <v>5</v>
      </c>
      <c r="H214" s="1185">
        <v>6</v>
      </c>
      <c r="I214" s="1185">
        <v>7</v>
      </c>
      <c r="J214" s="1186">
        <v>8</v>
      </c>
      <c r="K214" s="1186">
        <v>9</v>
      </c>
      <c r="L214" s="1186">
        <v>10</v>
      </c>
      <c r="M214" s="1186">
        <v>11</v>
      </c>
      <c r="N214" s="1186">
        <v>12</v>
      </c>
      <c r="O214" s="1185">
        <v>13</v>
      </c>
      <c r="P214" s="1185">
        <v>14</v>
      </c>
      <c r="Q214" s="1186">
        <v>15</v>
      </c>
      <c r="R214" s="1186">
        <v>16</v>
      </c>
      <c r="S214" s="1186">
        <v>17</v>
      </c>
      <c r="T214" s="1186">
        <v>18</v>
      </c>
      <c r="U214" s="1186">
        <v>19</v>
      </c>
      <c r="V214" s="1185">
        <v>20</v>
      </c>
      <c r="W214" s="1185">
        <v>21</v>
      </c>
      <c r="X214" s="1186">
        <v>22</v>
      </c>
      <c r="Y214" s="1186">
        <v>23</v>
      </c>
      <c r="Z214" s="1186">
        <v>24</v>
      </c>
      <c r="AA214" s="1186">
        <v>25</v>
      </c>
      <c r="AB214" s="1186">
        <v>26</v>
      </c>
      <c r="AC214" s="1185">
        <v>27</v>
      </c>
      <c r="AD214" s="1185">
        <v>28</v>
      </c>
      <c r="AE214" s="1186">
        <v>29</v>
      </c>
      <c r="AF214" s="1186">
        <v>30</v>
      </c>
      <c r="AG214" s="1458"/>
      <c r="AH214" s="184"/>
      <c r="AI214" s="185"/>
    </row>
    <row r="215" spans="1:35" ht="22.15" customHeight="1" x14ac:dyDescent="0.2">
      <c r="A215" s="305"/>
      <c r="B215" s="306" t="s">
        <v>278</v>
      </c>
      <c r="C215" s="1217"/>
      <c r="D215" s="1217" t="s">
        <v>31</v>
      </c>
      <c r="E215" s="1217" t="s">
        <v>31</v>
      </c>
      <c r="F215" s="1225" t="s">
        <v>31</v>
      </c>
      <c r="G215" s="1225"/>
      <c r="H215" s="1217"/>
      <c r="I215" s="1217"/>
      <c r="J215" s="1217" t="s">
        <v>31</v>
      </c>
      <c r="K215" s="1217" t="s">
        <v>31</v>
      </c>
      <c r="L215" s="1217" t="s">
        <v>31</v>
      </c>
      <c r="M215" s="1217" t="s">
        <v>31</v>
      </c>
      <c r="N215" s="1216" t="s">
        <v>31</v>
      </c>
      <c r="O215" s="1217"/>
      <c r="P215" s="1217"/>
      <c r="Q215" s="1217" t="s">
        <v>31</v>
      </c>
      <c r="R215" s="1217" t="s">
        <v>31</v>
      </c>
      <c r="S215" s="1217" t="s">
        <v>31</v>
      </c>
      <c r="T215" s="1217" t="s">
        <v>31</v>
      </c>
      <c r="U215" s="1217" t="s">
        <v>31</v>
      </c>
      <c r="V215" s="1217"/>
      <c r="W215" s="1217"/>
      <c r="X215" s="1217" t="s">
        <v>31</v>
      </c>
      <c r="Y215" s="1218" t="s">
        <v>31</v>
      </c>
      <c r="Z215" s="1218" t="s">
        <v>31</v>
      </c>
      <c r="AA215" s="1323" t="s">
        <v>31</v>
      </c>
      <c r="AB215" s="1323" t="s">
        <v>31</v>
      </c>
      <c r="AC215" s="1323"/>
      <c r="AD215" s="1323"/>
      <c r="AE215" s="1323" t="s">
        <v>31</v>
      </c>
      <c r="AF215" s="1323" t="s">
        <v>31</v>
      </c>
      <c r="AG215" s="274"/>
      <c r="AH215" s="184"/>
      <c r="AI215" s="185"/>
    </row>
    <row r="216" spans="1:35" ht="22.15" customHeight="1" x14ac:dyDescent="0.2">
      <c r="A216" s="1488"/>
      <c r="B216" s="1489" t="s">
        <v>279</v>
      </c>
      <c r="C216" s="1217"/>
      <c r="D216" s="1217" t="s">
        <v>31</v>
      </c>
      <c r="E216" s="1217" t="s">
        <v>31</v>
      </c>
      <c r="F216" s="1225" t="s">
        <v>31</v>
      </c>
      <c r="G216" s="1225"/>
      <c r="H216" s="1217"/>
      <c r="I216" s="1217"/>
      <c r="J216" s="1217" t="s">
        <v>31</v>
      </c>
      <c r="K216" s="1217" t="s">
        <v>31</v>
      </c>
      <c r="L216" s="1217" t="s">
        <v>31</v>
      </c>
      <c r="M216" s="1217" t="s">
        <v>31</v>
      </c>
      <c r="N216" s="1216" t="s">
        <v>31</v>
      </c>
      <c r="O216" s="1217"/>
      <c r="P216" s="1217"/>
      <c r="Q216" s="1217" t="s">
        <v>31</v>
      </c>
      <c r="R216" s="1217" t="s">
        <v>31</v>
      </c>
      <c r="S216" s="1217" t="s">
        <v>31</v>
      </c>
      <c r="T216" s="1217" t="s">
        <v>31</v>
      </c>
      <c r="U216" s="1217" t="s">
        <v>31</v>
      </c>
      <c r="V216" s="1217"/>
      <c r="W216" s="1217"/>
      <c r="X216" s="1217" t="s">
        <v>31</v>
      </c>
      <c r="Y216" s="1218" t="s">
        <v>31</v>
      </c>
      <c r="Z216" s="1218" t="s">
        <v>31</v>
      </c>
      <c r="AA216" s="1218" t="s">
        <v>31</v>
      </c>
      <c r="AB216" s="1217" t="s">
        <v>31</v>
      </c>
      <c r="AC216" s="1217"/>
      <c r="AD216" s="1217"/>
      <c r="AE216" s="1217" t="s">
        <v>31</v>
      </c>
      <c r="AF216" s="1217" t="s">
        <v>31</v>
      </c>
      <c r="AG216" s="1490"/>
      <c r="AH216" s="184"/>
      <c r="AI216" s="185"/>
    </row>
    <row r="217" spans="1:35" ht="22.15" customHeight="1" x14ac:dyDescent="0.2">
      <c r="A217" s="1491">
        <v>8514</v>
      </c>
      <c r="B217" s="1250" t="s">
        <v>280</v>
      </c>
      <c r="C217" s="1217"/>
      <c r="D217" s="1217" t="s">
        <v>31</v>
      </c>
      <c r="E217" s="1217" t="s">
        <v>31</v>
      </c>
      <c r="F217" s="1225" t="s">
        <v>31</v>
      </c>
      <c r="G217" s="1225"/>
      <c r="H217" s="1217"/>
      <c r="I217" s="1217"/>
      <c r="J217" s="1217" t="s">
        <v>31</v>
      </c>
      <c r="K217" s="1217" t="s">
        <v>31</v>
      </c>
      <c r="L217" s="1217" t="s">
        <v>31</v>
      </c>
      <c r="M217" s="1217" t="s">
        <v>31</v>
      </c>
      <c r="N217" s="1297" t="s">
        <v>31</v>
      </c>
      <c r="O217" s="1217"/>
      <c r="P217" s="1217"/>
      <c r="Q217" s="1217" t="s">
        <v>31</v>
      </c>
      <c r="R217" s="1217" t="s">
        <v>31</v>
      </c>
      <c r="S217" s="1217" t="s">
        <v>31</v>
      </c>
      <c r="T217" s="1217" t="s">
        <v>31</v>
      </c>
      <c r="U217" s="1217" t="s">
        <v>31</v>
      </c>
      <c r="V217" s="1217"/>
      <c r="W217" s="1217"/>
      <c r="X217" s="1217" t="s">
        <v>31</v>
      </c>
      <c r="Y217" s="1218" t="s">
        <v>31</v>
      </c>
      <c r="Z217" s="1218" t="s">
        <v>31</v>
      </c>
      <c r="AA217" s="1218" t="s">
        <v>31</v>
      </c>
      <c r="AB217" s="1297" t="s">
        <v>31</v>
      </c>
      <c r="AC217" s="1217"/>
      <c r="AD217" s="1217"/>
      <c r="AE217" s="1217" t="s">
        <v>31</v>
      </c>
      <c r="AF217" s="1217" t="s">
        <v>31</v>
      </c>
      <c r="AG217" s="1490"/>
      <c r="AH217" s="189"/>
      <c r="AI217" s="190"/>
    </row>
    <row r="218" spans="1:35" ht="21" customHeight="1" x14ac:dyDescent="0.2">
      <c r="A218" s="1491">
        <v>3701</v>
      </c>
      <c r="B218" s="1250" t="s">
        <v>281</v>
      </c>
      <c r="C218" s="1217"/>
      <c r="D218" s="1217" t="s">
        <v>31</v>
      </c>
      <c r="E218" s="1217" t="s">
        <v>31</v>
      </c>
      <c r="F218" s="1225" t="s">
        <v>31</v>
      </c>
      <c r="G218" s="1225"/>
      <c r="H218" s="1217"/>
      <c r="I218" s="1217"/>
      <c r="J218" s="1217" t="s">
        <v>31</v>
      </c>
      <c r="K218" s="1217" t="s">
        <v>31</v>
      </c>
      <c r="L218" s="1217" t="s">
        <v>31</v>
      </c>
      <c r="M218" s="1217" t="s">
        <v>31</v>
      </c>
      <c r="N218" s="1216" t="s">
        <v>31</v>
      </c>
      <c r="O218" s="1217"/>
      <c r="P218" s="1217"/>
      <c r="Q218" s="1217" t="s">
        <v>31</v>
      </c>
      <c r="R218" s="1217" t="s">
        <v>31</v>
      </c>
      <c r="S218" s="1217" t="s">
        <v>31</v>
      </c>
      <c r="T218" s="1217" t="s">
        <v>31</v>
      </c>
      <c r="U218" s="1217" t="s">
        <v>31</v>
      </c>
      <c r="V218" s="1217"/>
      <c r="W218" s="1217"/>
      <c r="X218" s="1217" t="s">
        <v>31</v>
      </c>
      <c r="Y218" s="1218" t="s">
        <v>31</v>
      </c>
      <c r="Z218" s="1218" t="s">
        <v>31</v>
      </c>
      <c r="AA218" s="1218" t="s">
        <v>31</v>
      </c>
      <c r="AB218" s="1217" t="s">
        <v>31</v>
      </c>
      <c r="AC218" s="1217"/>
      <c r="AD218" s="1217"/>
      <c r="AE218" s="1217" t="s">
        <v>31</v>
      </c>
      <c r="AF218" s="1217" t="s">
        <v>31</v>
      </c>
      <c r="AG218" s="1490"/>
      <c r="AH218" s="189"/>
      <c r="AI218" s="190"/>
    </row>
    <row r="219" spans="1:35" ht="21" customHeight="1" x14ac:dyDescent="0.2">
      <c r="A219" s="1491">
        <v>3701</v>
      </c>
      <c r="B219" s="1250" t="s">
        <v>282</v>
      </c>
      <c r="C219" s="1217"/>
      <c r="D219" s="1217" t="s">
        <v>31</v>
      </c>
      <c r="E219" s="1217" t="s">
        <v>31</v>
      </c>
      <c r="F219" s="1225" t="s">
        <v>31</v>
      </c>
      <c r="G219" s="1225"/>
      <c r="H219" s="1217"/>
      <c r="I219" s="1217"/>
      <c r="J219" s="1217" t="s">
        <v>31</v>
      </c>
      <c r="K219" s="1217" t="s">
        <v>31</v>
      </c>
      <c r="L219" s="1217" t="s">
        <v>31</v>
      </c>
      <c r="M219" s="1217" t="s">
        <v>31</v>
      </c>
      <c r="N219" s="1216" t="s">
        <v>31</v>
      </c>
      <c r="O219" s="1217"/>
      <c r="P219" s="1217"/>
      <c r="Q219" s="1217" t="s">
        <v>31</v>
      </c>
      <c r="R219" s="1217" t="s">
        <v>31</v>
      </c>
      <c r="S219" s="1217" t="s">
        <v>31</v>
      </c>
      <c r="T219" s="1217" t="s">
        <v>31</v>
      </c>
      <c r="U219" s="1217" t="s">
        <v>31</v>
      </c>
      <c r="V219" s="1217"/>
      <c r="W219" s="1217"/>
      <c r="X219" s="1217" t="s">
        <v>31</v>
      </c>
      <c r="Y219" s="1218" t="s">
        <v>31</v>
      </c>
      <c r="Z219" s="1218" t="s">
        <v>31</v>
      </c>
      <c r="AA219" s="1218" t="s">
        <v>31</v>
      </c>
      <c r="AB219" s="1217" t="s">
        <v>31</v>
      </c>
      <c r="AC219" s="1217"/>
      <c r="AD219" s="1217"/>
      <c r="AE219" s="1217" t="s">
        <v>31</v>
      </c>
      <c r="AF219" s="1217" t="s">
        <v>31</v>
      </c>
      <c r="AG219" s="1490"/>
      <c r="AH219" s="189"/>
      <c r="AI219" s="190"/>
    </row>
    <row r="220" spans="1:35" ht="21" customHeight="1" x14ac:dyDescent="0.2">
      <c r="A220" s="1491">
        <v>3701</v>
      </c>
      <c r="B220" s="1250" t="s">
        <v>283</v>
      </c>
      <c r="C220" s="1217"/>
      <c r="D220" s="1217" t="s">
        <v>31</v>
      </c>
      <c r="E220" s="1217" t="s">
        <v>31</v>
      </c>
      <c r="F220" s="1225" t="s">
        <v>31</v>
      </c>
      <c r="G220" s="1225"/>
      <c r="H220" s="1217"/>
      <c r="I220" s="1217"/>
      <c r="J220" s="1217" t="s">
        <v>31</v>
      </c>
      <c r="K220" s="1217" t="s">
        <v>31</v>
      </c>
      <c r="L220" s="1217" t="s">
        <v>31</v>
      </c>
      <c r="M220" s="1217" t="s">
        <v>31</v>
      </c>
      <c r="N220" s="1216" t="s">
        <v>31</v>
      </c>
      <c r="O220" s="1217"/>
      <c r="P220" s="1217"/>
      <c r="Q220" s="1217" t="s">
        <v>31</v>
      </c>
      <c r="R220" s="1217" t="s">
        <v>31</v>
      </c>
      <c r="S220" s="1217" t="s">
        <v>31</v>
      </c>
      <c r="T220" s="1217" t="s">
        <v>31</v>
      </c>
      <c r="U220" s="1217" t="s">
        <v>31</v>
      </c>
      <c r="V220" s="1217"/>
      <c r="W220" s="1217"/>
      <c r="X220" s="1217" t="s">
        <v>31</v>
      </c>
      <c r="Y220" s="1296" t="s">
        <v>35</v>
      </c>
      <c r="Z220" s="1296" t="s">
        <v>31</v>
      </c>
      <c r="AA220" s="1218" t="s">
        <v>35</v>
      </c>
      <c r="AB220" s="1217" t="s">
        <v>35</v>
      </c>
      <c r="AC220" s="1217"/>
      <c r="AD220" s="1217"/>
      <c r="AE220" s="1323" t="s">
        <v>31</v>
      </c>
      <c r="AF220" s="1323" t="s">
        <v>31</v>
      </c>
      <c r="AG220" s="1492"/>
      <c r="AH220" s="189"/>
      <c r="AI220" s="190"/>
    </row>
    <row r="221" spans="1:35" ht="21" customHeight="1" x14ac:dyDescent="0.2">
      <c r="A221" s="1491">
        <v>3701</v>
      </c>
      <c r="B221" s="1250" t="s">
        <v>284</v>
      </c>
      <c r="C221" s="1217"/>
      <c r="D221" s="1217" t="s">
        <v>31</v>
      </c>
      <c r="E221" s="1217" t="s">
        <v>31</v>
      </c>
      <c r="F221" s="1225" t="s">
        <v>31</v>
      </c>
      <c r="G221" s="1225"/>
      <c r="H221" s="1217"/>
      <c r="I221" s="1217"/>
      <c r="J221" s="1332" t="s">
        <v>31</v>
      </c>
      <c r="K221" s="1332" t="s">
        <v>31</v>
      </c>
      <c r="L221" s="1217" t="s">
        <v>31</v>
      </c>
      <c r="M221" s="1297" t="s">
        <v>31</v>
      </c>
      <c r="N221" s="1297" t="s">
        <v>31</v>
      </c>
      <c r="O221" s="1217"/>
      <c r="P221" s="1217"/>
      <c r="Q221" s="1217" t="s">
        <v>31</v>
      </c>
      <c r="R221" s="1217" t="s">
        <v>31</v>
      </c>
      <c r="S221" s="1217" t="s">
        <v>31</v>
      </c>
      <c r="T221" s="1217" t="s">
        <v>31</v>
      </c>
      <c r="U221" s="1217" t="s">
        <v>31</v>
      </c>
      <c r="V221" s="1217"/>
      <c r="W221" s="1217"/>
      <c r="X221" s="1217" t="s">
        <v>31</v>
      </c>
      <c r="Y221" s="1218" t="s">
        <v>31</v>
      </c>
      <c r="Z221" s="1218" t="s">
        <v>31</v>
      </c>
      <c r="AA221" s="1218" t="s">
        <v>31</v>
      </c>
      <c r="AB221" s="1217" t="s">
        <v>31</v>
      </c>
      <c r="AC221" s="1217"/>
      <c r="AD221" s="1217"/>
      <c r="AE221" s="1217" t="s">
        <v>31</v>
      </c>
      <c r="AF221" s="1217" t="s">
        <v>31</v>
      </c>
      <c r="AG221" s="1490"/>
      <c r="AH221" s="189"/>
      <c r="AI221" s="190"/>
    </row>
    <row r="222" spans="1:35" ht="22.15" customHeight="1" x14ac:dyDescent="0.2">
      <c r="A222" s="1491">
        <v>3701</v>
      </c>
      <c r="B222" s="1250" t="s">
        <v>285</v>
      </c>
      <c r="C222" s="1217"/>
      <c r="D222" s="1217" t="s">
        <v>31</v>
      </c>
      <c r="E222" s="1217" t="s">
        <v>31</v>
      </c>
      <c r="F222" s="1225" t="s">
        <v>31</v>
      </c>
      <c r="G222" s="1225"/>
      <c r="H222" s="1217"/>
      <c r="I222" s="1217"/>
      <c r="J222" s="1225" t="s">
        <v>31</v>
      </c>
      <c r="K222" s="1225" t="s">
        <v>31</v>
      </c>
      <c r="L222" s="1225" t="s">
        <v>31</v>
      </c>
      <c r="M222" s="1225" t="s">
        <v>31</v>
      </c>
      <c r="N222" s="1225" t="s">
        <v>31</v>
      </c>
      <c r="O222" s="1217"/>
      <c r="P222" s="1217"/>
      <c r="Q222" s="1217" t="s">
        <v>31</v>
      </c>
      <c r="R222" s="1217" t="s">
        <v>31</v>
      </c>
      <c r="S222" s="1217" t="s">
        <v>31</v>
      </c>
      <c r="T222" s="1217" t="s">
        <v>31</v>
      </c>
      <c r="U222" s="1217" t="s">
        <v>31</v>
      </c>
      <c r="V222" s="1217"/>
      <c r="W222" s="1217"/>
      <c r="X222" s="1217" t="s">
        <v>31</v>
      </c>
      <c r="Y222" s="1218" t="s">
        <v>31</v>
      </c>
      <c r="Z222" s="1218" t="s">
        <v>31</v>
      </c>
      <c r="AA222" s="1218" t="s">
        <v>31</v>
      </c>
      <c r="AB222" s="1217" t="s">
        <v>31</v>
      </c>
      <c r="AC222" s="1217"/>
      <c r="AD222" s="1217"/>
      <c r="AE222" s="1323" t="s">
        <v>31</v>
      </c>
      <c r="AF222" s="1323" t="s">
        <v>31</v>
      </c>
      <c r="AG222" s="1492"/>
      <c r="AH222" s="189"/>
      <c r="AI222" s="190"/>
    </row>
    <row r="223" spans="1:35" ht="22.15" customHeight="1" x14ac:dyDescent="0.2">
      <c r="A223" s="1491">
        <v>3701</v>
      </c>
      <c r="B223" s="1250" t="s">
        <v>286</v>
      </c>
      <c r="C223" s="1217"/>
      <c r="D223" s="1217" t="s">
        <v>31</v>
      </c>
      <c r="E223" s="1217" t="s">
        <v>31</v>
      </c>
      <c r="F223" s="1225" t="s">
        <v>31</v>
      </c>
      <c r="G223" s="1225"/>
      <c r="H223" s="1217"/>
      <c r="I223" s="1217"/>
      <c r="J223" s="1217" t="s">
        <v>31</v>
      </c>
      <c r="K223" s="1217" t="s">
        <v>31</v>
      </c>
      <c r="L223" s="1217" t="s">
        <v>31</v>
      </c>
      <c r="M223" s="1217" t="s">
        <v>31</v>
      </c>
      <c r="N223" s="1216" t="s">
        <v>31</v>
      </c>
      <c r="O223" s="1217"/>
      <c r="P223" s="1217"/>
      <c r="Q223" s="1217" t="s">
        <v>31</v>
      </c>
      <c r="R223" s="1217" t="s">
        <v>31</v>
      </c>
      <c r="S223" s="1217" t="s">
        <v>31</v>
      </c>
      <c r="T223" s="1217" t="s">
        <v>31</v>
      </c>
      <c r="U223" s="1217" t="s">
        <v>31</v>
      </c>
      <c r="V223" s="1217"/>
      <c r="W223" s="1217"/>
      <c r="X223" s="1217" t="s">
        <v>31</v>
      </c>
      <c r="Y223" s="1218" t="s">
        <v>31</v>
      </c>
      <c r="Z223" s="1218" t="s">
        <v>31</v>
      </c>
      <c r="AA223" s="1218" t="s">
        <v>31</v>
      </c>
      <c r="AB223" s="1217" t="s">
        <v>31</v>
      </c>
      <c r="AC223" s="1217"/>
      <c r="AD223" s="1217"/>
      <c r="AE223" s="1217" t="s">
        <v>31</v>
      </c>
      <c r="AF223" s="1217" t="s">
        <v>31</v>
      </c>
      <c r="AG223" s="1490"/>
      <c r="AH223" s="189"/>
      <c r="AI223" s="190"/>
    </row>
    <row r="224" spans="1:35" ht="22.15" customHeight="1" x14ac:dyDescent="0.2">
      <c r="A224" s="1491">
        <v>3701</v>
      </c>
      <c r="B224" s="1250" t="s">
        <v>287</v>
      </c>
      <c r="C224" s="1217"/>
      <c r="D224" s="1217" t="s">
        <v>31</v>
      </c>
      <c r="E224" s="1217" t="s">
        <v>31</v>
      </c>
      <c r="F224" s="1225" t="s">
        <v>31</v>
      </c>
      <c r="G224" s="1225"/>
      <c r="H224" s="1217"/>
      <c r="I224" s="1217"/>
      <c r="J224" s="1217" t="s">
        <v>31</v>
      </c>
      <c r="K224" s="1217" t="s">
        <v>31</v>
      </c>
      <c r="L224" s="1217" t="s">
        <v>31</v>
      </c>
      <c r="M224" s="1217" t="s">
        <v>31</v>
      </c>
      <c r="N224" s="1216" t="s">
        <v>31</v>
      </c>
      <c r="O224" s="1217"/>
      <c r="P224" s="1217"/>
      <c r="Q224" s="1217" t="s">
        <v>31</v>
      </c>
      <c r="R224" s="1217" t="s">
        <v>31</v>
      </c>
      <c r="S224" s="1217" t="s">
        <v>31</v>
      </c>
      <c r="T224" s="1217" t="s">
        <v>31</v>
      </c>
      <c r="U224" s="1217" t="s">
        <v>31</v>
      </c>
      <c r="V224" s="1217"/>
      <c r="W224" s="1212" t="s">
        <v>47</v>
      </c>
      <c r="X224" s="1217" t="s">
        <v>31</v>
      </c>
      <c r="Y224" s="1296" t="s">
        <v>35</v>
      </c>
      <c r="Z224" s="1296" t="s">
        <v>31</v>
      </c>
      <c r="AA224" s="1218" t="s">
        <v>35</v>
      </c>
      <c r="AB224" s="1217" t="s">
        <v>35</v>
      </c>
      <c r="AC224" s="1217"/>
      <c r="AD224" s="1217"/>
      <c r="AE224" s="1323" t="s">
        <v>31</v>
      </c>
      <c r="AF224" s="1323" t="s">
        <v>31</v>
      </c>
      <c r="AG224" s="1492"/>
      <c r="AH224" s="189"/>
      <c r="AI224" s="190"/>
    </row>
    <row r="225" spans="1:35" ht="22.15" customHeight="1" x14ac:dyDescent="0.2">
      <c r="A225" s="1493">
        <v>3701</v>
      </c>
      <c r="B225" s="1250" t="s">
        <v>290</v>
      </c>
      <c r="C225" s="1217"/>
      <c r="D225" s="1217" t="s">
        <v>31</v>
      </c>
      <c r="E225" s="1217" t="s">
        <v>31</v>
      </c>
      <c r="F225" s="1225" t="s">
        <v>31</v>
      </c>
      <c r="G225" s="1225"/>
      <c r="H225" s="1217"/>
      <c r="I225" s="1217"/>
      <c r="J225" s="1217" t="s">
        <v>31</v>
      </c>
      <c r="K225" s="1217" t="s">
        <v>31</v>
      </c>
      <c r="L225" s="1217" t="s">
        <v>31</v>
      </c>
      <c r="M225" s="1217" t="s">
        <v>31</v>
      </c>
      <c r="N225" s="1216" t="s">
        <v>31</v>
      </c>
      <c r="O225" s="1217"/>
      <c r="P225" s="1217"/>
      <c r="Q225" s="1217" t="s">
        <v>31</v>
      </c>
      <c r="R225" s="1217" t="s">
        <v>31</v>
      </c>
      <c r="S225" s="1217" t="s">
        <v>31</v>
      </c>
      <c r="T225" s="1217" t="s">
        <v>31</v>
      </c>
      <c r="U225" s="1217" t="s">
        <v>31</v>
      </c>
      <c r="V225" s="1217"/>
      <c r="W225" s="1217"/>
      <c r="X225" s="1323" t="s">
        <v>31</v>
      </c>
      <c r="Y225" s="1323" t="s">
        <v>31</v>
      </c>
      <c r="Z225" s="1323" t="s">
        <v>31</v>
      </c>
      <c r="AA225" s="1323" t="s">
        <v>31</v>
      </c>
      <c r="AB225" s="1323" t="s">
        <v>31</v>
      </c>
      <c r="AC225" s="1323"/>
      <c r="AD225" s="1323"/>
      <c r="AE225" s="1323" t="s">
        <v>31</v>
      </c>
      <c r="AF225" s="1323" t="s">
        <v>31</v>
      </c>
      <c r="AG225" s="1492"/>
      <c r="AH225" s="189"/>
      <c r="AI225" s="190"/>
    </row>
    <row r="226" spans="1:35" ht="22.15" customHeight="1" x14ac:dyDescent="0.2">
      <c r="A226" s="1491">
        <v>3701</v>
      </c>
      <c r="B226" s="1250" t="s">
        <v>291</v>
      </c>
      <c r="C226" s="1217"/>
      <c r="D226" s="1217" t="s">
        <v>31</v>
      </c>
      <c r="E226" s="1217" t="s">
        <v>31</v>
      </c>
      <c r="F226" s="1225" t="s">
        <v>31</v>
      </c>
      <c r="G226" s="1225"/>
      <c r="H226" s="1217"/>
      <c r="I226" s="1217"/>
      <c r="J226" s="1217" t="s">
        <v>31</v>
      </c>
      <c r="K226" s="1217" t="s">
        <v>31</v>
      </c>
      <c r="L226" s="1217" t="s">
        <v>31</v>
      </c>
      <c r="M226" s="1217" t="s">
        <v>31</v>
      </c>
      <c r="N226" s="1216" t="s">
        <v>31</v>
      </c>
      <c r="O226" s="1217"/>
      <c r="P226" s="1217"/>
      <c r="Q226" s="1217" t="s">
        <v>31</v>
      </c>
      <c r="R226" s="1217" t="s">
        <v>31</v>
      </c>
      <c r="S226" s="1217" t="s">
        <v>31</v>
      </c>
      <c r="T226" s="1217" t="s">
        <v>31</v>
      </c>
      <c r="U226" s="1217" t="s">
        <v>31</v>
      </c>
      <c r="V226" s="1217"/>
      <c r="W226" s="1217"/>
      <c r="X226" s="1217" t="s">
        <v>31</v>
      </c>
      <c r="Y226" s="1218" t="s">
        <v>31</v>
      </c>
      <c r="Z226" s="1218" t="s">
        <v>31</v>
      </c>
      <c r="AA226" s="1218" t="s">
        <v>31</v>
      </c>
      <c r="AB226" s="1217" t="s">
        <v>31</v>
      </c>
      <c r="AC226" s="1217"/>
      <c r="AD226" s="1217"/>
      <c r="AE226" s="1217" t="s">
        <v>31</v>
      </c>
      <c r="AF226" s="1217" t="s">
        <v>31</v>
      </c>
      <c r="AG226" s="1494"/>
      <c r="AH226" s="189"/>
      <c r="AI226" s="190"/>
    </row>
    <row r="227" spans="1:35" ht="22.15" customHeight="1" x14ac:dyDescent="0.2">
      <c r="A227" s="1491">
        <v>3701</v>
      </c>
      <c r="B227" s="1250" t="s">
        <v>292</v>
      </c>
      <c r="C227" s="1217"/>
      <c r="D227" s="1217" t="s">
        <v>31</v>
      </c>
      <c r="E227" s="1217" t="s">
        <v>31</v>
      </c>
      <c r="F227" s="1225" t="s">
        <v>31</v>
      </c>
      <c r="G227" s="1225"/>
      <c r="H227" s="1217"/>
      <c r="I227" s="1217"/>
      <c r="J227" s="1217" t="s">
        <v>31</v>
      </c>
      <c r="K227" s="1217" t="s">
        <v>31</v>
      </c>
      <c r="L227" s="1217" t="s">
        <v>31</v>
      </c>
      <c r="M227" s="1217" t="s">
        <v>31</v>
      </c>
      <c r="N227" s="1216" t="s">
        <v>31</v>
      </c>
      <c r="O227" s="1217"/>
      <c r="P227" s="1217"/>
      <c r="Q227" s="1217" t="s">
        <v>31</v>
      </c>
      <c r="R227" s="1217" t="s">
        <v>31</v>
      </c>
      <c r="S227" s="1217" t="s">
        <v>31</v>
      </c>
      <c r="T227" s="1217" t="s">
        <v>31</v>
      </c>
      <c r="U227" s="1217" t="s">
        <v>31</v>
      </c>
      <c r="V227" s="1217"/>
      <c r="W227" s="1217"/>
      <c r="X227" s="1217" t="s">
        <v>31</v>
      </c>
      <c r="Y227" s="1218" t="s">
        <v>31</v>
      </c>
      <c r="Z227" s="1218" t="s">
        <v>31</v>
      </c>
      <c r="AA227" s="1218" t="s">
        <v>31</v>
      </c>
      <c r="AB227" s="1217" t="s">
        <v>31</v>
      </c>
      <c r="AC227" s="1217"/>
      <c r="AD227" s="1217"/>
      <c r="AE227" s="1217" t="s">
        <v>31</v>
      </c>
      <c r="AF227" s="1217" t="s">
        <v>31</v>
      </c>
      <c r="AG227" s="1495"/>
      <c r="AH227" s="189"/>
      <c r="AI227" s="190"/>
    </row>
    <row r="228" spans="1:35" ht="22.15" customHeight="1" x14ac:dyDescent="0.2">
      <c r="A228" s="1491"/>
      <c r="B228" s="1496"/>
      <c r="C228" s="1217"/>
      <c r="D228" s="1217" t="s">
        <v>31</v>
      </c>
      <c r="E228" s="1217" t="s">
        <v>31</v>
      </c>
      <c r="F228" s="1225" t="s">
        <v>31</v>
      </c>
      <c r="G228" s="1225"/>
      <c r="H228" s="1217"/>
      <c r="I228" s="1217"/>
      <c r="J228" s="1217" t="s">
        <v>31</v>
      </c>
      <c r="K228" s="1217" t="s">
        <v>31</v>
      </c>
      <c r="L228" s="1217" t="s">
        <v>31</v>
      </c>
      <c r="M228" s="1217" t="s">
        <v>31</v>
      </c>
      <c r="N228" s="1216" t="s">
        <v>31</v>
      </c>
      <c r="O228" s="1217"/>
      <c r="P228" s="1217"/>
      <c r="Q228" s="1217" t="s">
        <v>31</v>
      </c>
      <c r="R228" s="1217" t="s">
        <v>31</v>
      </c>
      <c r="S228" s="1217" t="s">
        <v>31</v>
      </c>
      <c r="T228" s="1217" t="s">
        <v>31</v>
      </c>
      <c r="U228" s="1217" t="s">
        <v>31</v>
      </c>
      <c r="V228" s="1217"/>
      <c r="W228" s="1217"/>
      <c r="X228" s="1217" t="s">
        <v>31</v>
      </c>
      <c r="Y228" s="1218" t="s">
        <v>31</v>
      </c>
      <c r="Z228" s="1218" t="s">
        <v>31</v>
      </c>
      <c r="AA228" s="1218" t="s">
        <v>31</v>
      </c>
      <c r="AB228" s="1217" t="s">
        <v>31</v>
      </c>
      <c r="AC228" s="1217"/>
      <c r="AD228" s="1217"/>
      <c r="AE228" s="1217" t="s">
        <v>31</v>
      </c>
      <c r="AF228" s="1217" t="s">
        <v>31</v>
      </c>
      <c r="AG228" s="1490"/>
      <c r="AH228" s="189"/>
      <c r="AI228" s="190"/>
    </row>
    <row r="229" spans="1:35" ht="22.15" customHeight="1" x14ac:dyDescent="0.2">
      <c r="A229" s="1491"/>
      <c r="B229" s="1250" t="s">
        <v>293</v>
      </c>
      <c r="C229" s="1217"/>
      <c r="D229" s="1217" t="s">
        <v>31</v>
      </c>
      <c r="E229" s="1217" t="s">
        <v>31</v>
      </c>
      <c r="F229" s="1225" t="s">
        <v>31</v>
      </c>
      <c r="G229" s="1225"/>
      <c r="H229" s="1217"/>
      <c r="I229" s="1217"/>
      <c r="J229" s="1217" t="s">
        <v>31</v>
      </c>
      <c r="K229" s="1217" t="s">
        <v>31</v>
      </c>
      <c r="L229" s="1217" t="s">
        <v>31</v>
      </c>
      <c r="M229" s="1217" t="s">
        <v>31</v>
      </c>
      <c r="N229" s="1216" t="s">
        <v>31</v>
      </c>
      <c r="O229" s="1217"/>
      <c r="P229" s="1217"/>
      <c r="Q229" s="1217" t="s">
        <v>31</v>
      </c>
      <c r="R229" s="1217" t="s">
        <v>31</v>
      </c>
      <c r="S229" s="1217" t="s">
        <v>31</v>
      </c>
      <c r="T229" s="1217" t="s">
        <v>31</v>
      </c>
      <c r="U229" s="1217" t="s">
        <v>31</v>
      </c>
      <c r="V229" s="1217"/>
      <c r="W229" s="1217"/>
      <c r="X229" s="1323" t="s">
        <v>31</v>
      </c>
      <c r="Y229" s="1323" t="s">
        <v>31</v>
      </c>
      <c r="Z229" s="1323" t="s">
        <v>31</v>
      </c>
      <c r="AA229" s="1323" t="s">
        <v>31</v>
      </c>
      <c r="AB229" s="1323" t="s">
        <v>31</v>
      </c>
      <c r="AC229" s="1217"/>
      <c r="AD229" s="1217"/>
      <c r="AE229" s="1217" t="s">
        <v>31</v>
      </c>
      <c r="AF229" s="1217" t="s">
        <v>31</v>
      </c>
      <c r="AG229" s="1490"/>
      <c r="AH229" s="189"/>
      <c r="AI229" s="190"/>
    </row>
    <row r="230" spans="1:35" ht="22.15" customHeight="1" x14ac:dyDescent="0.2">
      <c r="A230" s="1491"/>
      <c r="B230" s="1250" t="s">
        <v>294</v>
      </c>
      <c r="C230" s="1320"/>
      <c r="D230" s="1320" t="s">
        <v>31</v>
      </c>
      <c r="E230" s="1320" t="s">
        <v>31</v>
      </c>
      <c r="F230" s="1320" t="s">
        <v>31</v>
      </c>
      <c r="G230" s="1320"/>
      <c r="H230" s="1320"/>
      <c r="I230" s="1320"/>
      <c r="J230" s="1320" t="s">
        <v>31</v>
      </c>
      <c r="K230" s="1320" t="s">
        <v>31</v>
      </c>
      <c r="L230" s="1320" t="s">
        <v>31</v>
      </c>
      <c r="M230" s="1320" t="s">
        <v>31</v>
      </c>
      <c r="N230" s="1320" t="s">
        <v>31</v>
      </c>
      <c r="O230" s="1320"/>
      <c r="P230" s="1320"/>
      <c r="Q230" s="1320" t="s">
        <v>31</v>
      </c>
      <c r="R230" s="1320" t="s">
        <v>31</v>
      </c>
      <c r="S230" s="1320" t="s">
        <v>31</v>
      </c>
      <c r="T230" s="1320" t="s">
        <v>31</v>
      </c>
      <c r="U230" s="1320" t="s">
        <v>31</v>
      </c>
      <c r="V230" s="1320"/>
      <c r="W230" s="1320"/>
      <c r="X230" s="1320" t="s">
        <v>31</v>
      </c>
      <c r="Y230" s="1320" t="s">
        <v>31</v>
      </c>
      <c r="Z230" s="1320" t="s">
        <v>31</v>
      </c>
      <c r="AA230" s="1320" t="s">
        <v>31</v>
      </c>
      <c r="AB230" s="1320" t="s">
        <v>31</v>
      </c>
      <c r="AC230" s="1320"/>
      <c r="AD230" s="1320"/>
      <c r="AE230" s="1320" t="s">
        <v>31</v>
      </c>
      <c r="AF230" s="1320" t="s">
        <v>31</v>
      </c>
      <c r="AG230" s="1497"/>
      <c r="AH230" s="189"/>
      <c r="AI230" s="190"/>
    </row>
    <row r="231" spans="1:35" ht="22.15" customHeight="1" x14ac:dyDescent="0.2">
      <c r="A231" s="1491"/>
      <c r="B231" s="1250" t="s">
        <v>295</v>
      </c>
      <c r="C231" s="1217"/>
      <c r="D231" s="1217" t="s">
        <v>31</v>
      </c>
      <c r="E231" s="1217" t="s">
        <v>31</v>
      </c>
      <c r="F231" s="1225" t="s">
        <v>31</v>
      </c>
      <c r="G231" s="1225"/>
      <c r="H231" s="1217"/>
      <c r="I231" s="1217"/>
      <c r="J231" s="1217" t="s">
        <v>31</v>
      </c>
      <c r="K231" s="1217" t="s">
        <v>31</v>
      </c>
      <c r="L231" s="1217" t="s">
        <v>31</v>
      </c>
      <c r="M231" s="1217" t="s">
        <v>31</v>
      </c>
      <c r="N231" s="1216" t="s">
        <v>31</v>
      </c>
      <c r="O231" s="1217"/>
      <c r="P231" s="1217"/>
      <c r="Q231" s="1217" t="s">
        <v>31</v>
      </c>
      <c r="R231" s="1217" t="s">
        <v>31</v>
      </c>
      <c r="S231" s="1217" t="s">
        <v>31</v>
      </c>
      <c r="T231" s="1217" t="s">
        <v>31</v>
      </c>
      <c r="U231" s="1217" t="s">
        <v>31</v>
      </c>
      <c r="V231" s="1217"/>
      <c r="W231" s="1217"/>
      <c r="X231" s="1217" t="s">
        <v>31</v>
      </c>
      <c r="Y231" s="1218" t="s">
        <v>31</v>
      </c>
      <c r="Z231" s="1218" t="s">
        <v>31</v>
      </c>
      <c r="AA231" s="1218" t="s">
        <v>31</v>
      </c>
      <c r="AB231" s="1217" t="s">
        <v>31</v>
      </c>
      <c r="AC231" s="1217"/>
      <c r="AD231" s="1217"/>
      <c r="AE231" s="1217" t="s">
        <v>31</v>
      </c>
      <c r="AF231" s="1217" t="s">
        <v>31</v>
      </c>
      <c r="AG231" s="1490"/>
      <c r="AH231" s="189"/>
      <c r="AI231" s="190"/>
    </row>
    <row r="232" spans="1:35" ht="22.15" customHeight="1" x14ac:dyDescent="0.2">
      <c r="A232" s="1491"/>
      <c r="B232" s="1250" t="s">
        <v>296</v>
      </c>
      <c r="C232" s="1217"/>
      <c r="D232" s="1217" t="s">
        <v>31</v>
      </c>
      <c r="E232" s="1217" t="s">
        <v>31</v>
      </c>
      <c r="F232" s="1225" t="s">
        <v>31</v>
      </c>
      <c r="G232" s="1225"/>
      <c r="H232" s="1217"/>
      <c r="I232" s="1217"/>
      <c r="J232" s="1217" t="s">
        <v>31</v>
      </c>
      <c r="K232" s="1217" t="s">
        <v>31</v>
      </c>
      <c r="L232" s="1217" t="s">
        <v>31</v>
      </c>
      <c r="M232" s="1217" t="s">
        <v>31</v>
      </c>
      <c r="N232" s="1216" t="s">
        <v>31</v>
      </c>
      <c r="O232" s="1217"/>
      <c r="P232" s="1217"/>
      <c r="Q232" s="1217" t="s">
        <v>31</v>
      </c>
      <c r="R232" s="1217" t="s">
        <v>31</v>
      </c>
      <c r="S232" s="1217" t="s">
        <v>31</v>
      </c>
      <c r="T232" s="1217" t="s">
        <v>31</v>
      </c>
      <c r="U232" s="1217" t="s">
        <v>31</v>
      </c>
      <c r="V232" s="1217"/>
      <c r="W232" s="1217"/>
      <c r="X232" s="1217" t="s">
        <v>31</v>
      </c>
      <c r="Y232" s="1218" t="s">
        <v>31</v>
      </c>
      <c r="Z232" s="1218" t="s">
        <v>31</v>
      </c>
      <c r="AA232" s="1218" t="s">
        <v>31</v>
      </c>
      <c r="AB232" s="1217" t="s">
        <v>31</v>
      </c>
      <c r="AC232" s="1217"/>
      <c r="AD232" s="1217"/>
      <c r="AE232" s="1217" t="s">
        <v>31</v>
      </c>
      <c r="AF232" s="1217" t="s">
        <v>31</v>
      </c>
      <c r="AG232" s="1494"/>
      <c r="AH232" s="189"/>
      <c r="AI232" s="190"/>
    </row>
    <row r="233" spans="1:35" ht="22.15" customHeight="1" x14ac:dyDescent="0.2">
      <c r="A233" s="1491"/>
      <c r="B233" s="1498" t="s">
        <v>297</v>
      </c>
      <c r="C233" s="1217"/>
      <c r="D233" s="1217"/>
      <c r="E233" s="1217"/>
      <c r="F233" s="1306"/>
      <c r="G233" s="1223"/>
      <c r="H233" s="1223"/>
      <c r="I233" s="1217"/>
      <c r="J233" s="1217"/>
      <c r="K233" s="1217"/>
      <c r="L233" s="1217"/>
      <c r="M233" s="1217"/>
      <c r="N233" s="1216"/>
      <c r="O233" s="1217"/>
      <c r="P233" s="1217"/>
      <c r="Q233" s="1217"/>
      <c r="R233" s="1217"/>
      <c r="S233" s="1217"/>
      <c r="T233" s="1217"/>
      <c r="U233" s="1217"/>
      <c r="V233" s="1217"/>
      <c r="W233" s="1217"/>
      <c r="X233" s="1217"/>
      <c r="Y233" s="1218"/>
      <c r="Z233" s="1218"/>
      <c r="AA233" s="1218"/>
      <c r="AB233" s="1217"/>
      <c r="AC233" s="1217"/>
      <c r="AD233" s="1217"/>
      <c r="AE233" s="1217"/>
      <c r="AF233" s="1216"/>
      <c r="AG233" s="1490"/>
      <c r="AH233" s="186"/>
      <c r="AI233" s="107"/>
    </row>
    <row r="234" spans="1:35" ht="22.15" customHeight="1" x14ac:dyDescent="0.2">
      <c r="A234" s="1491"/>
      <c r="B234" s="1250"/>
      <c r="C234" s="1217"/>
      <c r="D234" s="1217"/>
      <c r="E234" s="1217"/>
      <c r="F234" s="1306"/>
      <c r="G234" s="1223"/>
      <c r="H234" s="1223"/>
      <c r="I234" s="1217"/>
      <c r="J234" s="1217"/>
      <c r="K234" s="1217"/>
      <c r="L234" s="1217"/>
      <c r="M234" s="1217"/>
      <c r="N234" s="1216"/>
      <c r="O234" s="1217"/>
      <c r="P234" s="1217"/>
      <c r="Q234" s="1217"/>
      <c r="R234" s="1217"/>
      <c r="S234" s="1217"/>
      <c r="T234" s="1217"/>
      <c r="U234" s="1217"/>
      <c r="V234" s="1217"/>
      <c r="W234" s="1217"/>
      <c r="X234" s="1217"/>
      <c r="Y234" s="1218"/>
      <c r="Z234" s="1218"/>
      <c r="AA234" s="1218"/>
      <c r="AB234" s="1217"/>
      <c r="AC234" s="1217"/>
      <c r="AD234" s="1217"/>
      <c r="AE234" s="1217"/>
      <c r="AF234" s="1216"/>
      <c r="AG234" s="1499"/>
      <c r="AH234" s="186"/>
      <c r="AI234" s="107"/>
    </row>
    <row r="235" spans="1:35" ht="22.15" customHeight="1" x14ac:dyDescent="0.2">
      <c r="A235" s="1332"/>
      <c r="B235" s="1500" t="s">
        <v>298</v>
      </c>
      <c r="C235" s="1217"/>
      <c r="D235" s="1217"/>
      <c r="E235" s="1217"/>
      <c r="F235" s="1217"/>
      <c r="G235" s="1217"/>
      <c r="H235" s="1217"/>
      <c r="I235" s="1217"/>
      <c r="J235" s="1217"/>
      <c r="K235" s="1217"/>
      <c r="L235" s="1217"/>
      <c r="M235" s="1217"/>
      <c r="N235" s="1217"/>
      <c r="O235" s="1217"/>
      <c r="P235" s="1217"/>
      <c r="Q235" s="1217"/>
      <c r="R235" s="1217"/>
      <c r="S235" s="1217"/>
      <c r="T235" s="1217"/>
      <c r="U235" s="1217"/>
      <c r="V235" s="1217"/>
      <c r="W235" s="1217"/>
      <c r="X235" s="1217"/>
      <c r="Y235" s="1217"/>
      <c r="Z235" s="1217"/>
      <c r="AA235" s="1217"/>
      <c r="AB235" s="1217"/>
      <c r="AC235" s="1217"/>
      <c r="AD235" s="1217"/>
      <c r="AE235" s="1217"/>
      <c r="AF235" s="1217"/>
      <c r="AG235" s="1490"/>
      <c r="AH235" s="186"/>
      <c r="AI235" s="107"/>
    </row>
    <row r="236" spans="1:35" ht="22.15" customHeight="1" x14ac:dyDescent="0.2">
      <c r="A236" s="1332"/>
      <c r="B236" s="1250" t="s">
        <v>299</v>
      </c>
      <c r="C236" s="1217"/>
      <c r="D236" s="1217" t="s">
        <v>31</v>
      </c>
      <c r="E236" s="1217" t="s">
        <v>31</v>
      </c>
      <c r="F236" s="1225" t="s">
        <v>31</v>
      </c>
      <c r="G236" s="1225"/>
      <c r="H236" s="1217"/>
      <c r="I236" s="1217"/>
      <c r="J236" s="1217" t="s">
        <v>31</v>
      </c>
      <c r="K236" s="1217" t="s">
        <v>31</v>
      </c>
      <c r="L236" s="1217" t="s">
        <v>31</v>
      </c>
      <c r="M236" s="1217" t="s">
        <v>31</v>
      </c>
      <c r="N236" s="1216" t="s">
        <v>31</v>
      </c>
      <c r="O236" s="1217"/>
      <c r="P236" s="1217"/>
      <c r="Q236" s="1217" t="s">
        <v>31</v>
      </c>
      <c r="R236" s="1217" t="s">
        <v>31</v>
      </c>
      <c r="S236" s="1217" t="s">
        <v>31</v>
      </c>
      <c r="T236" s="1217" t="s">
        <v>31</v>
      </c>
      <c r="U236" s="1217" t="s">
        <v>31</v>
      </c>
      <c r="V236" s="1217"/>
      <c r="W236" s="1217"/>
      <c r="X236" s="1217" t="s">
        <v>31</v>
      </c>
      <c r="Y236" s="1218" t="s">
        <v>31</v>
      </c>
      <c r="Z236" s="1218" t="s">
        <v>31</v>
      </c>
      <c r="AA236" s="1218" t="s">
        <v>31</v>
      </c>
      <c r="AB236" s="1217" t="s">
        <v>31</v>
      </c>
      <c r="AC236" s="1217"/>
      <c r="AD236" s="1217"/>
      <c r="AE236" s="1217" t="s">
        <v>31</v>
      </c>
      <c r="AF236" s="1217" t="s">
        <v>31</v>
      </c>
      <c r="AG236" s="1499"/>
      <c r="AH236" s="186"/>
      <c r="AI236" s="107"/>
    </row>
    <row r="237" spans="1:35" ht="22.15" customHeight="1" x14ac:dyDescent="0.2">
      <c r="A237" s="1332"/>
      <c r="B237" s="1332"/>
      <c r="C237" s="1217"/>
      <c r="D237" s="1217"/>
      <c r="E237" s="1217"/>
      <c r="F237" s="1217"/>
      <c r="G237" s="1217"/>
      <c r="H237" s="1217"/>
      <c r="I237" s="1217"/>
      <c r="J237" s="1217"/>
      <c r="K237" s="1217"/>
      <c r="L237" s="1217"/>
      <c r="M237" s="1217"/>
      <c r="N237" s="1217"/>
      <c r="O237" s="1217"/>
      <c r="P237" s="1217"/>
      <c r="Q237" s="1217"/>
      <c r="R237" s="1217"/>
      <c r="S237" s="1217"/>
      <c r="T237" s="1217"/>
      <c r="U237" s="1217"/>
      <c r="V237" s="1217"/>
      <c r="W237" s="1217"/>
      <c r="X237" s="1217"/>
      <c r="Y237" s="1217"/>
      <c r="Z237" s="1217"/>
      <c r="AA237" s="1217"/>
      <c r="AB237" s="1217"/>
      <c r="AC237" s="1217"/>
      <c r="AD237" s="1217"/>
      <c r="AE237" s="1217"/>
      <c r="AF237" s="1217"/>
      <c r="AG237" s="1490"/>
      <c r="AH237" s="186"/>
      <c r="AI237" s="107"/>
    </row>
    <row r="238" spans="1:35" ht="22.15" customHeight="1" x14ac:dyDescent="0.2">
      <c r="A238" s="1332"/>
      <c r="B238" s="1332"/>
      <c r="C238" s="1217"/>
      <c r="D238" s="1217"/>
      <c r="E238" s="1217"/>
      <c r="F238" s="1217"/>
      <c r="G238" s="1217"/>
      <c r="H238" s="1501"/>
      <c r="I238" s="1217"/>
      <c r="J238" s="1217"/>
      <c r="K238" s="1217"/>
      <c r="L238" s="1217"/>
      <c r="M238" s="1217"/>
      <c r="N238" s="1217"/>
      <c r="O238" s="1217"/>
      <c r="P238" s="1217"/>
      <c r="Q238" s="1217"/>
      <c r="R238" s="1217"/>
      <c r="S238" s="1217"/>
      <c r="T238" s="1217"/>
      <c r="U238" s="1217"/>
      <c r="V238" s="1217"/>
      <c r="W238" s="1217"/>
      <c r="X238" s="1217"/>
      <c r="Y238" s="1217"/>
      <c r="Z238" s="1217"/>
      <c r="AA238" s="1217"/>
      <c r="AB238" s="1217"/>
      <c r="AC238" s="1217"/>
      <c r="AD238" s="1217"/>
      <c r="AE238" s="1217"/>
      <c r="AF238" s="1217"/>
      <c r="AG238" s="1499"/>
      <c r="AH238" s="186"/>
      <c r="AI238" s="107"/>
    </row>
    <row r="239" spans="1:35" ht="22.15" customHeight="1" x14ac:dyDescent="0.2">
      <c r="A239" s="1491"/>
      <c r="B239" s="1496"/>
      <c r="C239" s="1217"/>
      <c r="D239" s="1217"/>
      <c r="E239" s="1217"/>
      <c r="F239" s="1217"/>
      <c r="G239" s="1217"/>
      <c r="H239" s="1217"/>
      <c r="I239" s="1217"/>
      <c r="J239" s="1217"/>
      <c r="K239" s="1217"/>
      <c r="L239" s="1217"/>
      <c r="M239" s="1217"/>
      <c r="N239" s="1217"/>
      <c r="O239" s="1217"/>
      <c r="P239" s="1217"/>
      <c r="Q239" s="1217"/>
      <c r="R239" s="1217"/>
      <c r="S239" s="1217"/>
      <c r="T239" s="1217"/>
      <c r="U239" s="1217"/>
      <c r="V239" s="1217"/>
      <c r="W239" s="1217"/>
      <c r="X239" s="1217"/>
      <c r="Y239" s="1217"/>
      <c r="Z239" s="1217"/>
      <c r="AA239" s="1217"/>
      <c r="AB239" s="1217"/>
      <c r="AC239" s="1217"/>
      <c r="AD239" s="1217"/>
      <c r="AE239" s="1217"/>
      <c r="AF239" s="1217"/>
      <c r="AG239" s="1499"/>
      <c r="AH239" s="186"/>
      <c r="AI239" s="107"/>
    </row>
    <row r="240" spans="1:35" ht="22.15" customHeight="1" x14ac:dyDescent="0.2">
      <c r="A240" s="1491"/>
      <c r="B240" s="1502"/>
      <c r="C240" s="1217"/>
      <c r="D240" s="1217"/>
      <c r="E240" s="1217"/>
      <c r="F240" s="1217"/>
      <c r="G240" s="1217"/>
      <c r="H240" s="1217"/>
      <c r="I240" s="1217"/>
      <c r="J240" s="1217"/>
      <c r="K240" s="1217"/>
      <c r="L240" s="1217"/>
      <c r="M240" s="1217"/>
      <c r="N240" s="1217"/>
      <c r="O240" s="1217"/>
      <c r="P240" s="1217"/>
      <c r="Q240" s="1217"/>
      <c r="R240" s="1217"/>
      <c r="S240" s="1217"/>
      <c r="T240" s="1217"/>
      <c r="U240" s="1217"/>
      <c r="V240" s="1217"/>
      <c r="W240" s="1217"/>
      <c r="X240" s="1217"/>
      <c r="Y240" s="1217"/>
      <c r="Z240" s="1217"/>
      <c r="AA240" s="1217"/>
      <c r="AB240" s="1217"/>
      <c r="AC240" s="1217"/>
      <c r="AD240" s="1217"/>
      <c r="AE240" s="1217"/>
      <c r="AF240" s="1217"/>
      <c r="AG240" s="1499"/>
      <c r="AH240" s="186"/>
      <c r="AI240" s="107"/>
    </row>
    <row r="241" spans="1:35" ht="22.15" customHeight="1" x14ac:dyDescent="0.2">
      <c r="A241" s="108"/>
      <c r="B241" s="122"/>
      <c r="C241" s="106"/>
      <c r="D241" s="106"/>
      <c r="E241" s="106"/>
      <c r="F241" s="106"/>
      <c r="G241" s="106"/>
      <c r="H241" s="106"/>
      <c r="I241" s="106"/>
      <c r="J241" s="106"/>
      <c r="L241" s="106"/>
      <c r="M241" s="106"/>
      <c r="N241" s="106"/>
      <c r="O241" s="106"/>
      <c r="P241" s="72"/>
      <c r="Q241" s="72"/>
      <c r="R241" s="72"/>
      <c r="S241" s="106"/>
      <c r="T241" s="106"/>
      <c r="U241" s="106"/>
      <c r="V241" s="106"/>
      <c r="W241" s="106"/>
      <c r="X241" s="106"/>
      <c r="Y241" s="106"/>
      <c r="Z241" s="106"/>
      <c r="AA241" s="106"/>
      <c r="AB241" s="106"/>
      <c r="AC241" s="106"/>
      <c r="AD241" s="106"/>
      <c r="AE241" s="106"/>
      <c r="AF241" s="106"/>
      <c r="AG241" s="106"/>
      <c r="AH241" s="107"/>
      <c r="AI241" s="107"/>
    </row>
    <row r="245" spans="1:35" ht="21" customHeight="1" thickBot="1" x14ac:dyDescent="0.25">
      <c r="A245" s="162" t="s">
        <v>300</v>
      </c>
    </row>
    <row r="246" spans="1:35" ht="21" customHeight="1" x14ac:dyDescent="0.2">
      <c r="B246" s="530" t="s">
        <v>267</v>
      </c>
      <c r="C246" s="500"/>
      <c r="D246" s="516" t="s">
        <v>90</v>
      </c>
      <c r="E246" s="473"/>
      <c r="F246" s="504"/>
      <c r="G246" s="500"/>
      <c r="H246" s="516" t="s">
        <v>91</v>
      </c>
      <c r="I246" s="473"/>
      <c r="J246" s="504"/>
      <c r="K246" s="500"/>
      <c r="L246" s="516" t="s">
        <v>92</v>
      </c>
      <c r="M246" s="473"/>
      <c r="N246" s="504"/>
      <c r="O246" s="500"/>
      <c r="P246" s="516" t="s">
        <v>93</v>
      </c>
      <c r="Q246" s="473"/>
      <c r="R246" s="504"/>
      <c r="S246" s="500"/>
      <c r="T246" s="516" t="s">
        <v>94</v>
      </c>
      <c r="U246" s="473"/>
      <c r="V246" s="504"/>
      <c r="W246" s="500"/>
      <c r="X246" s="516" t="s">
        <v>95</v>
      </c>
      <c r="Y246" s="473"/>
      <c r="Z246" s="504"/>
      <c r="AA246" s="500"/>
      <c r="AB246" s="516" t="s">
        <v>96</v>
      </c>
      <c r="AC246" s="473"/>
      <c r="AD246" s="473"/>
      <c r="AE246" s="519" t="s">
        <v>97</v>
      </c>
      <c r="AF246" s="473"/>
      <c r="AG246" s="473"/>
      <c r="AH246" s="473"/>
      <c r="AI246" s="474"/>
    </row>
    <row r="247" spans="1:35" ht="21" customHeight="1" x14ac:dyDescent="0.2">
      <c r="B247" s="3"/>
      <c r="C247" s="156"/>
      <c r="D247" s="117"/>
      <c r="E247" s="166"/>
      <c r="F247" s="168"/>
      <c r="G247" s="156"/>
      <c r="H247" s="117"/>
      <c r="I247" s="166"/>
      <c r="J247" s="168"/>
      <c r="K247" s="156"/>
      <c r="L247" s="117"/>
      <c r="M247" s="166"/>
      <c r="N247" s="168"/>
      <c r="O247" s="156"/>
      <c r="P247" s="117"/>
      <c r="Q247" s="166"/>
      <c r="R247" s="168"/>
      <c r="S247" s="156"/>
      <c r="T247" s="117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A248" s="110"/>
      <c r="B248" s="1503">
        <v>3701</v>
      </c>
      <c r="C248" s="1283" t="s">
        <v>272</v>
      </c>
      <c r="D248" s="1284"/>
      <c r="E248" s="166"/>
      <c r="F248" s="168"/>
      <c r="G248" s="1283" t="s">
        <v>272</v>
      </c>
      <c r="H248" s="117"/>
      <c r="I248" s="166"/>
      <c r="J248" s="168"/>
      <c r="K248" s="1283" t="s">
        <v>272</v>
      </c>
      <c r="L248" s="117"/>
      <c r="M248" s="166"/>
      <c r="N248" s="168"/>
      <c r="O248" s="1283" t="s">
        <v>272</v>
      </c>
      <c r="P248" s="117"/>
      <c r="Q248" s="166"/>
      <c r="R248" s="168"/>
      <c r="S248" s="156" t="s">
        <v>273</v>
      </c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1503"/>
      <c r="C249" s="1283"/>
      <c r="D249" s="1284"/>
      <c r="E249" s="166"/>
      <c r="F249" s="168"/>
      <c r="G249" s="1283"/>
      <c r="H249" s="117"/>
      <c r="I249" s="166"/>
      <c r="J249" s="168"/>
      <c r="K249" s="1283"/>
      <c r="L249" s="117"/>
      <c r="M249" s="166"/>
      <c r="N249" s="168"/>
      <c r="O249" s="1283"/>
      <c r="P249" s="117"/>
      <c r="Q249" s="166"/>
      <c r="R249" s="168"/>
      <c r="S249" s="1283"/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x14ac:dyDescent="0.2">
      <c r="B250" s="1503">
        <v>3702</v>
      </c>
      <c r="C250" s="1283" t="s">
        <v>301</v>
      </c>
      <c r="D250" s="1284"/>
      <c r="E250" s="166"/>
      <c r="F250" s="168"/>
      <c r="G250" s="1283" t="s">
        <v>301</v>
      </c>
      <c r="H250" s="1284"/>
      <c r="I250" s="166"/>
      <c r="J250" s="168"/>
      <c r="K250" s="1283" t="s">
        <v>301</v>
      </c>
      <c r="L250" s="1284"/>
      <c r="M250" s="166"/>
      <c r="N250" s="168"/>
      <c r="O250" s="1283" t="s">
        <v>301</v>
      </c>
      <c r="P250" s="1284"/>
      <c r="Q250" s="166"/>
      <c r="R250" s="168"/>
      <c r="S250" s="1283" t="s">
        <v>302</v>
      </c>
      <c r="T250" s="1284"/>
      <c r="U250" s="166"/>
      <c r="V250" s="168"/>
      <c r="W250" s="156"/>
      <c r="X250" s="117"/>
      <c r="Y250" s="166"/>
      <c r="Z250" s="168"/>
      <c r="AA250" s="156"/>
      <c r="AB250" s="117"/>
      <c r="AC250" s="166"/>
      <c r="AD250" s="166"/>
      <c r="AE250" s="118"/>
      <c r="AF250" s="166"/>
      <c r="AG250" s="14"/>
      <c r="AH250" s="14"/>
      <c r="AI250" s="119"/>
    </row>
    <row r="251" spans="1:35" ht="21" customHeight="1" x14ac:dyDescent="0.2">
      <c r="B251" s="1503"/>
      <c r="C251" s="1391"/>
      <c r="D251" s="1284"/>
      <c r="E251" s="166"/>
      <c r="F251" s="168"/>
      <c r="G251" s="117"/>
      <c r="H251" s="117"/>
      <c r="I251" s="166"/>
      <c r="J251" s="168"/>
      <c r="K251" s="117"/>
      <c r="L251" s="117"/>
      <c r="M251" s="166"/>
      <c r="N251" s="168"/>
      <c r="O251" s="117"/>
      <c r="P251" s="117"/>
      <c r="Q251" s="166"/>
      <c r="R251" s="168"/>
      <c r="S251" s="117"/>
      <c r="T251" s="117"/>
      <c r="U251" s="166"/>
      <c r="V251" s="168"/>
      <c r="W251" s="156"/>
      <c r="X251" s="117"/>
      <c r="Y251" s="166"/>
      <c r="Z251" s="168"/>
      <c r="AA251" s="156"/>
      <c r="AB251" s="117"/>
      <c r="AC251" s="166"/>
      <c r="AD251" s="166"/>
      <c r="AE251" s="118"/>
      <c r="AF251" s="166"/>
      <c r="AG251" s="14"/>
      <c r="AH251" s="14"/>
      <c r="AI251" s="119"/>
    </row>
    <row r="252" spans="1:35" ht="21" customHeight="1" x14ac:dyDescent="0.2">
      <c r="B252" s="1503" t="s">
        <v>139</v>
      </c>
      <c r="C252" s="1391" t="s">
        <v>303</v>
      </c>
      <c r="D252" s="1284"/>
      <c r="E252" s="166"/>
      <c r="F252" s="168"/>
      <c r="G252" s="1391" t="s">
        <v>303</v>
      </c>
      <c r="H252" s="1284"/>
      <c r="I252" s="166"/>
      <c r="J252" s="168"/>
      <c r="K252" s="1391" t="s">
        <v>303</v>
      </c>
      <c r="L252" s="1284"/>
      <c r="M252" s="166"/>
      <c r="N252" s="168"/>
      <c r="O252" s="1391" t="s">
        <v>303</v>
      </c>
      <c r="P252" s="1284"/>
      <c r="Q252" s="166"/>
      <c r="R252" s="168"/>
      <c r="S252" s="117" t="s">
        <v>304</v>
      </c>
      <c r="T252" s="117"/>
      <c r="U252" s="166"/>
      <c r="V252" s="168"/>
      <c r="W252" s="156"/>
      <c r="X252" s="117"/>
      <c r="Y252" s="166"/>
      <c r="Z252" s="168"/>
      <c r="AA252" s="156"/>
      <c r="AB252" s="117"/>
      <c r="AC252" s="166"/>
      <c r="AD252" s="166"/>
      <c r="AE252" s="118"/>
      <c r="AF252" s="166"/>
      <c r="AG252" s="14"/>
      <c r="AH252" s="14"/>
      <c r="AI252" s="119"/>
    </row>
    <row r="253" spans="1:35" ht="21" customHeight="1" x14ac:dyDescent="0.2">
      <c r="B253" s="1503" t="s">
        <v>143</v>
      </c>
      <c r="C253" s="1391" t="s">
        <v>305</v>
      </c>
      <c r="D253" s="1284"/>
      <c r="E253" s="166"/>
      <c r="F253" s="168"/>
      <c r="G253" s="1391" t="s">
        <v>305</v>
      </c>
      <c r="H253" s="1284"/>
      <c r="I253" s="166"/>
      <c r="J253" s="168"/>
      <c r="K253" s="1391" t="s">
        <v>305</v>
      </c>
      <c r="L253" s="1284"/>
      <c r="M253" s="166"/>
      <c r="N253" s="168"/>
      <c r="O253" s="1391" t="s">
        <v>305</v>
      </c>
      <c r="P253" s="1284"/>
      <c r="Q253" s="166"/>
      <c r="R253" s="168"/>
      <c r="S253" s="117" t="s">
        <v>306</v>
      </c>
      <c r="T253" s="117"/>
      <c r="U253" s="166"/>
      <c r="V253" s="168"/>
      <c r="W253" s="156"/>
      <c r="X253" s="117"/>
      <c r="Y253" s="166"/>
      <c r="Z253" s="168"/>
      <c r="AA253" s="156"/>
      <c r="AB253" s="117"/>
      <c r="AC253" s="166"/>
      <c r="AD253" s="166"/>
      <c r="AE253" s="118"/>
      <c r="AF253" s="166"/>
      <c r="AG253" s="14"/>
      <c r="AH253" s="14"/>
      <c r="AI253" s="119"/>
    </row>
    <row r="254" spans="1:35" ht="21" customHeight="1" thickBot="1" x14ac:dyDescent="0.25">
      <c r="B254" s="1504" t="s">
        <v>153</v>
      </c>
      <c r="C254" s="1404" t="s">
        <v>307</v>
      </c>
      <c r="D254" s="1505"/>
      <c r="E254" s="1506"/>
      <c r="F254" s="1507"/>
      <c r="G254" s="1404" t="s">
        <v>307</v>
      </c>
      <c r="H254" s="1505"/>
      <c r="I254" s="1506"/>
      <c r="J254" s="1507"/>
      <c r="K254" s="1404" t="s">
        <v>307</v>
      </c>
      <c r="L254" s="1505"/>
      <c r="M254" s="1506"/>
      <c r="N254" s="1507"/>
      <c r="O254" s="1404" t="s">
        <v>307</v>
      </c>
      <c r="P254" s="1505"/>
      <c r="Q254" s="1506"/>
      <c r="R254" s="1507"/>
      <c r="S254" s="1508" t="s">
        <v>308</v>
      </c>
      <c r="T254" s="1508"/>
      <c r="U254" s="1506"/>
      <c r="V254" s="1507"/>
      <c r="W254" s="1509"/>
      <c r="X254" s="1508"/>
      <c r="Y254" s="1510"/>
      <c r="Z254" s="1511"/>
      <c r="AA254" s="1512"/>
      <c r="AB254" s="1508"/>
      <c r="AC254" s="1510"/>
      <c r="AD254" s="1510"/>
      <c r="AE254" s="1513"/>
      <c r="AF254" s="1510"/>
      <c r="AG254" s="1506"/>
      <c r="AH254" s="1506"/>
      <c r="AI254" s="1514"/>
    </row>
    <row r="255" spans="1:35" ht="21" customHeight="1" x14ac:dyDescent="0.2">
      <c r="B255" s="59"/>
      <c r="C255" s="64"/>
      <c r="D255" s="18"/>
      <c r="G255" s="64"/>
      <c r="H255" s="18"/>
      <c r="K255" s="64"/>
      <c r="L255" s="18"/>
      <c r="O255" s="64"/>
      <c r="P255" s="18"/>
      <c r="S255" s="64"/>
      <c r="T255" s="64"/>
      <c r="X255" s="64"/>
      <c r="AB255" s="64"/>
      <c r="AE255" s="64"/>
    </row>
    <row r="256" spans="1:35" ht="21" customHeight="1" x14ac:dyDescent="0.2">
      <c r="A256" s="123" t="s">
        <v>309</v>
      </c>
    </row>
    <row r="257" spans="1:35" ht="21" customHeight="1" thickBot="1" x14ac:dyDescent="0.25">
      <c r="A257" s="1343"/>
      <c r="B257" s="1247" t="s">
        <v>29</v>
      </c>
      <c r="C257" s="1185">
        <v>1</v>
      </c>
      <c r="D257" s="1186">
        <v>2</v>
      </c>
      <c r="E257" s="1186">
        <v>3</v>
      </c>
      <c r="F257" s="1186">
        <v>4</v>
      </c>
      <c r="G257" s="1185">
        <v>5</v>
      </c>
      <c r="H257" s="1185">
        <v>6</v>
      </c>
      <c r="I257" s="1185">
        <v>7</v>
      </c>
      <c r="J257" s="1186">
        <v>8</v>
      </c>
      <c r="K257" s="1186">
        <v>9</v>
      </c>
      <c r="L257" s="1186">
        <v>10</v>
      </c>
      <c r="M257" s="1186">
        <v>11</v>
      </c>
      <c r="N257" s="1186">
        <v>12</v>
      </c>
      <c r="O257" s="1185">
        <v>13</v>
      </c>
      <c r="P257" s="1185">
        <v>14</v>
      </c>
      <c r="Q257" s="1186">
        <v>15</v>
      </c>
      <c r="R257" s="1186">
        <v>16</v>
      </c>
      <c r="S257" s="1186">
        <v>17</v>
      </c>
      <c r="T257" s="1186">
        <v>18</v>
      </c>
      <c r="U257" s="1186">
        <v>19</v>
      </c>
      <c r="V257" s="1185">
        <v>20</v>
      </c>
      <c r="W257" s="1185">
        <v>21</v>
      </c>
      <c r="X257" s="1186">
        <v>22</v>
      </c>
      <c r="Y257" s="1186">
        <v>23</v>
      </c>
      <c r="Z257" s="1186">
        <v>24</v>
      </c>
      <c r="AA257" s="1186">
        <v>25</v>
      </c>
      <c r="AB257" s="1186">
        <v>26</v>
      </c>
      <c r="AC257" s="1185">
        <v>27</v>
      </c>
      <c r="AD257" s="1185">
        <v>28</v>
      </c>
      <c r="AE257" s="1186">
        <v>29</v>
      </c>
      <c r="AF257" s="1186">
        <v>30</v>
      </c>
      <c r="AG257" s="1458"/>
      <c r="AH257" s="184"/>
      <c r="AI257" s="185"/>
    </row>
    <row r="258" spans="1:35" ht="21" customHeight="1" x14ac:dyDescent="0.2">
      <c r="A258" s="531">
        <v>3701</v>
      </c>
      <c r="B258" s="476"/>
      <c r="C258" s="1217"/>
      <c r="D258" s="1217" t="s">
        <v>31</v>
      </c>
      <c r="E258" s="1217" t="s">
        <v>31</v>
      </c>
      <c r="F258" s="1225" t="s">
        <v>31</v>
      </c>
      <c r="G258" s="1225"/>
      <c r="H258" s="1217"/>
      <c r="I258" s="1217"/>
      <c r="J258" s="1217" t="s">
        <v>31</v>
      </c>
      <c r="K258" s="1217" t="s">
        <v>31</v>
      </c>
      <c r="L258" s="1217" t="s">
        <v>31</v>
      </c>
      <c r="M258" s="1217" t="s">
        <v>31</v>
      </c>
      <c r="N258" s="1216" t="s">
        <v>31</v>
      </c>
      <c r="O258" s="1217"/>
      <c r="P258" s="1217"/>
      <c r="Q258" s="1217" t="s">
        <v>31</v>
      </c>
      <c r="R258" s="1217" t="s">
        <v>31</v>
      </c>
      <c r="S258" s="1217" t="s">
        <v>31</v>
      </c>
      <c r="T258" s="1217" t="s">
        <v>31</v>
      </c>
      <c r="U258" s="1217" t="s">
        <v>31</v>
      </c>
      <c r="V258" s="1217"/>
      <c r="W258" s="1217"/>
      <c r="X258" s="1217" t="s">
        <v>31</v>
      </c>
      <c r="Y258" s="1218" t="s">
        <v>31</v>
      </c>
      <c r="Z258" s="1218" t="s">
        <v>31</v>
      </c>
      <c r="AA258" s="1218" t="s">
        <v>31</v>
      </c>
      <c r="AB258" s="1217" t="s">
        <v>31</v>
      </c>
      <c r="AC258" s="1217"/>
      <c r="AD258" s="1217"/>
      <c r="AE258" s="1217" t="s">
        <v>31</v>
      </c>
      <c r="AF258" s="1217" t="s">
        <v>31</v>
      </c>
      <c r="AG258" s="478"/>
      <c r="AH258" s="189"/>
      <c r="AI258" s="190"/>
    </row>
    <row r="259" spans="1:35" ht="21" customHeight="1" x14ac:dyDescent="0.2">
      <c r="A259" s="1515">
        <v>3702</v>
      </c>
      <c r="B259" s="1202" t="s">
        <v>310</v>
      </c>
      <c r="C259" s="1217"/>
      <c r="D259" s="1217" t="s">
        <v>31</v>
      </c>
      <c r="E259" s="1217" t="s">
        <v>31</v>
      </c>
      <c r="F259" s="1225" t="s">
        <v>31</v>
      </c>
      <c r="G259" s="1225"/>
      <c r="H259" s="1217"/>
      <c r="I259" s="1217"/>
      <c r="J259" s="1217" t="s">
        <v>31</v>
      </c>
      <c r="K259" s="1217" t="s">
        <v>31</v>
      </c>
      <c r="L259" s="1217" t="s">
        <v>31</v>
      </c>
      <c r="M259" s="1217" t="s">
        <v>31</v>
      </c>
      <c r="N259" s="1216" t="s">
        <v>31</v>
      </c>
      <c r="O259" s="1217"/>
      <c r="P259" s="1217"/>
      <c r="Q259" s="1217" t="s">
        <v>31</v>
      </c>
      <c r="R259" s="1217" t="s">
        <v>31</v>
      </c>
      <c r="S259" s="1217" t="s">
        <v>31</v>
      </c>
      <c r="T259" s="1217" t="s">
        <v>31</v>
      </c>
      <c r="U259" s="1217" t="s">
        <v>31</v>
      </c>
      <c r="V259" s="1217"/>
      <c r="W259" s="1217"/>
      <c r="X259" s="1217" t="s">
        <v>31</v>
      </c>
      <c r="Y259" s="1218" t="s">
        <v>31</v>
      </c>
      <c r="Z259" s="1218" t="s">
        <v>31</v>
      </c>
      <c r="AA259" s="1218" t="s">
        <v>31</v>
      </c>
      <c r="AB259" s="1217" t="s">
        <v>31</v>
      </c>
      <c r="AC259" s="1217"/>
      <c r="AD259" s="1217"/>
      <c r="AE259" s="1217" t="s">
        <v>31</v>
      </c>
      <c r="AF259" s="1217" t="s">
        <v>31</v>
      </c>
      <c r="AG259" s="1261"/>
      <c r="AH259" s="189"/>
      <c r="AI259" s="190"/>
    </row>
    <row r="260" spans="1:35" ht="21" customHeight="1" x14ac:dyDescent="0.2">
      <c r="A260" s="1515"/>
      <c r="B260" s="1202"/>
      <c r="C260" s="1259"/>
      <c r="D260" s="1259"/>
      <c r="E260" s="1259"/>
      <c r="F260" s="1259"/>
      <c r="G260" s="1259"/>
      <c r="H260" s="1259"/>
      <c r="I260" s="1259"/>
      <c r="J260" s="1259"/>
      <c r="K260" s="1259"/>
      <c r="L260" s="1259"/>
      <c r="M260" s="1516"/>
      <c r="N260" s="1259"/>
      <c r="O260" s="1259"/>
      <c r="P260" s="1259"/>
      <c r="Q260" s="1259"/>
      <c r="R260" s="1259"/>
      <c r="S260" s="1259"/>
      <c r="T260" s="1259"/>
      <c r="U260" s="1259"/>
      <c r="V260" s="1259"/>
      <c r="W260" s="1259"/>
      <c r="X260" s="1259"/>
      <c r="Y260" s="1259"/>
      <c r="Z260" s="1259"/>
      <c r="AA260" s="1259"/>
      <c r="AB260" s="1259"/>
      <c r="AC260" s="1259"/>
      <c r="AD260" s="1259"/>
      <c r="AE260" s="1259"/>
      <c r="AF260" s="1259"/>
      <c r="AG260" s="1261"/>
      <c r="AH260" s="189"/>
      <c r="AI260" s="190"/>
    </row>
    <row r="261" spans="1:35" ht="21" customHeight="1" thickBot="1" x14ac:dyDescent="0.25">
      <c r="A261" s="1517"/>
      <c r="B261" s="1518"/>
      <c r="C261" s="1254"/>
      <c r="D261" s="1254"/>
      <c r="E261" s="1254"/>
      <c r="F261" s="1254"/>
      <c r="G261" s="1254"/>
      <c r="H261" s="1254"/>
      <c r="I261" s="1254"/>
      <c r="J261" s="1254"/>
      <c r="K261" s="1254"/>
      <c r="L261" s="1254"/>
      <c r="M261" s="1254"/>
      <c r="N261" s="1254"/>
      <c r="O261" s="1254"/>
      <c r="P261" s="1254"/>
      <c r="Q261" s="1254"/>
      <c r="R261" s="1254"/>
      <c r="S261" s="1254"/>
      <c r="T261" s="1254"/>
      <c r="U261" s="1254"/>
      <c r="V261" s="1254"/>
      <c r="W261" s="1254"/>
      <c r="X261" s="1254"/>
      <c r="Y261" s="1254"/>
      <c r="Z261" s="1254"/>
      <c r="AA261" s="1254"/>
      <c r="AB261" s="1254"/>
      <c r="AC261" s="1254"/>
      <c r="AD261" s="1254"/>
      <c r="AE261" s="1254"/>
      <c r="AF261" s="1254"/>
      <c r="AG261" s="1248"/>
      <c r="AH261" s="189"/>
      <c r="AI261" s="190"/>
    </row>
    <row r="262" spans="1:35" ht="21" customHeight="1" x14ac:dyDescent="0.2">
      <c r="A262" s="251"/>
      <c r="B262" s="1519" t="s">
        <v>311</v>
      </c>
      <c r="C262" s="1520"/>
      <c r="D262" s="1520"/>
      <c r="E262" s="1520"/>
      <c r="F262" s="1520"/>
      <c r="G262" s="1520"/>
      <c r="H262" s="1520"/>
      <c r="I262" s="1520"/>
      <c r="J262" s="1520"/>
      <c r="K262" s="1520"/>
      <c r="L262" s="1520"/>
      <c r="M262" s="1520"/>
      <c r="N262" s="1520"/>
      <c r="O262" s="1520"/>
      <c r="P262" s="1520"/>
      <c r="Q262" s="1520"/>
      <c r="R262" s="1520"/>
      <c r="S262" s="1520"/>
      <c r="T262" s="1520"/>
      <c r="U262" s="1520"/>
      <c r="V262" s="1520"/>
      <c r="W262" s="1520"/>
      <c r="X262" s="1520"/>
      <c r="Y262" s="1520"/>
      <c r="Z262" s="1520"/>
      <c r="AA262" s="1520"/>
      <c r="AB262" s="1520"/>
      <c r="AC262" s="1520"/>
      <c r="AD262" s="1520"/>
      <c r="AE262" s="1520"/>
      <c r="AF262" s="1520"/>
      <c r="AG262" s="1521"/>
      <c r="AH262" s="187"/>
      <c r="AI262" s="188"/>
    </row>
    <row r="263" spans="1:35" ht="21" customHeight="1" x14ac:dyDescent="0.2">
      <c r="A263" s="1515">
        <v>3702</v>
      </c>
      <c r="B263" s="1473" t="s">
        <v>312</v>
      </c>
      <c r="C263" s="1259"/>
      <c r="D263" s="1259" t="s">
        <v>313</v>
      </c>
      <c r="E263" s="1259" t="s">
        <v>313</v>
      </c>
      <c r="F263" s="1259" t="s">
        <v>313</v>
      </c>
      <c r="G263" s="1259"/>
      <c r="H263" s="1259"/>
      <c r="I263" s="1259"/>
      <c r="J263" s="1259" t="s">
        <v>313</v>
      </c>
      <c r="K263" s="1259" t="s">
        <v>313</v>
      </c>
      <c r="L263" s="1259" t="s">
        <v>313</v>
      </c>
      <c r="M263" s="1259" t="s">
        <v>313</v>
      </c>
      <c r="N263" s="1259" t="s">
        <v>313</v>
      </c>
      <c r="O263" s="1259"/>
      <c r="P263" s="1259"/>
      <c r="Q263" s="1259" t="s">
        <v>313</v>
      </c>
      <c r="R263" s="1259" t="s">
        <v>313</v>
      </c>
      <c r="S263" s="1259" t="s">
        <v>313</v>
      </c>
      <c r="T263" s="1259" t="s">
        <v>313</v>
      </c>
      <c r="U263" s="1259" t="s">
        <v>313</v>
      </c>
      <c r="V263" s="1259"/>
      <c r="W263" s="1259"/>
      <c r="X263" s="1200" t="s">
        <v>313</v>
      </c>
      <c r="Y263" s="1200" t="s">
        <v>313</v>
      </c>
      <c r="Z263" s="1200" t="s">
        <v>313</v>
      </c>
      <c r="AA263" s="1200" t="s">
        <v>313</v>
      </c>
      <c r="AB263" s="1200" t="s">
        <v>313</v>
      </c>
      <c r="AC263" s="1200"/>
      <c r="AD263" s="1200"/>
      <c r="AE263" s="1259" t="s">
        <v>313</v>
      </c>
      <c r="AF263" s="1259" t="s">
        <v>313</v>
      </c>
      <c r="AG263" s="1522"/>
      <c r="AH263" s="189"/>
      <c r="AI263" s="190"/>
    </row>
    <row r="264" spans="1:35" ht="21" customHeight="1" x14ac:dyDescent="0.2">
      <c r="A264" s="1515"/>
      <c r="B264" s="1469" t="s">
        <v>314</v>
      </c>
      <c r="C264" s="1259"/>
      <c r="D264" s="1259" t="s">
        <v>315</v>
      </c>
      <c r="E264" s="1259" t="s">
        <v>315</v>
      </c>
      <c r="F264" s="1259" t="s">
        <v>315</v>
      </c>
      <c r="G264" s="1259"/>
      <c r="H264" s="1259"/>
      <c r="I264" s="1259"/>
      <c r="J264" s="1259" t="s">
        <v>315</v>
      </c>
      <c r="K264" s="1259" t="s">
        <v>315</v>
      </c>
      <c r="L264" s="1259" t="s">
        <v>315</v>
      </c>
      <c r="M264" s="1259" t="s">
        <v>315</v>
      </c>
      <c r="N264" s="1259" t="s">
        <v>315</v>
      </c>
      <c r="O264" s="1259"/>
      <c r="P264" s="1259"/>
      <c r="Q264" s="1259" t="s">
        <v>315</v>
      </c>
      <c r="R264" s="1259" t="s">
        <v>315</v>
      </c>
      <c r="S264" s="1259" t="s">
        <v>315</v>
      </c>
      <c r="T264" s="1259" t="s">
        <v>315</v>
      </c>
      <c r="U264" s="1259" t="s">
        <v>315</v>
      </c>
      <c r="V264" s="1259"/>
      <c r="W264" s="1259"/>
      <c r="X264" s="1259" t="s">
        <v>315</v>
      </c>
      <c r="Y264" s="1259" t="s">
        <v>315</v>
      </c>
      <c r="Z264" s="1259" t="s">
        <v>315</v>
      </c>
      <c r="AA264" s="1259" t="s">
        <v>315</v>
      </c>
      <c r="AB264" s="1259" t="s">
        <v>315</v>
      </c>
      <c r="AC264" s="1259"/>
      <c r="AD264" s="1259"/>
      <c r="AE264" s="1259" t="s">
        <v>315</v>
      </c>
      <c r="AF264" s="1259" t="s">
        <v>315</v>
      </c>
      <c r="AG264" s="1522"/>
      <c r="AH264" s="189"/>
      <c r="AI264" s="190"/>
    </row>
    <row r="265" spans="1:35" ht="21" customHeight="1" thickBot="1" x14ac:dyDescent="0.25">
      <c r="A265" s="1523"/>
      <c r="B265" s="1478" t="s">
        <v>316</v>
      </c>
      <c r="C265" s="1255"/>
      <c r="D265" s="1255" t="s">
        <v>317</v>
      </c>
      <c r="E265" s="1255" t="s">
        <v>317</v>
      </c>
      <c r="F265" s="1255" t="s">
        <v>317</v>
      </c>
      <c r="G265" s="1255"/>
      <c r="H265" s="1255"/>
      <c r="I265" s="1255"/>
      <c r="J265" s="1215" t="s">
        <v>47</v>
      </c>
      <c r="K265" s="1215" t="s">
        <v>47</v>
      </c>
      <c r="L265" s="1255" t="s">
        <v>317</v>
      </c>
      <c r="M265" s="1255" t="s">
        <v>317</v>
      </c>
      <c r="N265" s="1255" t="s">
        <v>317</v>
      </c>
      <c r="O265" s="1255"/>
      <c r="P265" s="1255"/>
      <c r="Q265" s="1255" t="s">
        <v>317</v>
      </c>
      <c r="R265" s="1255" t="s">
        <v>317</v>
      </c>
      <c r="S265" s="1255" t="s">
        <v>317</v>
      </c>
      <c r="T265" s="1255" t="s">
        <v>317</v>
      </c>
      <c r="U265" s="1255" t="s">
        <v>317</v>
      </c>
      <c r="V265" s="1255"/>
      <c r="W265" s="1255"/>
      <c r="X265" s="1255" t="s">
        <v>317</v>
      </c>
      <c r="Y265" s="1255" t="s">
        <v>317</v>
      </c>
      <c r="Z265" s="1255" t="s">
        <v>317</v>
      </c>
      <c r="AA265" s="1255" t="s">
        <v>317</v>
      </c>
      <c r="AB265" s="1255" t="s">
        <v>317</v>
      </c>
      <c r="AC265" s="1255"/>
      <c r="AD265" s="1524"/>
      <c r="AE265" s="1255" t="s">
        <v>317</v>
      </c>
      <c r="AF265" s="1255" t="s">
        <v>317</v>
      </c>
      <c r="AG265" s="1525"/>
      <c r="AH265" s="189"/>
      <c r="AI265" s="190"/>
    </row>
    <row r="266" spans="1:35" ht="21" customHeight="1" x14ac:dyDescent="0.2"/>
    <row r="267" spans="1:35" ht="21" customHeight="1" x14ac:dyDescent="0.2"/>
    <row r="268" spans="1:35" ht="21" customHeight="1" thickBot="1" x14ac:dyDescent="0.25">
      <c r="A268" s="162" t="s">
        <v>318</v>
      </c>
    </row>
    <row r="269" spans="1:35" ht="21" customHeight="1" x14ac:dyDescent="0.2">
      <c r="B269" s="530" t="s">
        <v>267</v>
      </c>
      <c r="C269" s="500"/>
      <c r="D269" s="516" t="s">
        <v>90</v>
      </c>
      <c r="E269" s="473"/>
      <c r="F269" s="504"/>
      <c r="G269" s="500"/>
      <c r="H269" s="516" t="s">
        <v>91</v>
      </c>
      <c r="I269" s="473"/>
      <c r="J269" s="504"/>
      <c r="K269" s="500"/>
      <c r="L269" s="516" t="s">
        <v>92</v>
      </c>
      <c r="M269" s="473"/>
      <c r="N269" s="504"/>
      <c r="O269" s="500"/>
      <c r="P269" s="516" t="s">
        <v>93</v>
      </c>
      <c r="Q269" s="473"/>
      <c r="R269" s="504"/>
      <c r="S269" s="500"/>
      <c r="T269" s="516" t="s">
        <v>94</v>
      </c>
      <c r="U269" s="473"/>
      <c r="V269" s="504"/>
      <c r="W269" s="500"/>
      <c r="X269" s="516" t="s">
        <v>95</v>
      </c>
      <c r="Y269" s="473"/>
      <c r="Z269" s="504"/>
      <c r="AA269" s="500"/>
      <c r="AB269" s="516" t="s">
        <v>96</v>
      </c>
      <c r="AC269" s="473"/>
      <c r="AD269" s="473"/>
      <c r="AE269" s="519" t="s">
        <v>97</v>
      </c>
      <c r="AF269" s="473"/>
      <c r="AG269" s="473"/>
      <c r="AH269" s="473"/>
      <c r="AI269" s="474"/>
    </row>
    <row r="270" spans="1:35" ht="21" customHeight="1" x14ac:dyDescent="0.2">
      <c r="B270" s="3">
        <v>8500</v>
      </c>
      <c r="C270" s="1283" t="s">
        <v>319</v>
      </c>
      <c r="D270" s="117"/>
      <c r="E270" s="14"/>
      <c r="F270" s="116"/>
      <c r="G270" s="1283" t="s">
        <v>319</v>
      </c>
      <c r="H270" s="117"/>
      <c r="I270" s="14"/>
      <c r="J270" s="116"/>
      <c r="K270" s="1283" t="s">
        <v>319</v>
      </c>
      <c r="L270" s="117"/>
      <c r="M270" s="14"/>
      <c r="N270" s="116"/>
      <c r="O270" s="1283" t="s">
        <v>319</v>
      </c>
      <c r="P270" s="117"/>
      <c r="Q270" s="14"/>
      <c r="R270" s="116"/>
      <c r="S270" s="1283" t="s">
        <v>320</v>
      </c>
      <c r="T270" s="117"/>
      <c r="U270" s="14"/>
      <c r="V270" s="116"/>
      <c r="W270" s="8"/>
      <c r="X270" s="117"/>
      <c r="Y270" s="14"/>
      <c r="Z270" s="116"/>
      <c r="AA270" s="8"/>
      <c r="AB270" s="117"/>
      <c r="AC270" s="14"/>
      <c r="AD270" s="14"/>
      <c r="AE270" s="118"/>
      <c r="AF270" s="14"/>
      <c r="AG270" s="14"/>
      <c r="AH270" s="14"/>
      <c r="AI270" s="119"/>
    </row>
    <row r="271" spans="1:35" ht="21" customHeight="1" thickBot="1" x14ac:dyDescent="0.25">
      <c r="A271" s="110"/>
      <c r="B271" s="1526"/>
      <c r="C271" s="1527"/>
      <c r="D271" s="1528"/>
      <c r="E271" s="1506"/>
      <c r="F271" s="1507"/>
      <c r="G271" s="1527"/>
      <c r="H271" s="1508"/>
      <c r="I271" s="1506"/>
      <c r="J271" s="1507"/>
      <c r="K271" s="1527"/>
      <c r="L271" s="1508"/>
      <c r="M271" s="1506"/>
      <c r="N271" s="1507"/>
      <c r="O271" s="1527"/>
      <c r="P271" s="1508"/>
      <c r="Q271" s="1506"/>
      <c r="R271" s="1507"/>
      <c r="S271" s="1527"/>
      <c r="T271" s="1508"/>
      <c r="U271" s="1506"/>
      <c r="V271" s="1507"/>
      <c r="W271" s="1509"/>
      <c r="X271" s="1508"/>
      <c r="Y271" s="1506"/>
      <c r="Z271" s="1507"/>
      <c r="AA271" s="1509"/>
      <c r="AB271" s="1508"/>
      <c r="AC271" s="1506"/>
      <c r="AD271" s="1506"/>
      <c r="AE271" s="1513"/>
      <c r="AF271" s="1506"/>
      <c r="AG271" s="1506"/>
      <c r="AH271" s="1506"/>
      <c r="AI271" s="1514"/>
    </row>
    <row r="272" spans="1:35" ht="21" customHeight="1" x14ac:dyDescent="0.2">
      <c r="A272" s="16" t="s">
        <v>321</v>
      </c>
    </row>
    <row r="273" spans="1:35" ht="21" customHeight="1" thickBot="1" x14ac:dyDescent="0.25">
      <c r="A273" s="1529"/>
      <c r="B273" s="1530" t="s">
        <v>29</v>
      </c>
      <c r="C273" s="1185">
        <v>1</v>
      </c>
      <c r="D273" s="1186">
        <v>2</v>
      </c>
      <c r="E273" s="1186">
        <v>3</v>
      </c>
      <c r="F273" s="1186">
        <v>4</v>
      </c>
      <c r="G273" s="1185">
        <v>5</v>
      </c>
      <c r="H273" s="1185">
        <v>6</v>
      </c>
      <c r="I273" s="1185">
        <v>7</v>
      </c>
      <c r="J273" s="1186">
        <v>8</v>
      </c>
      <c r="K273" s="1186">
        <v>9</v>
      </c>
      <c r="L273" s="1186">
        <v>10</v>
      </c>
      <c r="M273" s="1186">
        <v>11</v>
      </c>
      <c r="N273" s="1186">
        <v>12</v>
      </c>
      <c r="O273" s="1185">
        <v>13</v>
      </c>
      <c r="P273" s="1185">
        <v>14</v>
      </c>
      <c r="Q273" s="1186">
        <v>15</v>
      </c>
      <c r="R273" s="1186">
        <v>16</v>
      </c>
      <c r="S273" s="1186">
        <v>17</v>
      </c>
      <c r="T273" s="1186">
        <v>18</v>
      </c>
      <c r="U273" s="1186">
        <v>19</v>
      </c>
      <c r="V273" s="1185">
        <v>20</v>
      </c>
      <c r="W273" s="1185">
        <v>21</v>
      </c>
      <c r="X273" s="1186">
        <v>22</v>
      </c>
      <c r="Y273" s="1186">
        <v>23</v>
      </c>
      <c r="Z273" s="1186">
        <v>24</v>
      </c>
      <c r="AA273" s="1186">
        <v>25</v>
      </c>
      <c r="AB273" s="1186">
        <v>26</v>
      </c>
      <c r="AC273" s="1185">
        <v>27</v>
      </c>
      <c r="AD273" s="1185">
        <v>28</v>
      </c>
      <c r="AE273" s="1186">
        <v>29</v>
      </c>
      <c r="AF273" s="1186">
        <v>30</v>
      </c>
      <c r="AG273" s="1248"/>
      <c r="AH273" s="184"/>
      <c r="AI273" s="185"/>
    </row>
    <row r="274" spans="1:35" ht="21" customHeight="1" x14ac:dyDescent="0.2">
      <c r="A274" s="8">
        <v>8500</v>
      </c>
      <c r="B274" s="157" t="s">
        <v>322</v>
      </c>
      <c r="C274" s="1217"/>
      <c r="D274" s="1217" t="s">
        <v>31</v>
      </c>
      <c r="E274" s="1217" t="s">
        <v>31</v>
      </c>
      <c r="F274" s="1225" t="s">
        <v>31</v>
      </c>
      <c r="G274" s="1225"/>
      <c r="H274" s="1217"/>
      <c r="I274" s="1217"/>
      <c r="J274" s="1217" t="s">
        <v>31</v>
      </c>
      <c r="K274" s="1217" t="s">
        <v>31</v>
      </c>
      <c r="L274" s="1217" t="s">
        <v>31</v>
      </c>
      <c r="M274" s="1217" t="s">
        <v>31</v>
      </c>
      <c r="N274" s="1216" t="s">
        <v>31</v>
      </c>
      <c r="O274" s="1217"/>
      <c r="P274" s="1217"/>
      <c r="Q274" s="1217" t="s">
        <v>31</v>
      </c>
      <c r="R274" s="1217" t="s">
        <v>31</v>
      </c>
      <c r="S274" s="1217" t="s">
        <v>31</v>
      </c>
      <c r="T274" s="1217" t="s">
        <v>31</v>
      </c>
      <c r="U274" s="1217" t="s">
        <v>31</v>
      </c>
      <c r="V274" s="1217"/>
      <c r="W274" s="1217"/>
      <c r="X274" s="1217" t="s">
        <v>31</v>
      </c>
      <c r="Y274" s="1218" t="s">
        <v>31</v>
      </c>
      <c r="Z274" s="1218" t="s">
        <v>31</v>
      </c>
      <c r="AA274" s="1218" t="s">
        <v>31</v>
      </c>
      <c r="AB274" s="1217" t="s">
        <v>31</v>
      </c>
      <c r="AC274" s="1217"/>
      <c r="AD274" s="1217"/>
      <c r="AE274" s="1217" t="s">
        <v>31</v>
      </c>
      <c r="AF274" s="1217" t="s">
        <v>31</v>
      </c>
      <c r="AG274" s="1217"/>
      <c r="AH274" s="196"/>
      <c r="AI274" s="197"/>
    </row>
    <row r="275" spans="1:35" ht="21" customHeight="1" x14ac:dyDescent="0.2">
      <c r="A275" s="1191"/>
      <c r="B275" s="1531" t="s">
        <v>323</v>
      </c>
      <c r="C275" s="1217"/>
      <c r="D275" s="1217" t="s">
        <v>31</v>
      </c>
      <c r="E275" s="1217" t="s">
        <v>31</v>
      </c>
      <c r="F275" s="1225" t="s">
        <v>31</v>
      </c>
      <c r="G275" s="1225"/>
      <c r="H275" s="1217"/>
      <c r="I275" s="1217"/>
      <c r="J275" s="1217" t="s">
        <v>31</v>
      </c>
      <c r="K275" s="1217" t="s">
        <v>31</v>
      </c>
      <c r="L275" s="1217" t="s">
        <v>31</v>
      </c>
      <c r="M275" s="1217" t="s">
        <v>31</v>
      </c>
      <c r="N275" s="1216" t="s">
        <v>31</v>
      </c>
      <c r="O275" s="1217"/>
      <c r="P275" s="1217"/>
      <c r="Q275" s="1217" t="s">
        <v>31</v>
      </c>
      <c r="R275" s="1217" t="s">
        <v>31</v>
      </c>
      <c r="S275" s="1217" t="s">
        <v>31</v>
      </c>
      <c r="T275" s="1217" t="s">
        <v>31</v>
      </c>
      <c r="U275" s="1217" t="s">
        <v>31</v>
      </c>
      <c r="V275" s="1217"/>
      <c r="W275" s="1217"/>
      <c r="X275" s="1217" t="s">
        <v>31</v>
      </c>
      <c r="Y275" s="1218" t="s">
        <v>31</v>
      </c>
      <c r="Z275" s="1218" t="s">
        <v>31</v>
      </c>
      <c r="AA275" s="1218" t="s">
        <v>31</v>
      </c>
      <c r="AB275" s="1217" t="s">
        <v>31</v>
      </c>
      <c r="AC275" s="1217"/>
      <c r="AD275" s="1217"/>
      <c r="AE275" s="1217" t="s">
        <v>31</v>
      </c>
      <c r="AF275" s="1217" t="s">
        <v>31</v>
      </c>
      <c r="AG275" s="1217"/>
      <c r="AH275" s="196"/>
      <c r="AI275" s="197"/>
    </row>
    <row r="276" spans="1:35" ht="22.15" customHeight="1" x14ac:dyDescent="0.2">
      <c r="A276" s="1532"/>
      <c r="B276" s="1531" t="s">
        <v>324</v>
      </c>
      <c r="C276" s="1217"/>
      <c r="D276" s="1217" t="s">
        <v>31</v>
      </c>
      <c r="E276" s="1217" t="s">
        <v>31</v>
      </c>
      <c r="F276" s="1225" t="s">
        <v>31</v>
      </c>
      <c r="G276" s="1225"/>
      <c r="H276" s="1217"/>
      <c r="I276" s="1217"/>
      <c r="J276" s="1217" t="s">
        <v>31</v>
      </c>
      <c r="K276" s="1217" t="s">
        <v>31</v>
      </c>
      <c r="L276" s="1217" t="s">
        <v>31</v>
      </c>
      <c r="M276" s="1217" t="s">
        <v>31</v>
      </c>
      <c r="N276" s="1216" t="s">
        <v>31</v>
      </c>
      <c r="O276" s="1217"/>
      <c r="P276" s="1217"/>
      <c r="Q276" s="1217" t="s">
        <v>31</v>
      </c>
      <c r="R276" s="1217" t="s">
        <v>31</v>
      </c>
      <c r="S276" s="1217" t="s">
        <v>31</v>
      </c>
      <c r="T276" s="1217" t="s">
        <v>31</v>
      </c>
      <c r="U276" s="1217" t="s">
        <v>31</v>
      </c>
      <c r="V276" s="1217"/>
      <c r="W276" s="1217"/>
      <c r="X276" s="1320" t="s">
        <v>289</v>
      </c>
      <c r="Y276" s="1332" t="s">
        <v>31</v>
      </c>
      <c r="Z276" s="1332" t="s">
        <v>31</v>
      </c>
      <c r="AA276" s="1332" t="s">
        <v>31</v>
      </c>
      <c r="AB276" s="1332" t="s">
        <v>31</v>
      </c>
      <c r="AC276" s="1217"/>
      <c r="AD276" s="1217"/>
      <c r="AE276" s="1320" t="s">
        <v>31</v>
      </c>
      <c r="AF276" s="1320" t="s">
        <v>289</v>
      </c>
      <c r="AG276" s="1217"/>
      <c r="AH276" s="196"/>
      <c r="AI276" s="197"/>
    </row>
    <row r="277" spans="1:35" ht="22.15" customHeight="1" x14ac:dyDescent="0.2">
      <c r="A277" s="102"/>
      <c r="B277" s="1533"/>
      <c r="C277" s="1217"/>
      <c r="D277" s="1217"/>
      <c r="E277" s="1217"/>
      <c r="F277" s="1217"/>
      <c r="G277" s="1217"/>
      <c r="H277" s="1217"/>
      <c r="I277" s="1217"/>
      <c r="J277" s="1217"/>
      <c r="K277" s="1217"/>
      <c r="L277" s="1217"/>
      <c r="M277" s="1217"/>
      <c r="N277" s="1217"/>
      <c r="O277" s="1217"/>
      <c r="P277" s="1217"/>
      <c r="Q277" s="1217"/>
      <c r="R277" s="1217"/>
      <c r="S277" s="1217"/>
      <c r="T277" s="1217"/>
      <c r="U277" s="1217"/>
      <c r="V277" s="1217"/>
      <c r="W277" s="1217"/>
      <c r="X277" s="1217"/>
      <c r="Y277" s="1217"/>
      <c r="Z277" s="1217"/>
      <c r="AA277" s="1217"/>
      <c r="AB277" s="1217"/>
      <c r="AC277" s="1217"/>
      <c r="AD277" s="1217"/>
      <c r="AE277" s="1217"/>
      <c r="AF277" s="1217"/>
      <c r="AG277" s="1225"/>
      <c r="AH277" s="196"/>
      <c r="AI277" s="197"/>
    </row>
    <row r="278" spans="1:35" ht="21" customHeight="1" x14ac:dyDescent="0.2">
      <c r="A278" s="1436"/>
      <c r="B278" s="1533"/>
      <c r="C278" s="1259"/>
      <c r="D278" s="1259"/>
      <c r="E278" s="1259"/>
      <c r="F278" s="1259"/>
      <c r="G278" s="1259"/>
      <c r="H278" s="1259"/>
      <c r="I278" s="1259"/>
      <c r="J278" s="1259"/>
      <c r="K278" s="1259"/>
      <c r="L278" s="1259"/>
      <c r="M278" s="1259"/>
      <c r="N278" s="1258"/>
      <c r="O278" s="1258"/>
      <c r="P278" s="1259"/>
      <c r="Q278" s="1259"/>
      <c r="R278" s="1259"/>
      <c r="S278" s="1259"/>
      <c r="T278" s="1259"/>
      <c r="U278" s="1259"/>
      <c r="V278" s="1259"/>
      <c r="W278" s="1259"/>
      <c r="X278" s="1259"/>
      <c r="Y278" s="1259"/>
      <c r="Z278" s="1259"/>
      <c r="AA278" s="1259"/>
      <c r="AB278" s="1258"/>
      <c r="AC278" s="1258"/>
      <c r="AD278" s="1259"/>
      <c r="AE278" s="1259"/>
      <c r="AF278" s="1259"/>
      <c r="AG278" s="1259"/>
      <c r="AH278" s="198"/>
      <c r="AI278" s="199"/>
    </row>
    <row r="279" spans="1:35" ht="22.15" customHeight="1" x14ac:dyDescent="0.2">
      <c r="A279" s="1534"/>
      <c r="B279" s="1535"/>
      <c r="C279" s="1259"/>
      <c r="D279" s="1259"/>
      <c r="E279" s="1259"/>
      <c r="F279" s="1259"/>
      <c r="G279" s="1259"/>
      <c r="H279" s="1259"/>
      <c r="I279" s="1259"/>
      <c r="J279" s="1259"/>
      <c r="K279" s="1259"/>
      <c r="L279" s="1259"/>
      <c r="M279" s="1259"/>
      <c r="N279" s="1258"/>
      <c r="O279" s="1258"/>
      <c r="P279" s="1259"/>
      <c r="Q279" s="1259"/>
      <c r="R279" s="1259"/>
      <c r="S279" s="1259"/>
      <c r="T279" s="1259"/>
      <c r="U279" s="1259"/>
      <c r="V279" s="1259"/>
      <c r="W279" s="1259"/>
      <c r="X279" s="1259"/>
      <c r="Y279" s="1259"/>
      <c r="Z279" s="1259"/>
      <c r="AA279" s="1259"/>
      <c r="AB279" s="1258"/>
      <c r="AC279" s="1258"/>
      <c r="AD279" s="1259"/>
      <c r="AE279" s="1259"/>
      <c r="AF279" s="1259"/>
      <c r="AG279" s="1259"/>
      <c r="AH279" s="198"/>
      <c r="AI279" s="199"/>
    </row>
    <row r="280" spans="1:35" ht="22.15" customHeight="1" thickBot="1" x14ac:dyDescent="0.25">
      <c r="A280" s="688"/>
      <c r="B280" s="685"/>
      <c r="C280" s="1536"/>
      <c r="D280" s="1537"/>
      <c r="E280" s="1537"/>
      <c r="F280" s="1537"/>
      <c r="G280" s="1537"/>
      <c r="H280" s="1537"/>
      <c r="I280" s="1537"/>
      <c r="J280" s="1537"/>
      <c r="K280" s="1537"/>
      <c r="L280" s="1537"/>
      <c r="M280" s="1537"/>
      <c r="N280" s="1538"/>
      <c r="O280" s="1538"/>
      <c r="P280" s="1537"/>
      <c r="Q280" s="1537"/>
      <c r="R280" s="1537"/>
      <c r="S280" s="1537"/>
      <c r="T280" s="1537"/>
      <c r="U280" s="1537"/>
      <c r="V280" s="1537"/>
      <c r="W280" s="1537"/>
      <c r="X280" s="1537"/>
      <c r="Y280" s="1537"/>
      <c r="Z280" s="1537"/>
      <c r="AA280" s="1537"/>
      <c r="AB280" s="1538"/>
      <c r="AC280" s="1538"/>
      <c r="AD280" s="1537"/>
      <c r="AE280" s="1537"/>
      <c r="AF280" s="1537"/>
      <c r="AG280" s="1539"/>
      <c r="AH280" s="198"/>
      <c r="AI280" s="199"/>
    </row>
    <row r="281" spans="1:35" ht="22.15" customHeight="1" x14ac:dyDescent="0.2">
      <c r="A281" s="262"/>
      <c r="B281" s="263"/>
      <c r="C281" s="255"/>
      <c r="D281" s="255"/>
      <c r="E281" s="255"/>
      <c r="F281" s="255"/>
      <c r="G281" s="255"/>
      <c r="H281" s="255"/>
      <c r="I281" s="255"/>
      <c r="J281" s="255"/>
      <c r="K281" s="255"/>
      <c r="L281" s="255"/>
      <c r="M281" s="255"/>
      <c r="N281" s="229"/>
      <c r="O281" s="229"/>
      <c r="P281" s="255"/>
      <c r="Q281" s="255"/>
      <c r="R281" s="255"/>
      <c r="S281" s="255"/>
      <c r="T281" s="255"/>
      <c r="U281" s="255"/>
      <c r="V281" s="255"/>
      <c r="W281" s="255"/>
      <c r="X281" s="255"/>
      <c r="Y281" s="255"/>
      <c r="Z281" s="255"/>
      <c r="AA281" s="255"/>
      <c r="AB281" s="229"/>
      <c r="AC281" s="229"/>
      <c r="AD281" s="255"/>
      <c r="AE281" s="255"/>
      <c r="AF281" s="255"/>
      <c r="AG281" s="255"/>
      <c r="AH281" s="264"/>
      <c r="AI281" s="199"/>
    </row>
    <row r="282" spans="1:35" ht="24" customHeight="1" x14ac:dyDescent="0.2"/>
    <row r="283" spans="1:35" ht="25.5" customHeight="1" thickBot="1" x14ac:dyDescent="0.25">
      <c r="A283" s="162" t="s">
        <v>325</v>
      </c>
    </row>
    <row r="284" spans="1:35" ht="21" customHeight="1" x14ac:dyDescent="0.2">
      <c r="A284" s="1"/>
      <c r="B284" s="530" t="s">
        <v>267</v>
      </c>
      <c r="C284" s="500"/>
      <c r="D284" s="516" t="s">
        <v>90</v>
      </c>
      <c r="E284" s="473"/>
      <c r="F284" s="504"/>
      <c r="G284" s="500"/>
      <c r="H284" s="516" t="s">
        <v>91</v>
      </c>
      <c r="I284" s="473"/>
      <c r="J284" s="504"/>
      <c r="K284" s="500"/>
      <c r="L284" s="516" t="s">
        <v>92</v>
      </c>
      <c r="M284" s="473"/>
      <c r="N284" s="504"/>
      <c r="O284" s="500"/>
      <c r="P284" s="516" t="s">
        <v>93</v>
      </c>
      <c r="Q284" s="473"/>
      <c r="R284" s="504"/>
      <c r="S284" s="500"/>
      <c r="T284" s="516" t="s">
        <v>94</v>
      </c>
      <c r="U284" s="473"/>
      <c r="V284" s="504"/>
      <c r="W284" s="500"/>
      <c r="X284" s="516" t="s">
        <v>95</v>
      </c>
      <c r="Y284" s="473"/>
      <c r="Z284" s="504"/>
      <c r="AA284" s="500"/>
      <c r="AB284" s="516" t="s">
        <v>96</v>
      </c>
      <c r="AC284" s="473"/>
      <c r="AD284" s="473"/>
      <c r="AE284" s="519" t="s">
        <v>97</v>
      </c>
      <c r="AF284" s="473"/>
      <c r="AG284" s="473"/>
      <c r="AH284" s="473"/>
      <c r="AI284" s="474"/>
    </row>
    <row r="285" spans="1:35" ht="21" customHeight="1" x14ac:dyDescent="0.2">
      <c r="A285" s="1"/>
      <c r="B285" s="3"/>
      <c r="C285" s="8"/>
      <c r="D285" s="117"/>
      <c r="E285" s="14"/>
      <c r="F285" s="116"/>
      <c r="G285" s="8"/>
      <c r="H285" s="117"/>
      <c r="I285" s="14"/>
      <c r="J285" s="116"/>
      <c r="K285" s="8"/>
      <c r="L285" s="117"/>
      <c r="M285" s="14"/>
      <c r="N285" s="116"/>
      <c r="O285" s="8"/>
      <c r="P285" s="117"/>
      <c r="Q285" s="14"/>
      <c r="R285" s="116"/>
      <c r="S285" s="8"/>
      <c r="T285" s="117"/>
      <c r="U285" s="14"/>
      <c r="V285" s="116"/>
      <c r="W285" s="8"/>
      <c r="X285" s="117"/>
      <c r="Y285" s="14"/>
      <c r="Z285" s="116"/>
      <c r="AA285" s="8"/>
      <c r="AB285" s="117"/>
      <c r="AC285" s="14"/>
      <c r="AD285" s="14"/>
      <c r="AE285" s="118"/>
      <c r="AF285" s="14"/>
      <c r="AG285" s="14"/>
      <c r="AH285" s="14"/>
      <c r="AI285" s="119"/>
    </row>
    <row r="286" spans="1:35" ht="21" customHeight="1" x14ac:dyDescent="0.2">
      <c r="A286" s="110"/>
      <c r="B286" s="1503"/>
      <c r="C286" s="1283"/>
      <c r="D286" s="1167"/>
      <c r="E286" s="1167"/>
      <c r="F286" s="1393"/>
      <c r="G286" s="1283"/>
      <c r="H286" s="1167"/>
      <c r="I286" s="1167"/>
      <c r="J286" s="1393"/>
      <c r="K286" s="1283"/>
      <c r="L286" s="1167"/>
      <c r="M286" s="1167"/>
      <c r="N286" s="1393"/>
      <c r="O286" s="1283"/>
      <c r="P286" s="1167"/>
      <c r="Q286" s="1167"/>
      <c r="R286" s="1393"/>
      <c r="S286" s="1283"/>
      <c r="T286" s="1167"/>
      <c r="U286" s="1167"/>
      <c r="V286" s="1393"/>
      <c r="W286" s="1283"/>
      <c r="X286" s="1167"/>
      <c r="Y286" s="1167"/>
      <c r="Z286" s="1393"/>
      <c r="AA286" s="1391"/>
      <c r="AB286" s="1167"/>
      <c r="AC286" s="1167"/>
      <c r="AD286" s="1284"/>
      <c r="AE286" s="1540"/>
      <c r="AF286" s="1167"/>
      <c r="AG286" s="1167"/>
      <c r="AH286" s="1284"/>
      <c r="AI286" s="1176"/>
    </row>
    <row r="287" spans="1:35" ht="21" customHeight="1" thickBot="1" x14ac:dyDescent="0.25">
      <c r="A287" s="1"/>
      <c r="B287" s="1403"/>
      <c r="C287" s="1404"/>
      <c r="D287" s="1238"/>
      <c r="E287" s="1238"/>
      <c r="F287" s="1425"/>
      <c r="G287" s="1404"/>
      <c r="H287" s="1238"/>
      <c r="I287" s="1238"/>
      <c r="J287" s="1425"/>
      <c r="K287" s="1404"/>
      <c r="L287" s="1238"/>
      <c r="M287" s="1238"/>
      <c r="N287" s="1425"/>
      <c r="O287" s="1404"/>
      <c r="P287" s="1238"/>
      <c r="Q287" s="1238"/>
      <c r="R287" s="1425"/>
      <c r="S287" s="1404"/>
      <c r="T287" s="1238"/>
      <c r="U287" s="1238"/>
      <c r="V287" s="1425"/>
      <c r="W287" s="1423"/>
      <c r="X287" s="1238"/>
      <c r="Y287" s="1238"/>
      <c r="Z287" s="1425"/>
      <c r="AA287" s="1423"/>
      <c r="AB287" s="1238"/>
      <c r="AC287" s="1238"/>
      <c r="AD287" s="1411"/>
      <c r="AE287" s="1423"/>
      <c r="AF287" s="1238"/>
      <c r="AG287" s="1238"/>
      <c r="AH287" s="1411"/>
      <c r="AI287" s="1245"/>
    </row>
    <row r="288" spans="1:35" ht="21" customHeight="1" x14ac:dyDescent="0.2">
      <c r="A288" s="1"/>
      <c r="B288" s="18"/>
      <c r="C288" s="64"/>
      <c r="F288" s="69"/>
      <c r="G288" s="64"/>
      <c r="J288" s="69"/>
      <c r="K288" s="64"/>
      <c r="N288" s="69"/>
      <c r="O288" s="64"/>
      <c r="R288" s="69"/>
      <c r="S288" s="64"/>
      <c r="V288" s="69"/>
      <c r="W288" s="69"/>
      <c r="Z288" s="69"/>
      <c r="AA288" s="69"/>
      <c r="AD288" s="69"/>
      <c r="AE288" s="69"/>
      <c r="AH288" s="69"/>
    </row>
    <row r="289" spans="1:35" ht="33" customHeight="1" x14ac:dyDescent="0.2">
      <c r="A289" s="162" t="s">
        <v>326</v>
      </c>
      <c r="B289" s="18"/>
      <c r="C289" s="64"/>
      <c r="F289" s="69"/>
      <c r="G289" s="64"/>
      <c r="J289" s="69"/>
      <c r="K289" s="64"/>
      <c r="N289" s="69"/>
      <c r="O289" s="64"/>
      <c r="R289" s="69"/>
      <c r="S289" s="64"/>
      <c r="V289" s="69"/>
      <c r="W289" s="69"/>
      <c r="Z289" s="69"/>
      <c r="AA289" s="69"/>
      <c r="AD289" s="69"/>
      <c r="AE289" s="69"/>
      <c r="AH289" s="69"/>
    </row>
    <row r="290" spans="1:35" ht="21" customHeight="1" thickBot="1" x14ac:dyDescent="0.25">
      <c r="A290" s="1541" t="s">
        <v>28</v>
      </c>
      <c r="B290" s="1530" t="s">
        <v>29</v>
      </c>
      <c r="C290" s="1185">
        <v>1</v>
      </c>
      <c r="D290" s="1186">
        <v>2</v>
      </c>
      <c r="E290" s="1186">
        <v>3</v>
      </c>
      <c r="F290" s="1186">
        <v>4</v>
      </c>
      <c r="G290" s="1185">
        <v>5</v>
      </c>
      <c r="H290" s="1185">
        <v>6</v>
      </c>
      <c r="I290" s="1185">
        <v>7</v>
      </c>
      <c r="J290" s="1186">
        <v>8</v>
      </c>
      <c r="K290" s="1186">
        <v>9</v>
      </c>
      <c r="L290" s="1186">
        <v>10</v>
      </c>
      <c r="M290" s="1186">
        <v>11</v>
      </c>
      <c r="N290" s="1186">
        <v>12</v>
      </c>
      <c r="O290" s="1185">
        <v>13</v>
      </c>
      <c r="P290" s="1185">
        <v>14</v>
      </c>
      <c r="Q290" s="1186">
        <v>15</v>
      </c>
      <c r="R290" s="1186">
        <v>16</v>
      </c>
      <c r="S290" s="1186">
        <v>17</v>
      </c>
      <c r="T290" s="1186">
        <v>18</v>
      </c>
      <c r="U290" s="1186">
        <v>19</v>
      </c>
      <c r="V290" s="1185">
        <v>20</v>
      </c>
      <c r="W290" s="1185">
        <v>21</v>
      </c>
      <c r="X290" s="1186">
        <v>22</v>
      </c>
      <c r="Y290" s="1186">
        <v>23</v>
      </c>
      <c r="Z290" s="1186">
        <v>24</v>
      </c>
      <c r="AA290" s="1186">
        <v>25</v>
      </c>
      <c r="AB290" s="1186">
        <v>26</v>
      </c>
      <c r="AC290" s="1185">
        <v>27</v>
      </c>
      <c r="AD290" s="1185">
        <v>28</v>
      </c>
      <c r="AE290" s="1186">
        <v>29</v>
      </c>
      <c r="AF290" s="1186">
        <v>30</v>
      </c>
      <c r="AG290" s="1248"/>
      <c r="AH290" s="200"/>
      <c r="AI290" s="185"/>
    </row>
    <row r="291" spans="1:35" ht="21" customHeight="1" x14ac:dyDescent="0.2">
      <c r="A291" s="88"/>
      <c r="B291" s="158" t="s">
        <v>327</v>
      </c>
      <c r="C291" s="1217"/>
      <c r="D291" s="1217" t="s">
        <v>31</v>
      </c>
      <c r="E291" s="1217" t="s">
        <v>31</v>
      </c>
      <c r="F291" s="1323" t="s">
        <v>31</v>
      </c>
      <c r="G291" s="1225"/>
      <c r="H291" s="1217"/>
      <c r="I291" s="1217"/>
      <c r="J291" s="1542" t="s">
        <v>31</v>
      </c>
      <c r="K291" s="1542" t="s">
        <v>31</v>
      </c>
      <c r="L291" s="1542" t="s">
        <v>31</v>
      </c>
      <c r="M291" s="1542" t="s">
        <v>31</v>
      </c>
      <c r="N291" s="1323" t="s">
        <v>31</v>
      </c>
      <c r="O291" s="1323"/>
      <c r="P291" s="1323"/>
      <c r="Q291" s="1323" t="s">
        <v>31</v>
      </c>
      <c r="R291" s="1323" t="s">
        <v>31</v>
      </c>
      <c r="S291" s="1323" t="s">
        <v>31</v>
      </c>
      <c r="T291" s="1323" t="s">
        <v>31</v>
      </c>
      <c r="U291" s="1323" t="s">
        <v>31</v>
      </c>
      <c r="V291" s="1217"/>
      <c r="W291" s="1217"/>
      <c r="X291" s="1217" t="s">
        <v>31</v>
      </c>
      <c r="Y291" s="1218" t="s">
        <v>31</v>
      </c>
      <c r="Z291" s="1218" t="s">
        <v>31</v>
      </c>
      <c r="AA291" s="1218" t="s">
        <v>31</v>
      </c>
      <c r="AB291" s="1217" t="s">
        <v>31</v>
      </c>
      <c r="AC291" s="1217"/>
      <c r="AD291" s="1217"/>
      <c r="AE291" s="1217" t="s">
        <v>31</v>
      </c>
      <c r="AF291" s="1217" t="s">
        <v>31</v>
      </c>
      <c r="AG291" s="1217"/>
      <c r="AH291" s="201"/>
      <c r="AI291" s="197"/>
    </row>
    <row r="292" spans="1:35" ht="21" customHeight="1" x14ac:dyDescent="0.2">
      <c r="A292" s="1543"/>
      <c r="B292" s="1544" t="s">
        <v>328</v>
      </c>
      <c r="C292" s="1217"/>
      <c r="D292" s="1217" t="s">
        <v>31</v>
      </c>
      <c r="E292" s="1217" t="s">
        <v>31</v>
      </c>
      <c r="F292" s="1225" t="s">
        <v>31</v>
      </c>
      <c r="G292" s="1225"/>
      <c r="H292" s="1217"/>
      <c r="I292" s="1217"/>
      <c r="J292" s="1217" t="s">
        <v>31</v>
      </c>
      <c r="K292" s="1217" t="s">
        <v>31</v>
      </c>
      <c r="L292" s="1217" t="s">
        <v>31</v>
      </c>
      <c r="M292" s="1217" t="s">
        <v>31</v>
      </c>
      <c r="N292" s="1216" t="s">
        <v>31</v>
      </c>
      <c r="O292" s="1217"/>
      <c r="P292" s="1217"/>
      <c r="Q292" s="1217" t="s">
        <v>31</v>
      </c>
      <c r="R292" s="1217" t="s">
        <v>31</v>
      </c>
      <c r="S292" s="1297" t="s">
        <v>31</v>
      </c>
      <c r="T292" s="1297" t="s">
        <v>31</v>
      </c>
      <c r="U292" s="1297" t="s">
        <v>31</v>
      </c>
      <c r="V292" s="1217"/>
      <c r="W292" s="1217"/>
      <c r="X292" s="1217" t="s">
        <v>31</v>
      </c>
      <c r="Y292" s="1218" t="s">
        <v>31</v>
      </c>
      <c r="Z292" s="1218" t="s">
        <v>31</v>
      </c>
      <c r="AA292" s="1218" t="s">
        <v>31</v>
      </c>
      <c r="AB292" s="1217" t="s">
        <v>31</v>
      </c>
      <c r="AC292" s="1217"/>
      <c r="AD292" s="1217"/>
      <c r="AE292" s="1217" t="s">
        <v>31</v>
      </c>
      <c r="AF292" s="1217" t="s">
        <v>31</v>
      </c>
      <c r="AG292" s="1217"/>
      <c r="AH292" s="201"/>
      <c r="AI292" s="197"/>
    </row>
    <row r="293" spans="1:35" ht="21" customHeight="1" x14ac:dyDescent="0.2">
      <c r="A293" s="1515"/>
      <c r="B293" s="1544" t="s">
        <v>329</v>
      </c>
      <c r="C293" s="1217"/>
      <c r="D293" s="1217" t="s">
        <v>31</v>
      </c>
      <c r="E293" s="1217" t="s">
        <v>31</v>
      </c>
      <c r="F293" s="1225" t="s">
        <v>31</v>
      </c>
      <c r="G293" s="1225"/>
      <c r="H293" s="1217"/>
      <c r="I293" s="1217"/>
      <c r="J293" s="1217" t="s">
        <v>31</v>
      </c>
      <c r="K293" s="1217" t="s">
        <v>31</v>
      </c>
      <c r="L293" s="1217" t="s">
        <v>31</v>
      </c>
      <c r="M293" s="1217" t="s">
        <v>31</v>
      </c>
      <c r="N293" s="1216" t="s">
        <v>31</v>
      </c>
      <c r="O293" s="1217"/>
      <c r="P293" s="1217"/>
      <c r="Q293" s="1217" t="s">
        <v>31</v>
      </c>
      <c r="R293" s="1217" t="s">
        <v>31</v>
      </c>
      <c r="S293" s="1217" t="s">
        <v>31</v>
      </c>
      <c r="T293" s="1217" t="s">
        <v>31</v>
      </c>
      <c r="U293" s="1217" t="s">
        <v>31</v>
      </c>
      <c r="V293" s="1217"/>
      <c r="W293" s="1217"/>
      <c r="X293" s="1217" t="s">
        <v>31</v>
      </c>
      <c r="Y293" s="1218" t="s">
        <v>31</v>
      </c>
      <c r="Z293" s="1218" t="s">
        <v>31</v>
      </c>
      <c r="AA293" s="1218" t="s">
        <v>31</v>
      </c>
      <c r="AB293" s="1217" t="s">
        <v>31</v>
      </c>
      <c r="AC293" s="1217"/>
      <c r="AD293" s="1217"/>
      <c r="AE293" s="1217" t="s">
        <v>31</v>
      </c>
      <c r="AF293" s="1217" t="s">
        <v>31</v>
      </c>
      <c r="AG293" s="1217"/>
      <c r="AH293" s="201"/>
      <c r="AI293" s="197"/>
    </row>
    <row r="294" spans="1:35" ht="21" customHeight="1" x14ac:dyDescent="0.2">
      <c r="A294" s="1515"/>
      <c r="B294" s="1544" t="s">
        <v>330</v>
      </c>
      <c r="C294" s="1217"/>
      <c r="D294" s="1217" t="s">
        <v>31</v>
      </c>
      <c r="E294" s="1217" t="s">
        <v>31</v>
      </c>
      <c r="F294" s="1225" t="s">
        <v>31</v>
      </c>
      <c r="G294" s="1225"/>
      <c r="H294" s="1217"/>
      <c r="I294" s="1217"/>
      <c r="J294" s="1217" t="s">
        <v>31</v>
      </c>
      <c r="K294" s="1217" t="s">
        <v>31</v>
      </c>
      <c r="L294" s="1217" t="s">
        <v>31</v>
      </c>
      <c r="M294" s="1217" t="s">
        <v>31</v>
      </c>
      <c r="N294" s="1216" t="s">
        <v>31</v>
      </c>
      <c r="O294" s="1217"/>
      <c r="P294" s="1217"/>
      <c r="Q294" s="1217" t="s">
        <v>31</v>
      </c>
      <c r="R294" s="1217" t="s">
        <v>31</v>
      </c>
      <c r="S294" s="1217" t="s">
        <v>31</v>
      </c>
      <c r="T294" s="1217" t="s">
        <v>31</v>
      </c>
      <c r="U294" s="1217" t="s">
        <v>31</v>
      </c>
      <c r="V294" s="1217"/>
      <c r="W294" s="1217"/>
      <c r="X294" s="1217" t="s">
        <v>31</v>
      </c>
      <c r="Y294" s="1218" t="s">
        <v>31</v>
      </c>
      <c r="Z294" s="1218" t="s">
        <v>31</v>
      </c>
      <c r="AA294" s="1218" t="s">
        <v>31</v>
      </c>
      <c r="AB294" s="1217" t="s">
        <v>31</v>
      </c>
      <c r="AC294" s="1217"/>
      <c r="AD294" s="1217"/>
      <c r="AE294" s="1217" t="s">
        <v>31</v>
      </c>
      <c r="AF294" s="1217" t="s">
        <v>31</v>
      </c>
      <c r="AG294" s="1217"/>
      <c r="AH294" s="201"/>
      <c r="AI294" s="197"/>
    </row>
    <row r="295" spans="1:35" ht="21" customHeight="1" x14ac:dyDescent="0.2">
      <c r="A295" s="1515"/>
      <c r="B295" s="1544" t="s">
        <v>331</v>
      </c>
      <c r="C295" s="1217"/>
      <c r="D295" s="1217" t="s">
        <v>31</v>
      </c>
      <c r="E295" s="1297" t="s">
        <v>31</v>
      </c>
      <c r="F295" s="1225" t="s">
        <v>31</v>
      </c>
      <c r="G295" s="1225"/>
      <c r="H295" s="1217"/>
      <c r="I295" s="1217"/>
      <c r="J295" s="1217" t="s">
        <v>31</v>
      </c>
      <c r="K295" s="1217" t="s">
        <v>31</v>
      </c>
      <c r="L295" s="1297" t="s">
        <v>31</v>
      </c>
      <c r="M295" s="1297" t="s">
        <v>31</v>
      </c>
      <c r="N295" s="1216" t="s">
        <v>31</v>
      </c>
      <c r="O295" s="1217"/>
      <c r="P295" s="1217"/>
      <c r="Q295" s="1217" t="s">
        <v>31</v>
      </c>
      <c r="R295" s="1217" t="s">
        <v>31</v>
      </c>
      <c r="S295" s="1217" t="s">
        <v>31</v>
      </c>
      <c r="T295" s="1217" t="s">
        <v>31</v>
      </c>
      <c r="U295" s="1217" t="s">
        <v>31</v>
      </c>
      <c r="V295" s="1217"/>
      <c r="W295" s="1217"/>
      <c r="X295" s="1217" t="s">
        <v>31</v>
      </c>
      <c r="Y295" s="1218" t="s">
        <v>31</v>
      </c>
      <c r="Z295" s="1297" t="s">
        <v>31</v>
      </c>
      <c r="AA295" s="1218" t="s">
        <v>31</v>
      </c>
      <c r="AB295" s="1217" t="s">
        <v>31</v>
      </c>
      <c r="AC295" s="1217"/>
      <c r="AD295" s="1217"/>
      <c r="AE295" s="1217" t="s">
        <v>31</v>
      </c>
      <c r="AF295" s="1323" t="s">
        <v>31</v>
      </c>
      <c r="AG295" s="1259"/>
      <c r="AH295" s="201"/>
      <c r="AI295" s="197"/>
    </row>
    <row r="296" spans="1:35" ht="21" customHeight="1" x14ac:dyDescent="0.2">
      <c r="A296" s="1515"/>
      <c r="B296" s="1544" t="s">
        <v>332</v>
      </c>
      <c r="C296" s="1217"/>
      <c r="D296" s="1217" t="s">
        <v>31</v>
      </c>
      <c r="E296" s="1217" t="s">
        <v>31</v>
      </c>
      <c r="F296" s="1225" t="s">
        <v>31</v>
      </c>
      <c r="G296" s="1225"/>
      <c r="H296" s="1217"/>
      <c r="I296" s="1217"/>
      <c r="J296" s="1217" t="s">
        <v>31</v>
      </c>
      <c r="K296" s="1217" t="s">
        <v>31</v>
      </c>
      <c r="L296" s="1217" t="s">
        <v>31</v>
      </c>
      <c r="M296" s="1217" t="s">
        <v>31</v>
      </c>
      <c r="N296" s="1216" t="s">
        <v>31</v>
      </c>
      <c r="O296" s="1217"/>
      <c r="P296" s="1217"/>
      <c r="Q296" s="1217" t="s">
        <v>31</v>
      </c>
      <c r="R296" s="1217" t="s">
        <v>31</v>
      </c>
      <c r="S296" s="1217" t="s">
        <v>31</v>
      </c>
      <c r="T296" s="1217" t="s">
        <v>31</v>
      </c>
      <c r="U296" s="1217" t="s">
        <v>31</v>
      </c>
      <c r="V296" s="1217"/>
      <c r="W296" s="1217"/>
      <c r="X296" s="1217" t="s">
        <v>31</v>
      </c>
      <c r="Y296" s="1218" t="s">
        <v>31</v>
      </c>
      <c r="Z296" s="1218" t="s">
        <v>31</v>
      </c>
      <c r="AA296" s="1297" t="s">
        <v>31</v>
      </c>
      <c r="AB296" s="1297" t="s">
        <v>31</v>
      </c>
      <c r="AC296" s="1217"/>
      <c r="AD296" s="1217"/>
      <c r="AE296" s="1217" t="s">
        <v>31</v>
      </c>
      <c r="AF296" s="1217" t="s">
        <v>31</v>
      </c>
      <c r="AG296" s="1259"/>
      <c r="AH296" s="201"/>
      <c r="AI296" s="197"/>
    </row>
    <row r="297" spans="1:35" ht="21" customHeight="1" x14ac:dyDescent="0.2">
      <c r="A297" s="1515"/>
      <c r="B297" s="1544" t="s">
        <v>333</v>
      </c>
      <c r="C297" s="1217"/>
      <c r="D297" s="1217" t="s">
        <v>31</v>
      </c>
      <c r="E297" s="1217" t="s">
        <v>31</v>
      </c>
      <c r="F297" s="1225" t="s">
        <v>31</v>
      </c>
      <c r="G297" s="1225"/>
      <c r="H297" s="1217"/>
      <c r="I297" s="1217"/>
      <c r="J297" s="1217" t="s">
        <v>31</v>
      </c>
      <c r="K297" s="1217" t="s">
        <v>31</v>
      </c>
      <c r="L297" s="1217" t="s">
        <v>31</v>
      </c>
      <c r="M297" s="1217" t="s">
        <v>31</v>
      </c>
      <c r="N297" s="1216" t="s">
        <v>31</v>
      </c>
      <c r="O297" s="1217"/>
      <c r="P297" s="1217"/>
      <c r="Q297" s="1217" t="s">
        <v>31</v>
      </c>
      <c r="R297" s="1217" t="s">
        <v>31</v>
      </c>
      <c r="S297" s="1217" t="s">
        <v>31</v>
      </c>
      <c r="T297" s="1217" t="s">
        <v>31</v>
      </c>
      <c r="U297" s="1217" t="s">
        <v>31</v>
      </c>
      <c r="V297" s="1217"/>
      <c r="W297" s="1217"/>
      <c r="X297" s="1217" t="s">
        <v>31</v>
      </c>
      <c r="Y297" s="1218" t="s">
        <v>31</v>
      </c>
      <c r="Z297" s="1218" t="s">
        <v>31</v>
      </c>
      <c r="AA297" s="1218" t="s">
        <v>31</v>
      </c>
      <c r="AB297" s="1217" t="s">
        <v>31</v>
      </c>
      <c r="AC297" s="1217"/>
      <c r="AD297" s="1217"/>
      <c r="AE297" s="1217" t="s">
        <v>31</v>
      </c>
      <c r="AF297" s="1217" t="s">
        <v>31</v>
      </c>
      <c r="AG297" s="1259"/>
      <c r="AH297" s="201"/>
      <c r="AI297" s="197"/>
    </row>
    <row r="298" spans="1:35" ht="21" customHeight="1" x14ac:dyDescent="0.2">
      <c r="A298" s="1515"/>
      <c r="B298" s="1544" t="s">
        <v>334</v>
      </c>
      <c r="C298" s="1217"/>
      <c r="D298" s="1217" t="s">
        <v>31</v>
      </c>
      <c r="E298" s="1217" t="s">
        <v>31</v>
      </c>
      <c r="F298" s="1225" t="s">
        <v>31</v>
      </c>
      <c r="G298" s="1225"/>
      <c r="H298" s="1217"/>
      <c r="I298" s="1217"/>
      <c r="J298" s="1217" t="s">
        <v>31</v>
      </c>
      <c r="K298" s="1217" t="s">
        <v>31</v>
      </c>
      <c r="L298" s="1217" t="s">
        <v>31</v>
      </c>
      <c r="M298" s="1217" t="s">
        <v>31</v>
      </c>
      <c r="N298" s="1216" t="s">
        <v>31</v>
      </c>
      <c r="O298" s="1217"/>
      <c r="P298" s="1217"/>
      <c r="Q298" s="1217" t="s">
        <v>31</v>
      </c>
      <c r="R298" s="1217" t="s">
        <v>31</v>
      </c>
      <c r="S298" s="1323" t="s">
        <v>31</v>
      </c>
      <c r="T298" s="1217" t="s">
        <v>31</v>
      </c>
      <c r="U298" s="1217" t="s">
        <v>31</v>
      </c>
      <c r="V298" s="1217"/>
      <c r="W298" s="1217"/>
      <c r="X298" s="1217" t="s">
        <v>31</v>
      </c>
      <c r="Y298" s="1218" t="s">
        <v>31</v>
      </c>
      <c r="Z298" s="1218" t="s">
        <v>31</v>
      </c>
      <c r="AA298" s="1218" t="s">
        <v>31</v>
      </c>
      <c r="AB298" s="1217" t="s">
        <v>31</v>
      </c>
      <c r="AC298" s="1217"/>
      <c r="AD298" s="1217"/>
      <c r="AE298" s="1217" t="s">
        <v>31</v>
      </c>
      <c r="AF298" s="1217" t="s">
        <v>31</v>
      </c>
      <c r="AG298" s="1259"/>
      <c r="AH298" s="201"/>
      <c r="AI298" s="197"/>
    </row>
    <row r="299" spans="1:35" ht="21" customHeight="1" x14ac:dyDescent="0.2">
      <c r="A299" s="1515"/>
      <c r="B299" s="1531"/>
      <c r="C299" s="1217"/>
      <c r="D299" s="1217" t="s">
        <v>31</v>
      </c>
      <c r="E299" s="1217" t="s">
        <v>31</v>
      </c>
      <c r="F299" s="1225" t="s">
        <v>31</v>
      </c>
      <c r="G299" s="1225"/>
      <c r="H299" s="1217"/>
      <c r="I299" s="1217"/>
      <c r="J299" s="1217" t="s">
        <v>31</v>
      </c>
      <c r="K299" s="1217" t="s">
        <v>31</v>
      </c>
      <c r="L299" s="1217" t="s">
        <v>31</v>
      </c>
      <c r="M299" s="1217" t="s">
        <v>31</v>
      </c>
      <c r="N299" s="1216" t="s">
        <v>31</v>
      </c>
      <c r="O299" s="1217"/>
      <c r="P299" s="1217"/>
      <c r="Q299" s="1217" t="s">
        <v>31</v>
      </c>
      <c r="R299" s="1217" t="s">
        <v>31</v>
      </c>
      <c r="S299" s="1217" t="s">
        <v>31</v>
      </c>
      <c r="T299" s="1217" t="s">
        <v>31</v>
      </c>
      <c r="U299" s="1217" t="s">
        <v>31</v>
      </c>
      <c r="V299" s="1217"/>
      <c r="W299" s="1217"/>
      <c r="X299" s="1217" t="s">
        <v>31</v>
      </c>
      <c r="Y299" s="1218" t="s">
        <v>31</v>
      </c>
      <c r="Z299" s="1218" t="s">
        <v>31</v>
      </c>
      <c r="AA299" s="1218" t="s">
        <v>31</v>
      </c>
      <c r="AB299" s="1217" t="s">
        <v>31</v>
      </c>
      <c r="AC299" s="1217"/>
      <c r="AD299" s="1217"/>
      <c r="AE299" s="1217" t="s">
        <v>31</v>
      </c>
      <c r="AF299" s="1217" t="s">
        <v>31</v>
      </c>
      <c r="AG299" s="1259"/>
      <c r="AH299" s="201"/>
      <c r="AI299" s="197"/>
    </row>
    <row r="300" spans="1:35" ht="21" customHeight="1" x14ac:dyDescent="0.2">
      <c r="A300" s="1515"/>
      <c r="B300" s="1545" t="s">
        <v>335</v>
      </c>
      <c r="C300" s="1217"/>
      <c r="D300" s="1217" t="s">
        <v>31</v>
      </c>
      <c r="E300" s="1217" t="s">
        <v>31</v>
      </c>
      <c r="F300" s="1225" t="s">
        <v>31</v>
      </c>
      <c r="G300" s="1225"/>
      <c r="H300" s="1217"/>
      <c r="I300" s="1217"/>
      <c r="J300" s="1217" t="s">
        <v>31</v>
      </c>
      <c r="K300" s="1217" t="s">
        <v>31</v>
      </c>
      <c r="L300" s="1217" t="s">
        <v>31</v>
      </c>
      <c r="M300" s="1217" t="s">
        <v>31</v>
      </c>
      <c r="N300" s="1216" t="s">
        <v>31</v>
      </c>
      <c r="O300" s="1217"/>
      <c r="P300" s="1217"/>
      <c r="Q300" s="1217" t="s">
        <v>31</v>
      </c>
      <c r="R300" s="1217" t="s">
        <v>31</v>
      </c>
      <c r="S300" s="1217" t="s">
        <v>31</v>
      </c>
      <c r="T300" s="1217" t="s">
        <v>31</v>
      </c>
      <c r="U300" s="1217" t="s">
        <v>31</v>
      </c>
      <c r="V300" s="1217"/>
      <c r="W300" s="1217"/>
      <c r="X300" s="1217" t="s">
        <v>31</v>
      </c>
      <c r="Y300" s="1218" t="s">
        <v>31</v>
      </c>
      <c r="Z300" s="1218" t="s">
        <v>31</v>
      </c>
      <c r="AA300" s="1218" t="s">
        <v>31</v>
      </c>
      <c r="AB300" s="1217" t="s">
        <v>31</v>
      </c>
      <c r="AC300" s="1217"/>
      <c r="AD300" s="1217"/>
      <c r="AE300" s="1217" t="s">
        <v>31</v>
      </c>
      <c r="AF300" s="1217" t="s">
        <v>31</v>
      </c>
      <c r="AG300" s="1259"/>
      <c r="AH300" s="201"/>
      <c r="AI300" s="197"/>
    </row>
    <row r="301" spans="1:35" ht="21" customHeight="1" x14ac:dyDescent="0.2">
      <c r="A301" s="1515"/>
      <c r="B301" s="1250" t="s">
        <v>336</v>
      </c>
      <c r="C301" s="1217"/>
      <c r="D301" s="1217" t="s">
        <v>31</v>
      </c>
      <c r="E301" s="1217" t="s">
        <v>31</v>
      </c>
      <c r="F301" s="1225" t="s">
        <v>31</v>
      </c>
      <c r="G301" s="1225"/>
      <c r="H301" s="1217"/>
      <c r="I301" s="1217"/>
      <c r="J301" s="1217" t="s">
        <v>31</v>
      </c>
      <c r="K301" s="1217" t="s">
        <v>31</v>
      </c>
      <c r="L301" s="1217" t="s">
        <v>31</v>
      </c>
      <c r="M301" s="1217" t="s">
        <v>31</v>
      </c>
      <c r="N301" s="1216" t="s">
        <v>31</v>
      </c>
      <c r="O301" s="1217"/>
      <c r="P301" s="1217"/>
      <c r="Q301" s="1217" t="s">
        <v>31</v>
      </c>
      <c r="R301" s="1323" t="s">
        <v>31</v>
      </c>
      <c r="S301" s="1217" t="s">
        <v>31</v>
      </c>
      <c r="T301" s="1217" t="s">
        <v>31</v>
      </c>
      <c r="U301" s="1217" t="s">
        <v>31</v>
      </c>
      <c r="V301" s="1217"/>
      <c r="W301" s="1217"/>
      <c r="X301" s="1217" t="s">
        <v>31</v>
      </c>
      <c r="Y301" s="1218" t="s">
        <v>31</v>
      </c>
      <c r="Z301" s="1323" t="s">
        <v>31</v>
      </c>
      <c r="AA301" s="1218" t="s">
        <v>31</v>
      </c>
      <c r="AB301" s="1217" t="s">
        <v>31</v>
      </c>
      <c r="AC301" s="1217"/>
      <c r="AD301" s="1217"/>
      <c r="AE301" s="1217" t="s">
        <v>31</v>
      </c>
      <c r="AF301" s="1217" t="s">
        <v>31</v>
      </c>
      <c r="AG301" s="1259"/>
      <c r="AH301" s="201"/>
      <c r="AI301" s="197"/>
    </row>
    <row r="302" spans="1:35" ht="21" customHeight="1" x14ac:dyDescent="0.2">
      <c r="A302" s="1515"/>
      <c r="B302" s="1545"/>
      <c r="C302" s="1217"/>
      <c r="D302" s="1546"/>
      <c r="E302" s="1217"/>
      <c r="F302" s="1217"/>
      <c r="G302" s="1217"/>
      <c r="H302" s="1217"/>
      <c r="I302" s="1217"/>
      <c r="J302" s="1217"/>
      <c r="K302" s="1217"/>
      <c r="L302" s="1217"/>
      <c r="M302" s="1217"/>
      <c r="N302" s="1217"/>
      <c r="O302" s="1217"/>
      <c r="P302" s="1217"/>
      <c r="Q302" s="1217"/>
      <c r="R302" s="1217"/>
      <c r="S302" s="1217"/>
      <c r="T302" s="1217"/>
      <c r="U302" s="1217"/>
      <c r="V302" s="1217"/>
      <c r="W302" s="1217"/>
      <c r="X302" s="1217"/>
      <c r="Y302" s="1217"/>
      <c r="Z302" s="1217"/>
      <c r="AA302" s="1217"/>
      <c r="AB302" s="1217"/>
      <c r="AC302" s="1217"/>
      <c r="AD302" s="1217"/>
      <c r="AE302" s="1217"/>
      <c r="AF302" s="1217"/>
      <c r="AG302" s="1259"/>
      <c r="AH302" s="201"/>
      <c r="AI302" s="197"/>
    </row>
    <row r="303" spans="1:35" ht="21" customHeight="1" x14ac:dyDescent="0.2">
      <c r="A303" s="1277"/>
      <c r="B303" s="1545"/>
      <c r="C303" s="1259"/>
      <c r="D303" s="1259"/>
      <c r="E303" s="1259"/>
      <c r="F303" s="1259"/>
      <c r="G303" s="1259"/>
      <c r="H303" s="1259"/>
      <c r="I303" s="1259"/>
      <c r="J303" s="1259"/>
      <c r="K303" s="1259"/>
      <c r="L303" s="1259"/>
      <c r="M303" s="1259"/>
      <c r="N303" s="1258"/>
      <c r="O303" s="1258"/>
      <c r="P303" s="1259"/>
      <c r="Q303" s="1259"/>
      <c r="R303" s="1259"/>
      <c r="S303" s="1259"/>
      <c r="T303" s="1259"/>
      <c r="U303" s="1259"/>
      <c r="V303" s="1259"/>
      <c r="W303" s="1259"/>
      <c r="X303" s="1259"/>
      <c r="Y303" s="1259"/>
      <c r="Z303" s="1259"/>
      <c r="AA303" s="1259"/>
      <c r="AB303" s="1258"/>
      <c r="AC303" s="1258"/>
      <c r="AD303" s="1259"/>
      <c r="AE303" s="1259"/>
      <c r="AF303" s="1259"/>
      <c r="AG303" s="1259"/>
      <c r="AH303" s="201"/>
      <c r="AI303" s="199"/>
    </row>
    <row r="304" spans="1:35" ht="21" customHeight="1" thickBot="1" x14ac:dyDescent="0.25">
      <c r="A304" s="686"/>
      <c r="B304" s="687"/>
      <c r="C304" s="1536"/>
      <c r="D304" s="1537"/>
      <c r="E304" s="1537"/>
      <c r="F304" s="1537"/>
      <c r="G304" s="1537"/>
      <c r="H304" s="1537"/>
      <c r="I304" s="1537"/>
      <c r="J304" s="1537"/>
      <c r="K304" s="1537"/>
      <c r="L304" s="1537"/>
      <c r="M304" s="1537"/>
      <c r="N304" s="1538"/>
      <c r="O304" s="1538"/>
      <c r="P304" s="1537"/>
      <c r="Q304" s="1537"/>
      <c r="R304" s="1537"/>
      <c r="S304" s="1537"/>
      <c r="T304" s="1537"/>
      <c r="U304" s="1537"/>
      <c r="V304" s="1537"/>
      <c r="W304" s="1537"/>
      <c r="X304" s="1537"/>
      <c r="Y304" s="1537"/>
      <c r="Z304" s="1537"/>
      <c r="AA304" s="1537"/>
      <c r="AB304" s="1538"/>
      <c r="AC304" s="1538"/>
      <c r="AD304" s="1537"/>
      <c r="AE304" s="1537"/>
      <c r="AF304" s="1537"/>
      <c r="AG304" s="1537"/>
      <c r="AH304" s="201"/>
      <c r="AI304" s="199"/>
    </row>
  </sheetData>
  <protectedRanges>
    <protectedRange sqref="B229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4:B125" name="Område1_1_1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87" name="Område1_1_1_1_3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2:Z32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74B98-3A99-4AAB-85D7-EC91C41876DA}">
  <sheetPr codeName="Ark65">
    <pageSetUpPr fitToPage="1"/>
  </sheetPr>
  <dimension ref="A1:AN304"/>
  <sheetViews>
    <sheetView zoomScale="90" zoomScaleNormal="90" workbookViewId="0">
      <pane xSplit="2" ySplit="3" topLeftCell="C53" activePane="bottomRight" state="frozen"/>
      <selection pane="topRight" activeCell="AM167" sqref="AM167"/>
      <selection pane="bottomLeft" activeCell="AM167" sqref="AM167"/>
      <selection pane="bottomRight" activeCell="AL224" sqref="AL224"/>
    </sheetView>
  </sheetViews>
  <sheetFormatPr defaultColWidth="9.140625" defaultRowHeight="12" x14ac:dyDescent="0.2"/>
  <cols>
    <col min="1" max="1" width="5.7109375" customWidth="1"/>
    <col min="2" max="2" width="21.57031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1547" t="s">
        <v>2</v>
      </c>
      <c r="C2" s="1548" t="s">
        <v>3</v>
      </c>
      <c r="D2" s="1549"/>
      <c r="E2" s="1550" t="s">
        <v>4</v>
      </c>
      <c r="F2" s="1551"/>
      <c r="G2" s="1552"/>
      <c r="H2" s="1552"/>
      <c r="I2" s="1552"/>
      <c r="J2" s="1552"/>
      <c r="K2" s="1553"/>
      <c r="L2" s="1554" t="s">
        <v>5</v>
      </c>
      <c r="M2" s="1555"/>
      <c r="N2" s="1556"/>
      <c r="O2" s="1557" t="s">
        <v>6</v>
      </c>
      <c r="P2" s="1558"/>
      <c r="Q2" s="1559"/>
      <c r="R2" s="1560"/>
      <c r="S2" s="1561" t="s">
        <v>7</v>
      </c>
      <c r="T2" s="1562"/>
      <c r="U2" s="1563"/>
      <c r="V2" s="1562"/>
      <c r="W2" s="1564" t="s">
        <v>8</v>
      </c>
      <c r="X2" s="1565"/>
      <c r="Y2" s="1566"/>
      <c r="Z2" s="164" t="s">
        <v>9</v>
      </c>
      <c r="AA2" s="1567"/>
      <c r="AB2" s="1568"/>
      <c r="AC2" s="1569"/>
      <c r="AD2" s="1570" t="s">
        <v>10</v>
      </c>
      <c r="AE2" s="1571"/>
      <c r="AF2" s="1571"/>
      <c r="AG2" s="1572"/>
    </row>
    <row r="3" spans="1:35" ht="13.35" customHeight="1" x14ac:dyDescent="0.2">
      <c r="A3" s="1"/>
      <c r="B3" s="1573" t="s">
        <v>11</v>
      </c>
      <c r="C3" s="1574" t="s">
        <v>12</v>
      </c>
      <c r="D3" s="1575"/>
      <c r="E3" s="91"/>
      <c r="F3" s="92"/>
      <c r="G3" s="92"/>
      <c r="H3" s="165" t="s">
        <v>13</v>
      </c>
      <c r="I3" s="93"/>
      <c r="J3" s="93"/>
      <c r="K3" s="94"/>
      <c r="L3" s="1576" t="s">
        <v>14</v>
      </c>
      <c r="M3" s="1577"/>
      <c r="N3" s="1578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1577"/>
      <c r="AA3" s="1577"/>
      <c r="AB3" s="1579"/>
      <c r="AC3" s="1580"/>
      <c r="AD3" s="1581" t="s">
        <v>17</v>
      </c>
      <c r="AE3" s="1582"/>
      <c r="AF3" s="1582"/>
      <c r="AG3" s="1583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1584" t="s">
        <v>20</v>
      </c>
      <c r="B6" s="1577"/>
      <c r="C6" s="1585"/>
      <c r="D6" s="1584" t="s">
        <v>21</v>
      </c>
      <c r="E6" s="1577"/>
      <c r="F6" s="1577"/>
      <c r="G6" s="1577"/>
      <c r="H6" s="1586"/>
      <c r="I6" s="1577"/>
      <c r="J6" s="1577"/>
      <c r="K6" s="1577"/>
      <c r="L6" s="1587" t="s">
        <v>22</v>
      </c>
      <c r="M6" s="1577"/>
      <c r="N6" s="1577"/>
      <c r="O6" s="1577"/>
      <c r="P6" s="1577"/>
      <c r="Q6" s="1577"/>
      <c r="R6" s="1577"/>
      <c r="S6" s="1585"/>
      <c r="T6" s="1588"/>
      <c r="U6" s="1577"/>
      <c r="V6" s="1577"/>
      <c r="W6" s="1577"/>
      <c r="X6" s="1577"/>
      <c r="Y6" s="1577"/>
      <c r="Z6" s="1577"/>
      <c r="AA6" s="1585"/>
      <c r="AB6" s="1589"/>
      <c r="AC6" s="1590"/>
      <c r="AD6" s="1590"/>
      <c r="AE6" s="1590"/>
      <c r="AF6" s="1590"/>
      <c r="AG6" s="1591"/>
    </row>
    <row r="7" spans="1:35" ht="22.15" customHeight="1" x14ac:dyDescent="0.2">
      <c r="A7" s="1584" t="s">
        <v>23</v>
      </c>
      <c r="B7" s="1577"/>
      <c r="C7" s="1577"/>
      <c r="D7" s="1577"/>
      <c r="E7" s="1577"/>
      <c r="F7" s="1577"/>
      <c r="G7" s="1577"/>
      <c r="H7" s="1577"/>
      <c r="I7" s="1577"/>
      <c r="J7" s="1577"/>
      <c r="K7" s="1585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577"/>
      <c r="V7" s="1577"/>
      <c r="W7" s="1577"/>
      <c r="X7" s="1577"/>
      <c r="Y7" s="1577"/>
      <c r="Z7" s="1577"/>
      <c r="AA7" s="1577"/>
      <c r="AB7" s="1592"/>
      <c r="AC7" s="1577"/>
      <c r="AD7" s="1577"/>
      <c r="AE7" s="1577"/>
      <c r="AF7" s="1577"/>
      <c r="AG7" s="1585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A10" s="162" t="s">
        <v>337</v>
      </c>
      <c r="L10" s="100"/>
      <c r="AB10" s="1"/>
    </row>
    <row r="11" spans="1:35" ht="22.15" customHeight="1" x14ac:dyDescent="0.2">
      <c r="B11" s="101" t="s">
        <v>27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</row>
    <row r="12" spans="1:35" ht="22.15" customHeight="1" thickBot="1" x14ac:dyDescent="0.25">
      <c r="A12" s="1593" t="s">
        <v>28</v>
      </c>
      <c r="B12" s="1594" t="s">
        <v>29</v>
      </c>
      <c r="C12" s="1595">
        <v>1</v>
      </c>
      <c r="D12" s="1595">
        <v>2</v>
      </c>
      <c r="E12" s="1595">
        <v>3</v>
      </c>
      <c r="F12" s="1596">
        <v>4</v>
      </c>
      <c r="G12" s="1596">
        <v>5</v>
      </c>
      <c r="H12" s="1595">
        <v>6</v>
      </c>
      <c r="I12" s="1595">
        <v>7</v>
      </c>
      <c r="J12" s="1595">
        <v>8</v>
      </c>
      <c r="K12" s="1595">
        <v>9</v>
      </c>
      <c r="L12" s="1595">
        <v>10</v>
      </c>
      <c r="M12" s="1596">
        <v>11</v>
      </c>
      <c r="N12" s="1596">
        <v>12</v>
      </c>
      <c r="O12" s="1595">
        <v>13</v>
      </c>
      <c r="P12" s="1595">
        <v>14</v>
      </c>
      <c r="Q12" s="1595">
        <v>15</v>
      </c>
      <c r="R12" s="1595">
        <v>16</v>
      </c>
      <c r="S12" s="1595">
        <v>17</v>
      </c>
      <c r="T12" s="1596">
        <v>18</v>
      </c>
      <c r="U12" s="1596">
        <v>19</v>
      </c>
      <c r="V12" s="1595">
        <v>20</v>
      </c>
      <c r="W12" s="1595">
        <v>21</v>
      </c>
      <c r="X12" s="1595">
        <v>22</v>
      </c>
      <c r="Y12" s="1595">
        <v>23</v>
      </c>
      <c r="Z12" s="1595">
        <v>24</v>
      </c>
      <c r="AA12" s="1596">
        <v>25</v>
      </c>
      <c r="AB12" s="1596">
        <v>26</v>
      </c>
      <c r="AC12" s="1595">
        <v>27</v>
      </c>
      <c r="AD12" s="1595">
        <v>28</v>
      </c>
      <c r="AE12" s="1595">
        <v>29</v>
      </c>
      <c r="AF12" s="1595">
        <v>30</v>
      </c>
      <c r="AG12" s="1597">
        <v>31</v>
      </c>
      <c r="AH12" s="184"/>
      <c r="AI12" s="185"/>
    </row>
    <row r="13" spans="1:35" ht="22.15" customHeight="1" x14ac:dyDescent="0.2">
      <c r="A13" s="456">
        <v>8500</v>
      </c>
      <c r="B13" s="457" t="s">
        <v>30</v>
      </c>
      <c r="C13" s="532" t="s">
        <v>31</v>
      </c>
      <c r="D13" s="532" t="s">
        <v>31</v>
      </c>
      <c r="E13" s="532" t="s">
        <v>31</v>
      </c>
      <c r="F13" s="532"/>
      <c r="G13" s="532"/>
      <c r="H13" s="532" t="s">
        <v>31</v>
      </c>
      <c r="I13" s="532" t="s">
        <v>31</v>
      </c>
      <c r="J13" s="532" t="s">
        <v>31</v>
      </c>
      <c r="K13" s="532" t="s">
        <v>31</v>
      </c>
      <c r="L13" s="532" t="s">
        <v>31</v>
      </c>
      <c r="M13" s="532"/>
      <c r="N13" s="532"/>
      <c r="O13" s="532" t="s">
        <v>31</v>
      </c>
      <c r="P13" s="532" t="s">
        <v>31</v>
      </c>
      <c r="Q13" s="532" t="s">
        <v>31</v>
      </c>
      <c r="R13" s="532" t="s">
        <v>31</v>
      </c>
      <c r="S13" s="532" t="s">
        <v>31</v>
      </c>
      <c r="T13" s="532"/>
      <c r="U13" s="532"/>
      <c r="V13" s="463" t="s">
        <v>31</v>
      </c>
      <c r="W13" s="463" t="s">
        <v>31</v>
      </c>
      <c r="X13" s="463" t="s">
        <v>31</v>
      </c>
      <c r="Y13" s="463" t="s">
        <v>31</v>
      </c>
      <c r="Z13" s="463" t="s">
        <v>31</v>
      </c>
      <c r="AA13" s="458"/>
      <c r="AB13" s="458"/>
      <c r="AC13" s="458" t="s">
        <v>31</v>
      </c>
      <c r="AD13" s="458" t="s">
        <v>31</v>
      </c>
      <c r="AE13" s="458" t="s">
        <v>31</v>
      </c>
      <c r="AF13" s="458" t="s">
        <v>31</v>
      </c>
      <c r="AG13" s="464" t="s">
        <v>31</v>
      </c>
      <c r="AH13" s="190"/>
      <c r="AI13" s="190"/>
    </row>
    <row r="14" spans="1:35" ht="22.15" customHeight="1" x14ac:dyDescent="0.2">
      <c r="A14" s="1598" t="s">
        <v>33</v>
      </c>
      <c r="B14" s="1599"/>
      <c r="C14" s="1599"/>
      <c r="D14" s="1599"/>
      <c r="E14" s="1599"/>
      <c r="F14" s="1599"/>
      <c r="G14" s="1599"/>
      <c r="H14" s="1599"/>
      <c r="I14" s="1599"/>
      <c r="J14" s="1599"/>
      <c r="K14" s="1599"/>
      <c r="L14" s="1599"/>
      <c r="M14" s="1599"/>
      <c r="N14" s="1599"/>
      <c r="O14" s="1599"/>
      <c r="P14" s="1599"/>
      <c r="Q14" s="1599"/>
      <c r="R14" s="1599"/>
      <c r="S14" s="1599"/>
      <c r="T14" s="1599"/>
      <c r="U14" s="1599"/>
      <c r="V14" s="1599"/>
      <c r="W14" s="1599"/>
      <c r="X14" s="1599"/>
      <c r="Y14" s="1599"/>
      <c r="Z14" s="1599"/>
      <c r="AA14" s="1599"/>
      <c r="AB14" s="1599"/>
      <c r="AC14" s="1599"/>
      <c r="AD14" s="1599"/>
      <c r="AE14" s="1599"/>
      <c r="AF14" s="1599"/>
      <c r="AG14" s="1600"/>
      <c r="AH14" s="188"/>
      <c r="AI14" s="188"/>
    </row>
    <row r="15" spans="1:35" ht="22.15" customHeight="1" x14ac:dyDescent="0.2">
      <c r="A15" s="1601">
        <v>8546</v>
      </c>
      <c r="B15" s="1602" t="s">
        <v>34</v>
      </c>
      <c r="C15" s="1603">
        <v>4</v>
      </c>
      <c r="D15" s="1603">
        <v>4</v>
      </c>
      <c r="E15" s="1603">
        <v>4</v>
      </c>
      <c r="F15" s="1603" t="s">
        <v>37</v>
      </c>
      <c r="G15" s="1603" t="s">
        <v>37</v>
      </c>
      <c r="H15" s="1604" t="s">
        <v>35</v>
      </c>
      <c r="I15" s="1604" t="s">
        <v>35</v>
      </c>
      <c r="J15" s="1604" t="s">
        <v>35</v>
      </c>
      <c r="K15" s="1605" t="s">
        <v>35</v>
      </c>
      <c r="L15" s="1604" t="s">
        <v>35</v>
      </c>
      <c r="M15" s="1606"/>
      <c r="N15" s="1607"/>
      <c r="O15" s="1607">
        <v>1</v>
      </c>
      <c r="P15" s="1608">
        <v>1</v>
      </c>
      <c r="Q15" s="1608">
        <v>1</v>
      </c>
      <c r="R15" s="1604">
        <v>1</v>
      </c>
      <c r="S15" s="1609">
        <v>1</v>
      </c>
      <c r="T15" s="1608"/>
      <c r="U15" s="1608"/>
      <c r="V15" s="1604">
        <v>2</v>
      </c>
      <c r="W15" s="1604">
        <v>2</v>
      </c>
      <c r="X15" s="1604">
        <v>2</v>
      </c>
      <c r="Y15" s="1604">
        <v>2</v>
      </c>
      <c r="Z15" s="1604">
        <v>2</v>
      </c>
      <c r="AA15" s="1604" t="s">
        <v>36</v>
      </c>
      <c r="AB15" s="1604" t="s">
        <v>36</v>
      </c>
      <c r="AC15" s="1604" t="s">
        <v>35</v>
      </c>
      <c r="AD15" s="1608" t="s">
        <v>35</v>
      </c>
      <c r="AE15" s="1604" t="s">
        <v>35</v>
      </c>
      <c r="AF15" s="1604" t="s">
        <v>35</v>
      </c>
      <c r="AG15" s="1610" t="s">
        <v>35</v>
      </c>
      <c r="AH15" s="190"/>
      <c r="AI15" s="190"/>
    </row>
    <row r="16" spans="1:35" ht="22.15" customHeight="1" x14ac:dyDescent="0.2">
      <c r="A16" s="1601">
        <v>8546</v>
      </c>
      <c r="B16" s="1611" t="s">
        <v>38</v>
      </c>
      <c r="C16" s="1605" t="s">
        <v>35</v>
      </c>
      <c r="D16" s="1604" t="s">
        <v>35</v>
      </c>
      <c r="E16" s="1612" t="s">
        <v>35</v>
      </c>
      <c r="F16" s="1608"/>
      <c r="G16" s="1608"/>
      <c r="H16" s="1608">
        <v>4</v>
      </c>
      <c r="I16" s="1604">
        <v>4</v>
      </c>
      <c r="J16" s="1605">
        <v>4</v>
      </c>
      <c r="K16" s="1608">
        <v>4</v>
      </c>
      <c r="L16" s="1604">
        <v>4</v>
      </c>
      <c r="M16" s="1604" t="s">
        <v>37</v>
      </c>
      <c r="N16" s="1604" t="s">
        <v>37</v>
      </c>
      <c r="O16" s="1604" t="s">
        <v>35</v>
      </c>
      <c r="P16" s="1604" t="s">
        <v>35</v>
      </c>
      <c r="Q16" s="1604" t="s">
        <v>35</v>
      </c>
      <c r="R16" s="1604" t="s">
        <v>35</v>
      </c>
      <c r="S16" s="1604" t="s">
        <v>35</v>
      </c>
      <c r="T16" s="1604"/>
      <c r="U16" s="1604"/>
      <c r="V16" s="1604">
        <v>1</v>
      </c>
      <c r="W16" s="1604">
        <v>1</v>
      </c>
      <c r="X16" s="1604">
        <v>1</v>
      </c>
      <c r="Y16" s="1604">
        <v>1</v>
      </c>
      <c r="Z16" s="1604">
        <v>1</v>
      </c>
      <c r="AA16" s="1604"/>
      <c r="AB16" s="1604"/>
      <c r="AC16" s="1603">
        <v>2</v>
      </c>
      <c r="AD16" s="1603">
        <v>2</v>
      </c>
      <c r="AE16" s="1603">
        <v>2</v>
      </c>
      <c r="AF16" s="1603">
        <v>2</v>
      </c>
      <c r="AG16" s="1613">
        <v>2</v>
      </c>
      <c r="AH16" s="190"/>
      <c r="AI16" s="190"/>
    </row>
    <row r="17" spans="1:40" ht="22.15" customHeight="1" x14ac:dyDescent="0.2">
      <c r="A17" s="1601">
        <v>8546</v>
      </c>
      <c r="B17" s="1602" t="s">
        <v>39</v>
      </c>
      <c r="C17" s="1608">
        <v>1</v>
      </c>
      <c r="D17" s="1604">
        <v>1</v>
      </c>
      <c r="E17" s="1604">
        <v>1</v>
      </c>
      <c r="F17" s="1604"/>
      <c r="G17" s="1604"/>
      <c r="H17" s="1604">
        <v>2</v>
      </c>
      <c r="I17" s="1604">
        <v>2</v>
      </c>
      <c r="J17" s="1604">
        <v>2</v>
      </c>
      <c r="K17" s="1604">
        <v>2</v>
      </c>
      <c r="L17" s="1614">
        <v>2</v>
      </c>
      <c r="M17" s="1614" t="s">
        <v>36</v>
      </c>
      <c r="N17" s="1614" t="s">
        <v>356</v>
      </c>
      <c r="O17" s="1608" t="s">
        <v>35</v>
      </c>
      <c r="P17" s="1608" t="s">
        <v>35</v>
      </c>
      <c r="Q17" s="1608" t="s">
        <v>35</v>
      </c>
      <c r="R17" s="1608" t="s">
        <v>35</v>
      </c>
      <c r="S17" s="1604" t="s">
        <v>35</v>
      </c>
      <c r="T17" s="1604"/>
      <c r="U17" s="1604"/>
      <c r="V17" s="1604">
        <v>4</v>
      </c>
      <c r="W17" s="1605">
        <v>4</v>
      </c>
      <c r="X17" s="1604">
        <v>4</v>
      </c>
      <c r="Y17" s="1608">
        <v>4</v>
      </c>
      <c r="Z17" s="1608">
        <v>4</v>
      </c>
      <c r="AA17" s="1608" t="s">
        <v>37</v>
      </c>
      <c r="AB17" s="1608" t="s">
        <v>37</v>
      </c>
      <c r="AC17" s="1603" t="s">
        <v>35</v>
      </c>
      <c r="AD17" s="1603" t="s">
        <v>35</v>
      </c>
      <c r="AE17" s="1603" t="s">
        <v>35</v>
      </c>
      <c r="AF17" s="1603" t="s">
        <v>35</v>
      </c>
      <c r="AG17" s="1613" t="s">
        <v>35</v>
      </c>
      <c r="AH17" s="190"/>
      <c r="AI17" s="190"/>
    </row>
    <row r="18" spans="1:40" ht="22.15" customHeight="1" x14ac:dyDescent="0.2">
      <c r="A18" s="1601">
        <v>8546</v>
      </c>
      <c r="B18" s="1611" t="s">
        <v>40</v>
      </c>
      <c r="C18" s="1604" t="s">
        <v>35</v>
      </c>
      <c r="D18" s="1605" t="s">
        <v>35</v>
      </c>
      <c r="E18" s="1612" t="s">
        <v>35</v>
      </c>
      <c r="F18" s="1608"/>
      <c r="G18" s="1604"/>
      <c r="H18" s="1603">
        <v>1</v>
      </c>
      <c r="I18" s="1603">
        <v>1</v>
      </c>
      <c r="J18" s="1603">
        <v>1</v>
      </c>
      <c r="K18" s="1603">
        <v>1</v>
      </c>
      <c r="L18" s="1603">
        <v>1</v>
      </c>
      <c r="M18" s="1603"/>
      <c r="N18" s="1603"/>
      <c r="O18" s="1603">
        <v>2</v>
      </c>
      <c r="P18" s="1603">
        <v>2</v>
      </c>
      <c r="Q18" s="1603">
        <v>2</v>
      </c>
      <c r="R18" s="1603">
        <v>2</v>
      </c>
      <c r="S18" s="1603">
        <v>2</v>
      </c>
      <c r="T18" s="1603" t="s">
        <v>36</v>
      </c>
      <c r="U18" s="1603" t="s">
        <v>36</v>
      </c>
      <c r="V18" s="1603" t="s">
        <v>35</v>
      </c>
      <c r="W18" s="1603" t="s">
        <v>35</v>
      </c>
      <c r="X18" s="1603" t="s">
        <v>35</v>
      </c>
      <c r="Y18" s="1603" t="s">
        <v>35</v>
      </c>
      <c r="Z18" s="1603" t="s">
        <v>35</v>
      </c>
      <c r="AA18" s="1603"/>
      <c r="AB18" s="1603"/>
      <c r="AC18" s="1615">
        <v>4</v>
      </c>
      <c r="AD18" s="1615">
        <v>4</v>
      </c>
      <c r="AE18" s="1615">
        <v>4</v>
      </c>
      <c r="AF18" s="1615">
        <v>4</v>
      </c>
      <c r="AG18" s="1610">
        <v>4</v>
      </c>
      <c r="AH18" s="190"/>
      <c r="AI18" s="190"/>
    </row>
    <row r="19" spans="1:40" ht="22.15" customHeight="1" x14ac:dyDescent="0.2">
      <c r="A19" s="1601">
        <v>8546</v>
      </c>
      <c r="B19" s="1602" t="s">
        <v>41</v>
      </c>
      <c r="C19" s="1604">
        <v>2</v>
      </c>
      <c r="D19" s="1605">
        <v>2</v>
      </c>
      <c r="E19" s="1604">
        <v>2</v>
      </c>
      <c r="F19" s="1604" t="s">
        <v>36</v>
      </c>
      <c r="G19" s="1604" t="s">
        <v>36</v>
      </c>
      <c r="H19" s="1603" t="s">
        <v>35</v>
      </c>
      <c r="I19" s="1603" t="s">
        <v>35</v>
      </c>
      <c r="J19" s="1603" t="s">
        <v>35</v>
      </c>
      <c r="K19" s="1603" t="s">
        <v>35</v>
      </c>
      <c r="L19" s="1603" t="s">
        <v>35</v>
      </c>
      <c r="M19" s="1603"/>
      <c r="N19" s="1603"/>
      <c r="O19" s="1603">
        <v>4</v>
      </c>
      <c r="P19" s="1603">
        <v>4</v>
      </c>
      <c r="Q19" s="1603">
        <v>4</v>
      </c>
      <c r="R19" s="1603">
        <v>4</v>
      </c>
      <c r="S19" s="1603">
        <v>4</v>
      </c>
      <c r="T19" s="1603" t="s">
        <v>37</v>
      </c>
      <c r="U19" s="1603" t="s">
        <v>37</v>
      </c>
      <c r="V19" s="1603" t="s">
        <v>35</v>
      </c>
      <c r="W19" s="1603" t="s">
        <v>35</v>
      </c>
      <c r="X19" s="1603" t="s">
        <v>35</v>
      </c>
      <c r="Y19" s="1603" t="s">
        <v>35</v>
      </c>
      <c r="Z19" s="1603" t="s">
        <v>35</v>
      </c>
      <c r="AA19" s="1603"/>
      <c r="AB19" s="1603"/>
      <c r="AC19" s="1616">
        <v>1</v>
      </c>
      <c r="AD19" s="1604">
        <v>1</v>
      </c>
      <c r="AE19" s="1604">
        <v>1</v>
      </c>
      <c r="AF19" s="1617">
        <v>1</v>
      </c>
      <c r="AG19" s="1618">
        <v>1</v>
      </c>
      <c r="AH19" s="190"/>
      <c r="AI19" s="190"/>
    </row>
    <row r="20" spans="1:40" ht="22.15" customHeight="1" thickBot="1" x14ac:dyDescent="0.25">
      <c r="A20" s="1619" t="s">
        <v>42</v>
      </c>
      <c r="B20" s="1620"/>
      <c r="C20" s="1621"/>
      <c r="D20" s="1621"/>
      <c r="E20" s="1621"/>
      <c r="F20" s="1621"/>
      <c r="G20" s="1621"/>
      <c r="H20" s="1621"/>
      <c r="I20" s="1621"/>
      <c r="J20" s="1621"/>
      <c r="K20" s="1621"/>
      <c r="L20" s="1621"/>
      <c r="M20" s="1621"/>
      <c r="N20" s="1621"/>
      <c r="O20" s="1621"/>
      <c r="P20" s="1621"/>
      <c r="Q20" s="1621"/>
      <c r="R20" s="1621"/>
      <c r="S20" s="1621"/>
      <c r="T20" s="1621"/>
      <c r="U20" s="1621"/>
      <c r="V20" s="1621"/>
      <c r="W20" s="1621"/>
      <c r="X20" s="1621"/>
      <c r="Y20" s="1621"/>
      <c r="Z20" s="1621"/>
      <c r="AA20" s="1621"/>
      <c r="AB20" s="1621"/>
      <c r="AC20" s="1621"/>
      <c r="AD20" s="1621"/>
      <c r="AE20" s="1621"/>
      <c r="AF20" s="1621"/>
      <c r="AG20" s="1622"/>
      <c r="AH20" s="188"/>
      <c r="AI20" s="188"/>
    </row>
    <row r="21" spans="1:40" ht="22.15" customHeight="1" x14ac:dyDescent="0.2">
      <c r="A21" s="465">
        <v>8500</v>
      </c>
      <c r="B21" s="466" t="s">
        <v>43</v>
      </c>
      <c r="C21" s="534" t="s">
        <v>31</v>
      </c>
      <c r="D21" s="549" t="s">
        <v>31</v>
      </c>
      <c r="E21" s="1623" t="s">
        <v>289</v>
      </c>
      <c r="F21" s="550"/>
      <c r="G21" s="550"/>
      <c r="H21" s="550" t="s">
        <v>31</v>
      </c>
      <c r="I21" s="551" t="s">
        <v>31</v>
      </c>
      <c r="J21" s="534" t="s">
        <v>31</v>
      </c>
      <c r="K21" s="534" t="s">
        <v>31</v>
      </c>
      <c r="L21" s="534" t="s">
        <v>31</v>
      </c>
      <c r="M21" s="552"/>
      <c r="N21" s="1624" t="s">
        <v>36</v>
      </c>
      <c r="O21" s="534" t="s">
        <v>31</v>
      </c>
      <c r="P21" s="534" t="s">
        <v>31</v>
      </c>
      <c r="Q21" s="534" t="s">
        <v>31</v>
      </c>
      <c r="R21" s="534" t="s">
        <v>31</v>
      </c>
      <c r="S21" s="534" t="s">
        <v>31</v>
      </c>
      <c r="T21" s="535"/>
      <c r="U21" s="535"/>
      <c r="V21" s="535" t="s">
        <v>31</v>
      </c>
      <c r="W21" s="535" t="s">
        <v>31</v>
      </c>
      <c r="X21" s="535" t="s">
        <v>31</v>
      </c>
      <c r="Y21" s="534" t="s">
        <v>31</v>
      </c>
      <c r="Z21" s="535" t="s">
        <v>31</v>
      </c>
      <c r="AA21" s="535"/>
      <c r="AB21" s="535"/>
      <c r="AC21" s="1625" t="s">
        <v>233</v>
      </c>
      <c r="AD21" s="1625" t="s">
        <v>233</v>
      </c>
      <c r="AE21" s="1625" t="s">
        <v>233</v>
      </c>
      <c r="AF21" s="534" t="s">
        <v>31</v>
      </c>
      <c r="AG21" s="1625" t="s">
        <v>233</v>
      </c>
      <c r="AH21" s="190"/>
      <c r="AI21" s="190"/>
    </row>
    <row r="22" spans="1:40" ht="22.15" customHeight="1" x14ac:dyDescent="0.2">
      <c r="A22" s="1626">
        <v>8500</v>
      </c>
      <c r="B22" s="1627" t="s">
        <v>44</v>
      </c>
      <c r="C22" s="1628" t="s">
        <v>31</v>
      </c>
      <c r="D22" s="1628" t="s">
        <v>31</v>
      </c>
      <c r="E22" s="1612" t="s">
        <v>31</v>
      </c>
      <c r="F22" s="1612"/>
      <c r="G22" s="1612"/>
      <c r="H22" s="1629">
        <v>1</v>
      </c>
      <c r="I22" s="1629">
        <v>1</v>
      </c>
      <c r="J22" s="1612">
        <v>1</v>
      </c>
      <c r="K22" s="1612">
        <v>1</v>
      </c>
      <c r="L22" s="1628">
        <v>1</v>
      </c>
      <c r="M22" s="1624" t="s">
        <v>36</v>
      </c>
      <c r="N22" s="1629"/>
      <c r="O22" s="1608">
        <v>4</v>
      </c>
      <c r="P22" s="1604">
        <v>4</v>
      </c>
      <c r="Q22" s="1605">
        <v>4</v>
      </c>
      <c r="R22" s="1608">
        <v>4</v>
      </c>
      <c r="S22" s="1604">
        <v>4</v>
      </c>
      <c r="T22" s="1604" t="s">
        <v>37</v>
      </c>
      <c r="U22" s="1604" t="s">
        <v>37</v>
      </c>
      <c r="V22" s="1604" t="s">
        <v>35</v>
      </c>
      <c r="W22" s="1604" t="s">
        <v>35</v>
      </c>
      <c r="X22" s="1604" t="s">
        <v>35</v>
      </c>
      <c r="Y22" s="1604" t="s">
        <v>35</v>
      </c>
      <c r="Z22" s="1604" t="s">
        <v>35</v>
      </c>
      <c r="AA22" s="1612"/>
      <c r="AB22" s="1612"/>
      <c r="AC22" s="1604">
        <v>2</v>
      </c>
      <c r="AD22" s="1604">
        <v>2</v>
      </c>
      <c r="AE22" s="1604">
        <v>2</v>
      </c>
      <c r="AF22" s="1604">
        <v>2</v>
      </c>
      <c r="AG22" s="1604">
        <v>2</v>
      </c>
      <c r="AH22" s="190"/>
      <c r="AI22" s="190"/>
    </row>
    <row r="23" spans="1:40" ht="22.15" customHeight="1" x14ac:dyDescent="0.2">
      <c r="A23" s="1626">
        <v>8500</v>
      </c>
      <c r="B23" s="1630" t="s">
        <v>45</v>
      </c>
      <c r="C23" s="1612">
        <v>4</v>
      </c>
      <c r="D23" s="1631">
        <v>4</v>
      </c>
      <c r="E23" s="1612">
        <v>4</v>
      </c>
      <c r="F23" s="1632" t="s">
        <v>37</v>
      </c>
      <c r="G23" s="1612" t="s">
        <v>37</v>
      </c>
      <c r="H23" s="1604" t="s">
        <v>35</v>
      </c>
      <c r="I23" s="1604" t="s">
        <v>35</v>
      </c>
      <c r="J23" s="1604" t="s">
        <v>35</v>
      </c>
      <c r="K23" s="1604" t="s">
        <v>35</v>
      </c>
      <c r="L23" s="1604" t="s">
        <v>35</v>
      </c>
      <c r="M23" s="1612"/>
      <c r="N23" s="1633"/>
      <c r="O23" s="1604">
        <v>2</v>
      </c>
      <c r="P23" s="1604">
        <v>2</v>
      </c>
      <c r="Q23" s="1604">
        <v>2</v>
      </c>
      <c r="R23" s="1604">
        <v>2</v>
      </c>
      <c r="S23" s="1604">
        <v>2</v>
      </c>
      <c r="T23" s="1604" t="s">
        <v>36</v>
      </c>
      <c r="U23" s="1608" t="s">
        <v>36</v>
      </c>
      <c r="V23" s="1604" t="s">
        <v>35</v>
      </c>
      <c r="W23" s="1604" t="s">
        <v>35</v>
      </c>
      <c r="X23" s="1604" t="s">
        <v>35</v>
      </c>
      <c r="Y23" s="1604" t="s">
        <v>35</v>
      </c>
      <c r="Z23" s="1604" t="s">
        <v>35</v>
      </c>
      <c r="AA23" s="1612"/>
      <c r="AB23" s="1612"/>
      <c r="AC23" s="1612" t="s">
        <v>236</v>
      </c>
      <c r="AD23" s="1629">
        <v>99</v>
      </c>
      <c r="AE23" s="1612">
        <v>69</v>
      </c>
      <c r="AF23" s="1629">
        <v>1</v>
      </c>
      <c r="AG23" s="1634">
        <v>1</v>
      </c>
      <c r="AH23" s="190"/>
      <c r="AI23" s="190"/>
    </row>
    <row r="24" spans="1:40" ht="22.15" customHeight="1" x14ac:dyDescent="0.2">
      <c r="A24" s="1626"/>
      <c r="B24" s="1635"/>
      <c r="C24" s="1629"/>
      <c r="D24" s="1628"/>
      <c r="E24" s="1612"/>
      <c r="F24" s="1612"/>
      <c r="G24" s="1612"/>
      <c r="H24" s="1612"/>
      <c r="I24" s="1629"/>
      <c r="J24" s="1629"/>
      <c r="K24" s="1629"/>
      <c r="L24" s="1629"/>
      <c r="M24" s="1629"/>
      <c r="N24" s="1629"/>
      <c r="O24" s="1636"/>
      <c r="P24" s="1629"/>
      <c r="Q24" s="1629"/>
      <c r="R24" s="1637"/>
      <c r="S24" s="1637"/>
      <c r="T24" s="1629"/>
      <c r="U24" s="1629"/>
      <c r="V24" s="1629"/>
      <c r="W24" s="1629"/>
      <c r="X24" s="1629"/>
      <c r="Y24" s="1629"/>
      <c r="Z24" s="1629"/>
      <c r="AA24" s="1629"/>
      <c r="AB24" s="1629"/>
      <c r="AC24" s="1633"/>
      <c r="AD24" s="1633"/>
      <c r="AE24" s="1633"/>
      <c r="AF24" s="1633"/>
      <c r="AG24" s="1634"/>
    </row>
    <row r="25" spans="1:40" ht="22.15" customHeight="1" thickBot="1" x14ac:dyDescent="0.25">
      <c r="A25" s="688"/>
      <c r="B25" s="689" t="s">
        <v>338</v>
      </c>
      <c r="C25" s="690"/>
      <c r="D25" s="690"/>
      <c r="E25" s="690"/>
      <c r="F25" s="690"/>
      <c r="G25" s="690" t="s">
        <v>0</v>
      </c>
      <c r="H25" s="690"/>
      <c r="I25" s="690"/>
      <c r="J25" s="690"/>
      <c r="K25" s="690"/>
      <c r="L25" s="690" t="s">
        <v>0</v>
      </c>
      <c r="M25" s="690"/>
      <c r="N25" s="690" t="s">
        <v>0</v>
      </c>
      <c r="O25" s="690" t="s">
        <v>0</v>
      </c>
      <c r="P25" s="690"/>
      <c r="Q25" s="690"/>
      <c r="R25" s="690"/>
      <c r="S25" s="690"/>
      <c r="T25" s="690"/>
      <c r="U25" s="690" t="s">
        <v>0</v>
      </c>
      <c r="V25" s="690"/>
      <c r="W25" s="690"/>
      <c r="X25" s="690"/>
      <c r="Y25" s="690"/>
      <c r="Z25" s="690"/>
      <c r="AA25" s="690"/>
      <c r="AB25" s="690"/>
      <c r="AC25" s="690"/>
      <c r="AD25" s="690"/>
      <c r="AE25" s="690"/>
      <c r="AF25" s="690"/>
      <c r="AG25" s="218"/>
      <c r="AN25" t="s">
        <v>0</v>
      </c>
    </row>
    <row r="26" spans="1:40" ht="22.15" customHeight="1" thickBot="1" x14ac:dyDescent="0.25">
      <c r="A26" s="102"/>
      <c r="E26" s="1638" t="s">
        <v>0</v>
      </c>
      <c r="H26" t="s">
        <v>0</v>
      </c>
      <c r="I26">
        <v>25</v>
      </c>
      <c r="J26">
        <v>25</v>
      </c>
      <c r="K26" t="s">
        <v>0</v>
      </c>
      <c r="L26">
        <v>25</v>
      </c>
      <c r="O26" s="1639">
        <v>3</v>
      </c>
      <c r="P26" s="1639">
        <v>3</v>
      </c>
      <c r="Q26" s="1639">
        <v>3</v>
      </c>
      <c r="R26" s="1639">
        <v>3</v>
      </c>
      <c r="S26" s="1639">
        <v>3</v>
      </c>
      <c r="T26" s="1640"/>
      <c r="U26" s="1641"/>
      <c r="V26" s="1639">
        <v>99</v>
      </c>
      <c r="W26" s="1639">
        <v>99</v>
      </c>
      <c r="X26" s="1639">
        <v>99</v>
      </c>
      <c r="Y26" s="1639">
        <v>99</v>
      </c>
      <c r="Z26" s="690" t="s">
        <v>0</v>
      </c>
      <c r="AA26" s="690" t="s">
        <v>0</v>
      </c>
      <c r="AB26" s="690" t="s">
        <v>0</v>
      </c>
      <c r="AC26" s="1642" t="s">
        <v>248</v>
      </c>
      <c r="AD26" s="1642" t="s">
        <v>248</v>
      </c>
      <c r="AE26" t="s">
        <v>0</v>
      </c>
      <c r="AF26" t="s">
        <v>0</v>
      </c>
      <c r="AG26" t="s">
        <v>0</v>
      </c>
    </row>
    <row r="27" spans="1:40" ht="22.15" customHeight="1" x14ac:dyDescent="0.2">
      <c r="A27" s="102"/>
      <c r="H27" t="s">
        <v>0</v>
      </c>
      <c r="L27" t="s">
        <v>0</v>
      </c>
      <c r="AC27" t="s">
        <v>0</v>
      </c>
      <c r="AD27">
        <v>69</v>
      </c>
      <c r="AF27">
        <v>1</v>
      </c>
    </row>
    <row r="28" spans="1:40" ht="22.15" customHeight="1" x14ac:dyDescent="0.2">
      <c r="A28" s="102"/>
      <c r="AC28" t="s">
        <v>0</v>
      </c>
      <c r="AD28" t="s">
        <v>0</v>
      </c>
      <c r="AE28" t="s">
        <v>0</v>
      </c>
    </row>
    <row r="29" spans="1:40" ht="22.15" customHeight="1" x14ac:dyDescent="0.2">
      <c r="A29" s="102"/>
    </row>
    <row r="30" spans="1:40" ht="22.15" customHeight="1" x14ac:dyDescent="0.2">
      <c r="A30" s="102"/>
    </row>
    <row r="31" spans="1:40" ht="12.75" customHeight="1" thickBot="1" x14ac:dyDescent="0.25">
      <c r="A31" s="162" t="s">
        <v>48</v>
      </c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K31" s="1"/>
    </row>
    <row r="32" spans="1:40" ht="28.5" customHeight="1" x14ac:dyDescent="0.2">
      <c r="A32" s="302" t="s">
        <v>49</v>
      </c>
      <c r="B32" s="404"/>
      <c r="C32" s="404"/>
      <c r="D32" s="471" t="s">
        <v>50</v>
      </c>
      <c r="E32" s="405"/>
      <c r="F32" s="405"/>
      <c r="G32" s="405"/>
      <c r="H32" s="405"/>
      <c r="I32" s="405"/>
      <c r="J32" s="405"/>
      <c r="K32" s="405"/>
      <c r="L32" s="405"/>
      <c r="M32" s="406" t="s">
        <v>51</v>
      </c>
      <c r="N32" s="405"/>
      <c r="O32" s="405"/>
      <c r="P32" s="405"/>
      <c r="Q32" s="405"/>
      <c r="R32" s="405"/>
      <c r="S32" s="407"/>
      <c r="T32" s="3653" t="s">
        <v>52</v>
      </c>
      <c r="U32" s="3654"/>
      <c r="V32" s="3654"/>
      <c r="W32" s="3654"/>
      <c r="X32" s="3654"/>
      <c r="Y32" s="3654"/>
      <c r="Z32" s="3655"/>
      <c r="AA32" s="472" t="s">
        <v>53</v>
      </c>
      <c r="AB32" s="473"/>
      <c r="AC32" s="473"/>
      <c r="AD32" s="473"/>
      <c r="AE32" s="473"/>
      <c r="AF32" s="473"/>
      <c r="AG32" s="474"/>
      <c r="AK32" s="1"/>
    </row>
    <row r="33" spans="1:38" ht="22.15" customHeight="1" x14ac:dyDescent="0.2">
      <c r="A33" s="1643" t="s">
        <v>54</v>
      </c>
      <c r="B33" s="1590"/>
      <c r="C33" s="1590"/>
      <c r="D33" s="1644" t="s">
        <v>55</v>
      </c>
      <c r="E33" s="1645"/>
      <c r="F33" s="1577"/>
      <c r="G33" s="1577"/>
      <c r="H33" s="1577"/>
      <c r="I33" s="1577"/>
      <c r="J33" s="1577"/>
      <c r="K33" s="1577"/>
      <c r="L33" s="1585"/>
      <c r="M33" s="1646" t="s">
        <v>56</v>
      </c>
      <c r="N33" s="1590"/>
      <c r="O33" s="1647"/>
      <c r="P33" s="1590"/>
      <c r="Q33" s="1590"/>
      <c r="R33" s="1590"/>
      <c r="S33" s="1648"/>
      <c r="T33" s="1644" t="s">
        <v>57</v>
      </c>
      <c r="U33" s="1577"/>
      <c r="V33" s="1645"/>
      <c r="W33" s="1577"/>
      <c r="X33" s="1577"/>
      <c r="Y33" s="1577"/>
      <c r="Z33" s="1585"/>
      <c r="AA33" s="163" t="s">
        <v>58</v>
      </c>
      <c r="AD33" s="100"/>
      <c r="AG33" s="103"/>
      <c r="AK33" s="1"/>
    </row>
    <row r="34" spans="1:38" ht="22.15" customHeight="1" x14ac:dyDescent="0.2">
      <c r="A34" s="1649" t="s">
        <v>59</v>
      </c>
      <c r="B34" s="1577"/>
      <c r="C34" s="1577"/>
      <c r="D34" s="1650"/>
      <c r="E34" s="1577"/>
      <c r="F34" s="1577"/>
      <c r="G34" s="1585"/>
      <c r="H34" s="1592" t="s">
        <v>60</v>
      </c>
      <c r="I34" s="1577"/>
      <c r="J34" s="1577"/>
      <c r="K34" s="1577"/>
      <c r="L34" s="1577"/>
      <c r="M34" s="1651"/>
      <c r="N34" s="1577"/>
      <c r="O34" s="1577"/>
      <c r="P34" s="1577"/>
      <c r="Q34" s="1577"/>
      <c r="R34" s="1577"/>
      <c r="S34" s="1577"/>
      <c r="T34" s="1650"/>
      <c r="U34" s="162" t="s">
        <v>61</v>
      </c>
      <c r="AA34" s="1647"/>
      <c r="AB34" s="1590"/>
      <c r="AC34" s="1590"/>
      <c r="AD34" s="1590"/>
      <c r="AE34" s="1590"/>
      <c r="AF34" s="1590"/>
      <c r="AG34" s="1652"/>
      <c r="AK34" s="64"/>
    </row>
    <row r="35" spans="1:38" ht="22.15" customHeight="1" thickBot="1" x14ac:dyDescent="0.25">
      <c r="A35" s="1653" t="s">
        <v>62</v>
      </c>
      <c r="B35" s="1654"/>
      <c r="C35" s="1654"/>
      <c r="D35" s="1655"/>
      <c r="E35" s="1654"/>
      <c r="F35" s="1654"/>
      <c r="G35" s="1656"/>
      <c r="H35" s="1657" t="s">
        <v>63</v>
      </c>
      <c r="I35" s="1656"/>
      <c r="J35" s="1654"/>
      <c r="K35" s="1654"/>
      <c r="L35" s="1654"/>
      <c r="M35" s="1658"/>
      <c r="N35" s="1654"/>
      <c r="O35" s="1654"/>
      <c r="P35" s="1654"/>
      <c r="Q35" s="1659"/>
      <c r="R35" s="1659"/>
      <c r="S35" s="1659"/>
      <c r="T35" s="1655"/>
      <c r="U35" s="1660" t="s">
        <v>64</v>
      </c>
      <c r="V35" s="1654"/>
      <c r="W35" s="1654"/>
      <c r="X35" s="1654"/>
      <c r="Y35" s="1654"/>
      <c r="Z35" s="1654"/>
      <c r="AA35" s="1654"/>
      <c r="AB35" s="1654"/>
      <c r="AC35" s="1654"/>
      <c r="AD35" s="1654"/>
      <c r="AE35" s="1654"/>
      <c r="AF35" s="1654"/>
      <c r="AG35" s="1661"/>
      <c r="AK35" s="1"/>
    </row>
    <row r="36" spans="1:38" ht="22.15" customHeight="1" x14ac:dyDescent="0.2">
      <c r="B36" s="104" t="s">
        <v>27</v>
      </c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1"/>
      <c r="AJ36" s="177"/>
    </row>
    <row r="37" spans="1:38" ht="22.15" customHeight="1" thickBot="1" x14ac:dyDescent="0.25">
      <c r="A37" s="1662" t="s">
        <v>28</v>
      </c>
      <c r="B37" s="1663" t="s">
        <v>29</v>
      </c>
      <c r="C37" s="1595">
        <v>1</v>
      </c>
      <c r="D37" s="1595">
        <v>2</v>
      </c>
      <c r="E37" s="1595">
        <v>3</v>
      </c>
      <c r="F37" s="1596">
        <v>4</v>
      </c>
      <c r="G37" s="1596">
        <v>5</v>
      </c>
      <c r="H37" s="1595">
        <v>6</v>
      </c>
      <c r="I37" s="1595">
        <v>7</v>
      </c>
      <c r="J37" s="1595">
        <v>8</v>
      </c>
      <c r="K37" s="1595">
        <v>9</v>
      </c>
      <c r="L37" s="1595">
        <v>10</v>
      </c>
      <c r="M37" s="1596">
        <v>11</v>
      </c>
      <c r="N37" s="1596">
        <v>12</v>
      </c>
      <c r="O37" s="1595">
        <v>13</v>
      </c>
      <c r="P37" s="1595">
        <v>14</v>
      </c>
      <c r="Q37" s="1595">
        <v>15</v>
      </c>
      <c r="R37" s="1595">
        <v>16</v>
      </c>
      <c r="S37" s="1595">
        <v>17</v>
      </c>
      <c r="T37" s="1596">
        <v>18</v>
      </c>
      <c r="U37" s="1596">
        <v>19</v>
      </c>
      <c r="V37" s="1595">
        <v>20</v>
      </c>
      <c r="W37" s="1595">
        <v>21</v>
      </c>
      <c r="X37" s="1595">
        <v>22</v>
      </c>
      <c r="Y37" s="1595">
        <v>23</v>
      </c>
      <c r="Z37" s="1595">
        <v>24</v>
      </c>
      <c r="AA37" s="1596">
        <v>25</v>
      </c>
      <c r="AB37" s="1596">
        <v>26</v>
      </c>
      <c r="AC37" s="1595">
        <v>27</v>
      </c>
      <c r="AD37" s="1595">
        <v>28</v>
      </c>
      <c r="AE37" s="1595">
        <v>29</v>
      </c>
      <c r="AF37" s="1595">
        <v>30</v>
      </c>
      <c r="AG37" s="1597">
        <v>31</v>
      </c>
      <c r="AH37" s="184"/>
      <c r="AI37" s="185"/>
      <c r="AL37" t="s">
        <v>0</v>
      </c>
    </row>
    <row r="38" spans="1:38" ht="22.15" customHeight="1" x14ac:dyDescent="0.2">
      <c r="A38" s="475">
        <v>1</v>
      </c>
      <c r="B38" s="476" t="s">
        <v>65</v>
      </c>
      <c r="C38" s="477">
        <v>3</v>
      </c>
      <c r="D38" s="477">
        <v>3</v>
      </c>
      <c r="E38" s="477">
        <v>3</v>
      </c>
      <c r="F38" s="477"/>
      <c r="G38" s="477"/>
      <c r="H38" s="477">
        <v>11</v>
      </c>
      <c r="I38" s="477">
        <v>11</v>
      </c>
      <c r="J38" s="458">
        <v>11</v>
      </c>
      <c r="K38" s="477">
        <v>11</v>
      </c>
      <c r="L38" s="477">
        <v>11</v>
      </c>
      <c r="M38" s="477" t="s">
        <v>73</v>
      </c>
      <c r="N38" s="477" t="s">
        <v>73</v>
      </c>
      <c r="O38" s="458" t="s">
        <v>35</v>
      </c>
      <c r="P38" s="477" t="s">
        <v>35</v>
      </c>
      <c r="Q38" s="459" t="s">
        <v>35</v>
      </c>
      <c r="R38" s="458" t="s">
        <v>35</v>
      </c>
      <c r="S38" s="477" t="s">
        <v>35</v>
      </c>
      <c r="T38" s="477" t="s">
        <v>69</v>
      </c>
      <c r="U38" s="477" t="s">
        <v>69</v>
      </c>
      <c r="V38" s="477">
        <v>8</v>
      </c>
      <c r="W38" s="477">
        <v>8</v>
      </c>
      <c r="X38" s="459">
        <v>8</v>
      </c>
      <c r="Y38" s="459">
        <v>8</v>
      </c>
      <c r="Z38" s="477">
        <v>8</v>
      </c>
      <c r="AA38" s="477"/>
      <c r="AB38" s="459"/>
      <c r="AC38" s="459" t="s">
        <v>35</v>
      </c>
      <c r="AD38" s="459" t="s">
        <v>35</v>
      </c>
      <c r="AE38" s="477" t="s">
        <v>35</v>
      </c>
      <c r="AF38" s="553" t="s">
        <v>35</v>
      </c>
      <c r="AG38" s="478" t="s">
        <v>35</v>
      </c>
      <c r="AH38" s="189"/>
      <c r="AI38" s="190"/>
    </row>
    <row r="39" spans="1:38" ht="22.15" customHeight="1" x14ac:dyDescent="0.2">
      <c r="A39" s="1664">
        <v>6</v>
      </c>
      <c r="B39" s="1665" t="s">
        <v>0</v>
      </c>
      <c r="C39" s="1607">
        <v>1</v>
      </c>
      <c r="D39" s="1607">
        <v>1</v>
      </c>
      <c r="E39" s="1607">
        <v>1</v>
      </c>
      <c r="F39" s="1607"/>
      <c r="G39" s="1607"/>
      <c r="H39" s="1607">
        <v>9</v>
      </c>
      <c r="I39" s="1607">
        <v>9</v>
      </c>
      <c r="J39" s="1607">
        <v>9</v>
      </c>
      <c r="K39" s="1607">
        <v>9</v>
      </c>
      <c r="L39" s="1607">
        <v>9</v>
      </c>
      <c r="M39" s="1607" t="s">
        <v>66</v>
      </c>
      <c r="N39" s="1607" t="s">
        <v>67</v>
      </c>
      <c r="O39" s="1607" t="s">
        <v>35</v>
      </c>
      <c r="P39" s="1607" t="s">
        <v>35</v>
      </c>
      <c r="Q39" s="1607" t="s">
        <v>35</v>
      </c>
      <c r="R39" s="1607" t="s">
        <v>35</v>
      </c>
      <c r="S39" s="1607" t="s">
        <v>35</v>
      </c>
      <c r="T39" s="1607" t="s">
        <v>68</v>
      </c>
      <c r="U39" s="1607" t="s">
        <v>69</v>
      </c>
      <c r="V39" s="1607">
        <v>6</v>
      </c>
      <c r="W39" s="1607">
        <v>6</v>
      </c>
      <c r="X39" s="1607">
        <v>6</v>
      </c>
      <c r="Y39" s="1607">
        <v>6</v>
      </c>
      <c r="Z39" s="1607">
        <v>6</v>
      </c>
      <c r="AA39" s="1607"/>
      <c r="AB39" s="1607"/>
      <c r="AC39" s="1607" t="s">
        <v>35</v>
      </c>
      <c r="AD39" s="1607" t="s">
        <v>35</v>
      </c>
      <c r="AE39" s="1607" t="s">
        <v>35</v>
      </c>
      <c r="AF39" s="1607" t="s">
        <v>35</v>
      </c>
      <c r="AG39" s="1666" t="s">
        <v>35</v>
      </c>
      <c r="AH39" s="189"/>
      <c r="AI39" s="190"/>
    </row>
    <row r="40" spans="1:38" ht="22.15" customHeight="1" thickBot="1" x14ac:dyDescent="0.25">
      <c r="A40" s="1667">
        <v>11</v>
      </c>
      <c r="B40" s="1668" t="s">
        <v>72</v>
      </c>
      <c r="C40" s="1669">
        <v>5</v>
      </c>
      <c r="D40" s="1669">
        <v>5</v>
      </c>
      <c r="E40" s="1669">
        <v>5</v>
      </c>
      <c r="F40" s="1669"/>
      <c r="G40" s="1669"/>
      <c r="H40" s="1670">
        <v>10</v>
      </c>
      <c r="I40" s="1670">
        <v>10</v>
      </c>
      <c r="J40" s="1670">
        <v>10</v>
      </c>
      <c r="K40" s="1670">
        <v>10</v>
      </c>
      <c r="L40" s="1670">
        <v>10</v>
      </c>
      <c r="M40" s="1670" t="s">
        <v>67</v>
      </c>
      <c r="N40" s="1670" t="s">
        <v>67</v>
      </c>
      <c r="O40" s="1671" t="s">
        <v>35</v>
      </c>
      <c r="P40" s="1670" t="s">
        <v>35</v>
      </c>
      <c r="Q40" s="1671" t="s">
        <v>35</v>
      </c>
      <c r="R40" s="1671" t="s">
        <v>35</v>
      </c>
      <c r="S40" s="1670" t="s">
        <v>35</v>
      </c>
      <c r="T40" s="1672" t="s">
        <v>71</v>
      </c>
      <c r="U40" s="1672" t="s">
        <v>71</v>
      </c>
      <c r="V40" s="1672">
        <v>7</v>
      </c>
      <c r="W40" s="1672">
        <v>7</v>
      </c>
      <c r="X40" s="1672">
        <v>7</v>
      </c>
      <c r="Y40" s="1670">
        <v>7</v>
      </c>
      <c r="Z40" s="1670">
        <v>7</v>
      </c>
      <c r="AA40" s="1670"/>
      <c r="AB40" s="1673"/>
      <c r="AC40" s="1673">
        <v>4</v>
      </c>
      <c r="AD40" s="1673">
        <v>4</v>
      </c>
      <c r="AE40" s="1670">
        <v>4</v>
      </c>
      <c r="AF40" s="1670">
        <v>4</v>
      </c>
      <c r="AG40" s="1674">
        <v>4</v>
      </c>
      <c r="AH40" s="189"/>
      <c r="AI40" s="190"/>
    </row>
    <row r="41" spans="1:38" ht="22.15" customHeight="1" x14ac:dyDescent="0.2">
      <c r="A41" s="475">
        <v>2</v>
      </c>
      <c r="B41" s="183" t="s">
        <v>74</v>
      </c>
      <c r="C41" s="458">
        <v>11</v>
      </c>
      <c r="D41" s="458">
        <v>11</v>
      </c>
      <c r="E41" s="458">
        <v>11</v>
      </c>
      <c r="F41" s="458" t="s">
        <v>73</v>
      </c>
      <c r="G41" s="458" t="s">
        <v>73</v>
      </c>
      <c r="H41" s="532" t="s">
        <v>35</v>
      </c>
      <c r="I41" s="532" t="s">
        <v>35</v>
      </c>
      <c r="J41" s="532" t="s">
        <v>35</v>
      </c>
      <c r="K41" s="532" t="s">
        <v>35</v>
      </c>
      <c r="L41" s="532" t="s">
        <v>35</v>
      </c>
      <c r="M41" s="532" t="s">
        <v>69</v>
      </c>
      <c r="N41" s="532" t="s">
        <v>69</v>
      </c>
      <c r="O41" s="532">
        <v>8</v>
      </c>
      <c r="P41" s="532">
        <v>8</v>
      </c>
      <c r="Q41" s="532">
        <v>8</v>
      </c>
      <c r="R41" s="532">
        <v>8</v>
      </c>
      <c r="S41" s="532">
        <v>8</v>
      </c>
      <c r="T41" s="532"/>
      <c r="U41" s="532"/>
      <c r="V41" s="459" t="s">
        <v>35</v>
      </c>
      <c r="W41" s="459" t="s">
        <v>35</v>
      </c>
      <c r="X41" s="459" t="s">
        <v>35</v>
      </c>
      <c r="Y41" s="477" t="s">
        <v>35</v>
      </c>
      <c r="Z41" s="477" t="s">
        <v>35</v>
      </c>
      <c r="AA41" s="477"/>
      <c r="AB41" s="477"/>
      <c r="AC41" s="532">
        <v>1</v>
      </c>
      <c r="AD41" s="532">
        <v>1</v>
      </c>
      <c r="AE41" s="532">
        <v>1</v>
      </c>
      <c r="AF41" s="532">
        <v>1</v>
      </c>
      <c r="AG41" s="554">
        <v>1</v>
      </c>
      <c r="AH41" s="189"/>
      <c r="AI41" s="190"/>
    </row>
    <row r="42" spans="1:38" ht="22.15" customHeight="1" x14ac:dyDescent="0.2">
      <c r="A42" s="1664">
        <v>7</v>
      </c>
      <c r="B42" s="1611" t="s">
        <v>75</v>
      </c>
      <c r="C42" s="1606">
        <v>9</v>
      </c>
      <c r="D42" s="1606">
        <v>4</v>
      </c>
      <c r="E42" s="1675" t="s">
        <v>339</v>
      </c>
      <c r="F42" s="1675" t="s">
        <v>37</v>
      </c>
      <c r="G42" s="1675" t="s">
        <v>67</v>
      </c>
      <c r="H42" s="1675" t="s">
        <v>35</v>
      </c>
      <c r="I42" s="1675" t="s">
        <v>35</v>
      </c>
      <c r="J42" s="1606" t="s">
        <v>35</v>
      </c>
      <c r="K42" s="1676" t="s">
        <v>35</v>
      </c>
      <c r="L42" s="1676" t="s">
        <v>35</v>
      </c>
      <c r="M42" s="1676" t="s">
        <v>68</v>
      </c>
      <c r="N42" s="1675" t="s">
        <v>69</v>
      </c>
      <c r="O42" s="1675">
        <v>6</v>
      </c>
      <c r="P42" s="1675">
        <v>6</v>
      </c>
      <c r="Q42" s="1606">
        <v>6</v>
      </c>
      <c r="R42" s="1675">
        <v>6</v>
      </c>
      <c r="S42" s="1675">
        <v>6</v>
      </c>
      <c r="T42" s="1676"/>
      <c r="U42" s="1676"/>
      <c r="V42" s="1676" t="s">
        <v>35</v>
      </c>
      <c r="W42" s="1676" t="s">
        <v>35</v>
      </c>
      <c r="X42" s="1675" t="s">
        <v>35</v>
      </c>
      <c r="Y42" s="1675" t="s">
        <v>35</v>
      </c>
      <c r="Z42" s="1675" t="s">
        <v>35</v>
      </c>
      <c r="AA42" s="1675"/>
      <c r="AB42" s="1675"/>
      <c r="AC42" s="1677">
        <v>5</v>
      </c>
      <c r="AD42" s="1675">
        <v>5</v>
      </c>
      <c r="AE42" s="1675">
        <v>5</v>
      </c>
      <c r="AF42" s="1675">
        <v>5</v>
      </c>
      <c r="AG42" s="1678">
        <v>5</v>
      </c>
      <c r="AH42" s="189"/>
      <c r="AI42" s="190"/>
    </row>
    <row r="43" spans="1:38" ht="22.15" customHeight="1" thickBot="1" x14ac:dyDescent="0.25">
      <c r="A43" s="1667">
        <v>12</v>
      </c>
      <c r="B43" s="1679" t="s">
        <v>76</v>
      </c>
      <c r="C43" s="1670">
        <v>10</v>
      </c>
      <c r="D43" s="1673">
        <v>10</v>
      </c>
      <c r="E43" s="1670">
        <v>10</v>
      </c>
      <c r="F43" s="1670" t="s">
        <v>67</v>
      </c>
      <c r="G43" s="1670" t="s">
        <v>67</v>
      </c>
      <c r="H43" s="1670" t="s">
        <v>35</v>
      </c>
      <c r="I43" s="1670" t="s">
        <v>35</v>
      </c>
      <c r="J43" s="1670" t="s">
        <v>35</v>
      </c>
      <c r="K43" s="1671" t="s">
        <v>35</v>
      </c>
      <c r="L43" s="1670" t="s">
        <v>35</v>
      </c>
      <c r="M43" s="1670" t="s">
        <v>71</v>
      </c>
      <c r="N43" s="1670" t="s">
        <v>71</v>
      </c>
      <c r="O43" s="1670">
        <v>7</v>
      </c>
      <c r="P43" s="1670">
        <v>7</v>
      </c>
      <c r="Q43" s="1671">
        <v>7</v>
      </c>
      <c r="R43" s="1670">
        <v>7</v>
      </c>
      <c r="S43" s="1670">
        <v>7</v>
      </c>
      <c r="T43" s="1670"/>
      <c r="U43" s="1673"/>
      <c r="V43" s="1673">
        <v>4</v>
      </c>
      <c r="W43" s="1673">
        <v>4</v>
      </c>
      <c r="X43" s="1670">
        <v>4</v>
      </c>
      <c r="Y43" s="1670">
        <v>4</v>
      </c>
      <c r="Z43" s="1670">
        <v>4</v>
      </c>
      <c r="AA43" s="1670"/>
      <c r="AB43" s="1670"/>
      <c r="AC43" s="1671">
        <v>3</v>
      </c>
      <c r="AD43" s="1671">
        <v>3</v>
      </c>
      <c r="AE43" s="1671">
        <v>3</v>
      </c>
      <c r="AF43" s="1671">
        <v>3</v>
      </c>
      <c r="AG43" s="1680">
        <v>3</v>
      </c>
      <c r="AH43" s="189"/>
      <c r="AI43" s="190"/>
    </row>
    <row r="44" spans="1:38" ht="22.15" customHeight="1" x14ac:dyDescent="0.2">
      <c r="A44" s="475">
        <v>3</v>
      </c>
      <c r="B44" s="479" t="s">
        <v>77</v>
      </c>
      <c r="C44" s="480" t="s">
        <v>35</v>
      </c>
      <c r="D44" s="459" t="s">
        <v>35</v>
      </c>
      <c r="E44" s="477" t="s">
        <v>35</v>
      </c>
      <c r="F44" s="477" t="s">
        <v>69</v>
      </c>
      <c r="G44" s="477" t="s">
        <v>69</v>
      </c>
      <c r="H44" s="477">
        <v>8</v>
      </c>
      <c r="I44" s="477">
        <v>8</v>
      </c>
      <c r="J44" s="459">
        <v>8</v>
      </c>
      <c r="K44" s="459">
        <v>8</v>
      </c>
      <c r="L44" s="459">
        <v>8</v>
      </c>
      <c r="M44" s="459"/>
      <c r="N44" s="459"/>
      <c r="O44" s="459" t="s">
        <v>35</v>
      </c>
      <c r="P44" s="459" t="s">
        <v>35</v>
      </c>
      <c r="Q44" s="459" t="s">
        <v>35</v>
      </c>
      <c r="R44" s="477" t="s">
        <v>35</v>
      </c>
      <c r="S44" s="477" t="s">
        <v>35</v>
      </c>
      <c r="T44" s="477"/>
      <c r="U44" s="477"/>
      <c r="V44" s="459">
        <v>1</v>
      </c>
      <c r="W44" s="459">
        <v>1</v>
      </c>
      <c r="X44" s="458">
        <v>1</v>
      </c>
      <c r="Y44" s="477">
        <v>1</v>
      </c>
      <c r="Z44" s="477">
        <v>1</v>
      </c>
      <c r="AA44" s="477"/>
      <c r="AB44" s="477"/>
      <c r="AC44" s="532">
        <v>9</v>
      </c>
      <c r="AD44" s="532">
        <v>9</v>
      </c>
      <c r="AE44" s="532">
        <v>9</v>
      </c>
      <c r="AF44" s="532">
        <v>9</v>
      </c>
      <c r="AG44" s="554">
        <v>9</v>
      </c>
      <c r="AH44" s="189"/>
      <c r="AI44" s="190"/>
    </row>
    <row r="45" spans="1:38" ht="22.15" customHeight="1" x14ac:dyDescent="0.2">
      <c r="A45" s="1664">
        <v>8</v>
      </c>
      <c r="B45" s="1611"/>
      <c r="C45" s="1608" t="s">
        <v>35</v>
      </c>
      <c r="D45" s="1608" t="s">
        <v>35</v>
      </c>
      <c r="E45" s="1608" t="s">
        <v>35</v>
      </c>
      <c r="F45" s="1608" t="s">
        <v>68</v>
      </c>
      <c r="G45" s="1608" t="s">
        <v>69</v>
      </c>
      <c r="H45" s="1608">
        <v>6</v>
      </c>
      <c r="I45" s="1675">
        <v>6</v>
      </c>
      <c r="J45" s="1606">
        <v>6</v>
      </c>
      <c r="K45" s="1607">
        <v>6</v>
      </c>
      <c r="L45" s="1607">
        <v>6</v>
      </c>
      <c r="M45" s="1607"/>
      <c r="N45" s="1608"/>
      <c r="O45" s="1675" t="s">
        <v>35</v>
      </c>
      <c r="P45" s="1675" t="s">
        <v>35</v>
      </c>
      <c r="Q45" s="1675" t="s">
        <v>35</v>
      </c>
      <c r="R45" s="1675" t="s">
        <v>35</v>
      </c>
      <c r="S45" s="1675" t="s">
        <v>35</v>
      </c>
      <c r="T45" s="1675"/>
      <c r="U45" s="1675"/>
      <c r="V45" s="1675">
        <v>5</v>
      </c>
      <c r="W45" s="1675">
        <v>5</v>
      </c>
      <c r="X45" s="1606">
        <v>5</v>
      </c>
      <c r="Y45" s="1675">
        <v>5</v>
      </c>
      <c r="Z45" s="1675">
        <v>5</v>
      </c>
      <c r="AA45" s="1675"/>
      <c r="AB45" s="1675"/>
      <c r="AC45" s="1675">
        <v>10</v>
      </c>
      <c r="AD45" s="1608">
        <v>10</v>
      </c>
      <c r="AE45" s="1608">
        <v>10</v>
      </c>
      <c r="AF45" s="1609">
        <v>10</v>
      </c>
      <c r="AG45" s="1678">
        <v>10</v>
      </c>
      <c r="AH45" s="189"/>
      <c r="AI45" s="190"/>
    </row>
    <row r="46" spans="1:38" ht="22.15" customHeight="1" thickBot="1" x14ac:dyDescent="0.25">
      <c r="A46" s="1667">
        <v>13</v>
      </c>
      <c r="B46" s="1668" t="s">
        <v>79</v>
      </c>
      <c r="C46" s="1671" t="s">
        <v>35</v>
      </c>
      <c r="D46" s="1671" t="s">
        <v>35</v>
      </c>
      <c r="E46" s="1670" t="s">
        <v>35</v>
      </c>
      <c r="F46" s="1670" t="s">
        <v>71</v>
      </c>
      <c r="G46" s="1670" t="s">
        <v>71</v>
      </c>
      <c r="H46" s="1670">
        <v>7</v>
      </c>
      <c r="I46" s="1670">
        <v>7</v>
      </c>
      <c r="J46" s="1671">
        <v>7</v>
      </c>
      <c r="K46" s="1670">
        <v>7</v>
      </c>
      <c r="L46" s="1673">
        <v>7</v>
      </c>
      <c r="M46" s="1670"/>
      <c r="N46" s="1673"/>
      <c r="O46" s="1673">
        <v>4</v>
      </c>
      <c r="P46" s="1673">
        <v>4</v>
      </c>
      <c r="Q46" s="1670">
        <v>4</v>
      </c>
      <c r="R46" s="1670">
        <v>4</v>
      </c>
      <c r="S46" s="1681">
        <v>4</v>
      </c>
      <c r="T46" s="1670"/>
      <c r="U46" s="1670"/>
      <c r="V46" s="1670">
        <v>3</v>
      </c>
      <c r="W46" s="1670">
        <v>3</v>
      </c>
      <c r="X46" s="1670">
        <v>3</v>
      </c>
      <c r="Y46" s="1671">
        <v>3</v>
      </c>
      <c r="Z46" s="1682">
        <v>3</v>
      </c>
      <c r="AA46" s="1670"/>
      <c r="AB46" s="1670"/>
      <c r="AC46" s="1670">
        <v>11</v>
      </c>
      <c r="AD46" s="1670">
        <v>11</v>
      </c>
      <c r="AE46" s="1671">
        <v>11</v>
      </c>
      <c r="AF46" s="1683">
        <v>11</v>
      </c>
      <c r="AG46" s="1684">
        <v>11</v>
      </c>
      <c r="AH46" s="189"/>
      <c r="AI46" s="190"/>
    </row>
    <row r="47" spans="1:38" ht="22.15" customHeight="1" x14ac:dyDescent="0.2">
      <c r="A47" s="475">
        <v>4</v>
      </c>
      <c r="B47" s="476" t="s">
        <v>82</v>
      </c>
      <c r="C47" s="459">
        <v>8</v>
      </c>
      <c r="D47" s="459">
        <v>8</v>
      </c>
      <c r="E47" s="477">
        <v>8</v>
      </c>
      <c r="F47" s="458"/>
      <c r="G47" s="458"/>
      <c r="H47" s="458" t="s">
        <v>35</v>
      </c>
      <c r="I47" s="458" t="s">
        <v>35</v>
      </c>
      <c r="J47" s="458" t="s">
        <v>35</v>
      </c>
      <c r="K47" s="458" t="s">
        <v>35</v>
      </c>
      <c r="L47" s="458" t="s">
        <v>35</v>
      </c>
      <c r="M47" s="458"/>
      <c r="N47" s="458"/>
      <c r="O47" s="458">
        <v>1</v>
      </c>
      <c r="P47" s="458">
        <v>1</v>
      </c>
      <c r="Q47" s="458">
        <v>1</v>
      </c>
      <c r="R47" s="458">
        <v>1</v>
      </c>
      <c r="S47" s="458">
        <v>1</v>
      </c>
      <c r="T47" s="477"/>
      <c r="U47" s="477"/>
      <c r="V47" s="482">
        <v>9</v>
      </c>
      <c r="W47" s="477">
        <v>9</v>
      </c>
      <c r="X47" s="477">
        <v>9</v>
      </c>
      <c r="Y47" s="458">
        <v>9</v>
      </c>
      <c r="Z47" s="477">
        <v>9</v>
      </c>
      <c r="AA47" s="477" t="s">
        <v>66</v>
      </c>
      <c r="AB47" s="477" t="s">
        <v>67</v>
      </c>
      <c r="AC47" s="477" t="s">
        <v>35</v>
      </c>
      <c r="AD47" s="477" t="s">
        <v>35</v>
      </c>
      <c r="AE47" s="459" t="s">
        <v>35</v>
      </c>
      <c r="AF47" s="477" t="s">
        <v>35</v>
      </c>
      <c r="AG47" s="478" t="s">
        <v>35</v>
      </c>
      <c r="AH47" s="189"/>
      <c r="AI47" s="190"/>
    </row>
    <row r="48" spans="1:38" ht="22.15" customHeight="1" x14ac:dyDescent="0.2">
      <c r="A48" s="1664">
        <v>9</v>
      </c>
      <c r="B48" s="1611" t="s">
        <v>84</v>
      </c>
      <c r="C48" s="1603">
        <v>6</v>
      </c>
      <c r="D48" s="1603">
        <v>6</v>
      </c>
      <c r="E48" s="1603">
        <v>6</v>
      </c>
      <c r="F48" s="1603"/>
      <c r="G48" s="1603"/>
      <c r="H48" s="1675" t="s">
        <v>35</v>
      </c>
      <c r="I48" s="1675" t="s">
        <v>35</v>
      </c>
      <c r="J48" s="1675" t="s">
        <v>35</v>
      </c>
      <c r="K48" s="1675" t="s">
        <v>35</v>
      </c>
      <c r="L48" s="1675" t="s">
        <v>35</v>
      </c>
      <c r="M48" s="1675"/>
      <c r="N48" s="1675"/>
      <c r="O48" s="1675">
        <v>5</v>
      </c>
      <c r="P48" s="1675">
        <v>5</v>
      </c>
      <c r="Q48" s="1606">
        <v>5</v>
      </c>
      <c r="R48" s="1675">
        <v>5</v>
      </c>
      <c r="S48" s="1675">
        <v>5</v>
      </c>
      <c r="T48" s="1675"/>
      <c r="U48" s="1675"/>
      <c r="V48" s="1675">
        <v>10</v>
      </c>
      <c r="W48" s="1675">
        <v>10</v>
      </c>
      <c r="X48" s="1675">
        <v>10</v>
      </c>
      <c r="Y48" s="1675">
        <v>10</v>
      </c>
      <c r="Z48" s="1675">
        <v>10</v>
      </c>
      <c r="AA48" s="1675" t="s">
        <v>67</v>
      </c>
      <c r="AB48" s="1675" t="s">
        <v>67</v>
      </c>
      <c r="AC48" s="1675" t="s">
        <v>35</v>
      </c>
      <c r="AD48" s="1675" t="s">
        <v>35</v>
      </c>
      <c r="AE48" s="1675" t="s">
        <v>35</v>
      </c>
      <c r="AF48" s="1675" t="s">
        <v>35</v>
      </c>
      <c r="AG48" s="1678" t="s">
        <v>35</v>
      </c>
      <c r="AH48" s="189"/>
      <c r="AI48" s="190"/>
    </row>
    <row r="49" spans="1:39" ht="22.15" customHeight="1" thickBot="1" x14ac:dyDescent="0.25">
      <c r="A49" s="1667">
        <v>14</v>
      </c>
      <c r="B49" s="1668" t="s">
        <v>85</v>
      </c>
      <c r="C49" s="1671">
        <v>7</v>
      </c>
      <c r="D49" s="1670">
        <v>7</v>
      </c>
      <c r="E49" s="1670">
        <v>7</v>
      </c>
      <c r="F49" s="1670"/>
      <c r="G49" s="1673"/>
      <c r="H49" s="1669">
        <v>4</v>
      </c>
      <c r="I49" s="1669">
        <v>4</v>
      </c>
      <c r="J49" s="1669">
        <v>4</v>
      </c>
      <c r="K49" s="1669">
        <v>4</v>
      </c>
      <c r="L49" s="1669">
        <v>4</v>
      </c>
      <c r="M49" s="1669"/>
      <c r="N49" s="1669"/>
      <c r="O49" s="1669">
        <v>3</v>
      </c>
      <c r="P49" s="1669">
        <v>3</v>
      </c>
      <c r="Q49" s="1669">
        <v>3</v>
      </c>
      <c r="R49" s="1669">
        <v>3</v>
      </c>
      <c r="S49" s="1669">
        <v>3</v>
      </c>
      <c r="T49" s="1669"/>
      <c r="U49" s="1669"/>
      <c r="V49" s="1669">
        <v>11</v>
      </c>
      <c r="W49" s="1669">
        <v>11</v>
      </c>
      <c r="X49" s="1669">
        <v>11</v>
      </c>
      <c r="Y49" s="1669">
        <v>11</v>
      </c>
      <c r="Z49" s="1669">
        <v>11</v>
      </c>
      <c r="AA49" s="1669" t="s">
        <v>73</v>
      </c>
      <c r="AB49" s="1669" t="s">
        <v>73</v>
      </c>
      <c r="AC49" s="1671" t="s">
        <v>35</v>
      </c>
      <c r="AD49" s="1670" t="s">
        <v>35</v>
      </c>
      <c r="AE49" s="1670" t="s">
        <v>35</v>
      </c>
      <c r="AF49" s="1671" t="s">
        <v>35</v>
      </c>
      <c r="AG49" s="1680" t="s">
        <v>35</v>
      </c>
      <c r="AH49" s="189"/>
      <c r="AI49" s="190"/>
    </row>
    <row r="50" spans="1:39" ht="22.15" customHeight="1" x14ac:dyDescent="0.2">
      <c r="A50" s="475">
        <v>5</v>
      </c>
      <c r="B50" s="1611" t="s">
        <v>86</v>
      </c>
      <c r="C50" s="459" t="s">
        <v>35</v>
      </c>
      <c r="D50" s="477" t="s">
        <v>35</v>
      </c>
      <c r="E50" s="477" t="s">
        <v>35</v>
      </c>
      <c r="F50" s="459"/>
      <c r="G50" s="459"/>
      <c r="H50" s="481">
        <v>1</v>
      </c>
      <c r="I50" s="459">
        <v>1</v>
      </c>
      <c r="J50" s="459">
        <v>1</v>
      </c>
      <c r="K50" s="477">
        <v>1</v>
      </c>
      <c r="L50" s="485">
        <v>1</v>
      </c>
      <c r="M50" s="477"/>
      <c r="N50" s="477"/>
      <c r="O50" s="458">
        <v>9</v>
      </c>
      <c r="P50" s="477">
        <v>9</v>
      </c>
      <c r="Q50" s="477">
        <v>9</v>
      </c>
      <c r="R50" s="458">
        <v>9</v>
      </c>
      <c r="S50" s="477">
        <v>9</v>
      </c>
      <c r="T50" s="477" t="s">
        <v>66</v>
      </c>
      <c r="U50" s="459" t="s">
        <v>67</v>
      </c>
      <c r="V50" s="459" t="s">
        <v>35</v>
      </c>
      <c r="W50" s="459" t="s">
        <v>35</v>
      </c>
      <c r="X50" s="459" t="s">
        <v>35</v>
      </c>
      <c r="Y50" s="460" t="s">
        <v>35</v>
      </c>
      <c r="Z50" s="459" t="s">
        <v>35</v>
      </c>
      <c r="AA50" s="459" t="s">
        <v>68</v>
      </c>
      <c r="AB50" s="459" t="s">
        <v>69</v>
      </c>
      <c r="AC50" s="459">
        <v>6</v>
      </c>
      <c r="AD50" s="477">
        <v>6</v>
      </c>
      <c r="AE50" s="477">
        <v>6</v>
      </c>
      <c r="AF50" s="480">
        <v>6</v>
      </c>
      <c r="AG50" s="486">
        <v>6</v>
      </c>
      <c r="AH50" s="189"/>
      <c r="AI50" s="190"/>
    </row>
    <row r="51" spans="1:39" ht="22.15" customHeight="1" x14ac:dyDescent="0.2">
      <c r="A51" s="1664">
        <v>10</v>
      </c>
      <c r="B51" s="1611" t="s">
        <v>87</v>
      </c>
      <c r="C51" s="1603" t="s">
        <v>35</v>
      </c>
      <c r="D51" s="1603" t="s">
        <v>35</v>
      </c>
      <c r="E51" s="1603" t="s">
        <v>35</v>
      </c>
      <c r="F51" s="1603"/>
      <c r="G51" s="1603"/>
      <c r="H51" s="1607">
        <v>5</v>
      </c>
      <c r="I51" s="1607">
        <v>5</v>
      </c>
      <c r="J51" s="1607">
        <v>5</v>
      </c>
      <c r="K51" s="1607">
        <v>5</v>
      </c>
      <c r="L51" s="1607">
        <v>5</v>
      </c>
      <c r="M51" s="1607"/>
      <c r="N51" s="1607"/>
      <c r="O51" s="1607">
        <v>10</v>
      </c>
      <c r="P51" s="1607">
        <v>10</v>
      </c>
      <c r="Q51" s="1607">
        <v>10</v>
      </c>
      <c r="R51" s="1607">
        <v>10</v>
      </c>
      <c r="S51" s="1607">
        <v>10</v>
      </c>
      <c r="T51" s="1685" t="s">
        <v>67</v>
      </c>
      <c r="U51" s="1685" t="s">
        <v>67</v>
      </c>
      <c r="V51" s="1607" t="s">
        <v>35</v>
      </c>
      <c r="W51" s="1608" t="s">
        <v>35</v>
      </c>
      <c r="X51" s="1675" t="s">
        <v>35</v>
      </c>
      <c r="Y51" s="1606" t="s">
        <v>35</v>
      </c>
      <c r="Z51" s="1675" t="s">
        <v>35</v>
      </c>
      <c r="AA51" s="1675" t="s">
        <v>71</v>
      </c>
      <c r="AB51" s="1675" t="s">
        <v>71</v>
      </c>
      <c r="AC51" s="1675">
        <v>7</v>
      </c>
      <c r="AD51" s="1675">
        <v>7</v>
      </c>
      <c r="AE51" s="1675">
        <v>7</v>
      </c>
      <c r="AF51" s="1675">
        <v>7</v>
      </c>
      <c r="AG51" s="1678">
        <v>7</v>
      </c>
      <c r="AH51" s="189"/>
      <c r="AI51" s="190"/>
    </row>
    <row r="52" spans="1:39" ht="22.15" customHeight="1" thickBot="1" x14ac:dyDescent="0.25">
      <c r="A52" s="1667">
        <v>15</v>
      </c>
      <c r="B52" s="1668" t="s">
        <v>88</v>
      </c>
      <c r="C52" s="1670">
        <v>4</v>
      </c>
      <c r="D52" s="1670">
        <v>4</v>
      </c>
      <c r="E52" s="1670">
        <v>4</v>
      </c>
      <c r="F52" s="1673"/>
      <c r="G52" s="1673"/>
      <c r="H52" s="1673">
        <v>3</v>
      </c>
      <c r="I52" s="1673">
        <v>3</v>
      </c>
      <c r="J52" s="1673">
        <v>3</v>
      </c>
      <c r="K52" s="1671">
        <v>3</v>
      </c>
      <c r="L52" s="1670">
        <v>3</v>
      </c>
      <c r="M52" s="1670"/>
      <c r="N52" s="1670"/>
      <c r="O52" s="1670">
        <v>11</v>
      </c>
      <c r="P52" s="1670">
        <v>11</v>
      </c>
      <c r="Q52" s="1671">
        <v>11</v>
      </c>
      <c r="R52" s="1670">
        <v>11</v>
      </c>
      <c r="S52" s="1670">
        <v>11</v>
      </c>
      <c r="T52" s="1670" t="s">
        <v>73</v>
      </c>
      <c r="U52" s="1670" t="s">
        <v>73</v>
      </c>
      <c r="V52" s="1670" t="s">
        <v>35</v>
      </c>
      <c r="W52" s="1670" t="s">
        <v>35</v>
      </c>
      <c r="X52" s="1670" t="s">
        <v>35</v>
      </c>
      <c r="Y52" s="1671" t="s">
        <v>35</v>
      </c>
      <c r="Z52" s="1670" t="s">
        <v>35</v>
      </c>
      <c r="AA52" s="1670" t="s">
        <v>69</v>
      </c>
      <c r="AB52" s="1670" t="s">
        <v>69</v>
      </c>
      <c r="AC52" s="1670">
        <v>8</v>
      </c>
      <c r="AD52" s="1670">
        <v>8</v>
      </c>
      <c r="AE52" s="1671">
        <v>8</v>
      </c>
      <c r="AF52" s="1673">
        <v>8</v>
      </c>
      <c r="AG52" s="1686">
        <v>8</v>
      </c>
      <c r="AH52" s="189"/>
      <c r="AI52" s="190"/>
    </row>
    <row r="53" spans="1:39" ht="22.15" customHeight="1" x14ac:dyDescent="0.2">
      <c r="A53" s="10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1"/>
    </row>
    <row r="54" spans="1:39" ht="22.15" customHeight="1" x14ac:dyDescent="0.2">
      <c r="A54" s="109"/>
      <c r="B54" s="64" t="s">
        <v>89</v>
      </c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  <c r="AH54" s="1"/>
    </row>
    <row r="55" spans="1:39" ht="22.15" customHeight="1" x14ac:dyDescent="0.2">
      <c r="A55" s="1687" t="s">
        <v>28</v>
      </c>
      <c r="B55" s="1687"/>
      <c r="C55" s="1688"/>
      <c r="D55" s="1687" t="s">
        <v>90</v>
      </c>
      <c r="E55" s="1689"/>
      <c r="F55" s="1688"/>
      <c r="G55" s="1687" t="s">
        <v>91</v>
      </c>
      <c r="H55" s="1689"/>
      <c r="I55" s="1688"/>
      <c r="J55" s="1687" t="s">
        <v>92</v>
      </c>
      <c r="K55" s="1689"/>
      <c r="L55" s="1688"/>
      <c r="M55" s="1687" t="s">
        <v>93</v>
      </c>
      <c r="N55" s="1689"/>
      <c r="O55" s="1688"/>
      <c r="P55" s="1687" t="s">
        <v>94</v>
      </c>
      <c r="Q55" s="1689"/>
      <c r="R55" s="1690"/>
      <c r="S55" s="1691" t="s">
        <v>95</v>
      </c>
      <c r="T55" s="1689"/>
      <c r="U55" s="1688"/>
      <c r="V55" s="1687" t="s">
        <v>96</v>
      </c>
      <c r="W55" s="1689"/>
      <c r="X55" s="1692" t="s">
        <v>97</v>
      </c>
      <c r="Y55" s="1689"/>
      <c r="Z55" s="1689"/>
      <c r="AA55" s="1693"/>
      <c r="AB55" s="1579"/>
      <c r="AC55" s="1579"/>
      <c r="AD55" s="1579"/>
      <c r="AE55" s="1579"/>
      <c r="AF55" s="1579"/>
      <c r="AG55" s="1580"/>
      <c r="AH55" s="1"/>
    </row>
    <row r="56" spans="1:39" ht="22.15" customHeight="1" x14ac:dyDescent="0.2">
      <c r="A56" s="1694">
        <v>8517</v>
      </c>
      <c r="B56" s="1695" t="s">
        <v>98</v>
      </c>
      <c r="C56" s="1696" t="s">
        <v>99</v>
      </c>
      <c r="D56" s="1697"/>
      <c r="E56" s="1578"/>
      <c r="F56" s="1696" t="s">
        <v>99</v>
      </c>
      <c r="G56" s="1697"/>
      <c r="H56" s="1578"/>
      <c r="I56" s="1696" t="s">
        <v>99</v>
      </c>
      <c r="J56" s="1697"/>
      <c r="K56" s="1578"/>
      <c r="L56" s="1696" t="s">
        <v>99</v>
      </c>
      <c r="M56" s="1697"/>
      <c r="N56" s="1578"/>
      <c r="O56" s="1696" t="s">
        <v>100</v>
      </c>
      <c r="P56" s="1697"/>
      <c r="Q56" s="1578"/>
      <c r="R56" s="1696" t="s">
        <v>99</v>
      </c>
      <c r="S56" s="1697"/>
      <c r="T56" s="1578"/>
      <c r="U56" s="1696" t="s">
        <v>99</v>
      </c>
      <c r="V56" s="1697"/>
      <c r="W56" s="1578"/>
      <c r="X56" s="1576"/>
      <c r="Y56" s="1579"/>
      <c r="Z56" s="1579"/>
      <c r="AA56" s="1579"/>
      <c r="AB56" s="1579"/>
      <c r="AC56" s="1579"/>
      <c r="AD56" s="1579"/>
      <c r="AE56" s="1579"/>
      <c r="AF56" s="1579"/>
      <c r="AG56" s="1580"/>
      <c r="AH56" s="1"/>
      <c r="AM56" s="206"/>
    </row>
    <row r="57" spans="1:39" ht="22.15" customHeight="1" x14ac:dyDescent="0.2">
      <c r="B57" s="1601" t="s">
        <v>101</v>
      </c>
      <c r="C57" s="1698" t="s">
        <v>102</v>
      </c>
      <c r="D57" s="1699"/>
      <c r="E57" s="1700"/>
      <c r="F57" s="1698" t="s">
        <v>102</v>
      </c>
      <c r="G57" s="1701"/>
      <c r="H57" s="1700"/>
      <c r="I57" s="1696" t="s">
        <v>102</v>
      </c>
      <c r="J57" s="1697"/>
      <c r="K57" s="1702"/>
      <c r="L57" s="1696" t="s">
        <v>102</v>
      </c>
      <c r="M57" s="1697"/>
      <c r="N57" s="1702"/>
      <c r="O57" s="1696" t="s">
        <v>103</v>
      </c>
      <c r="P57" s="1697"/>
      <c r="Q57" s="1578"/>
      <c r="R57" s="1703" t="s">
        <v>0</v>
      </c>
      <c r="S57" s="1697"/>
      <c r="T57" s="1702"/>
      <c r="U57" s="1697" t="s">
        <v>0</v>
      </c>
      <c r="V57" s="1697"/>
      <c r="W57" s="1578"/>
      <c r="X57" s="1704" t="s">
        <v>0</v>
      </c>
      <c r="Y57" s="72"/>
      <c r="Z57" s="72"/>
      <c r="AA57" s="72"/>
      <c r="AB57" s="72"/>
      <c r="AC57" s="72"/>
      <c r="AD57" s="72"/>
      <c r="AE57" s="72"/>
      <c r="AF57" s="72"/>
      <c r="AG57" s="111"/>
      <c r="AH57" s="1"/>
    </row>
    <row r="58" spans="1:39" ht="22.15" customHeight="1" x14ac:dyDescent="0.2">
      <c r="A58" s="1705"/>
      <c r="B58" s="1695" t="s">
        <v>104</v>
      </c>
      <c r="C58" s="1696" t="s">
        <v>105</v>
      </c>
      <c r="D58" s="1697"/>
      <c r="E58" s="1578"/>
      <c r="F58" s="1696" t="s">
        <v>105</v>
      </c>
      <c r="G58" s="1697"/>
      <c r="H58" s="1702"/>
      <c r="I58" s="1696" t="s">
        <v>105</v>
      </c>
      <c r="J58" s="1697"/>
      <c r="K58" s="1702"/>
      <c r="L58" s="1696" t="s">
        <v>105</v>
      </c>
      <c r="M58" s="1697"/>
      <c r="N58" s="1702"/>
      <c r="O58" s="1696" t="s">
        <v>106</v>
      </c>
      <c r="P58" s="1697"/>
      <c r="Q58" s="1578"/>
      <c r="R58" s="112"/>
      <c r="S58" s="113"/>
      <c r="T58" s="1702"/>
      <c r="U58" s="1697"/>
      <c r="V58" s="1697"/>
      <c r="W58" s="1578"/>
      <c r="X58" s="1576"/>
      <c r="Y58" s="1579"/>
      <c r="Z58" s="1579"/>
      <c r="AA58" s="1579"/>
      <c r="AB58" s="1579"/>
      <c r="AC58" s="1579"/>
      <c r="AD58" s="1579"/>
      <c r="AE58" s="1579"/>
      <c r="AF58" s="1579"/>
      <c r="AG58" s="1580"/>
      <c r="AH58" s="1"/>
    </row>
    <row r="59" spans="1:39" ht="22.15" customHeight="1" x14ac:dyDescent="0.2">
      <c r="A59" s="1687"/>
      <c r="B59" s="1601" t="s">
        <v>107</v>
      </c>
      <c r="C59" s="1706" t="s">
        <v>108</v>
      </c>
      <c r="D59" s="1706"/>
      <c r="E59" s="1707"/>
      <c r="F59" s="1706" t="s">
        <v>108</v>
      </c>
      <c r="G59" s="1706"/>
      <c r="H59" s="1707"/>
      <c r="I59" s="1706" t="s">
        <v>108</v>
      </c>
      <c r="J59" s="1706"/>
      <c r="K59" s="1707"/>
      <c r="L59" s="1706" t="s">
        <v>108</v>
      </c>
      <c r="M59" s="1706"/>
      <c r="N59" s="1707"/>
      <c r="O59" s="1706" t="s">
        <v>108</v>
      </c>
      <c r="P59" s="1706"/>
      <c r="Q59" s="1707"/>
      <c r="R59" s="1706" t="s">
        <v>108</v>
      </c>
      <c r="S59" s="1706"/>
      <c r="T59" s="1707"/>
      <c r="U59" s="1706" t="s">
        <v>108</v>
      </c>
      <c r="V59" s="1706"/>
      <c r="W59" s="1707"/>
      <c r="X59" s="1576"/>
      <c r="Y59" s="1579"/>
      <c r="Z59" s="1579"/>
      <c r="AA59" s="1579"/>
      <c r="AB59" s="1579"/>
      <c r="AC59" s="1579"/>
      <c r="AD59" s="1579"/>
      <c r="AE59" s="1579"/>
      <c r="AF59" s="1579"/>
      <c r="AG59" s="1580"/>
      <c r="AH59" s="1"/>
    </row>
    <row r="60" spans="1:39" ht="22.15" customHeight="1" x14ac:dyDescent="0.2">
      <c r="A60" s="59"/>
      <c r="B60" s="102"/>
      <c r="C60" s="69"/>
      <c r="D60" s="69"/>
      <c r="E60" s="19"/>
      <c r="F60" s="69"/>
      <c r="G60" s="69"/>
      <c r="H60" s="19"/>
      <c r="I60" s="69"/>
      <c r="J60" s="69"/>
      <c r="K60" s="19"/>
      <c r="L60" s="69"/>
      <c r="M60" s="69"/>
      <c r="N60" s="19"/>
      <c r="O60" s="69"/>
      <c r="P60" s="69"/>
      <c r="Q60" s="19"/>
      <c r="R60" s="69"/>
      <c r="S60" s="69"/>
      <c r="T60" s="19"/>
      <c r="U60" s="69"/>
      <c r="V60" s="69"/>
      <c r="W60" s="19"/>
      <c r="X60" s="19"/>
      <c r="Y60" s="72"/>
      <c r="Z60" s="72"/>
      <c r="AA60" s="72"/>
      <c r="AB60" s="72"/>
      <c r="AC60" s="72"/>
      <c r="AD60" s="72"/>
      <c r="AE60" s="72"/>
      <c r="AF60" s="72"/>
      <c r="AG60" s="72"/>
      <c r="AH60" s="1"/>
    </row>
    <row r="61" spans="1:39" ht="22.15" customHeight="1" thickBot="1" x14ac:dyDescent="0.25">
      <c r="A61" s="1708"/>
      <c r="B61" s="1594" t="s">
        <v>29</v>
      </c>
      <c r="C61" s="1595">
        <v>1</v>
      </c>
      <c r="D61" s="1595">
        <v>2</v>
      </c>
      <c r="E61" s="1595">
        <v>3</v>
      </c>
      <c r="F61" s="1596">
        <v>4</v>
      </c>
      <c r="G61" s="1596">
        <v>5</v>
      </c>
      <c r="H61" s="1595">
        <v>6</v>
      </c>
      <c r="I61" s="1595">
        <v>7</v>
      </c>
      <c r="J61" s="1595">
        <v>8</v>
      </c>
      <c r="K61" s="1595">
        <v>9</v>
      </c>
      <c r="L61" s="1595">
        <v>10</v>
      </c>
      <c r="M61" s="1596">
        <v>11</v>
      </c>
      <c r="N61" s="1596">
        <v>12</v>
      </c>
      <c r="O61" s="1595">
        <v>13</v>
      </c>
      <c r="P61" s="1595">
        <v>14</v>
      </c>
      <c r="Q61" s="1595">
        <v>15</v>
      </c>
      <c r="R61" s="1595">
        <v>16</v>
      </c>
      <c r="S61" s="1595">
        <v>17</v>
      </c>
      <c r="T61" s="1596">
        <v>18</v>
      </c>
      <c r="U61" s="1596">
        <v>19</v>
      </c>
      <c r="V61" s="1595">
        <v>20</v>
      </c>
      <c r="W61" s="1595">
        <v>21</v>
      </c>
      <c r="X61" s="1595">
        <v>22</v>
      </c>
      <c r="Y61" s="1595">
        <v>23</v>
      </c>
      <c r="Z61" s="1595">
        <v>24</v>
      </c>
      <c r="AA61" s="1596">
        <v>25</v>
      </c>
      <c r="AB61" s="1596">
        <v>26</v>
      </c>
      <c r="AC61" s="1595">
        <v>27</v>
      </c>
      <c r="AD61" s="1595">
        <v>28</v>
      </c>
      <c r="AE61" s="1595">
        <v>29</v>
      </c>
      <c r="AF61" s="1595">
        <v>30</v>
      </c>
      <c r="AG61" s="1597">
        <v>31</v>
      </c>
      <c r="AH61" s="1"/>
    </row>
    <row r="62" spans="1:39" ht="22.15" customHeight="1" x14ac:dyDescent="0.2">
      <c r="A62" s="366"/>
      <c r="B62" s="367" t="s">
        <v>109</v>
      </c>
      <c r="C62" s="368" t="s">
        <v>35</v>
      </c>
      <c r="D62" s="368" t="s">
        <v>35</v>
      </c>
      <c r="E62" s="368" t="s">
        <v>35</v>
      </c>
      <c r="F62" s="369" t="s">
        <v>0</v>
      </c>
      <c r="G62" s="369" t="s">
        <v>0</v>
      </c>
      <c r="H62" s="370">
        <v>21</v>
      </c>
      <c r="I62" s="371">
        <v>21</v>
      </c>
      <c r="J62" s="370">
        <v>21</v>
      </c>
      <c r="K62" s="370">
        <v>21</v>
      </c>
      <c r="L62" s="371">
        <v>21</v>
      </c>
      <c r="M62" s="370">
        <v>21</v>
      </c>
      <c r="N62" s="370">
        <v>21</v>
      </c>
      <c r="O62" s="370" t="s">
        <v>35</v>
      </c>
      <c r="P62" s="370" t="s">
        <v>35</v>
      </c>
      <c r="Q62" s="370" t="s">
        <v>35</v>
      </c>
      <c r="R62" s="370">
        <v>4</v>
      </c>
      <c r="S62" s="370" t="s">
        <v>35</v>
      </c>
      <c r="T62" s="370"/>
      <c r="U62" s="370"/>
      <c r="V62" s="370">
        <v>25</v>
      </c>
      <c r="W62" s="370">
        <v>25</v>
      </c>
      <c r="X62" s="370">
        <v>25</v>
      </c>
      <c r="Y62" s="370">
        <v>25</v>
      </c>
      <c r="Z62" s="370">
        <v>25</v>
      </c>
      <c r="AA62" s="372"/>
      <c r="AB62" s="373"/>
      <c r="AC62" s="373">
        <v>26</v>
      </c>
      <c r="AD62" s="373">
        <v>26</v>
      </c>
      <c r="AE62" s="373">
        <v>26</v>
      </c>
      <c r="AF62" s="373">
        <v>26</v>
      </c>
      <c r="AG62" s="374">
        <v>26</v>
      </c>
      <c r="AH62" s="1"/>
    </row>
    <row r="63" spans="1:39" ht="22.15" customHeight="1" x14ac:dyDescent="0.2">
      <c r="A63" s="1709"/>
      <c r="B63" s="1665" t="s">
        <v>111</v>
      </c>
      <c r="C63" s="1633">
        <v>26</v>
      </c>
      <c r="D63" s="1633">
        <v>26</v>
      </c>
      <c r="E63" s="1633">
        <v>26</v>
      </c>
      <c r="F63" s="1633">
        <v>26</v>
      </c>
      <c r="G63" s="1633">
        <v>26</v>
      </c>
      <c r="H63" s="1629" t="s">
        <v>35</v>
      </c>
      <c r="I63" s="1629" t="s">
        <v>35</v>
      </c>
      <c r="J63" s="1629" t="s">
        <v>35</v>
      </c>
      <c r="K63" s="1710">
        <v>4</v>
      </c>
      <c r="L63" s="1710">
        <v>4</v>
      </c>
      <c r="M63" s="1629"/>
      <c r="N63" s="1612"/>
      <c r="O63" s="1633">
        <v>26</v>
      </c>
      <c r="P63" s="1633">
        <v>26</v>
      </c>
      <c r="Q63" s="1633">
        <v>26</v>
      </c>
      <c r="R63" s="1633">
        <v>26</v>
      </c>
      <c r="S63" s="1633">
        <v>26</v>
      </c>
      <c r="T63" s="1633">
        <v>26</v>
      </c>
      <c r="U63" s="1633">
        <v>26</v>
      </c>
      <c r="V63" s="1629" t="s">
        <v>35</v>
      </c>
      <c r="W63" s="1629" t="s">
        <v>35</v>
      </c>
      <c r="X63" s="1629" t="s">
        <v>35</v>
      </c>
      <c r="Y63" s="1629" t="s">
        <v>35</v>
      </c>
      <c r="Z63" s="1629" t="s">
        <v>35</v>
      </c>
      <c r="AA63" s="1711"/>
      <c r="AB63" s="1612"/>
      <c r="AC63" s="1712" t="s">
        <v>31</v>
      </c>
      <c r="AD63" s="1712" t="s">
        <v>31</v>
      </c>
      <c r="AE63" s="1712" t="s">
        <v>31</v>
      </c>
      <c r="AF63" s="1712" t="s">
        <v>31</v>
      </c>
      <c r="AG63" s="1713" t="s">
        <v>31</v>
      </c>
      <c r="AH63" s="1"/>
    </row>
    <row r="64" spans="1:39" ht="22.15" customHeight="1" x14ac:dyDescent="0.2">
      <c r="A64" s="1630"/>
      <c r="B64" s="1665" t="s">
        <v>113</v>
      </c>
      <c r="C64" s="1628">
        <v>8</v>
      </c>
      <c r="D64" s="1628">
        <v>8</v>
      </c>
      <c r="E64" s="1625">
        <v>8</v>
      </c>
      <c r="F64" s="1629"/>
      <c r="G64" s="1629"/>
      <c r="H64" s="1710">
        <v>1</v>
      </c>
      <c r="I64" s="1629" t="s">
        <v>35</v>
      </c>
      <c r="J64" s="1629" t="s">
        <v>35</v>
      </c>
      <c r="K64" s="1629" t="s">
        <v>35</v>
      </c>
      <c r="L64" s="1710">
        <v>1</v>
      </c>
      <c r="M64" s="1629"/>
      <c r="N64" s="1629"/>
      <c r="O64" s="1629">
        <v>1</v>
      </c>
      <c r="P64" s="1629">
        <v>1</v>
      </c>
      <c r="Q64" s="1629">
        <v>1</v>
      </c>
      <c r="R64" s="1629">
        <v>1</v>
      </c>
      <c r="S64" s="1629">
        <v>1</v>
      </c>
      <c r="T64" s="1625"/>
      <c r="U64" s="1625"/>
      <c r="V64" s="1546">
        <v>9</v>
      </c>
      <c r="W64" s="1625">
        <v>9</v>
      </c>
      <c r="X64" s="1625">
        <v>9</v>
      </c>
      <c r="Y64" s="1629">
        <v>9</v>
      </c>
      <c r="Z64" s="1625">
        <v>9</v>
      </c>
      <c r="AA64" s="1625" t="s">
        <v>66</v>
      </c>
      <c r="AB64" s="1625" t="s">
        <v>67</v>
      </c>
      <c r="AC64" s="1625" t="s">
        <v>35</v>
      </c>
      <c r="AD64" s="1625" t="s">
        <v>35</v>
      </c>
      <c r="AE64" s="1625" t="s">
        <v>35</v>
      </c>
      <c r="AF64" s="1625" t="s">
        <v>35</v>
      </c>
      <c r="AG64" s="1714" t="s">
        <v>35</v>
      </c>
      <c r="AH64" s="1"/>
    </row>
    <row r="65" spans="1:35" ht="22.15" customHeight="1" x14ac:dyDescent="0.2">
      <c r="A65" s="1665"/>
      <c r="B65" s="1715" t="s">
        <v>114</v>
      </c>
      <c r="C65" s="1625" t="s">
        <v>158</v>
      </c>
      <c r="D65" s="1625" t="s">
        <v>158</v>
      </c>
      <c r="E65" s="1625" t="s">
        <v>158</v>
      </c>
      <c r="F65" s="1612"/>
      <c r="G65" s="1612"/>
      <c r="H65" s="1625" t="s">
        <v>158</v>
      </c>
      <c r="I65" s="1625" t="s">
        <v>158</v>
      </c>
      <c r="J65" s="1625" t="s">
        <v>158</v>
      </c>
      <c r="K65" s="1625" t="s">
        <v>158</v>
      </c>
      <c r="L65" s="1625" t="s">
        <v>158</v>
      </c>
      <c r="M65" s="1462"/>
      <c r="N65" s="1462"/>
      <c r="O65" s="1712" t="s">
        <v>31</v>
      </c>
      <c r="P65" s="1712" t="s">
        <v>31</v>
      </c>
      <c r="Q65" s="1712" t="s">
        <v>31</v>
      </c>
      <c r="R65" s="1712" t="s">
        <v>31</v>
      </c>
      <c r="S65" s="1712" t="s">
        <v>31</v>
      </c>
      <c r="T65" s="1712"/>
      <c r="U65" s="1712"/>
      <c r="V65" s="1712" t="s">
        <v>31</v>
      </c>
      <c r="W65" s="1712" t="s">
        <v>31</v>
      </c>
      <c r="X65" s="1712" t="s">
        <v>31</v>
      </c>
      <c r="Y65" s="1712" t="s">
        <v>31</v>
      </c>
      <c r="Z65" s="1712" t="s">
        <v>31</v>
      </c>
      <c r="AA65" s="1712"/>
      <c r="AB65" s="1712"/>
      <c r="AC65" s="1629">
        <v>10</v>
      </c>
      <c r="AD65" s="1629">
        <v>10</v>
      </c>
      <c r="AE65" s="1629">
        <v>10</v>
      </c>
      <c r="AF65" s="1629">
        <v>10</v>
      </c>
      <c r="AG65" s="1634">
        <v>10</v>
      </c>
      <c r="AH65" s="1"/>
    </row>
    <row r="66" spans="1:35" ht="22.15" customHeight="1" x14ac:dyDescent="0.2">
      <c r="A66" s="1665"/>
      <c r="B66" s="1715" t="s">
        <v>115</v>
      </c>
      <c r="C66" s="1629">
        <v>5</v>
      </c>
      <c r="D66" s="1639">
        <v>5</v>
      </c>
      <c r="E66" s="1639">
        <v>5</v>
      </c>
      <c r="F66" s="1612"/>
      <c r="G66" s="1612"/>
      <c r="H66" s="1625" t="s">
        <v>223</v>
      </c>
      <c r="I66" s="1625" t="s">
        <v>223</v>
      </c>
      <c r="J66" s="1625" t="s">
        <v>223</v>
      </c>
      <c r="K66" s="1625" t="s">
        <v>223</v>
      </c>
      <c r="L66" s="1625" t="s">
        <v>223</v>
      </c>
      <c r="M66" s="1639"/>
      <c r="N66" s="1629"/>
      <c r="O66" s="1625" t="s">
        <v>223</v>
      </c>
      <c r="P66" s="1625" t="s">
        <v>223</v>
      </c>
      <c r="Q66" s="1625" t="s">
        <v>223</v>
      </c>
      <c r="R66" s="1625" t="s">
        <v>223</v>
      </c>
      <c r="S66" s="1625" t="s">
        <v>223</v>
      </c>
      <c r="T66" s="1716"/>
      <c r="U66" s="1629"/>
      <c r="V66" s="1633">
        <v>22</v>
      </c>
      <c r="W66" s="1633">
        <v>22</v>
      </c>
      <c r="X66" s="1633">
        <v>22</v>
      </c>
      <c r="Y66" s="1633">
        <v>22</v>
      </c>
      <c r="Z66" s="1633">
        <v>22</v>
      </c>
      <c r="AA66" s="1612"/>
      <c r="AB66" s="1612"/>
      <c r="AC66" s="1612">
        <v>9</v>
      </c>
      <c r="AD66" s="1612">
        <v>9</v>
      </c>
      <c r="AE66" s="1612">
        <v>9</v>
      </c>
      <c r="AF66" s="1629">
        <v>9</v>
      </c>
      <c r="AG66" s="1717">
        <v>9</v>
      </c>
      <c r="AH66" s="1"/>
    </row>
    <row r="67" spans="1:35" ht="22.15" customHeight="1" x14ac:dyDescent="0.2">
      <c r="A67" s="1665"/>
      <c r="B67" s="1665" t="s">
        <v>117</v>
      </c>
      <c r="C67" s="1612" t="s">
        <v>35</v>
      </c>
      <c r="D67" s="1612" t="s">
        <v>35</v>
      </c>
      <c r="E67" s="1612" t="s">
        <v>35</v>
      </c>
      <c r="F67" s="1629"/>
      <c r="G67" s="1633"/>
      <c r="H67" s="1712" t="s">
        <v>31</v>
      </c>
      <c r="I67" s="1712" t="s">
        <v>31</v>
      </c>
      <c r="J67" s="1712" t="s">
        <v>31</v>
      </c>
      <c r="K67" s="1712" t="s">
        <v>31</v>
      </c>
      <c r="L67" s="1712" t="s">
        <v>31</v>
      </c>
      <c r="M67" s="1712"/>
      <c r="N67" s="1712"/>
      <c r="O67" s="1712" t="s">
        <v>31</v>
      </c>
      <c r="P67" s="1712" t="s">
        <v>31</v>
      </c>
      <c r="Q67" s="1712" t="s">
        <v>31</v>
      </c>
      <c r="R67" s="1712" t="s">
        <v>31</v>
      </c>
      <c r="S67" s="1712" t="s">
        <v>31</v>
      </c>
      <c r="T67" s="1712"/>
      <c r="U67" s="1712"/>
      <c r="V67" s="1712" t="s">
        <v>31</v>
      </c>
      <c r="W67" s="1712" t="s">
        <v>31</v>
      </c>
      <c r="X67" s="1712" t="s">
        <v>31</v>
      </c>
      <c r="Y67" s="1712" t="s">
        <v>31</v>
      </c>
      <c r="Z67" s="1712" t="s">
        <v>31</v>
      </c>
      <c r="AA67" s="1712"/>
      <c r="AB67" s="1712"/>
      <c r="AC67" s="1631" t="s">
        <v>31</v>
      </c>
      <c r="AD67" s="1631" t="s">
        <v>31</v>
      </c>
      <c r="AE67" s="1631" t="s">
        <v>31</v>
      </c>
      <c r="AF67" s="1632" t="s">
        <v>31</v>
      </c>
      <c r="AG67" s="1718" t="s">
        <v>31</v>
      </c>
      <c r="AH67" s="1"/>
    </row>
    <row r="68" spans="1:35" ht="22.15" customHeight="1" x14ac:dyDescent="0.2">
      <c r="A68" s="1665"/>
      <c r="B68" s="1715" t="s">
        <v>119</v>
      </c>
      <c r="C68" s="1629">
        <v>6</v>
      </c>
      <c r="D68" s="1629">
        <v>6</v>
      </c>
      <c r="E68" s="1629">
        <v>6</v>
      </c>
      <c r="F68" s="1501"/>
      <c r="G68" s="1719"/>
      <c r="H68" s="1719" t="s">
        <v>243</v>
      </c>
      <c r="I68" s="1719" t="s">
        <v>243</v>
      </c>
      <c r="J68" s="1719" t="s">
        <v>243</v>
      </c>
      <c r="K68" s="1719" t="s">
        <v>243</v>
      </c>
      <c r="L68" s="1719" t="s">
        <v>243</v>
      </c>
      <c r="M68" s="1612"/>
      <c r="N68" s="1612"/>
      <c r="O68" s="1719" t="s">
        <v>243</v>
      </c>
      <c r="P68" s="1719" t="s">
        <v>243</v>
      </c>
      <c r="Q68" s="1719" t="s">
        <v>243</v>
      </c>
      <c r="R68" s="1719" t="s">
        <v>243</v>
      </c>
      <c r="S68" s="1719" t="s">
        <v>243</v>
      </c>
      <c r="T68" s="1629"/>
      <c r="U68" s="1716"/>
      <c r="V68" s="1719" t="s">
        <v>243</v>
      </c>
      <c r="W68" s="1719" t="s">
        <v>243</v>
      </c>
      <c r="X68" s="1719" t="s">
        <v>243</v>
      </c>
      <c r="Y68" s="1719" t="s">
        <v>243</v>
      </c>
      <c r="Z68" s="1719" t="s">
        <v>243</v>
      </c>
      <c r="AA68" s="1629"/>
      <c r="AB68" s="1629"/>
      <c r="AC68" s="1712" t="s">
        <v>31</v>
      </c>
      <c r="AD68" s="1712" t="s">
        <v>31</v>
      </c>
      <c r="AE68" s="1712" t="s">
        <v>31</v>
      </c>
      <c r="AF68" s="1712" t="s">
        <v>31</v>
      </c>
      <c r="AG68" s="1713" t="s">
        <v>31</v>
      </c>
      <c r="AH68" s="1"/>
    </row>
    <row r="69" spans="1:35" ht="22.15" customHeight="1" x14ac:dyDescent="0.2">
      <c r="A69" s="1665"/>
      <c r="B69" s="1715" t="s">
        <v>120</v>
      </c>
      <c r="C69" s="1629" t="s">
        <v>31</v>
      </c>
      <c r="D69" s="1639" t="s">
        <v>35</v>
      </c>
      <c r="E69" s="1639" t="s">
        <v>31</v>
      </c>
      <c r="F69" s="1625" t="s">
        <v>66</v>
      </c>
      <c r="G69" s="1612"/>
      <c r="H69" s="1720">
        <v>25</v>
      </c>
      <c r="I69" s="1720">
        <v>25</v>
      </c>
      <c r="J69" s="1720">
        <v>25</v>
      </c>
      <c r="K69" s="1721" t="s">
        <v>35</v>
      </c>
      <c r="L69" s="1721" t="s">
        <v>345</v>
      </c>
      <c r="M69" s="1639"/>
      <c r="N69" s="1639"/>
      <c r="O69" s="1639" t="s">
        <v>31</v>
      </c>
      <c r="P69" s="1639" t="s">
        <v>35</v>
      </c>
      <c r="Q69" s="1639" t="s">
        <v>31</v>
      </c>
      <c r="R69" s="1639" t="s">
        <v>35</v>
      </c>
      <c r="S69" s="1639">
        <v>4</v>
      </c>
      <c r="T69" s="1640"/>
      <c r="U69" s="1641"/>
      <c r="V69" s="1639" t="s">
        <v>31</v>
      </c>
      <c r="W69" s="1639" t="s">
        <v>35</v>
      </c>
      <c r="X69" s="1639" t="s">
        <v>31</v>
      </c>
      <c r="Y69" s="1639" t="s">
        <v>35</v>
      </c>
      <c r="Z69" s="1639">
        <v>3</v>
      </c>
      <c r="AA69" s="1625"/>
      <c r="AB69" s="1629"/>
      <c r="AC69" s="1639">
        <v>1</v>
      </c>
      <c r="AD69" s="1639" t="s">
        <v>35</v>
      </c>
      <c r="AE69" s="1639">
        <v>1</v>
      </c>
      <c r="AF69" s="1639" t="s">
        <v>35</v>
      </c>
      <c r="AG69" s="1639">
        <v>1</v>
      </c>
      <c r="AH69" s="1"/>
    </row>
    <row r="70" spans="1:35" ht="22.15" customHeight="1" x14ac:dyDescent="0.2">
      <c r="A70" s="1715"/>
      <c r="B70" s="1630" t="s">
        <v>196</v>
      </c>
      <c r="C70" s="1629" t="s">
        <v>35</v>
      </c>
      <c r="D70" s="1629" t="s">
        <v>35</v>
      </c>
      <c r="E70" s="1629" t="s">
        <v>35</v>
      </c>
      <c r="F70" s="1628" t="s">
        <v>68</v>
      </c>
      <c r="G70" s="1628" t="s">
        <v>69</v>
      </c>
      <c r="H70" s="1628">
        <v>6</v>
      </c>
      <c r="I70" s="1625">
        <v>6</v>
      </c>
      <c r="J70" s="1629">
        <v>6</v>
      </c>
      <c r="K70" s="1636">
        <v>6</v>
      </c>
      <c r="L70" s="1636">
        <v>6</v>
      </c>
      <c r="M70" s="1633" t="s">
        <v>0</v>
      </c>
      <c r="N70" s="1633" t="s">
        <v>0</v>
      </c>
      <c r="O70" s="1639">
        <v>25</v>
      </c>
      <c r="P70" s="1639">
        <v>25</v>
      </c>
      <c r="Q70" s="1639">
        <v>25</v>
      </c>
      <c r="R70" s="1639">
        <v>25</v>
      </c>
      <c r="S70" s="1639">
        <v>25</v>
      </c>
      <c r="T70" s="1462"/>
      <c r="U70" s="1462"/>
      <c r="V70" s="1462">
        <v>89</v>
      </c>
      <c r="W70" s="1462">
        <v>89</v>
      </c>
      <c r="X70" s="1462">
        <v>89</v>
      </c>
      <c r="Y70" s="1462">
        <v>89</v>
      </c>
      <c r="Z70" s="1462">
        <v>89</v>
      </c>
      <c r="AA70" s="1462">
        <v>89</v>
      </c>
      <c r="AB70" s="1462"/>
      <c r="AC70" s="1625" t="s">
        <v>357</v>
      </c>
      <c r="AD70" s="1625" t="s">
        <v>358</v>
      </c>
      <c r="AE70" s="1625" t="s">
        <v>248</v>
      </c>
      <c r="AF70" s="1625" t="s">
        <v>233</v>
      </c>
      <c r="AG70" s="1625" t="s">
        <v>248</v>
      </c>
      <c r="AH70" s="1"/>
    </row>
    <row r="71" spans="1:35" ht="22.15" customHeight="1" x14ac:dyDescent="0.2">
      <c r="A71" s="1715"/>
      <c r="B71" s="1722" t="s">
        <v>344</v>
      </c>
      <c r="C71" s="1629" t="s">
        <v>165</v>
      </c>
      <c r="D71" s="1629" t="s">
        <v>165</v>
      </c>
      <c r="E71" s="1629" t="s">
        <v>165</v>
      </c>
      <c r="F71" s="1629" t="s">
        <v>112</v>
      </c>
      <c r="G71" s="1629" t="s">
        <v>112</v>
      </c>
      <c r="H71" s="1629" t="s">
        <v>165</v>
      </c>
      <c r="I71" s="1629" t="s">
        <v>165</v>
      </c>
      <c r="J71" s="1629" t="s">
        <v>165</v>
      </c>
      <c r="K71" s="1629" t="s">
        <v>165</v>
      </c>
      <c r="L71" s="1629" t="s">
        <v>165</v>
      </c>
      <c r="M71" s="1636"/>
      <c r="N71" s="1636"/>
      <c r="O71" s="1723" t="s">
        <v>110</v>
      </c>
      <c r="P71" s="1723" t="s">
        <v>110</v>
      </c>
      <c r="Q71" s="1723" t="s">
        <v>110</v>
      </c>
      <c r="R71" s="1723" t="s">
        <v>110</v>
      </c>
      <c r="S71" s="1723" t="s">
        <v>110</v>
      </c>
      <c r="T71" s="1723" t="s">
        <v>46</v>
      </c>
      <c r="U71" s="1723" t="s">
        <v>46</v>
      </c>
      <c r="V71" s="1629" t="s">
        <v>35</v>
      </c>
      <c r="W71" s="1629" t="s">
        <v>35</v>
      </c>
      <c r="X71" s="1633">
        <v>26</v>
      </c>
      <c r="Y71" s="1633">
        <v>26</v>
      </c>
      <c r="Z71" s="1633">
        <v>26</v>
      </c>
      <c r="AA71" s="1629"/>
      <c r="AB71" s="1629"/>
      <c r="AC71" s="1712" t="s">
        <v>31</v>
      </c>
      <c r="AD71" s="1712" t="s">
        <v>31</v>
      </c>
      <c r="AE71" s="1712" t="s">
        <v>31</v>
      </c>
      <c r="AF71" s="1712" t="s">
        <v>31</v>
      </c>
      <c r="AG71" s="1724" t="s">
        <v>31</v>
      </c>
      <c r="AH71" s="375"/>
      <c r="AI71" s="214"/>
    </row>
    <row r="72" spans="1:35" ht="22.15" customHeight="1" x14ac:dyDescent="0.2">
      <c r="A72" s="1725"/>
      <c r="B72" s="1627" t="s">
        <v>122</v>
      </c>
      <c r="C72" s="1631" t="s">
        <v>31</v>
      </c>
      <c r="D72" s="1631" t="s">
        <v>31</v>
      </c>
      <c r="E72" s="1631" t="s">
        <v>31</v>
      </c>
      <c r="F72" s="1631"/>
      <c r="G72" s="1612"/>
      <c r="H72" s="1612">
        <v>89</v>
      </c>
      <c r="I72" s="1612">
        <v>89</v>
      </c>
      <c r="J72" s="1612">
        <v>89</v>
      </c>
      <c r="K72" s="1612">
        <v>25</v>
      </c>
      <c r="L72" s="1723" t="s">
        <v>110</v>
      </c>
      <c r="M72" s="1723" t="s">
        <v>46</v>
      </c>
      <c r="N72" s="1723" t="s">
        <v>46</v>
      </c>
      <c r="O72" s="1612" t="s">
        <v>35</v>
      </c>
      <c r="P72" s="1612" t="s">
        <v>35</v>
      </c>
      <c r="Q72" s="1612" t="s">
        <v>35</v>
      </c>
      <c r="R72" s="1612" t="s">
        <v>35</v>
      </c>
      <c r="S72" s="1612" t="s">
        <v>35</v>
      </c>
      <c r="T72" s="1612" t="s">
        <v>112</v>
      </c>
      <c r="U72" s="1612"/>
      <c r="V72" s="1625">
        <v>5</v>
      </c>
      <c r="W72" s="1625">
        <v>5</v>
      </c>
      <c r="X72" s="1629">
        <v>5</v>
      </c>
      <c r="Y72" s="1625">
        <v>5</v>
      </c>
      <c r="Z72" s="1625">
        <v>5</v>
      </c>
      <c r="AA72" s="1612"/>
      <c r="AB72" s="1612"/>
      <c r="AC72" s="1612">
        <v>25</v>
      </c>
      <c r="AD72" s="1612">
        <v>25</v>
      </c>
      <c r="AE72" s="1612">
        <v>25</v>
      </c>
      <c r="AF72" s="1612">
        <v>25</v>
      </c>
      <c r="AG72" s="1726">
        <v>25</v>
      </c>
      <c r="AH72" s="375"/>
      <c r="AI72" s="214"/>
    </row>
    <row r="73" spans="1:35" ht="22.15" customHeight="1" x14ac:dyDescent="0.2">
      <c r="A73" s="1725"/>
      <c r="B73" s="1715" t="s">
        <v>123</v>
      </c>
      <c r="C73" s="1612" t="s">
        <v>31</v>
      </c>
      <c r="D73" s="1612" t="s">
        <v>31</v>
      </c>
      <c r="E73" s="1612">
        <v>23</v>
      </c>
      <c r="F73" s="1716">
        <v>23</v>
      </c>
      <c r="G73" s="1612">
        <v>23</v>
      </c>
      <c r="H73" s="1629" t="s">
        <v>35</v>
      </c>
      <c r="I73" s="1629" t="s">
        <v>35</v>
      </c>
      <c r="J73" s="1629" t="s">
        <v>35</v>
      </c>
      <c r="K73" s="1612" t="s">
        <v>35</v>
      </c>
      <c r="L73" s="1723" t="s">
        <v>35</v>
      </c>
      <c r="M73" s="1625" t="s">
        <v>69</v>
      </c>
      <c r="N73" s="1625" t="s">
        <v>69</v>
      </c>
      <c r="O73" s="1625">
        <v>8</v>
      </c>
      <c r="P73" s="1625">
        <v>8</v>
      </c>
      <c r="Q73" s="1628">
        <v>8</v>
      </c>
      <c r="R73" s="1628">
        <v>8</v>
      </c>
      <c r="S73" s="1628">
        <v>8</v>
      </c>
      <c r="T73" s="1612"/>
      <c r="U73" s="1612"/>
      <c r="V73" s="1723" t="s">
        <v>110</v>
      </c>
      <c r="W73" s="1723" t="s">
        <v>110</v>
      </c>
      <c r="X73" s="1727">
        <v>26</v>
      </c>
      <c r="Y73" s="1727">
        <v>26</v>
      </c>
      <c r="Z73" s="1727">
        <v>26</v>
      </c>
      <c r="AA73" s="1633">
        <v>26</v>
      </c>
      <c r="AB73" s="1633">
        <v>26</v>
      </c>
      <c r="AC73" s="1612" t="s">
        <v>35</v>
      </c>
      <c r="AD73" s="1624">
        <v>22</v>
      </c>
      <c r="AE73" s="1612">
        <v>22</v>
      </c>
      <c r="AF73" s="1612">
        <v>22</v>
      </c>
      <c r="AG73" s="1728">
        <v>22</v>
      </c>
      <c r="AH73" s="375"/>
      <c r="AI73" s="214"/>
    </row>
    <row r="74" spans="1:35" ht="22.15" customHeight="1" x14ac:dyDescent="0.2">
      <c r="A74" s="1725"/>
      <c r="B74" s="1729" t="s">
        <v>124</v>
      </c>
      <c r="C74" s="1712"/>
      <c r="D74" s="1712"/>
      <c r="E74" s="1712"/>
      <c r="F74" s="1712"/>
      <c r="G74" s="1712"/>
      <c r="H74" s="1628">
        <v>26</v>
      </c>
      <c r="I74" s="1628">
        <v>26</v>
      </c>
      <c r="J74" s="1628">
        <v>26</v>
      </c>
      <c r="K74" s="1628">
        <v>26</v>
      </c>
      <c r="L74" s="1628">
        <v>26</v>
      </c>
      <c r="M74" s="1628">
        <v>26</v>
      </c>
      <c r="N74" s="1628">
        <v>26</v>
      </c>
      <c r="O74" s="1629" t="s">
        <v>35</v>
      </c>
      <c r="P74" s="1629" t="s">
        <v>35</v>
      </c>
      <c r="Q74" s="1629" t="s">
        <v>35</v>
      </c>
      <c r="R74" s="1629" t="s">
        <v>35</v>
      </c>
      <c r="S74" s="1629" t="s">
        <v>35</v>
      </c>
      <c r="T74" s="1639"/>
      <c r="U74" s="1639"/>
      <c r="V74" s="1723">
        <v>26</v>
      </c>
      <c r="W74" s="1723">
        <v>26</v>
      </c>
      <c r="X74" s="1723" t="s">
        <v>110</v>
      </c>
      <c r="Y74" s="1723" t="s">
        <v>110</v>
      </c>
      <c r="Z74" s="1723" t="s">
        <v>110</v>
      </c>
      <c r="AA74" s="1723" t="s">
        <v>46</v>
      </c>
      <c r="AB74" s="1723" t="s">
        <v>46</v>
      </c>
      <c r="AC74" s="1612" t="s">
        <v>35</v>
      </c>
      <c r="AD74" s="1612" t="s">
        <v>35</v>
      </c>
      <c r="AE74" s="1612">
        <v>79</v>
      </c>
      <c r="AF74" s="1612">
        <v>79</v>
      </c>
      <c r="AG74" s="1726">
        <v>79</v>
      </c>
      <c r="AH74" s="376"/>
      <c r="AI74" s="258"/>
    </row>
    <row r="75" spans="1:35" ht="22.15" customHeight="1" thickBot="1" x14ac:dyDescent="0.25">
      <c r="A75" s="669"/>
      <c r="B75" s="668"/>
      <c r="C75" s="669"/>
      <c r="D75" s="669"/>
      <c r="E75" s="669"/>
      <c r="F75" s="669"/>
      <c r="G75" s="669"/>
      <c r="H75" s="669"/>
      <c r="I75" s="669"/>
      <c r="J75" s="669"/>
      <c r="K75" s="669"/>
      <c r="L75" s="669"/>
      <c r="M75" s="669"/>
      <c r="N75" s="669"/>
      <c r="O75" s="669"/>
      <c r="P75" s="669"/>
      <c r="Q75" s="669"/>
      <c r="R75" s="669"/>
      <c r="S75" s="669"/>
      <c r="T75" s="669"/>
      <c r="U75" s="669"/>
      <c r="V75" s="669"/>
      <c r="W75" s="669"/>
      <c r="X75" s="669"/>
      <c r="Y75" s="669"/>
      <c r="Z75" s="669"/>
      <c r="AA75" s="669"/>
      <c r="AB75" s="669"/>
      <c r="AC75" s="669"/>
      <c r="AD75" s="669"/>
      <c r="AE75" s="669"/>
      <c r="AF75" s="669"/>
      <c r="AG75" s="237"/>
      <c r="AH75" s="375"/>
      <c r="AI75" s="214"/>
    </row>
    <row r="76" spans="1:35" ht="22.15" customHeight="1" thickBot="1" x14ac:dyDescent="0.25">
      <c r="A76" s="1730"/>
      <c r="B76" s="1326"/>
      <c r="C76" s="245"/>
      <c r="D76" s="245"/>
      <c r="E76" s="245"/>
      <c r="F76" s="245"/>
      <c r="G76" s="245"/>
      <c r="H76" s="245"/>
      <c r="I76" s="245"/>
      <c r="J76" s="245"/>
      <c r="K76" s="245"/>
      <c r="L76" s="245"/>
      <c r="M76" s="245"/>
      <c r="N76" s="245"/>
      <c r="O76" s="245"/>
      <c r="P76" s="245"/>
      <c r="Q76" s="245"/>
      <c r="R76" s="245"/>
      <c r="S76" s="245"/>
      <c r="T76" s="245"/>
      <c r="U76" s="245"/>
      <c r="V76" s="245"/>
      <c r="W76" s="245"/>
      <c r="X76" s="245"/>
      <c r="Y76" s="245"/>
      <c r="Z76" s="245"/>
      <c r="AA76" s="245"/>
      <c r="AB76" s="245"/>
      <c r="AC76" s="245"/>
      <c r="AD76" s="245"/>
      <c r="AE76" s="245"/>
      <c r="AF76" s="245"/>
      <c r="AG76" s="1327"/>
      <c r="AH76" s="1"/>
    </row>
    <row r="77" spans="1:35" ht="22.15" customHeight="1" thickBot="1" x14ac:dyDescent="0.25">
      <c r="A77" s="377"/>
      <c r="B77" s="378" t="s">
        <v>125</v>
      </c>
      <c r="C77" s="1690">
        <v>1</v>
      </c>
      <c r="D77" s="1690">
        <v>2</v>
      </c>
      <c r="E77" s="1690">
        <v>3</v>
      </c>
      <c r="F77" s="1731">
        <v>4</v>
      </c>
      <c r="G77" s="1731">
        <v>5</v>
      </c>
      <c r="H77" s="1690">
        <v>6</v>
      </c>
      <c r="I77" s="1690">
        <v>7</v>
      </c>
      <c r="J77" s="1690">
        <v>8</v>
      </c>
      <c r="K77" s="1690">
        <v>9</v>
      </c>
      <c r="L77" s="1690">
        <v>10</v>
      </c>
      <c r="M77" s="1731">
        <v>11</v>
      </c>
      <c r="N77" s="1731">
        <v>12</v>
      </c>
      <c r="O77" s="1690">
        <v>13</v>
      </c>
      <c r="P77" s="1690">
        <v>14</v>
      </c>
      <c r="Q77" s="1690">
        <v>15</v>
      </c>
      <c r="R77" s="1690">
        <v>16</v>
      </c>
      <c r="S77" s="1690">
        <v>17</v>
      </c>
      <c r="T77" s="1731">
        <v>18</v>
      </c>
      <c r="U77" s="1731">
        <v>19</v>
      </c>
      <c r="V77" s="1690">
        <v>20</v>
      </c>
      <c r="W77" s="1690">
        <v>21</v>
      </c>
      <c r="X77" s="1690">
        <v>22</v>
      </c>
      <c r="Y77" s="1690">
        <v>23</v>
      </c>
      <c r="Z77" s="1690">
        <v>24</v>
      </c>
      <c r="AA77" s="1731">
        <v>25</v>
      </c>
      <c r="AB77" s="1731">
        <v>26</v>
      </c>
      <c r="AC77" s="1690">
        <v>27</v>
      </c>
      <c r="AD77" s="1690">
        <v>28</v>
      </c>
      <c r="AE77" s="1690">
        <v>29</v>
      </c>
      <c r="AF77" s="1690">
        <v>30</v>
      </c>
      <c r="AG77" s="1732">
        <v>31</v>
      </c>
      <c r="AH77" s="1"/>
    </row>
    <row r="78" spans="1:35" ht="22.15" customHeight="1" x14ac:dyDescent="0.2">
      <c r="A78" s="379"/>
      <c r="B78" s="379" t="s">
        <v>126</v>
      </c>
      <c r="C78" s="385">
        <v>7</v>
      </c>
      <c r="D78" s="385">
        <v>7</v>
      </c>
      <c r="E78" s="385">
        <v>7</v>
      </c>
      <c r="F78" s="380"/>
      <c r="G78" s="380"/>
      <c r="H78" s="414" t="s">
        <v>235</v>
      </c>
      <c r="I78" s="385" t="s">
        <v>235</v>
      </c>
      <c r="J78" s="385" t="s">
        <v>235</v>
      </c>
      <c r="K78" s="385" t="s">
        <v>235</v>
      </c>
      <c r="L78" s="385" t="s">
        <v>235</v>
      </c>
      <c r="M78" s="380"/>
      <c r="N78" s="380"/>
      <c r="O78" s="380">
        <v>99</v>
      </c>
      <c r="P78" s="380">
        <v>99</v>
      </c>
      <c r="Q78" s="386">
        <v>99</v>
      </c>
      <c r="R78" s="386">
        <v>99</v>
      </c>
      <c r="S78" s="415" t="s">
        <v>31</v>
      </c>
      <c r="T78" s="380"/>
      <c r="U78" s="380"/>
      <c r="V78" s="385">
        <v>11</v>
      </c>
      <c r="W78" s="385">
        <v>11</v>
      </c>
      <c r="X78" s="380">
        <v>11</v>
      </c>
      <c r="Y78" s="385">
        <v>11</v>
      </c>
      <c r="Z78" s="385">
        <v>11</v>
      </c>
      <c r="AA78" s="385" t="s">
        <v>73</v>
      </c>
      <c r="AB78" s="385" t="s">
        <v>73</v>
      </c>
      <c r="AC78" s="416" t="s">
        <v>35</v>
      </c>
      <c r="AD78" s="416" t="s">
        <v>35</v>
      </c>
      <c r="AE78" s="416" t="s">
        <v>35</v>
      </c>
      <c r="AF78" s="386">
        <v>69</v>
      </c>
      <c r="AG78" s="387">
        <v>69</v>
      </c>
      <c r="AH78" s="1"/>
    </row>
    <row r="79" spans="1:35" ht="22.15" customHeight="1" x14ac:dyDescent="0.2">
      <c r="A79" s="1715"/>
      <c r="B79" s="1715" t="s">
        <v>127</v>
      </c>
      <c r="C79" s="1723">
        <v>79</v>
      </c>
      <c r="D79" s="1723">
        <v>79</v>
      </c>
      <c r="E79" s="1723">
        <v>79</v>
      </c>
      <c r="F79" s="1629" t="s">
        <v>112</v>
      </c>
      <c r="G79" s="1629" t="s">
        <v>112</v>
      </c>
      <c r="H79" s="1629">
        <v>4</v>
      </c>
      <c r="I79" s="1629">
        <v>4</v>
      </c>
      <c r="J79" s="1629">
        <v>4</v>
      </c>
      <c r="K79" s="1632" t="s">
        <v>31</v>
      </c>
      <c r="L79" s="1632" t="s">
        <v>31</v>
      </c>
      <c r="M79" s="1629" t="s">
        <v>112</v>
      </c>
      <c r="N79" s="1629" t="s">
        <v>112</v>
      </c>
      <c r="O79" s="1636">
        <v>69</v>
      </c>
      <c r="P79" s="1636">
        <v>69</v>
      </c>
      <c r="Q79" s="1636">
        <v>69</v>
      </c>
      <c r="R79" s="1636">
        <v>69</v>
      </c>
      <c r="S79" s="1636">
        <v>69</v>
      </c>
      <c r="T79" s="1629"/>
      <c r="U79" s="1625"/>
      <c r="V79" s="1625">
        <v>79</v>
      </c>
      <c r="W79" s="1625">
        <v>79</v>
      </c>
      <c r="X79" s="1625">
        <v>79</v>
      </c>
      <c r="Y79" s="1625">
        <v>79</v>
      </c>
      <c r="Z79" s="1625" t="s">
        <v>359</v>
      </c>
      <c r="AA79" s="1625" t="s">
        <v>0</v>
      </c>
      <c r="AB79" s="1629"/>
      <c r="AC79" s="1629">
        <v>21</v>
      </c>
      <c r="AD79" s="1629">
        <v>21</v>
      </c>
      <c r="AE79" s="1629">
        <v>21</v>
      </c>
      <c r="AF79" s="1629">
        <v>21</v>
      </c>
      <c r="AG79" s="1634">
        <v>21</v>
      </c>
      <c r="AH79" s="1"/>
    </row>
    <row r="80" spans="1:35" ht="22.15" customHeight="1" x14ac:dyDescent="0.2">
      <c r="A80" s="1733"/>
      <c r="B80" s="1715" t="s">
        <v>128</v>
      </c>
      <c r="C80" s="1629" t="s">
        <v>31</v>
      </c>
      <c r="D80" s="1629" t="s">
        <v>31</v>
      </c>
      <c r="E80" s="1629" t="s">
        <v>31</v>
      </c>
      <c r="F80" s="1629"/>
      <c r="G80" s="1629"/>
      <c r="H80" s="1623" t="s">
        <v>31</v>
      </c>
      <c r="I80" s="1623" t="s">
        <v>289</v>
      </c>
      <c r="J80" s="1734" t="s">
        <v>31</v>
      </c>
      <c r="K80" s="1734" t="s">
        <v>31</v>
      </c>
      <c r="L80" s="1734" t="s">
        <v>31</v>
      </c>
      <c r="M80" s="1629"/>
      <c r="N80" s="1629"/>
      <c r="O80" s="1629" t="s">
        <v>31</v>
      </c>
      <c r="P80" s="1629" t="s">
        <v>31</v>
      </c>
      <c r="Q80" s="1629" t="s">
        <v>31</v>
      </c>
      <c r="R80" s="1629" t="s">
        <v>31</v>
      </c>
      <c r="S80" s="1629" t="s">
        <v>31</v>
      </c>
      <c r="T80" s="1629"/>
      <c r="U80" s="1629"/>
      <c r="V80" s="1735" t="s">
        <v>31</v>
      </c>
      <c r="W80" s="1735" t="s">
        <v>31</v>
      </c>
      <c r="X80" s="1735" t="s">
        <v>360</v>
      </c>
      <c r="Y80" s="1725" t="s">
        <v>31</v>
      </c>
      <c r="Z80" s="1725" t="s">
        <v>31</v>
      </c>
      <c r="AA80" s="1629"/>
      <c r="AB80" s="1629"/>
      <c r="AC80" s="1629" t="s">
        <v>31</v>
      </c>
      <c r="AD80" s="1629" t="s">
        <v>31</v>
      </c>
      <c r="AE80" s="1629" t="s">
        <v>31</v>
      </c>
      <c r="AF80" s="1629" t="s">
        <v>31</v>
      </c>
      <c r="AG80" s="1634" t="s">
        <v>31</v>
      </c>
      <c r="AH80" s="1"/>
    </row>
    <row r="81" spans="1:35" ht="22.15" customHeight="1" x14ac:dyDescent="0.2">
      <c r="A81" s="1733"/>
      <c r="B81" s="1715" t="s">
        <v>129</v>
      </c>
      <c r="C81" s="1625" t="s">
        <v>116</v>
      </c>
      <c r="D81" s="1625" t="s">
        <v>116</v>
      </c>
      <c r="E81" s="1625" t="s">
        <v>116</v>
      </c>
      <c r="F81" s="1546"/>
      <c r="G81" s="1546"/>
      <c r="H81" s="1639" t="s">
        <v>175</v>
      </c>
      <c r="I81" s="1639" t="s">
        <v>175</v>
      </c>
      <c r="J81" s="1639" t="s">
        <v>175</v>
      </c>
      <c r="K81" s="1639" t="s">
        <v>175</v>
      </c>
      <c r="L81" s="1639" t="s">
        <v>175</v>
      </c>
      <c r="M81" s="1546"/>
      <c r="N81" s="1546"/>
      <c r="O81" s="1736" t="s">
        <v>361</v>
      </c>
      <c r="P81" s="1629">
        <v>89</v>
      </c>
      <c r="Q81" s="1629">
        <v>89</v>
      </c>
      <c r="R81" s="1629">
        <v>89</v>
      </c>
      <c r="S81" s="1629">
        <v>89</v>
      </c>
      <c r="T81" s="1629">
        <v>89</v>
      </c>
      <c r="U81" s="1625"/>
      <c r="V81" s="1629" t="s">
        <v>175</v>
      </c>
      <c r="W81" s="1633" t="s">
        <v>181</v>
      </c>
      <c r="X81" s="1633" t="s">
        <v>181</v>
      </c>
      <c r="Y81" s="1633" t="s">
        <v>181</v>
      </c>
      <c r="Z81" s="1633" t="s">
        <v>181</v>
      </c>
      <c r="AA81" s="1737">
        <v>22</v>
      </c>
      <c r="AB81" s="1735">
        <v>22</v>
      </c>
      <c r="AC81" s="1623" t="s">
        <v>35</v>
      </c>
      <c r="AD81" s="1623" t="s">
        <v>35</v>
      </c>
      <c r="AE81" s="1623" t="s">
        <v>35</v>
      </c>
      <c r="AF81" s="1623" t="s">
        <v>35</v>
      </c>
      <c r="AG81" s="1738" t="s">
        <v>35</v>
      </c>
      <c r="AH81" s="1"/>
    </row>
    <row r="82" spans="1:35" ht="22.15" customHeight="1" x14ac:dyDescent="0.2">
      <c r="A82" s="1733"/>
      <c r="B82" s="1715" t="s">
        <v>131</v>
      </c>
      <c r="C82" s="1629" t="s">
        <v>132</v>
      </c>
      <c r="D82" s="1546" t="s">
        <v>132</v>
      </c>
      <c r="E82" s="1546" t="s">
        <v>132</v>
      </c>
      <c r="F82" s="1546"/>
      <c r="G82" s="1546"/>
      <c r="H82" s="1629" t="s">
        <v>132</v>
      </c>
      <c r="I82" s="1629" t="s">
        <v>132</v>
      </c>
      <c r="J82" s="1629" t="s">
        <v>132</v>
      </c>
      <c r="K82" s="1629" t="s">
        <v>132</v>
      </c>
      <c r="L82" s="1629" t="s">
        <v>132</v>
      </c>
      <c r="M82" s="1629" t="s">
        <v>0</v>
      </c>
      <c r="N82" s="1629" t="s">
        <v>0</v>
      </c>
      <c r="O82" s="1629" t="s">
        <v>132</v>
      </c>
      <c r="P82" s="1629" t="s">
        <v>132</v>
      </c>
      <c r="Q82" s="1629" t="s">
        <v>132</v>
      </c>
      <c r="R82" s="1629" t="s">
        <v>132</v>
      </c>
      <c r="S82" s="1629" t="s">
        <v>132</v>
      </c>
      <c r="T82" s="1636"/>
      <c r="U82" s="1636"/>
      <c r="V82" s="1629" t="s">
        <v>132</v>
      </c>
      <c r="W82" s="1629" t="s">
        <v>132</v>
      </c>
      <c r="X82" s="1629" t="s">
        <v>132</v>
      </c>
      <c r="Y82" s="1629" t="s">
        <v>132</v>
      </c>
      <c r="Z82" s="1629" t="s">
        <v>132</v>
      </c>
      <c r="AA82" s="1629"/>
      <c r="AB82" s="1629"/>
      <c r="AC82" s="1629" t="s">
        <v>132</v>
      </c>
      <c r="AD82" s="1629" t="s">
        <v>132</v>
      </c>
      <c r="AE82" s="1629" t="s">
        <v>132</v>
      </c>
      <c r="AF82" s="1629" t="s">
        <v>132</v>
      </c>
      <c r="AG82" s="1634" t="s">
        <v>132</v>
      </c>
      <c r="AH82" s="1"/>
    </row>
    <row r="83" spans="1:35" ht="22.15" customHeight="1" x14ac:dyDescent="0.2">
      <c r="A83" s="1733"/>
      <c r="B83" s="1630" t="s">
        <v>133</v>
      </c>
      <c r="C83" s="1636">
        <v>1</v>
      </c>
      <c r="D83" s="1636">
        <v>1</v>
      </c>
      <c r="E83" s="1636">
        <v>1</v>
      </c>
      <c r="F83" s="1629"/>
      <c r="G83" s="1629"/>
      <c r="H83" s="1739" t="s">
        <v>31</v>
      </c>
      <c r="I83" s="1739" t="s">
        <v>31</v>
      </c>
      <c r="J83" s="1739" t="s">
        <v>31</v>
      </c>
      <c r="K83" s="1739" t="s">
        <v>31</v>
      </c>
      <c r="L83" s="1739" t="s">
        <v>31</v>
      </c>
      <c r="M83" s="1739"/>
      <c r="N83" s="1739"/>
      <c r="O83" s="1739" t="s">
        <v>31</v>
      </c>
      <c r="P83" s="1739" t="s">
        <v>31</v>
      </c>
      <c r="Q83" s="1739" t="s">
        <v>31</v>
      </c>
      <c r="R83" s="1739" t="s">
        <v>31</v>
      </c>
      <c r="S83" s="1739" t="s">
        <v>31</v>
      </c>
      <c r="T83" s="1739"/>
      <c r="U83" s="1739"/>
      <c r="V83" s="1739" t="s">
        <v>31</v>
      </c>
      <c r="W83" s="1739" t="s">
        <v>31</v>
      </c>
      <c r="X83" s="1740" t="s">
        <v>31</v>
      </c>
      <c r="Y83" s="1465" t="s">
        <v>31</v>
      </c>
      <c r="Z83" s="1740" t="s">
        <v>31</v>
      </c>
      <c r="AA83" s="1740"/>
      <c r="AB83" s="1741"/>
      <c r="AC83" s="1629" t="s">
        <v>35</v>
      </c>
      <c r="AD83" s="1629" t="s">
        <v>35</v>
      </c>
      <c r="AE83" s="1629" t="s">
        <v>35</v>
      </c>
      <c r="AF83" s="1629" t="s">
        <v>35</v>
      </c>
      <c r="AG83" s="1634" t="s">
        <v>35</v>
      </c>
      <c r="AH83" s="1"/>
    </row>
    <row r="84" spans="1:35" ht="22.15" customHeight="1" x14ac:dyDescent="0.2">
      <c r="A84" s="1742"/>
      <c r="B84" s="1715" t="s">
        <v>362</v>
      </c>
      <c r="C84" s="1629">
        <v>23</v>
      </c>
      <c r="D84" s="1629">
        <v>23</v>
      </c>
      <c r="E84" s="1546"/>
      <c r="F84" s="1546"/>
      <c r="G84" s="1546"/>
      <c r="H84" s="1546"/>
      <c r="I84" s="1546"/>
      <c r="J84" s="1546"/>
      <c r="K84" s="1546"/>
      <c r="L84" s="1546"/>
      <c r="M84" s="1546"/>
      <c r="N84" s="1546"/>
      <c r="O84" s="1546"/>
      <c r="P84" s="1546"/>
      <c r="Q84" s="1546"/>
      <c r="R84" s="1546"/>
      <c r="S84" s="1546"/>
      <c r="T84" s="1546"/>
      <c r="U84" s="1546"/>
      <c r="V84" s="1546"/>
      <c r="W84" s="1546"/>
      <c r="X84" s="1546"/>
      <c r="Y84" s="1546"/>
      <c r="Z84" s="1546"/>
      <c r="AA84" s="1546"/>
      <c r="AB84" s="1546"/>
      <c r="AC84" s="1546"/>
      <c r="AD84" s="1546"/>
      <c r="AE84" s="1546"/>
      <c r="AF84" s="1546"/>
      <c r="AG84" s="1743"/>
      <c r="AH84" s="1"/>
    </row>
    <row r="85" spans="1:35" ht="22.15" customHeight="1" x14ac:dyDescent="0.2">
      <c r="A85" s="1488"/>
      <c r="B85" s="1715" t="s">
        <v>363</v>
      </c>
      <c r="C85" s="1744">
        <v>9</v>
      </c>
      <c r="D85" s="1625">
        <v>9</v>
      </c>
      <c r="E85" s="1625">
        <v>9</v>
      </c>
      <c r="F85" s="1629"/>
      <c r="G85" s="1629"/>
      <c r="H85" s="1636">
        <v>9</v>
      </c>
      <c r="I85" s="1636">
        <v>9</v>
      </c>
      <c r="J85" s="1636">
        <v>9</v>
      </c>
      <c r="K85" s="1636">
        <v>9</v>
      </c>
      <c r="L85" s="1636">
        <v>9</v>
      </c>
      <c r="M85" s="1636" t="s">
        <v>66</v>
      </c>
      <c r="N85" s="1636" t="s">
        <v>67</v>
      </c>
      <c r="O85" s="1636" t="s">
        <v>35</v>
      </c>
      <c r="P85" s="1636" t="s">
        <v>35</v>
      </c>
      <c r="Q85" s="1636" t="s">
        <v>35</v>
      </c>
      <c r="R85" s="1636" t="s">
        <v>35</v>
      </c>
      <c r="S85" s="1636" t="s">
        <v>35</v>
      </c>
      <c r="T85" s="1636" t="s">
        <v>68</v>
      </c>
      <c r="U85" s="1636" t="s">
        <v>69</v>
      </c>
      <c r="V85" s="1636">
        <v>6</v>
      </c>
      <c r="W85" s="1636">
        <v>6</v>
      </c>
      <c r="X85" s="1636">
        <v>6</v>
      </c>
      <c r="Y85" s="1636">
        <v>6</v>
      </c>
      <c r="Z85" s="1636">
        <v>6</v>
      </c>
      <c r="AA85" s="1636"/>
      <c r="AB85" s="1636"/>
      <c r="AC85" s="1741" t="s">
        <v>31</v>
      </c>
      <c r="AD85" s="1741" t="s">
        <v>31</v>
      </c>
      <c r="AE85" s="1741" t="s">
        <v>31</v>
      </c>
      <c r="AF85" s="1741" t="s">
        <v>31</v>
      </c>
      <c r="AG85" s="1745" t="s">
        <v>31</v>
      </c>
      <c r="AH85" s="1"/>
    </row>
    <row r="86" spans="1:35" ht="22.15" customHeight="1" thickBot="1" x14ac:dyDescent="0.25">
      <c r="A86" s="686"/>
      <c r="B86" s="692" t="s">
        <v>364</v>
      </c>
      <c r="C86" s="697" t="s">
        <v>165</v>
      </c>
      <c r="D86" s="697" t="s">
        <v>175</v>
      </c>
      <c r="E86" s="698">
        <v>3</v>
      </c>
      <c r="F86" s="693"/>
      <c r="G86" s="693"/>
      <c r="H86" s="698">
        <v>69</v>
      </c>
      <c r="I86" s="698">
        <v>69</v>
      </c>
      <c r="J86" s="698">
        <v>69</v>
      </c>
      <c r="K86" s="693">
        <v>89</v>
      </c>
      <c r="L86" s="693">
        <v>89</v>
      </c>
      <c r="M86" s="693">
        <v>89</v>
      </c>
      <c r="N86" s="693"/>
      <c r="O86" s="697">
        <v>21</v>
      </c>
      <c r="P86" s="699">
        <v>21</v>
      </c>
      <c r="Q86" s="697">
        <v>21</v>
      </c>
      <c r="R86" s="697">
        <v>21</v>
      </c>
      <c r="S86" s="696">
        <v>21</v>
      </c>
      <c r="T86" s="690">
        <v>21</v>
      </c>
      <c r="U86" s="690">
        <v>21</v>
      </c>
      <c r="V86" s="690" t="s">
        <v>35</v>
      </c>
      <c r="W86" s="690" t="s">
        <v>35</v>
      </c>
      <c r="X86" s="690" t="s">
        <v>35</v>
      </c>
      <c r="Y86" s="690" t="s">
        <v>35</v>
      </c>
      <c r="Z86" s="690" t="s">
        <v>35</v>
      </c>
      <c r="AA86" s="690"/>
      <c r="AB86" s="690"/>
      <c r="AC86" s="676">
        <v>79</v>
      </c>
      <c r="AD86" s="676">
        <v>79</v>
      </c>
      <c r="AE86" s="676">
        <v>99</v>
      </c>
      <c r="AF86" s="690">
        <v>99</v>
      </c>
      <c r="AG86" s="217" t="s">
        <v>0</v>
      </c>
      <c r="AH86" s="1"/>
    </row>
    <row r="87" spans="1:35" ht="22.15" customHeight="1" thickBot="1" x14ac:dyDescent="0.25">
      <c r="AH87" s="1"/>
    </row>
    <row r="88" spans="1:35" ht="22.15" customHeight="1" thickBot="1" x14ac:dyDescent="0.25">
      <c r="A88" s="487"/>
      <c r="B88" s="488" t="s">
        <v>135</v>
      </c>
      <c r="C88" s="1595">
        <v>1</v>
      </c>
      <c r="D88" s="1595">
        <v>2</v>
      </c>
      <c r="E88" s="1595">
        <v>3</v>
      </c>
      <c r="F88" s="1596">
        <v>4</v>
      </c>
      <c r="G88" s="1596">
        <v>5</v>
      </c>
      <c r="H88" s="1595">
        <v>6</v>
      </c>
      <c r="I88" s="1595">
        <v>7</v>
      </c>
      <c r="J88" s="1595">
        <v>8</v>
      </c>
      <c r="K88" s="1595">
        <v>9</v>
      </c>
      <c r="L88" s="1595">
        <v>10</v>
      </c>
      <c r="M88" s="1596">
        <v>11</v>
      </c>
      <c r="N88" s="1596">
        <v>12</v>
      </c>
      <c r="O88" s="1595">
        <v>13</v>
      </c>
      <c r="P88" s="1595">
        <v>14</v>
      </c>
      <c r="Q88" s="1595">
        <v>15</v>
      </c>
      <c r="R88" s="1595">
        <v>16</v>
      </c>
      <c r="S88" s="1595">
        <v>17</v>
      </c>
      <c r="T88" s="1596">
        <v>18</v>
      </c>
      <c r="U88" s="1596">
        <v>19</v>
      </c>
      <c r="V88" s="1595">
        <v>20</v>
      </c>
      <c r="W88" s="1595">
        <v>21</v>
      </c>
      <c r="X88" s="1595">
        <v>22</v>
      </c>
      <c r="Y88" s="1595">
        <v>23</v>
      </c>
      <c r="Z88" s="1595">
        <v>24</v>
      </c>
      <c r="AA88" s="1596">
        <v>25</v>
      </c>
      <c r="AB88" s="1596">
        <v>26</v>
      </c>
      <c r="AC88" s="1595">
        <v>27</v>
      </c>
      <c r="AD88" s="1595">
        <v>28</v>
      </c>
      <c r="AE88" s="1595">
        <v>29</v>
      </c>
      <c r="AF88" s="1595">
        <v>30</v>
      </c>
      <c r="AG88" s="1597">
        <v>31</v>
      </c>
      <c r="AH88" s="1"/>
    </row>
    <row r="89" spans="1:35" ht="22.15" customHeight="1" x14ac:dyDescent="0.2">
      <c r="A89" s="1746">
        <v>2</v>
      </c>
      <c r="B89" s="1747"/>
      <c r="C89" s="1748"/>
      <c r="D89" s="1748"/>
      <c r="E89" s="1748"/>
      <c r="F89" s="1749"/>
      <c r="G89" s="1749"/>
      <c r="H89" s="1749"/>
      <c r="I89" s="1749"/>
      <c r="J89" s="1749"/>
      <c r="K89" s="1749"/>
      <c r="L89" s="1749"/>
      <c r="M89" s="1749"/>
      <c r="N89" s="1749"/>
      <c r="O89" s="1749"/>
      <c r="P89" s="1749"/>
      <c r="Q89" s="1749"/>
      <c r="R89" s="1750"/>
      <c r="S89" s="1750"/>
      <c r="T89" s="1750"/>
      <c r="U89" s="1750"/>
      <c r="V89" s="1750"/>
      <c r="W89" s="1748"/>
      <c r="X89" s="1748"/>
      <c r="Y89" s="1750"/>
      <c r="Z89" s="1750"/>
      <c r="AA89" s="1750"/>
      <c r="AB89" s="1750"/>
      <c r="AC89" s="1750"/>
      <c r="AD89" s="1748"/>
      <c r="AE89" s="1748"/>
      <c r="AF89" s="1751"/>
      <c r="AG89" s="1752"/>
      <c r="AH89" s="1"/>
    </row>
    <row r="90" spans="1:35" ht="22.15" customHeight="1" x14ac:dyDescent="0.2">
      <c r="A90" s="1746">
        <v>3</v>
      </c>
      <c r="B90" s="1753"/>
      <c r="C90" s="1754"/>
      <c r="D90" s="1754"/>
      <c r="E90" s="1754"/>
      <c r="F90" s="1754"/>
      <c r="G90" s="1754"/>
      <c r="H90" s="1754"/>
      <c r="I90" s="1754"/>
      <c r="J90" s="1754"/>
      <c r="K90" s="1754"/>
      <c r="L90" s="1754"/>
      <c r="M90" s="1754"/>
      <c r="N90" s="1754"/>
      <c r="O90" s="1754"/>
      <c r="P90" s="1754"/>
      <c r="Q90" s="1754"/>
      <c r="R90" s="1754"/>
      <c r="S90" s="1754"/>
      <c r="T90" s="1754"/>
      <c r="U90" s="1754"/>
      <c r="V90" s="1754"/>
      <c r="W90" s="1754"/>
      <c r="X90" s="1754"/>
      <c r="Y90" s="1754"/>
      <c r="Z90" s="1754"/>
      <c r="AA90" s="1754"/>
      <c r="AB90" s="1754"/>
      <c r="AC90" s="1754"/>
      <c r="AD90" s="1754"/>
      <c r="AE90" s="1754"/>
      <c r="AF90" s="1755"/>
      <c r="AG90" s="1666"/>
      <c r="AH90" s="1"/>
    </row>
    <row r="91" spans="1:35" ht="22.15" customHeight="1" thickBot="1" x14ac:dyDescent="0.25">
      <c r="A91" s="1746">
        <v>4</v>
      </c>
      <c r="B91" s="1668"/>
      <c r="C91" s="1756"/>
      <c r="D91" s="1756"/>
      <c r="E91" s="1756"/>
      <c r="F91" s="1756"/>
      <c r="G91" s="1756"/>
      <c r="H91" s="1756"/>
      <c r="I91" s="1756"/>
      <c r="J91" s="1756"/>
      <c r="K91" s="1756"/>
      <c r="L91" s="1756"/>
      <c r="M91" s="1756"/>
      <c r="N91" s="1756"/>
      <c r="O91" s="1756"/>
      <c r="P91" s="1756"/>
      <c r="Q91" s="1756"/>
      <c r="R91" s="1757"/>
      <c r="S91" s="1757"/>
      <c r="T91" s="1757"/>
      <c r="U91" s="1756"/>
      <c r="V91" s="1756"/>
      <c r="W91" s="1756"/>
      <c r="X91" s="1756"/>
      <c r="Y91" s="1756"/>
      <c r="Z91" s="1756"/>
      <c r="AA91" s="1756"/>
      <c r="AB91" s="1756"/>
      <c r="AC91" s="1756"/>
      <c r="AD91" s="1756"/>
      <c r="AE91" s="1756"/>
      <c r="AF91" s="1671"/>
      <c r="AG91" s="1680"/>
      <c r="AH91" s="1"/>
    </row>
    <row r="92" spans="1:35" ht="22.15" customHeight="1" thickBot="1" x14ac:dyDescent="0.25">
      <c r="A92" s="176" t="s">
        <v>136</v>
      </c>
      <c r="B92" s="177"/>
      <c r="C92" s="177"/>
      <c r="D92" s="177"/>
      <c r="E92" s="177"/>
      <c r="F92" s="177"/>
      <c r="G92" s="178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  <c r="AI92" s="177"/>
    </row>
    <row r="93" spans="1:35" ht="22.15" customHeight="1" thickBot="1" x14ac:dyDescent="0.25">
      <c r="A93" s="179"/>
      <c r="B93" s="303" t="s">
        <v>137</v>
      </c>
      <c r="C93" s="281"/>
      <c r="D93" s="282" t="s">
        <v>90</v>
      </c>
      <c r="E93" s="283"/>
      <c r="F93" s="284"/>
      <c r="G93" s="281"/>
      <c r="H93" s="282" t="s">
        <v>91</v>
      </c>
      <c r="I93" s="283"/>
      <c r="J93" s="284"/>
      <c r="K93" s="281"/>
      <c r="L93" s="282" t="s">
        <v>92</v>
      </c>
      <c r="M93" s="283"/>
      <c r="N93" s="284"/>
      <c r="O93" s="281"/>
      <c r="P93" s="282" t="s">
        <v>93</v>
      </c>
      <c r="Q93" s="283"/>
      <c r="R93" s="284"/>
      <c r="S93" s="285"/>
      <c r="T93" s="282" t="s">
        <v>94</v>
      </c>
      <c r="U93" s="283"/>
      <c r="V93" s="284"/>
      <c r="W93" s="281"/>
      <c r="X93" s="282" t="s">
        <v>95</v>
      </c>
      <c r="Y93" s="283"/>
      <c r="Z93" s="284"/>
      <c r="AA93" s="281"/>
      <c r="AB93" s="282" t="s">
        <v>96</v>
      </c>
      <c r="AC93" s="283"/>
      <c r="AD93" s="283"/>
      <c r="AE93" s="286" t="s">
        <v>138</v>
      </c>
      <c r="AF93" s="283"/>
      <c r="AG93" s="283"/>
      <c r="AH93" s="283"/>
      <c r="AI93" s="287"/>
    </row>
    <row r="94" spans="1:35" ht="22.15" customHeight="1" x14ac:dyDescent="0.2">
      <c r="A94" s="179"/>
      <c r="B94" s="489" t="s">
        <v>139</v>
      </c>
      <c r="C94" s="490" t="s">
        <v>140</v>
      </c>
      <c r="D94" s="283"/>
      <c r="E94" s="491"/>
      <c r="F94" s="492"/>
      <c r="G94" s="490" t="s">
        <v>140</v>
      </c>
      <c r="H94" s="491"/>
      <c r="I94" s="491"/>
      <c r="J94" s="492"/>
      <c r="K94" s="288" t="s">
        <v>140</v>
      </c>
      <c r="L94" s="283"/>
      <c r="M94" s="283"/>
      <c r="N94" s="289"/>
      <c r="O94" s="288" t="s">
        <v>141</v>
      </c>
      <c r="P94" s="283"/>
      <c r="Q94" s="491"/>
      <c r="R94" s="492"/>
      <c r="S94" s="490" t="s">
        <v>142</v>
      </c>
      <c r="T94" s="491"/>
      <c r="U94" s="491"/>
      <c r="V94" s="493"/>
      <c r="W94" s="494"/>
      <c r="X94" s="495"/>
      <c r="Y94" s="495"/>
      <c r="Z94" s="496"/>
      <c r="AA94" s="493"/>
      <c r="AB94" s="491"/>
      <c r="AC94" s="491"/>
      <c r="AD94" s="493"/>
      <c r="AE94" s="497">
        <v>37</v>
      </c>
      <c r="AF94" s="283"/>
      <c r="AG94" s="491"/>
      <c r="AH94" s="493"/>
      <c r="AI94" s="498"/>
    </row>
    <row r="95" spans="1:35" ht="22.15" customHeight="1" x14ac:dyDescent="0.2">
      <c r="A95" s="179"/>
      <c r="B95" s="1758" t="s">
        <v>143</v>
      </c>
      <c r="C95" s="1759" t="s">
        <v>144</v>
      </c>
      <c r="D95" s="1760"/>
      <c r="E95" s="1760"/>
      <c r="F95" s="1761"/>
      <c r="G95" s="1759" t="s">
        <v>145</v>
      </c>
      <c r="H95" s="1760"/>
      <c r="I95" s="1760"/>
      <c r="J95" s="1761"/>
      <c r="K95" s="1759" t="s">
        <v>146</v>
      </c>
      <c r="L95" s="1762" t="s">
        <v>147</v>
      </c>
      <c r="M95" s="1760"/>
      <c r="N95" s="1761"/>
      <c r="O95" s="1759" t="s">
        <v>146</v>
      </c>
      <c r="P95" s="1762" t="s">
        <v>147</v>
      </c>
      <c r="Q95" s="1760"/>
      <c r="R95" s="1761"/>
      <c r="S95" s="1759" t="s">
        <v>145</v>
      </c>
      <c r="T95" s="1762" t="s">
        <v>148</v>
      </c>
      <c r="U95" s="1760"/>
      <c r="V95" s="1761"/>
      <c r="W95" s="180" t="s">
        <v>46</v>
      </c>
      <c r="X95" s="253" t="s">
        <v>152</v>
      </c>
      <c r="Y95" s="181"/>
      <c r="Z95" s="181"/>
      <c r="AA95" s="1759" t="s">
        <v>46</v>
      </c>
      <c r="AB95" s="1762" t="s">
        <v>152</v>
      </c>
      <c r="AC95" s="1759"/>
      <c r="AD95" s="1759"/>
      <c r="AE95" s="1763">
        <v>68</v>
      </c>
      <c r="AF95" s="1760"/>
      <c r="AG95" s="1764"/>
      <c r="AH95" s="1765"/>
      <c r="AI95" s="1766"/>
    </row>
    <row r="96" spans="1:35" ht="22.15" customHeight="1" x14ac:dyDescent="0.2">
      <c r="A96" s="179"/>
      <c r="B96" s="1758" t="s">
        <v>153</v>
      </c>
      <c r="C96" s="1767" t="s">
        <v>154</v>
      </c>
      <c r="D96" s="1760"/>
      <c r="E96" s="1760"/>
      <c r="F96" s="1761"/>
      <c r="G96" s="1760" t="s">
        <v>154</v>
      </c>
      <c r="H96" s="1760"/>
      <c r="I96" s="1760"/>
      <c r="J96" s="1761"/>
      <c r="K96" s="1760" t="s">
        <v>154</v>
      </c>
      <c r="L96" s="1760"/>
      <c r="M96" s="1760"/>
      <c r="N96" s="1761"/>
      <c r="O96" s="1760" t="s">
        <v>154</v>
      </c>
      <c r="P96" s="1760"/>
      <c r="Q96" s="1760"/>
      <c r="R96" s="1761"/>
      <c r="S96" s="1760" t="s">
        <v>154</v>
      </c>
      <c r="T96" s="1760"/>
      <c r="U96" s="1760"/>
      <c r="V96" s="1761"/>
      <c r="W96" s="1759"/>
      <c r="X96" s="1760"/>
      <c r="Y96" s="1760"/>
      <c r="Z96" s="1761"/>
      <c r="AA96" s="1759"/>
      <c r="AB96" s="1760"/>
      <c r="AC96" s="1760"/>
      <c r="AD96" s="1762"/>
      <c r="AE96" s="1763">
        <v>0</v>
      </c>
      <c r="AF96" s="1764"/>
      <c r="AG96" s="1760"/>
      <c r="AH96" s="1762"/>
      <c r="AI96" s="1768"/>
    </row>
    <row r="97" spans="1:35" ht="22.15" customHeight="1" thickBot="1" x14ac:dyDescent="0.25">
      <c r="A97" s="179"/>
      <c r="B97" s="1769" t="s">
        <v>155</v>
      </c>
      <c r="C97" s="1770" t="s">
        <v>140</v>
      </c>
      <c r="D97" s="1364"/>
      <c r="E97" s="1771"/>
      <c r="F97" s="1772"/>
      <c r="G97" s="1770" t="s">
        <v>140</v>
      </c>
      <c r="H97" s="1364"/>
      <c r="I97" s="1771"/>
      <c r="J97" s="1772"/>
      <c r="K97" s="1770" t="s">
        <v>140</v>
      </c>
      <c r="L97" s="1364"/>
      <c r="M97" s="1771"/>
      <c r="N97" s="1772"/>
      <c r="O97" s="1770" t="s">
        <v>141</v>
      </c>
      <c r="P97" s="1771"/>
      <c r="Q97" s="1771"/>
      <c r="R97" s="1772"/>
      <c r="S97" s="1770" t="s">
        <v>142</v>
      </c>
      <c r="T97" s="1771"/>
      <c r="U97" s="1771"/>
      <c r="V97" s="1773"/>
      <c r="W97" s="1774"/>
      <c r="X97" s="1771"/>
      <c r="Y97" s="1771"/>
      <c r="Z97" s="1775"/>
      <c r="AA97" s="1773"/>
      <c r="AB97" s="1771"/>
      <c r="AC97" s="1771"/>
      <c r="AD97" s="1773"/>
      <c r="AE97" s="1776">
        <v>37</v>
      </c>
      <c r="AF97" s="1771"/>
      <c r="AG97" s="1771"/>
      <c r="AH97" s="1773"/>
      <c r="AI97" s="1777"/>
    </row>
    <row r="98" spans="1:35" ht="22.15" customHeight="1" x14ac:dyDescent="0.2">
      <c r="A98" s="182"/>
      <c r="B98" s="179"/>
      <c r="C98" s="177"/>
      <c r="D98" s="181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  <c r="AI98" s="177"/>
    </row>
    <row r="99" spans="1:35" ht="22.15" customHeight="1" thickBot="1" x14ac:dyDescent="0.25">
      <c r="A99" s="1778"/>
      <c r="B99" s="1779" t="s">
        <v>29</v>
      </c>
      <c r="C99" s="1595">
        <v>1</v>
      </c>
      <c r="D99" s="1595">
        <v>2</v>
      </c>
      <c r="E99" s="1595">
        <v>3</v>
      </c>
      <c r="F99" s="1596">
        <v>4</v>
      </c>
      <c r="G99" s="1596">
        <v>5</v>
      </c>
      <c r="H99" s="1595">
        <v>6</v>
      </c>
      <c r="I99" s="1595">
        <v>7</v>
      </c>
      <c r="J99" s="1595">
        <v>8</v>
      </c>
      <c r="K99" s="1595">
        <v>9</v>
      </c>
      <c r="L99" s="1595">
        <v>10</v>
      </c>
      <c r="M99" s="1596">
        <v>11</v>
      </c>
      <c r="N99" s="1596">
        <v>12</v>
      </c>
      <c r="O99" s="1595">
        <v>13</v>
      </c>
      <c r="P99" s="1595">
        <v>14</v>
      </c>
      <c r="Q99" s="1595">
        <v>15</v>
      </c>
      <c r="R99" s="1595">
        <v>16</v>
      </c>
      <c r="S99" s="1595">
        <v>17</v>
      </c>
      <c r="T99" s="1596">
        <v>18</v>
      </c>
      <c r="U99" s="1596">
        <v>19</v>
      </c>
      <c r="V99" s="1595">
        <v>20</v>
      </c>
      <c r="W99" s="1595">
        <v>21</v>
      </c>
      <c r="X99" s="1595">
        <v>22</v>
      </c>
      <c r="Y99" s="1595">
        <v>23</v>
      </c>
      <c r="Z99" s="1595">
        <v>24</v>
      </c>
      <c r="AA99" s="1596">
        <v>25</v>
      </c>
      <c r="AB99" s="1596">
        <v>26</v>
      </c>
      <c r="AC99" s="1595">
        <v>27</v>
      </c>
      <c r="AD99" s="1595">
        <v>28</v>
      </c>
      <c r="AE99" s="1595">
        <v>29</v>
      </c>
      <c r="AF99" s="1595">
        <v>30</v>
      </c>
      <c r="AG99" s="1597">
        <v>31</v>
      </c>
      <c r="AH99" s="191"/>
      <c r="AI99" s="192"/>
    </row>
    <row r="100" spans="1:35" ht="22.15" customHeight="1" x14ac:dyDescent="0.2">
      <c r="A100" s="499">
        <v>1</v>
      </c>
      <c r="B100" s="476"/>
      <c r="C100" s="541" t="s">
        <v>35</v>
      </c>
      <c r="D100" s="541" t="s">
        <v>35</v>
      </c>
      <c r="E100" s="541" t="s">
        <v>35</v>
      </c>
      <c r="F100" s="541"/>
      <c r="G100" s="541"/>
      <c r="H100" s="541" t="s">
        <v>156</v>
      </c>
      <c r="I100" s="541" t="s">
        <v>156</v>
      </c>
      <c r="J100" s="541" t="s">
        <v>156</v>
      </c>
      <c r="K100" s="541" t="s">
        <v>156</v>
      </c>
      <c r="L100" s="541" t="s">
        <v>156</v>
      </c>
      <c r="M100" s="541"/>
      <c r="N100" s="541"/>
      <c r="O100" s="541" t="s">
        <v>156</v>
      </c>
      <c r="P100" s="544" t="s">
        <v>156</v>
      </c>
      <c r="Q100" s="541" t="s">
        <v>156</v>
      </c>
      <c r="R100" s="541" t="s">
        <v>156</v>
      </c>
      <c r="S100" s="541" t="s">
        <v>156</v>
      </c>
      <c r="T100" s="541"/>
      <c r="U100" s="541"/>
      <c r="V100" s="541" t="s">
        <v>110</v>
      </c>
      <c r="W100" s="541" t="s">
        <v>110</v>
      </c>
      <c r="X100" s="540" t="s">
        <v>110</v>
      </c>
      <c r="Y100" s="540" t="s">
        <v>110</v>
      </c>
      <c r="Z100" s="540" t="s">
        <v>110</v>
      </c>
      <c r="AA100" s="540" t="s">
        <v>46</v>
      </c>
      <c r="AB100" s="541" t="s">
        <v>46</v>
      </c>
      <c r="AC100" s="541" t="s">
        <v>35</v>
      </c>
      <c r="AD100" s="541" t="s">
        <v>35</v>
      </c>
      <c r="AE100" s="541" t="s">
        <v>35</v>
      </c>
      <c r="AF100" s="541" t="s">
        <v>35</v>
      </c>
      <c r="AG100" s="545" t="s">
        <v>35</v>
      </c>
      <c r="AH100" s="193"/>
      <c r="AI100" s="194"/>
    </row>
    <row r="101" spans="1:35" ht="22.15" customHeight="1" x14ac:dyDescent="0.2">
      <c r="A101" s="1780">
        <v>2</v>
      </c>
      <c r="B101" s="1747" t="s">
        <v>157</v>
      </c>
      <c r="C101" s="1781" t="s">
        <v>110</v>
      </c>
      <c r="D101" s="1781" t="s">
        <v>110</v>
      </c>
      <c r="E101" s="1781" t="s">
        <v>110</v>
      </c>
      <c r="F101" s="1781" t="s">
        <v>46</v>
      </c>
      <c r="G101" s="1781" t="s">
        <v>46</v>
      </c>
      <c r="H101" s="1782" t="s">
        <v>35</v>
      </c>
      <c r="I101" s="1782" t="s">
        <v>35</v>
      </c>
      <c r="J101" s="1782" t="s">
        <v>35</v>
      </c>
      <c r="K101" s="1608" t="s">
        <v>35</v>
      </c>
      <c r="L101" s="1783" t="s">
        <v>35</v>
      </c>
      <c r="M101" s="1783"/>
      <c r="N101" s="1783"/>
      <c r="O101" s="1625" t="s">
        <v>235</v>
      </c>
      <c r="P101" s="1625" t="s">
        <v>235</v>
      </c>
      <c r="Q101" s="1625" t="s">
        <v>235</v>
      </c>
      <c r="R101" s="1625" t="s">
        <v>235</v>
      </c>
      <c r="S101" s="1625" t="s">
        <v>235</v>
      </c>
      <c r="T101" s="1783"/>
      <c r="U101" s="1784"/>
      <c r="V101" s="1625" t="s">
        <v>235</v>
      </c>
      <c r="W101" s="1625" t="s">
        <v>235</v>
      </c>
      <c r="X101" s="1625" t="s">
        <v>235</v>
      </c>
      <c r="Y101" s="1625" t="s">
        <v>235</v>
      </c>
      <c r="Z101" s="1625" t="s">
        <v>235</v>
      </c>
      <c r="AA101" s="1784"/>
      <c r="AB101" s="1784"/>
      <c r="AC101" s="1784" t="s">
        <v>110</v>
      </c>
      <c r="AD101" s="1784" t="s">
        <v>110</v>
      </c>
      <c r="AE101" s="1784" t="s">
        <v>110</v>
      </c>
      <c r="AF101" s="1784" t="s">
        <v>110</v>
      </c>
      <c r="AG101" s="1785" t="s">
        <v>110</v>
      </c>
      <c r="AH101" s="193"/>
      <c r="AI101" s="194"/>
    </row>
    <row r="102" spans="1:35" ht="22.15" customHeight="1" x14ac:dyDescent="0.2">
      <c r="A102" s="1780">
        <v>3</v>
      </c>
      <c r="B102" s="1786" t="s">
        <v>159</v>
      </c>
      <c r="C102" s="1787" t="s">
        <v>228</v>
      </c>
      <c r="D102" s="1638">
        <v>79</v>
      </c>
      <c r="E102" s="1609" t="s">
        <v>156</v>
      </c>
      <c r="F102" s="1676"/>
      <c r="G102" s="1676"/>
      <c r="H102" s="1781" t="s">
        <v>110</v>
      </c>
      <c r="I102" s="1781" t="s">
        <v>110</v>
      </c>
      <c r="J102" s="1781" t="s">
        <v>110</v>
      </c>
      <c r="K102" s="1781" t="s">
        <v>110</v>
      </c>
      <c r="L102" s="1603" t="s">
        <v>110</v>
      </c>
      <c r="M102" s="1603" t="s">
        <v>46</v>
      </c>
      <c r="N102" s="1603" t="s">
        <v>46</v>
      </c>
      <c r="O102" s="1788" t="s">
        <v>35</v>
      </c>
      <c r="P102" s="1781" t="s">
        <v>35</v>
      </c>
      <c r="Q102" s="1781" t="s">
        <v>35</v>
      </c>
      <c r="R102" s="1781" t="s">
        <v>35</v>
      </c>
      <c r="S102" s="1781" t="s">
        <v>35</v>
      </c>
      <c r="T102" s="1781" t="s">
        <v>0</v>
      </c>
      <c r="U102" s="1781" t="s">
        <v>0</v>
      </c>
      <c r="V102" s="1625" t="s">
        <v>223</v>
      </c>
      <c r="W102" s="1625" t="s">
        <v>223</v>
      </c>
      <c r="X102" s="1625" t="s">
        <v>223</v>
      </c>
      <c r="Y102" s="1625" t="s">
        <v>223</v>
      </c>
      <c r="Z102" s="1625" t="s">
        <v>223</v>
      </c>
      <c r="AA102" s="1781"/>
      <c r="AB102" s="1781"/>
      <c r="AC102" s="1784" t="s">
        <v>228</v>
      </c>
      <c r="AD102" s="1784" t="s">
        <v>228</v>
      </c>
      <c r="AE102" s="1784" t="s">
        <v>228</v>
      </c>
      <c r="AF102" s="1784" t="s">
        <v>228</v>
      </c>
      <c r="AG102" s="1784" t="s">
        <v>228</v>
      </c>
      <c r="AH102" s="193"/>
      <c r="AI102" s="194"/>
    </row>
    <row r="103" spans="1:35" ht="22.15" customHeight="1" thickBot="1" x14ac:dyDescent="0.25">
      <c r="A103" s="1789">
        <v>4</v>
      </c>
      <c r="B103" s="1790"/>
      <c r="C103" s="1791" t="s">
        <v>156</v>
      </c>
      <c r="D103" s="1791" t="s">
        <v>156</v>
      </c>
      <c r="E103" s="1791" t="s">
        <v>156</v>
      </c>
      <c r="F103" s="1791"/>
      <c r="G103" s="1791"/>
      <c r="H103" s="1791" t="s">
        <v>156</v>
      </c>
      <c r="I103" s="1791" t="s">
        <v>156</v>
      </c>
      <c r="J103" s="1791" t="s">
        <v>156</v>
      </c>
      <c r="K103" s="1791" t="s">
        <v>156</v>
      </c>
      <c r="L103" s="1791" t="s">
        <v>156</v>
      </c>
      <c r="M103" s="1791" t="s">
        <v>0</v>
      </c>
      <c r="N103" s="1791" t="s">
        <v>0</v>
      </c>
      <c r="O103" s="1791" t="s">
        <v>110</v>
      </c>
      <c r="P103" s="1791" t="s">
        <v>110</v>
      </c>
      <c r="Q103" s="1791" t="s">
        <v>110</v>
      </c>
      <c r="R103" s="1791" t="s">
        <v>110</v>
      </c>
      <c r="S103" s="1791" t="s">
        <v>110</v>
      </c>
      <c r="T103" s="1791" t="s">
        <v>46</v>
      </c>
      <c r="U103" s="1791" t="s">
        <v>46</v>
      </c>
      <c r="V103" s="1791" t="s">
        <v>35</v>
      </c>
      <c r="W103" s="1791" t="s">
        <v>35</v>
      </c>
      <c r="X103" s="1791" t="s">
        <v>35</v>
      </c>
      <c r="Y103" s="1791" t="s">
        <v>35</v>
      </c>
      <c r="Z103" s="1791" t="s">
        <v>35</v>
      </c>
      <c r="AA103" s="1792"/>
      <c r="AB103" s="1792"/>
      <c r="AC103" s="1792" t="s">
        <v>156</v>
      </c>
      <c r="AD103" s="1792" t="s">
        <v>156</v>
      </c>
      <c r="AE103" s="1792" t="s">
        <v>156</v>
      </c>
      <c r="AF103" s="1791" t="s">
        <v>156</v>
      </c>
      <c r="AG103" s="1793" t="s">
        <v>156</v>
      </c>
      <c r="AH103" s="193"/>
      <c r="AI103" s="194"/>
    </row>
    <row r="104" spans="1:35" ht="22.15" customHeight="1" thickBot="1" x14ac:dyDescent="0.25">
      <c r="A104" s="231"/>
      <c r="B104" s="232"/>
      <c r="C104" s="233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3"/>
      <c r="U104" s="233"/>
      <c r="V104" s="233"/>
      <c r="W104" s="233"/>
      <c r="X104" s="233"/>
      <c r="Y104" s="233"/>
      <c r="Z104" s="233"/>
      <c r="AA104" s="233"/>
      <c r="AB104" s="233"/>
      <c r="AC104" s="233"/>
      <c r="AD104" s="233"/>
      <c r="AE104" s="233"/>
      <c r="AF104" s="233"/>
      <c r="AG104" s="234"/>
      <c r="AH104" s="235"/>
      <c r="AI104" s="194"/>
    </row>
    <row r="105" spans="1:35" ht="22.15" customHeight="1" x14ac:dyDescent="0.2">
      <c r="A105" s="72"/>
      <c r="B105" s="304" t="s">
        <v>160</v>
      </c>
      <c r="C105" s="500"/>
      <c r="D105" s="501" t="s">
        <v>90</v>
      </c>
      <c r="E105" s="502"/>
      <c r="F105" s="500"/>
      <c r="G105" s="503" t="s">
        <v>91</v>
      </c>
      <c r="H105" s="504"/>
      <c r="I105" s="505"/>
      <c r="J105" s="503" t="s">
        <v>92</v>
      </c>
      <c r="K105" s="506"/>
      <c r="L105" s="505"/>
      <c r="M105" s="507" t="s">
        <v>93</v>
      </c>
      <c r="N105" s="506"/>
      <c r="O105" s="505"/>
      <c r="P105" s="503" t="s">
        <v>94</v>
      </c>
      <c r="Q105" s="508"/>
      <c r="R105" s="505"/>
      <c r="S105" s="503" t="s">
        <v>95</v>
      </c>
      <c r="T105" s="509"/>
      <c r="U105" s="505"/>
      <c r="V105" s="503" t="s">
        <v>96</v>
      </c>
      <c r="W105" s="508"/>
      <c r="X105" s="510" t="s">
        <v>138</v>
      </c>
      <c r="Y105" s="511"/>
      <c r="Z105" s="511"/>
      <c r="AA105" s="512"/>
      <c r="AB105" s="290" t="s">
        <v>97</v>
      </c>
      <c r="AC105" s="291"/>
      <c r="AD105" s="291"/>
      <c r="AE105" s="292"/>
      <c r="AF105" s="292"/>
      <c r="AG105" s="293"/>
      <c r="AH105" s="235"/>
      <c r="AI105" s="194"/>
    </row>
    <row r="106" spans="1:35" ht="22.15" customHeight="1" x14ac:dyDescent="0.2">
      <c r="A106" s="72"/>
      <c r="B106" s="1794" t="s">
        <v>161</v>
      </c>
      <c r="C106" s="1795" t="s">
        <v>162</v>
      </c>
      <c r="D106" s="1579"/>
      <c r="E106" s="1580"/>
      <c r="F106" s="1795" t="s">
        <v>162</v>
      </c>
      <c r="G106" s="1579"/>
      <c r="H106" s="1580"/>
      <c r="I106" s="1795" t="s">
        <v>162</v>
      </c>
      <c r="J106" s="1579"/>
      <c r="K106" s="1580"/>
      <c r="L106" s="1795" t="s">
        <v>162</v>
      </c>
      <c r="M106" s="1579"/>
      <c r="N106" s="1580"/>
      <c r="O106" s="1795" t="s">
        <v>163</v>
      </c>
      <c r="P106" s="1579"/>
      <c r="Q106" s="1580"/>
      <c r="R106" s="1795"/>
      <c r="S106" s="1579"/>
      <c r="T106" s="1580"/>
      <c r="U106" s="1795"/>
      <c r="V106" s="1579"/>
      <c r="W106" s="1580"/>
      <c r="X106" s="1795"/>
      <c r="Y106" s="1796"/>
      <c r="Z106" s="1796"/>
      <c r="AA106" s="1796"/>
      <c r="AB106" s="1576"/>
      <c r="AC106" s="1796"/>
      <c r="AD106" s="1796"/>
      <c r="AE106" s="1796"/>
      <c r="AF106" s="1796"/>
      <c r="AG106" s="1797"/>
      <c r="AH106" s="235"/>
      <c r="AI106" s="194"/>
    </row>
    <row r="107" spans="1:35" ht="22.15" customHeight="1" x14ac:dyDescent="0.2">
      <c r="A107" s="72"/>
      <c r="B107" s="17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235"/>
      <c r="AI107" s="194"/>
    </row>
    <row r="108" spans="1:35" ht="22.15" customHeight="1" thickBot="1" x14ac:dyDescent="0.25">
      <c r="A108" s="1798" t="s">
        <v>28</v>
      </c>
      <c r="B108" s="1663" t="s">
        <v>29</v>
      </c>
      <c r="C108" s="1595">
        <v>1</v>
      </c>
      <c r="D108" s="1595">
        <v>2</v>
      </c>
      <c r="E108" s="1595">
        <v>3</v>
      </c>
      <c r="F108" s="1596">
        <v>4</v>
      </c>
      <c r="G108" s="1596">
        <v>5</v>
      </c>
      <c r="H108" s="1595">
        <v>6</v>
      </c>
      <c r="I108" s="1595">
        <v>7</v>
      </c>
      <c r="J108" s="1595">
        <v>8</v>
      </c>
      <c r="K108" s="1595">
        <v>9</v>
      </c>
      <c r="L108" s="1595">
        <v>10</v>
      </c>
      <c r="M108" s="1596">
        <v>11</v>
      </c>
      <c r="N108" s="1596">
        <v>12</v>
      </c>
      <c r="O108" s="1595">
        <v>13</v>
      </c>
      <c r="P108" s="1595">
        <v>14</v>
      </c>
      <c r="Q108" s="1595">
        <v>15</v>
      </c>
      <c r="R108" s="1595">
        <v>16</v>
      </c>
      <c r="S108" s="1595">
        <v>17</v>
      </c>
      <c r="T108" s="1596">
        <v>18</v>
      </c>
      <c r="U108" s="1596">
        <v>19</v>
      </c>
      <c r="V108" s="1595">
        <v>20</v>
      </c>
      <c r="W108" s="1595">
        <v>21</v>
      </c>
      <c r="X108" s="1595">
        <v>22</v>
      </c>
      <c r="Y108" s="1595">
        <v>23</v>
      </c>
      <c r="Z108" s="1595">
        <v>24</v>
      </c>
      <c r="AA108" s="1596">
        <v>25</v>
      </c>
      <c r="AB108" s="1596">
        <v>26</v>
      </c>
      <c r="AC108" s="1595">
        <v>27</v>
      </c>
      <c r="AD108" s="1595">
        <v>28</v>
      </c>
      <c r="AE108" s="1595">
        <v>29</v>
      </c>
      <c r="AF108" s="1595">
        <v>30</v>
      </c>
      <c r="AG108" s="1597">
        <v>31</v>
      </c>
      <c r="AH108" s="235"/>
      <c r="AI108" s="194"/>
    </row>
    <row r="109" spans="1:35" ht="22.15" customHeight="1" x14ac:dyDescent="0.2">
      <c r="A109" s="513">
        <v>8520</v>
      </c>
      <c r="B109" s="514" t="s">
        <v>164</v>
      </c>
      <c r="C109" s="532" t="s">
        <v>165</v>
      </c>
      <c r="D109" s="532" t="s">
        <v>165</v>
      </c>
      <c r="E109" s="532" t="s">
        <v>165</v>
      </c>
      <c r="F109" s="532"/>
      <c r="G109" s="532"/>
      <c r="H109" s="532" t="s">
        <v>165</v>
      </c>
      <c r="I109" s="532" t="s">
        <v>165</v>
      </c>
      <c r="J109" s="532" t="s">
        <v>165</v>
      </c>
      <c r="K109" s="532" t="s">
        <v>165</v>
      </c>
      <c r="L109" s="532" t="s">
        <v>165</v>
      </c>
      <c r="M109" s="532"/>
      <c r="N109" s="532"/>
      <c r="O109" s="458" t="s">
        <v>165</v>
      </c>
      <c r="P109" s="458" t="s">
        <v>165</v>
      </c>
      <c r="Q109" s="458" t="s">
        <v>165</v>
      </c>
      <c r="R109" s="458" t="s">
        <v>165</v>
      </c>
      <c r="S109" s="458" t="s">
        <v>165</v>
      </c>
      <c r="T109" s="458"/>
      <c r="U109" s="458"/>
      <c r="V109" s="458" t="s">
        <v>165</v>
      </c>
      <c r="W109" s="458" t="s">
        <v>165</v>
      </c>
      <c r="X109" s="458" t="s">
        <v>165</v>
      </c>
      <c r="Y109" s="458" t="s">
        <v>165</v>
      </c>
      <c r="Z109" s="458" t="s">
        <v>165</v>
      </c>
      <c r="AA109" s="458"/>
      <c r="AB109" s="458"/>
      <c r="AC109" s="458" t="s">
        <v>165</v>
      </c>
      <c r="AD109" s="458" t="s">
        <v>165</v>
      </c>
      <c r="AE109" s="458" t="s">
        <v>165</v>
      </c>
      <c r="AF109" s="458" t="s">
        <v>165</v>
      </c>
      <c r="AG109" s="458" t="s">
        <v>165</v>
      </c>
      <c r="AH109" s="235"/>
      <c r="AI109" s="194"/>
    </row>
    <row r="110" spans="1:35" ht="22.15" customHeight="1" x14ac:dyDescent="0.2">
      <c r="A110" s="243"/>
      <c r="B110" s="242"/>
      <c r="C110" s="229"/>
      <c r="D110" s="229"/>
      <c r="E110" s="229"/>
      <c r="F110" s="229"/>
      <c r="G110" s="229"/>
      <c r="H110" s="229"/>
      <c r="I110" s="229"/>
      <c r="J110" s="229"/>
      <c r="K110" s="229"/>
      <c r="L110" s="229"/>
      <c r="M110" s="229"/>
      <c r="N110" s="229"/>
      <c r="O110" s="229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35"/>
      <c r="AI110" s="194"/>
    </row>
    <row r="111" spans="1:35" ht="22.15" customHeight="1" x14ac:dyDescent="0.2">
      <c r="AH111" s="107"/>
      <c r="AI111" s="107"/>
    </row>
    <row r="112" spans="1:35" ht="22.15" customHeight="1" thickBot="1" x14ac:dyDescent="0.25">
      <c r="A112" s="173" t="s">
        <v>166</v>
      </c>
      <c r="B112" s="174"/>
      <c r="C112" s="174"/>
      <c r="D112" s="175"/>
      <c r="E112" s="175"/>
      <c r="F112" s="175"/>
      <c r="G112" s="10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4"/>
      <c r="AI112" s="174"/>
    </row>
    <row r="113" spans="1:35" ht="22.15" customHeight="1" x14ac:dyDescent="0.2">
      <c r="A113" s="173"/>
      <c r="B113" s="304" t="s">
        <v>167</v>
      </c>
      <c r="C113" s="515"/>
      <c r="D113" s="516" t="s">
        <v>90</v>
      </c>
      <c r="E113" s="517"/>
      <c r="F113" s="518"/>
      <c r="G113" s="515"/>
      <c r="H113" s="516" t="s">
        <v>91</v>
      </c>
      <c r="I113" s="517"/>
      <c r="J113" s="518"/>
      <c r="K113" s="515"/>
      <c r="L113" s="516" t="s">
        <v>92</v>
      </c>
      <c r="M113" s="517"/>
      <c r="N113" s="518"/>
      <c r="O113" s="515"/>
      <c r="P113" s="516" t="s">
        <v>93</v>
      </c>
      <c r="Q113" s="517"/>
      <c r="R113" s="518"/>
      <c r="S113" s="515"/>
      <c r="T113" s="516" t="s">
        <v>94</v>
      </c>
      <c r="U113" s="517"/>
      <c r="V113" s="518"/>
      <c r="W113" s="515"/>
      <c r="X113" s="516" t="s">
        <v>95</v>
      </c>
      <c r="Y113" s="517"/>
      <c r="Z113" s="518"/>
      <c r="AA113" s="515"/>
      <c r="AB113" s="516" t="s">
        <v>96</v>
      </c>
      <c r="AC113" s="517"/>
      <c r="AD113" s="517"/>
      <c r="AE113" s="519" t="s">
        <v>97</v>
      </c>
      <c r="AF113" s="517"/>
      <c r="AG113" s="517"/>
      <c r="AH113" s="517"/>
      <c r="AI113" s="520"/>
    </row>
    <row r="114" spans="1:35" ht="22.15" customHeight="1" x14ac:dyDescent="0.2">
      <c r="A114" s="173"/>
      <c r="B114" s="1799" t="s">
        <v>139</v>
      </c>
      <c r="C114" s="1800">
        <v>69</v>
      </c>
      <c r="D114" s="1801" t="s">
        <v>168</v>
      </c>
      <c r="E114" s="1801"/>
      <c r="F114" s="1802"/>
      <c r="G114" s="1800">
        <v>69</v>
      </c>
      <c r="H114" s="1801" t="s">
        <v>168</v>
      </c>
      <c r="I114" s="1801"/>
      <c r="J114" s="1802"/>
      <c r="K114" s="1800">
        <v>69</v>
      </c>
      <c r="L114" s="1801" t="s">
        <v>168</v>
      </c>
      <c r="M114" s="1801"/>
      <c r="N114" s="1802"/>
      <c r="O114" s="1800">
        <v>69</v>
      </c>
      <c r="P114" s="1801" t="s">
        <v>168</v>
      </c>
      <c r="Q114" s="1801"/>
      <c r="R114" s="1802"/>
      <c r="S114" s="1800">
        <v>69</v>
      </c>
      <c r="T114" s="1801" t="s">
        <v>168</v>
      </c>
      <c r="U114" s="1801"/>
      <c r="V114" s="1802"/>
      <c r="W114" s="1800"/>
      <c r="X114" s="1803"/>
      <c r="Y114" s="1803"/>
      <c r="Z114" s="1804"/>
      <c r="AA114" s="1800"/>
      <c r="AB114" s="1801"/>
      <c r="AC114" s="1801"/>
      <c r="AD114" s="1697"/>
      <c r="AE114" s="1805">
        <v>35</v>
      </c>
      <c r="AF114" s="1801"/>
      <c r="AG114" s="1801"/>
      <c r="AH114" s="1697"/>
      <c r="AI114" s="1806"/>
    </row>
    <row r="115" spans="1:35" ht="22.15" customHeight="1" x14ac:dyDescent="0.2">
      <c r="A115" s="173"/>
      <c r="B115" s="1799" t="s">
        <v>143</v>
      </c>
      <c r="C115" s="1800">
        <v>79</v>
      </c>
      <c r="D115" s="1801" t="s">
        <v>169</v>
      </c>
      <c r="E115" s="1801"/>
      <c r="F115" s="1802"/>
      <c r="G115" s="1800">
        <v>79</v>
      </c>
      <c r="H115" s="1801" t="s">
        <v>169</v>
      </c>
      <c r="I115" s="1801"/>
      <c r="J115" s="1802"/>
      <c r="K115" s="1800">
        <v>79</v>
      </c>
      <c r="L115" s="1801" t="s">
        <v>169</v>
      </c>
      <c r="M115" s="1801"/>
      <c r="N115" s="1802"/>
      <c r="O115" s="1800">
        <v>79</v>
      </c>
      <c r="P115" s="1801" t="s">
        <v>169</v>
      </c>
      <c r="Q115" s="1801"/>
      <c r="R115" s="1802"/>
      <c r="S115" s="1800">
        <v>79</v>
      </c>
      <c r="T115" s="1801" t="s">
        <v>169</v>
      </c>
      <c r="U115" s="1801"/>
      <c r="V115" s="1802"/>
      <c r="W115" s="1800"/>
      <c r="X115" s="1801"/>
      <c r="Y115" s="1801"/>
      <c r="Z115" s="1802"/>
      <c r="AA115" s="1801"/>
      <c r="AB115" s="1801"/>
      <c r="AC115" s="1801"/>
      <c r="AD115" s="1697"/>
      <c r="AE115" s="1805">
        <v>40</v>
      </c>
      <c r="AF115" s="1801"/>
      <c r="AG115" s="1801"/>
      <c r="AH115" s="1697"/>
      <c r="AI115" s="1806"/>
    </row>
    <row r="116" spans="1:35" ht="22.15" customHeight="1" x14ac:dyDescent="0.2">
      <c r="A116" s="173"/>
      <c r="B116" s="1799" t="s">
        <v>153</v>
      </c>
      <c r="C116" s="1800">
        <v>89</v>
      </c>
      <c r="D116" s="1801" t="s">
        <v>170</v>
      </c>
      <c r="E116" s="1801"/>
      <c r="F116" s="1802"/>
      <c r="G116" s="1800">
        <v>89</v>
      </c>
      <c r="H116" s="1801" t="s">
        <v>170</v>
      </c>
      <c r="I116" s="1801"/>
      <c r="J116" s="1802"/>
      <c r="K116" s="1800">
        <v>89</v>
      </c>
      <c r="L116" s="1801" t="s">
        <v>170</v>
      </c>
      <c r="M116" s="1801"/>
      <c r="N116" s="1802"/>
      <c r="O116" s="1800">
        <v>89</v>
      </c>
      <c r="P116" s="1801" t="s">
        <v>170</v>
      </c>
      <c r="Q116" s="1801"/>
      <c r="R116" s="1802"/>
      <c r="S116" s="1800">
        <v>89</v>
      </c>
      <c r="T116" s="1801" t="s">
        <v>171</v>
      </c>
      <c r="U116" s="1801"/>
      <c r="V116" s="1802"/>
      <c r="W116" s="1807"/>
      <c r="X116" s="1808" t="s">
        <v>172</v>
      </c>
      <c r="Y116" s="1808"/>
      <c r="Z116" s="1809"/>
      <c r="AA116" s="1807"/>
      <c r="AB116" s="1808"/>
      <c r="AC116" s="1808"/>
      <c r="AD116" s="1699"/>
      <c r="AE116" s="1805">
        <v>44</v>
      </c>
      <c r="AF116" s="1801"/>
      <c r="AG116" s="1801"/>
      <c r="AH116" s="1697"/>
      <c r="AI116" s="1806"/>
    </row>
    <row r="117" spans="1:35" ht="22.15" customHeight="1" x14ac:dyDescent="0.2">
      <c r="A117" s="173"/>
      <c r="B117" s="38" t="s">
        <v>155</v>
      </c>
      <c r="C117" s="1807">
        <v>99</v>
      </c>
      <c r="D117" s="1808" t="s">
        <v>173</v>
      </c>
      <c r="E117" s="1808"/>
      <c r="F117" s="1809"/>
      <c r="G117" s="1807">
        <v>99</v>
      </c>
      <c r="H117" s="1808" t="s">
        <v>173</v>
      </c>
      <c r="I117" s="1808"/>
      <c r="J117" s="1809"/>
      <c r="K117" s="1807">
        <v>99</v>
      </c>
      <c r="L117" s="1808" t="s">
        <v>173</v>
      </c>
      <c r="M117" s="1808"/>
      <c r="N117" s="1809"/>
      <c r="O117" s="1807">
        <v>99</v>
      </c>
      <c r="P117" s="1808" t="s">
        <v>173</v>
      </c>
      <c r="Q117" s="1808"/>
      <c r="R117" s="1809"/>
      <c r="S117" s="1807">
        <v>99</v>
      </c>
      <c r="T117" s="1808" t="s">
        <v>154</v>
      </c>
      <c r="U117" s="1808"/>
      <c r="V117" s="1699"/>
      <c r="W117" s="1698"/>
      <c r="X117" s="1699"/>
      <c r="Y117" s="1808"/>
      <c r="Z117" s="1809"/>
      <c r="AA117" s="1698"/>
      <c r="AB117" s="1699"/>
      <c r="AC117" s="1808"/>
      <c r="AD117" s="1809"/>
      <c r="AE117" s="1810">
        <v>28</v>
      </c>
      <c r="AF117" s="1808"/>
      <c r="AG117" s="1808"/>
      <c r="AH117" s="1699"/>
      <c r="AI117" s="1811"/>
    </row>
    <row r="118" spans="1:35" ht="22.15" customHeight="1" thickBot="1" x14ac:dyDescent="0.25">
      <c r="A118" s="173"/>
      <c r="B118" s="1812" t="s">
        <v>174</v>
      </c>
      <c r="C118" s="1813" t="s">
        <v>175</v>
      </c>
      <c r="D118" s="1814" t="s">
        <v>176</v>
      </c>
      <c r="E118" s="1815"/>
      <c r="F118" s="1656"/>
      <c r="G118" s="1813" t="s">
        <v>175</v>
      </c>
      <c r="H118" s="1814" t="s">
        <v>176</v>
      </c>
      <c r="I118" s="1654"/>
      <c r="J118" s="1815"/>
      <c r="K118" s="1813" t="s">
        <v>175</v>
      </c>
      <c r="L118" s="1814" t="s">
        <v>176</v>
      </c>
      <c r="M118" s="1815"/>
      <c r="N118" s="1816"/>
      <c r="O118" s="1813" t="s">
        <v>175</v>
      </c>
      <c r="P118" s="1814" t="s">
        <v>176</v>
      </c>
      <c r="Q118" s="1815"/>
      <c r="R118" s="1814"/>
      <c r="S118" s="1813" t="s">
        <v>175</v>
      </c>
      <c r="T118" s="1658" t="s">
        <v>177</v>
      </c>
      <c r="U118" s="1814"/>
      <c r="V118" s="1816"/>
      <c r="W118" s="1815"/>
      <c r="X118" s="1814"/>
      <c r="Y118" s="1814"/>
      <c r="Z118" s="1814"/>
      <c r="AA118" s="1817"/>
      <c r="AB118" s="1818"/>
      <c r="AC118" s="1814"/>
      <c r="AD118" s="1819"/>
      <c r="AE118" s="1814"/>
      <c r="AF118" s="1814"/>
      <c r="AG118" s="1814"/>
      <c r="AH118" s="1820"/>
      <c r="AI118" s="1821"/>
    </row>
    <row r="119" spans="1:35" ht="22.15" customHeight="1" x14ac:dyDescent="0.2">
      <c r="A119" s="108"/>
      <c r="B119" s="173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4"/>
      <c r="AI119" s="174"/>
    </row>
    <row r="120" spans="1:35" ht="22.15" customHeight="1" thickBot="1" x14ac:dyDescent="0.25">
      <c r="A120" s="1798"/>
      <c r="B120" s="1663" t="s">
        <v>29</v>
      </c>
      <c r="C120" s="1595">
        <v>1</v>
      </c>
      <c r="D120" s="1595">
        <v>2</v>
      </c>
      <c r="E120" s="1595">
        <v>3</v>
      </c>
      <c r="F120" s="1596">
        <v>4</v>
      </c>
      <c r="G120" s="1596">
        <v>5</v>
      </c>
      <c r="H120" s="1595">
        <v>6</v>
      </c>
      <c r="I120" s="1595">
        <v>7</v>
      </c>
      <c r="J120" s="1595">
        <v>8</v>
      </c>
      <c r="K120" s="1595">
        <v>9</v>
      </c>
      <c r="L120" s="1595">
        <v>10</v>
      </c>
      <c r="M120" s="1596">
        <v>11</v>
      </c>
      <c r="N120" s="1596">
        <v>12</v>
      </c>
      <c r="O120" s="1595">
        <v>13</v>
      </c>
      <c r="P120" s="1595">
        <v>14</v>
      </c>
      <c r="Q120" s="1595">
        <v>15</v>
      </c>
      <c r="R120" s="1595">
        <v>16</v>
      </c>
      <c r="S120" s="1595">
        <v>17</v>
      </c>
      <c r="T120" s="1596">
        <v>18</v>
      </c>
      <c r="U120" s="1596">
        <v>19</v>
      </c>
      <c r="V120" s="1595">
        <v>20</v>
      </c>
      <c r="W120" s="1595">
        <v>21</v>
      </c>
      <c r="X120" s="1595">
        <v>22</v>
      </c>
      <c r="Y120" s="1595">
        <v>23</v>
      </c>
      <c r="Z120" s="1595">
        <v>24</v>
      </c>
      <c r="AA120" s="1596">
        <v>25</v>
      </c>
      <c r="AB120" s="1596">
        <v>26</v>
      </c>
      <c r="AC120" s="1595">
        <v>27</v>
      </c>
      <c r="AD120" s="1595">
        <v>28</v>
      </c>
      <c r="AE120" s="1595">
        <v>29</v>
      </c>
      <c r="AF120" s="1595">
        <v>30</v>
      </c>
      <c r="AG120" s="1597">
        <v>31</v>
      </c>
      <c r="AH120" s="184"/>
      <c r="AI120" s="185"/>
    </row>
    <row r="121" spans="1:35" ht="22.15" customHeight="1" x14ac:dyDescent="0.2">
      <c r="A121" s="521">
        <v>1</v>
      </c>
      <c r="B121" s="522" t="s">
        <v>178</v>
      </c>
      <c r="C121" s="1638">
        <v>79</v>
      </c>
      <c r="D121" s="1787">
        <v>79</v>
      </c>
      <c r="E121" s="1638">
        <v>79</v>
      </c>
      <c r="F121" s="458"/>
      <c r="G121" s="459"/>
      <c r="H121" s="532" t="s">
        <v>175</v>
      </c>
      <c r="I121" s="532" t="s">
        <v>175</v>
      </c>
      <c r="J121" s="532" t="s">
        <v>175</v>
      </c>
      <c r="K121" s="532" t="s">
        <v>175</v>
      </c>
      <c r="L121" s="532" t="s">
        <v>175</v>
      </c>
      <c r="M121" s="532"/>
      <c r="N121" s="532"/>
      <c r="O121" s="532">
        <v>69</v>
      </c>
      <c r="P121" s="532">
        <v>69</v>
      </c>
      <c r="Q121" s="532">
        <v>69</v>
      </c>
      <c r="R121" s="532">
        <v>69</v>
      </c>
      <c r="S121" s="532">
        <v>69</v>
      </c>
      <c r="T121" s="532"/>
      <c r="U121" s="532"/>
      <c r="V121" s="532">
        <v>79</v>
      </c>
      <c r="W121" s="532">
        <v>79</v>
      </c>
      <c r="X121" s="532">
        <v>79</v>
      </c>
      <c r="Y121" s="532">
        <v>79</v>
      </c>
      <c r="Z121" s="532">
        <v>79</v>
      </c>
      <c r="AA121" s="532"/>
      <c r="AB121" s="532"/>
      <c r="AC121" s="477">
        <v>89</v>
      </c>
      <c r="AD121" s="477">
        <v>89</v>
      </c>
      <c r="AE121" s="459">
        <v>89</v>
      </c>
      <c r="AF121" s="459">
        <v>89</v>
      </c>
      <c r="AG121" s="478">
        <v>89</v>
      </c>
      <c r="AH121" s="215"/>
      <c r="AI121" s="107"/>
    </row>
    <row r="122" spans="1:35" ht="22.15" customHeight="1" x14ac:dyDescent="0.2">
      <c r="A122" s="1822">
        <v>2</v>
      </c>
      <c r="B122" s="1747" t="s">
        <v>179</v>
      </c>
      <c r="C122" s="1608" t="s">
        <v>175</v>
      </c>
      <c r="D122" s="1675" t="s">
        <v>175</v>
      </c>
      <c r="E122" s="1606" t="s">
        <v>175</v>
      </c>
      <c r="F122" s="1606"/>
      <c r="G122" s="1675"/>
      <c r="H122" s="1675">
        <v>69</v>
      </c>
      <c r="I122" s="1675">
        <v>69</v>
      </c>
      <c r="J122" s="1675">
        <v>69</v>
      </c>
      <c r="K122" s="1675">
        <v>69</v>
      </c>
      <c r="L122" s="1606">
        <v>69</v>
      </c>
      <c r="M122" s="1606"/>
      <c r="N122" s="1675"/>
      <c r="O122" s="1675">
        <v>79</v>
      </c>
      <c r="P122" s="1675">
        <v>79</v>
      </c>
      <c r="Q122" s="1675">
        <v>79</v>
      </c>
      <c r="R122" s="1608">
        <v>79</v>
      </c>
      <c r="S122" s="1675">
        <v>79</v>
      </c>
      <c r="T122" s="1606"/>
      <c r="U122" s="1675"/>
      <c r="V122" s="1823">
        <v>89</v>
      </c>
      <c r="W122" s="1823">
        <v>89</v>
      </c>
      <c r="X122" s="1823">
        <v>89</v>
      </c>
      <c r="Y122" s="1823">
        <v>89</v>
      </c>
      <c r="Z122" s="1823">
        <v>89</v>
      </c>
      <c r="AA122" s="1823">
        <v>89</v>
      </c>
      <c r="AB122" s="1823"/>
      <c r="AC122" s="1823">
        <v>99</v>
      </c>
      <c r="AD122" s="1823">
        <v>99</v>
      </c>
      <c r="AE122" s="1823">
        <v>99</v>
      </c>
      <c r="AF122" s="1823">
        <v>99</v>
      </c>
      <c r="AG122" s="1824" t="s">
        <v>35</v>
      </c>
      <c r="AH122" s="216"/>
      <c r="AI122" s="172"/>
    </row>
    <row r="123" spans="1:35" ht="22.15" customHeight="1" x14ac:dyDescent="0.2">
      <c r="A123" s="1822">
        <v>3</v>
      </c>
      <c r="B123" s="1747" t="s">
        <v>180</v>
      </c>
      <c r="C123" s="1603">
        <v>69</v>
      </c>
      <c r="D123" s="1603">
        <v>69</v>
      </c>
      <c r="E123" s="1603">
        <v>69</v>
      </c>
      <c r="F123" s="1603"/>
      <c r="G123" s="1603"/>
      <c r="H123" s="1638">
        <v>79</v>
      </c>
      <c r="I123" s="1638">
        <v>79</v>
      </c>
      <c r="J123" s="1638">
        <v>79</v>
      </c>
      <c r="K123" s="1638">
        <v>79</v>
      </c>
      <c r="L123" s="1825">
        <v>79</v>
      </c>
      <c r="M123" s="1638"/>
      <c r="N123" s="1638"/>
      <c r="O123" s="1826">
        <v>89</v>
      </c>
      <c r="P123" s="1826">
        <v>89</v>
      </c>
      <c r="Q123" s="1826">
        <v>89</v>
      </c>
      <c r="R123" s="1826">
        <v>89</v>
      </c>
      <c r="S123" s="1826">
        <v>89</v>
      </c>
      <c r="T123" s="1826">
        <v>89</v>
      </c>
      <c r="U123" s="1826"/>
      <c r="V123" s="1826">
        <v>99</v>
      </c>
      <c r="W123" s="1826">
        <v>99</v>
      </c>
      <c r="X123" s="1826">
        <v>99</v>
      </c>
      <c r="Y123" s="1826">
        <v>99</v>
      </c>
      <c r="Z123" s="1826" t="s">
        <v>35</v>
      </c>
      <c r="AA123" s="1638"/>
      <c r="AB123" s="1638"/>
      <c r="AC123" s="1638" t="s">
        <v>175</v>
      </c>
      <c r="AD123" s="1638" t="s">
        <v>175</v>
      </c>
      <c r="AE123" s="1638" t="s">
        <v>175</v>
      </c>
      <c r="AF123" s="1638" t="s">
        <v>175</v>
      </c>
      <c r="AG123" s="1827" t="s">
        <v>175</v>
      </c>
      <c r="AH123" s="215"/>
      <c r="AI123" s="107"/>
    </row>
    <row r="124" spans="1:35" ht="22.15" customHeight="1" thickBot="1" x14ac:dyDescent="0.25">
      <c r="A124" s="1822">
        <v>4</v>
      </c>
      <c r="B124" s="1747"/>
      <c r="C124" s="1751">
        <v>79</v>
      </c>
      <c r="D124" s="1751">
        <v>79</v>
      </c>
      <c r="E124" s="1751">
        <v>79</v>
      </c>
      <c r="F124" s="1606"/>
      <c r="G124" s="1606"/>
      <c r="H124" s="1606">
        <v>89</v>
      </c>
      <c r="I124" s="1606">
        <v>89</v>
      </c>
      <c r="J124" s="1606">
        <v>89</v>
      </c>
      <c r="K124" s="1675">
        <v>89</v>
      </c>
      <c r="L124" s="1606">
        <v>89</v>
      </c>
      <c r="M124" s="1606">
        <v>89</v>
      </c>
      <c r="N124" s="1606"/>
      <c r="O124" s="1606">
        <v>99</v>
      </c>
      <c r="P124" s="1606">
        <v>99</v>
      </c>
      <c r="Q124" s="1751">
        <v>99</v>
      </c>
      <c r="R124" s="1751">
        <v>99</v>
      </c>
      <c r="S124" s="1606" t="s">
        <v>35</v>
      </c>
      <c r="T124" s="1606"/>
      <c r="U124" s="1606"/>
      <c r="V124" s="1606" t="s">
        <v>175</v>
      </c>
      <c r="W124" s="1606" t="s">
        <v>175</v>
      </c>
      <c r="X124" s="1606" t="s">
        <v>175</v>
      </c>
      <c r="Y124" s="1751" t="s">
        <v>181</v>
      </c>
      <c r="Z124" s="1788" t="s">
        <v>181</v>
      </c>
      <c r="AA124" s="1606"/>
      <c r="AB124" s="1606"/>
      <c r="AC124" s="1606">
        <v>69</v>
      </c>
      <c r="AD124" s="1606">
        <v>69</v>
      </c>
      <c r="AE124" s="1606">
        <v>69</v>
      </c>
      <c r="AF124" s="1751">
        <v>69</v>
      </c>
      <c r="AG124" s="1828">
        <v>69</v>
      </c>
      <c r="AH124" s="215"/>
      <c r="AI124" s="107"/>
    </row>
    <row r="125" spans="1:35" ht="22.15" customHeight="1" thickBot="1" x14ac:dyDescent="0.25">
      <c r="A125" s="1829">
        <v>5</v>
      </c>
      <c r="B125" s="1830" t="s">
        <v>182</v>
      </c>
      <c r="C125" s="458">
        <v>89</v>
      </c>
      <c r="D125" s="458">
        <v>89</v>
      </c>
      <c r="E125" s="458">
        <v>89</v>
      </c>
      <c r="F125" s="1831" t="s">
        <v>0</v>
      </c>
      <c r="G125" s="1670"/>
      <c r="H125" s="1670">
        <v>99</v>
      </c>
      <c r="I125" s="1670">
        <v>99</v>
      </c>
      <c r="J125" s="1670">
        <v>99</v>
      </c>
      <c r="K125" s="1670">
        <v>99</v>
      </c>
      <c r="L125" s="1671" t="s">
        <v>35</v>
      </c>
      <c r="M125" s="1671"/>
      <c r="N125" s="1832"/>
      <c r="O125" s="1832" t="s">
        <v>175</v>
      </c>
      <c r="P125" s="1832" t="s">
        <v>175</v>
      </c>
      <c r="Q125" s="1832" t="s">
        <v>175</v>
      </c>
      <c r="R125" s="1832" t="s">
        <v>175</v>
      </c>
      <c r="S125" s="1671" t="s">
        <v>175</v>
      </c>
      <c r="T125" s="1833"/>
      <c r="U125" s="1832"/>
      <c r="V125" s="1832">
        <v>69</v>
      </c>
      <c r="W125" s="1832">
        <v>69</v>
      </c>
      <c r="X125" s="1832">
        <v>69</v>
      </c>
      <c r="Y125" s="1832">
        <v>69</v>
      </c>
      <c r="Z125" s="1834">
        <v>69</v>
      </c>
      <c r="AA125" s="1834"/>
      <c r="AB125" s="1832"/>
      <c r="AC125" s="1669">
        <v>79</v>
      </c>
      <c r="AD125" s="1669">
        <v>79</v>
      </c>
      <c r="AE125" s="1669">
        <v>79</v>
      </c>
      <c r="AF125" s="1669">
        <v>79</v>
      </c>
      <c r="AG125" s="1835">
        <v>79</v>
      </c>
      <c r="AH125" s="215"/>
      <c r="AI125" s="107"/>
    </row>
    <row r="126" spans="1:35" ht="22.15" customHeight="1" x14ac:dyDescent="0.2">
      <c r="A126" s="256"/>
      <c r="B126" s="257"/>
      <c r="C126" s="258"/>
      <c r="D126" s="258"/>
      <c r="E126" s="258"/>
      <c r="F126" s="229"/>
      <c r="G126" s="255"/>
      <c r="H126" s="255"/>
      <c r="I126" s="255"/>
      <c r="J126" s="255"/>
      <c r="K126" s="255"/>
      <c r="L126" s="229"/>
      <c r="M126" s="229"/>
      <c r="N126" s="258"/>
      <c r="O126" s="258"/>
      <c r="P126" s="258"/>
      <c r="Q126" s="258"/>
      <c r="R126" s="258"/>
      <c r="S126" s="229"/>
      <c r="T126" s="259"/>
      <c r="U126" s="258"/>
      <c r="V126" s="258"/>
      <c r="W126" s="258"/>
      <c r="X126" s="258"/>
      <c r="Y126" s="258"/>
      <c r="Z126" s="260"/>
      <c r="AA126" s="260"/>
      <c r="AB126" s="258"/>
      <c r="AC126" s="258"/>
      <c r="AD126" s="258"/>
      <c r="AE126" s="258"/>
      <c r="AF126" s="258"/>
      <c r="AG126" s="260"/>
      <c r="AH126" s="215"/>
      <c r="AI126" s="107"/>
    </row>
    <row r="127" spans="1:35" ht="22.15" customHeight="1" x14ac:dyDescent="0.2">
      <c r="A127" s="109"/>
      <c r="B127" s="110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7"/>
      <c r="AI127" s="107"/>
    </row>
    <row r="128" spans="1:35" ht="22.15" customHeight="1" thickBot="1" x14ac:dyDescent="0.25">
      <c r="A128" s="173" t="s">
        <v>183</v>
      </c>
      <c r="B128" s="174"/>
      <c r="C128" s="174"/>
      <c r="D128" s="175"/>
      <c r="E128" s="175"/>
      <c r="F128" s="175"/>
      <c r="G128" s="10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4"/>
      <c r="AI128" s="174"/>
    </row>
    <row r="129" spans="1:35" ht="22.15" customHeight="1" x14ac:dyDescent="0.2">
      <c r="A129" s="173"/>
      <c r="B129" s="304" t="s">
        <v>167</v>
      </c>
      <c r="C129" s="515"/>
      <c r="D129" s="516" t="s">
        <v>90</v>
      </c>
      <c r="E129" s="517"/>
      <c r="F129" s="518"/>
      <c r="G129" s="515"/>
      <c r="H129" s="516" t="s">
        <v>91</v>
      </c>
      <c r="I129" s="517"/>
      <c r="J129" s="518"/>
      <c r="K129" s="515"/>
      <c r="L129" s="516" t="s">
        <v>92</v>
      </c>
      <c r="M129" s="517"/>
      <c r="N129" s="518"/>
      <c r="O129" s="515"/>
      <c r="P129" s="516" t="s">
        <v>93</v>
      </c>
      <c r="Q129" s="517"/>
      <c r="R129" s="518"/>
      <c r="S129" s="515"/>
      <c r="T129" s="516" t="s">
        <v>94</v>
      </c>
      <c r="U129" s="517"/>
      <c r="V129" s="518"/>
      <c r="W129" s="515"/>
      <c r="X129" s="516" t="s">
        <v>95</v>
      </c>
      <c r="Y129" s="517"/>
      <c r="Z129" s="518"/>
      <c r="AA129" s="515"/>
      <c r="AB129" s="516" t="s">
        <v>96</v>
      </c>
      <c r="AC129" s="517"/>
      <c r="AD129" s="517"/>
      <c r="AE129" s="519" t="s">
        <v>97</v>
      </c>
      <c r="AF129" s="517"/>
      <c r="AG129" s="517"/>
      <c r="AH129" s="517"/>
      <c r="AI129" s="520"/>
    </row>
    <row r="130" spans="1:35" ht="22.15" customHeight="1" x14ac:dyDescent="0.2">
      <c r="A130" s="173"/>
      <c r="B130" s="1799" t="s">
        <v>184</v>
      </c>
      <c r="C130" s="1696" t="s">
        <v>185</v>
      </c>
      <c r="D130" s="1801"/>
      <c r="E130" s="1801"/>
      <c r="F130" s="1802"/>
      <c r="G130" s="1696" t="s">
        <v>185</v>
      </c>
      <c r="H130" s="1801"/>
      <c r="I130" s="1801"/>
      <c r="J130" s="1802"/>
      <c r="K130" s="1696" t="s">
        <v>185</v>
      </c>
      <c r="L130" s="1801"/>
      <c r="M130" s="1801"/>
      <c r="N130" s="1802"/>
      <c r="O130" s="1696" t="s">
        <v>185</v>
      </c>
      <c r="P130" s="1801"/>
      <c r="Q130" s="1801"/>
      <c r="R130" s="1802"/>
      <c r="S130" s="1696" t="s">
        <v>185</v>
      </c>
      <c r="T130" s="1801"/>
      <c r="U130" s="1801"/>
      <c r="V130" s="1802"/>
      <c r="W130" s="1696" t="s">
        <v>186</v>
      </c>
      <c r="X130" s="1803"/>
      <c r="Y130" s="1803"/>
      <c r="Z130" s="1804"/>
      <c r="AA130" s="1696" t="s">
        <v>186</v>
      </c>
      <c r="AB130" s="1801"/>
      <c r="AC130" s="1801"/>
      <c r="AD130" s="1697"/>
      <c r="AE130" s="1805">
        <v>68</v>
      </c>
      <c r="AF130" s="208"/>
      <c r="AG130" s="208"/>
      <c r="AH130" s="208"/>
      <c r="AI130" s="209"/>
    </row>
    <row r="131" spans="1:35" ht="22.15" customHeight="1" x14ac:dyDescent="0.2">
      <c r="A131" s="173"/>
      <c r="B131" s="1799" t="s">
        <v>143</v>
      </c>
      <c r="C131" s="1696" t="s">
        <v>154</v>
      </c>
      <c r="D131" s="1801"/>
      <c r="E131" s="1801"/>
      <c r="F131" s="1802"/>
      <c r="G131" s="1696" t="s">
        <v>154</v>
      </c>
      <c r="H131" s="1801"/>
      <c r="I131" s="1801"/>
      <c r="J131" s="1802"/>
      <c r="K131" s="1696" t="s">
        <v>154</v>
      </c>
      <c r="L131" s="1801"/>
      <c r="M131" s="1801"/>
      <c r="N131" s="1802"/>
      <c r="O131" s="1696" t="s">
        <v>154</v>
      </c>
      <c r="P131" s="1801"/>
      <c r="Q131" s="1801"/>
      <c r="R131" s="1802"/>
      <c r="S131" s="1696" t="s">
        <v>154</v>
      </c>
      <c r="T131" s="1801"/>
      <c r="U131" s="1801"/>
      <c r="V131" s="1802"/>
      <c r="W131" s="1696" t="s">
        <v>154</v>
      </c>
      <c r="X131" s="1801"/>
      <c r="Y131" s="1801"/>
      <c r="Z131" s="1802"/>
      <c r="AA131" s="1801" t="s">
        <v>154</v>
      </c>
      <c r="AB131" s="1801"/>
      <c r="AC131" s="1801"/>
      <c r="AD131" s="1697"/>
      <c r="AE131" s="1805">
        <v>0</v>
      </c>
      <c r="AF131" s="208"/>
      <c r="AG131" s="208"/>
      <c r="AH131" s="208"/>
      <c r="AI131" s="209"/>
    </row>
    <row r="132" spans="1:35" ht="22.15" customHeight="1" x14ac:dyDescent="0.2">
      <c r="A132" s="173"/>
      <c r="B132" s="1799" t="s">
        <v>187</v>
      </c>
      <c r="C132" s="1696" t="s">
        <v>185</v>
      </c>
      <c r="D132" s="1801"/>
      <c r="E132" s="1801"/>
      <c r="F132" s="1802"/>
      <c r="G132" s="1696" t="s">
        <v>185</v>
      </c>
      <c r="H132" s="1801"/>
      <c r="I132" s="1801"/>
      <c r="J132" s="1802"/>
      <c r="K132" s="1696" t="s">
        <v>185</v>
      </c>
      <c r="L132" s="1801"/>
      <c r="M132" s="1801"/>
      <c r="N132" s="1802"/>
      <c r="O132" s="1696" t="s">
        <v>185</v>
      </c>
      <c r="P132" s="1801"/>
      <c r="Q132" s="1801"/>
      <c r="R132" s="1802"/>
      <c r="S132" s="1696" t="s">
        <v>185</v>
      </c>
      <c r="T132" s="1801"/>
      <c r="U132" s="1801"/>
      <c r="V132" s="1802"/>
      <c r="W132" s="1696" t="s">
        <v>186</v>
      </c>
      <c r="X132" s="1803"/>
      <c r="Y132" s="1803"/>
      <c r="Z132" s="1804"/>
      <c r="AA132" s="1696" t="s">
        <v>186</v>
      </c>
      <c r="AB132" s="1801"/>
      <c r="AC132" s="1801"/>
      <c r="AD132" s="1697"/>
      <c r="AE132" s="1805">
        <v>68</v>
      </c>
      <c r="AF132" s="1801"/>
      <c r="AG132" s="1801" t="s">
        <v>0</v>
      </c>
      <c r="AH132" s="1697"/>
      <c r="AI132" s="1806"/>
    </row>
    <row r="133" spans="1:35" ht="22.15" customHeight="1" x14ac:dyDescent="0.2">
      <c r="A133" s="173"/>
      <c r="B133" s="1799" t="s">
        <v>155</v>
      </c>
      <c r="C133" s="1696" t="s">
        <v>154</v>
      </c>
      <c r="D133" s="1801"/>
      <c r="E133" s="1801"/>
      <c r="F133" s="1802"/>
      <c r="G133" s="1696" t="s">
        <v>154</v>
      </c>
      <c r="H133" s="1801"/>
      <c r="I133" s="1801"/>
      <c r="J133" s="1802"/>
      <c r="K133" s="1696" t="s">
        <v>154</v>
      </c>
      <c r="L133" s="1801"/>
      <c r="M133" s="1801"/>
      <c r="N133" s="1802"/>
      <c r="O133" s="1696" t="s">
        <v>154</v>
      </c>
      <c r="P133" s="1801"/>
      <c r="Q133" s="1801"/>
      <c r="R133" s="1802"/>
      <c r="S133" s="1696" t="s">
        <v>154</v>
      </c>
      <c r="T133" s="1801"/>
      <c r="U133" s="1801"/>
      <c r="V133" s="1802"/>
      <c r="W133" s="1696" t="s">
        <v>154</v>
      </c>
      <c r="X133" s="1801"/>
      <c r="Y133" s="1801"/>
      <c r="Z133" s="1802"/>
      <c r="AA133" s="1801" t="s">
        <v>154</v>
      </c>
      <c r="AB133" s="1801"/>
      <c r="AC133" s="1801"/>
      <c r="AD133" s="1697"/>
      <c r="AE133" s="1805">
        <v>0</v>
      </c>
      <c r="AF133" s="1801"/>
      <c r="AG133" s="1801"/>
      <c r="AH133" s="1697"/>
      <c r="AI133" s="1806"/>
    </row>
    <row r="134" spans="1:35" ht="22.15" customHeight="1" x14ac:dyDescent="0.2">
      <c r="A134" s="173"/>
      <c r="B134" s="1799" t="s">
        <v>188</v>
      </c>
      <c r="C134" s="1696" t="s">
        <v>185</v>
      </c>
      <c r="D134" s="1801"/>
      <c r="E134" s="1801"/>
      <c r="F134" s="1802"/>
      <c r="G134" s="1696" t="s">
        <v>185</v>
      </c>
      <c r="H134" s="1801"/>
      <c r="I134" s="1801"/>
      <c r="J134" s="1802"/>
      <c r="K134" s="1696" t="s">
        <v>185</v>
      </c>
      <c r="L134" s="1801"/>
      <c r="M134" s="1801"/>
      <c r="N134" s="1802"/>
      <c r="O134" s="1696" t="s">
        <v>185</v>
      </c>
      <c r="P134" s="1801"/>
      <c r="Q134" s="1801"/>
      <c r="R134" s="1802"/>
      <c r="S134" s="1696" t="s">
        <v>185</v>
      </c>
      <c r="T134" s="1801"/>
      <c r="U134" s="1801"/>
      <c r="V134" s="1802"/>
      <c r="W134" s="1696" t="s">
        <v>189</v>
      </c>
      <c r="X134" s="1808"/>
      <c r="Y134" s="1808"/>
      <c r="Z134" s="1809"/>
      <c r="AA134" s="1696" t="s">
        <v>189</v>
      </c>
      <c r="AB134" s="1808"/>
      <c r="AC134" s="1808"/>
      <c r="AD134" s="1699"/>
      <c r="AE134" s="1805">
        <v>66</v>
      </c>
      <c r="AF134" s="1801"/>
      <c r="AG134" s="1801"/>
      <c r="AH134" s="1697"/>
      <c r="AI134" s="1806"/>
    </row>
    <row r="135" spans="1:35" ht="22.15" customHeight="1" thickBot="1" x14ac:dyDescent="0.25">
      <c r="A135" s="173"/>
      <c r="B135" s="1799" t="s">
        <v>190</v>
      </c>
      <c r="C135" s="1836" t="s">
        <v>154</v>
      </c>
      <c r="D135" s="1837"/>
      <c r="E135" s="1837"/>
      <c r="F135" s="1838"/>
      <c r="G135" s="1836" t="s">
        <v>154</v>
      </c>
      <c r="H135" s="1837"/>
      <c r="I135" s="1837"/>
      <c r="J135" s="1838"/>
      <c r="K135" s="1836" t="s">
        <v>154</v>
      </c>
      <c r="L135" s="1837"/>
      <c r="M135" s="1837"/>
      <c r="N135" s="1838"/>
      <c r="O135" s="1836" t="s">
        <v>154</v>
      </c>
      <c r="P135" s="1837"/>
      <c r="Q135" s="1837"/>
      <c r="R135" s="1838"/>
      <c r="S135" s="1836" t="s">
        <v>154</v>
      </c>
      <c r="T135" s="1837"/>
      <c r="U135" s="1837"/>
      <c r="V135" s="1820"/>
      <c r="W135" s="1836" t="s">
        <v>154</v>
      </c>
      <c r="X135" s="1820"/>
      <c r="Y135" s="1837"/>
      <c r="Z135" s="1838"/>
      <c r="AA135" s="1836" t="s">
        <v>154</v>
      </c>
      <c r="AB135" s="1820"/>
      <c r="AC135" s="1837"/>
      <c r="AD135" s="1838"/>
      <c r="AE135" s="1839" t="s">
        <v>191</v>
      </c>
      <c r="AF135" s="1837"/>
      <c r="AG135" s="1837"/>
      <c r="AH135" s="1820"/>
      <c r="AI135" s="1821"/>
    </row>
    <row r="136" spans="1:35" ht="22.15" customHeight="1" x14ac:dyDescent="0.2">
      <c r="A136" s="108"/>
      <c r="B136" s="173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4"/>
      <c r="AI136" s="174"/>
    </row>
    <row r="137" spans="1:35" ht="22.15" customHeight="1" thickBot="1" x14ac:dyDescent="0.25">
      <c r="A137" s="1798"/>
      <c r="B137" s="1594" t="s">
        <v>29</v>
      </c>
      <c r="C137" s="1595">
        <v>1</v>
      </c>
      <c r="D137" s="1595">
        <v>2</v>
      </c>
      <c r="E137" s="1595">
        <v>3</v>
      </c>
      <c r="F137" s="1596">
        <v>4</v>
      </c>
      <c r="G137" s="1596">
        <v>5</v>
      </c>
      <c r="H137" s="1595">
        <v>6</v>
      </c>
      <c r="I137" s="1595">
        <v>7</v>
      </c>
      <c r="J137" s="1595">
        <v>8</v>
      </c>
      <c r="K137" s="1595">
        <v>9</v>
      </c>
      <c r="L137" s="1595">
        <v>10</v>
      </c>
      <c r="M137" s="1596">
        <v>11</v>
      </c>
      <c r="N137" s="1596">
        <v>12</v>
      </c>
      <c r="O137" s="1595">
        <v>13</v>
      </c>
      <c r="P137" s="1595">
        <v>14</v>
      </c>
      <c r="Q137" s="1595">
        <v>15</v>
      </c>
      <c r="R137" s="1595">
        <v>16</v>
      </c>
      <c r="S137" s="1595">
        <v>17</v>
      </c>
      <c r="T137" s="1596">
        <v>18</v>
      </c>
      <c r="U137" s="1596">
        <v>19</v>
      </c>
      <c r="V137" s="1595">
        <v>20</v>
      </c>
      <c r="W137" s="1595">
        <v>21</v>
      </c>
      <c r="X137" s="1595">
        <v>22</v>
      </c>
      <c r="Y137" s="1595">
        <v>23</v>
      </c>
      <c r="Z137" s="1595">
        <v>24</v>
      </c>
      <c r="AA137" s="1596">
        <v>25</v>
      </c>
      <c r="AB137" s="1596">
        <v>26</v>
      </c>
      <c r="AC137" s="1595">
        <v>27</v>
      </c>
      <c r="AD137" s="1595">
        <v>28</v>
      </c>
      <c r="AE137" s="1595">
        <v>29</v>
      </c>
      <c r="AF137" s="1595">
        <v>30</v>
      </c>
      <c r="AG137" s="1597">
        <v>31</v>
      </c>
      <c r="AH137" s="184"/>
      <c r="AI137" s="185"/>
    </row>
    <row r="138" spans="1:35" ht="22.15" customHeight="1" x14ac:dyDescent="0.2">
      <c r="A138" s="408">
        <v>1</v>
      </c>
      <c r="B138" s="252" t="s">
        <v>192</v>
      </c>
      <c r="C138" s="380" t="s">
        <v>35</v>
      </c>
      <c r="D138" s="380" t="s">
        <v>35</v>
      </c>
      <c r="E138" s="380" t="s">
        <v>35</v>
      </c>
      <c r="F138" s="380"/>
      <c r="G138" s="390"/>
      <c r="H138" s="380">
        <v>23</v>
      </c>
      <c r="I138" s="385">
        <v>23</v>
      </c>
      <c r="J138" s="390">
        <v>23</v>
      </c>
      <c r="K138" s="380">
        <v>23</v>
      </c>
      <c r="L138" s="385">
        <v>23</v>
      </c>
      <c r="M138" s="390">
        <v>23</v>
      </c>
      <c r="N138" s="390">
        <v>23</v>
      </c>
      <c r="O138" s="380" t="s">
        <v>35</v>
      </c>
      <c r="P138" s="380" t="s">
        <v>35</v>
      </c>
      <c r="Q138" s="380" t="s">
        <v>35</v>
      </c>
      <c r="R138" s="380" t="s">
        <v>35</v>
      </c>
      <c r="S138" s="380" t="s">
        <v>35</v>
      </c>
      <c r="T138" s="380"/>
      <c r="U138" s="380"/>
      <c r="V138" s="380">
        <v>21</v>
      </c>
      <c r="W138" s="385">
        <v>21</v>
      </c>
      <c r="X138" s="380">
        <v>21</v>
      </c>
      <c r="Y138" s="380">
        <v>21</v>
      </c>
      <c r="Z138" s="385">
        <v>21</v>
      </c>
      <c r="AA138" s="380">
        <v>21</v>
      </c>
      <c r="AB138" s="380">
        <v>21</v>
      </c>
      <c r="AC138" s="380" t="s">
        <v>35</v>
      </c>
      <c r="AD138" s="380" t="s">
        <v>35</v>
      </c>
      <c r="AE138" s="392">
        <v>23</v>
      </c>
      <c r="AF138" s="392">
        <v>23</v>
      </c>
      <c r="AG138" s="417" t="s">
        <v>35</v>
      </c>
      <c r="AH138" s="107"/>
      <c r="AI138" s="107"/>
    </row>
    <row r="139" spans="1:35" ht="22.15" customHeight="1" x14ac:dyDescent="0.2">
      <c r="A139" s="1840">
        <v>2</v>
      </c>
      <c r="B139" s="1630" t="s">
        <v>193</v>
      </c>
      <c r="C139" s="1629" t="s">
        <v>35</v>
      </c>
      <c r="D139" s="1629" t="s">
        <v>35</v>
      </c>
      <c r="E139" s="1629" t="s">
        <v>35</v>
      </c>
      <c r="F139" s="1629"/>
      <c r="G139" s="1629"/>
      <c r="H139" s="1712">
        <v>21</v>
      </c>
      <c r="I139" s="1712">
        <v>21</v>
      </c>
      <c r="J139" s="1712">
        <v>21</v>
      </c>
      <c r="K139" s="1712">
        <v>21</v>
      </c>
      <c r="L139" s="1712">
        <v>21</v>
      </c>
      <c r="M139" s="1712">
        <v>21</v>
      </c>
      <c r="N139" s="1712">
        <v>21</v>
      </c>
      <c r="O139" s="1712" t="s">
        <v>35</v>
      </c>
      <c r="P139" s="1712" t="s">
        <v>35</v>
      </c>
      <c r="Q139" s="1712" t="s">
        <v>35</v>
      </c>
      <c r="R139" s="1712" t="s">
        <v>35</v>
      </c>
      <c r="S139" s="1712" t="s">
        <v>35</v>
      </c>
      <c r="T139" s="1712"/>
      <c r="U139" s="1712"/>
      <c r="V139" s="1712">
        <v>22</v>
      </c>
      <c r="W139" s="1712">
        <v>22</v>
      </c>
      <c r="X139" s="1712">
        <v>22</v>
      </c>
      <c r="Y139" s="1712">
        <v>22</v>
      </c>
      <c r="Z139" s="1712">
        <v>22</v>
      </c>
      <c r="AA139" s="1712">
        <v>22</v>
      </c>
      <c r="AB139" s="1712">
        <v>22</v>
      </c>
      <c r="AC139" s="1628" t="s">
        <v>35</v>
      </c>
      <c r="AD139" s="1628" t="s">
        <v>35</v>
      </c>
      <c r="AE139" s="1628" t="s">
        <v>35</v>
      </c>
      <c r="AF139" s="1628" t="s">
        <v>35</v>
      </c>
      <c r="AG139" s="1634" t="s">
        <v>35</v>
      </c>
      <c r="AH139" s="107"/>
      <c r="AI139" s="107"/>
    </row>
    <row r="140" spans="1:35" ht="22.15" customHeight="1" x14ac:dyDescent="0.2">
      <c r="A140" s="1840">
        <v>3</v>
      </c>
      <c r="B140" s="1630" t="s">
        <v>194</v>
      </c>
      <c r="C140" s="1629" t="s">
        <v>35</v>
      </c>
      <c r="D140" s="1629" t="s">
        <v>35</v>
      </c>
      <c r="E140" s="1629" t="s">
        <v>35</v>
      </c>
      <c r="F140" s="1629"/>
      <c r="G140" s="1628"/>
      <c r="H140" s="1628">
        <v>22</v>
      </c>
      <c r="I140" s="1625">
        <v>22</v>
      </c>
      <c r="J140" s="1629">
        <v>22</v>
      </c>
      <c r="K140" s="1629">
        <v>22</v>
      </c>
      <c r="L140" s="1625">
        <v>22</v>
      </c>
      <c r="M140" s="1629">
        <v>22</v>
      </c>
      <c r="N140" s="1629">
        <v>22</v>
      </c>
      <c r="O140" s="1629" t="s">
        <v>35</v>
      </c>
      <c r="P140" s="1629" t="s">
        <v>35</v>
      </c>
      <c r="Q140" s="1629" t="s">
        <v>35</v>
      </c>
      <c r="R140" s="1637" t="s">
        <v>35</v>
      </c>
      <c r="S140" s="1637" t="s">
        <v>35</v>
      </c>
      <c r="T140" s="1629"/>
      <c r="U140" s="1628"/>
      <c r="V140" s="1628">
        <v>23</v>
      </c>
      <c r="W140" s="1625">
        <v>23</v>
      </c>
      <c r="X140" s="1629">
        <v>23</v>
      </c>
      <c r="Y140" s="1629">
        <v>23</v>
      </c>
      <c r="Z140" s="1625">
        <v>23</v>
      </c>
      <c r="AA140" s="1629">
        <v>23</v>
      </c>
      <c r="AB140" s="1629">
        <v>23</v>
      </c>
      <c r="AC140" s="1629" t="s">
        <v>35</v>
      </c>
      <c r="AD140" s="1629" t="s">
        <v>35</v>
      </c>
      <c r="AE140" s="1629" t="s">
        <v>35</v>
      </c>
      <c r="AF140" s="1629" t="s">
        <v>35</v>
      </c>
      <c r="AG140" s="1634" t="s">
        <v>35</v>
      </c>
      <c r="AH140" s="107"/>
      <c r="AI140" s="107"/>
    </row>
    <row r="141" spans="1:35" ht="22.15" customHeight="1" x14ac:dyDescent="0.2">
      <c r="A141" s="1840">
        <v>4</v>
      </c>
      <c r="B141" s="1630" t="s">
        <v>195</v>
      </c>
      <c r="C141" s="1629">
        <v>22</v>
      </c>
      <c r="D141" s="1629">
        <v>22</v>
      </c>
      <c r="E141" s="1625">
        <v>22</v>
      </c>
      <c r="F141" s="1629">
        <v>22</v>
      </c>
      <c r="G141" s="1629">
        <v>22</v>
      </c>
      <c r="H141" s="1629" t="s">
        <v>35</v>
      </c>
      <c r="I141" s="1629" t="s">
        <v>35</v>
      </c>
      <c r="J141" s="1629" t="s">
        <v>35</v>
      </c>
      <c r="K141" s="1629" t="s">
        <v>35</v>
      </c>
      <c r="L141" s="1629" t="s">
        <v>35</v>
      </c>
      <c r="M141" s="1629"/>
      <c r="N141" s="1629"/>
      <c r="O141" s="1716">
        <v>23</v>
      </c>
      <c r="P141" s="1625">
        <v>23</v>
      </c>
      <c r="Q141" s="1629">
        <v>23</v>
      </c>
      <c r="R141" s="1629">
        <v>23</v>
      </c>
      <c r="S141" s="1625">
        <v>23</v>
      </c>
      <c r="T141" s="1629">
        <v>23</v>
      </c>
      <c r="U141" s="1629">
        <v>23</v>
      </c>
      <c r="V141" s="1629" t="s">
        <v>35</v>
      </c>
      <c r="W141" s="1629" t="s">
        <v>35</v>
      </c>
      <c r="X141" s="1629" t="s">
        <v>35</v>
      </c>
      <c r="Y141" s="1629" t="s">
        <v>35</v>
      </c>
      <c r="Z141" s="1629" t="s">
        <v>35</v>
      </c>
      <c r="AA141" s="1629"/>
      <c r="AB141" s="1629"/>
      <c r="AC141" s="1739">
        <v>21</v>
      </c>
      <c r="AD141" s="1465">
        <v>21</v>
      </c>
      <c r="AE141" s="1739">
        <v>21</v>
      </c>
      <c r="AF141" s="1739">
        <v>21</v>
      </c>
      <c r="AG141" s="1841">
        <v>21</v>
      </c>
      <c r="AH141" s="107"/>
      <c r="AI141" s="107"/>
    </row>
    <row r="142" spans="1:35" ht="22.15" customHeight="1" x14ac:dyDescent="0.2">
      <c r="A142" s="1840">
        <v>5</v>
      </c>
      <c r="B142" s="1630" t="s">
        <v>0</v>
      </c>
      <c r="C142" s="1629">
        <v>23</v>
      </c>
      <c r="D142" s="1629">
        <v>23</v>
      </c>
      <c r="E142" s="1625">
        <v>23</v>
      </c>
      <c r="F142" s="1628">
        <v>23</v>
      </c>
      <c r="G142" s="1629">
        <v>23</v>
      </c>
      <c r="H142" s="1612" t="s">
        <v>35</v>
      </c>
      <c r="I142" s="1629" t="s">
        <v>35</v>
      </c>
      <c r="J142" s="1629" t="s">
        <v>35</v>
      </c>
      <c r="K142" s="1629" t="s">
        <v>35</v>
      </c>
      <c r="L142" s="1629" t="s">
        <v>35</v>
      </c>
      <c r="M142" s="1629"/>
      <c r="N142" s="1629"/>
      <c r="O142" s="1629">
        <v>21</v>
      </c>
      <c r="P142" s="1625">
        <v>21</v>
      </c>
      <c r="Q142" s="1629">
        <v>21</v>
      </c>
      <c r="R142" s="1629">
        <v>21</v>
      </c>
      <c r="S142" s="1625">
        <v>21</v>
      </c>
      <c r="T142" s="1629">
        <v>21</v>
      </c>
      <c r="U142" s="1629">
        <v>21</v>
      </c>
      <c r="V142" s="1629" t="s">
        <v>35</v>
      </c>
      <c r="W142" s="1629" t="s">
        <v>35</v>
      </c>
      <c r="X142" s="1629" t="s">
        <v>35</v>
      </c>
      <c r="Y142" s="1629" t="s">
        <v>35</v>
      </c>
      <c r="Z142" s="1629" t="s">
        <v>35</v>
      </c>
      <c r="AA142" s="1629"/>
      <c r="AB142" s="1629"/>
      <c r="AC142" s="1628">
        <v>22</v>
      </c>
      <c r="AD142" s="1628">
        <v>22</v>
      </c>
      <c r="AE142" s="1628">
        <v>22</v>
      </c>
      <c r="AF142" s="1629">
        <v>22</v>
      </c>
      <c r="AG142" s="1842">
        <v>22</v>
      </c>
      <c r="AH142" s="107"/>
      <c r="AI142" s="107"/>
    </row>
    <row r="143" spans="1:35" ht="22.15" customHeight="1" thickBot="1" x14ac:dyDescent="0.25">
      <c r="A143" s="670">
        <v>6</v>
      </c>
      <c r="B143" s="671" t="s">
        <v>197</v>
      </c>
      <c r="C143" s="690">
        <v>21</v>
      </c>
      <c r="D143" s="690">
        <v>21</v>
      </c>
      <c r="E143" s="696">
        <v>21</v>
      </c>
      <c r="F143" s="690">
        <v>21</v>
      </c>
      <c r="G143" s="690">
        <v>21</v>
      </c>
      <c r="H143" s="680" t="s">
        <v>35</v>
      </c>
      <c r="I143" s="680" t="s">
        <v>35</v>
      </c>
      <c r="J143" s="680" t="s">
        <v>35</v>
      </c>
      <c r="K143" s="680" t="s">
        <v>35</v>
      </c>
      <c r="L143" s="680" t="s">
        <v>35</v>
      </c>
      <c r="M143" s="680"/>
      <c r="N143" s="676"/>
      <c r="O143" s="676">
        <v>22</v>
      </c>
      <c r="P143" s="696">
        <v>22</v>
      </c>
      <c r="Q143" s="690">
        <v>22</v>
      </c>
      <c r="R143" s="690">
        <v>22</v>
      </c>
      <c r="S143" s="696">
        <v>22</v>
      </c>
      <c r="T143" s="690">
        <v>22</v>
      </c>
      <c r="U143" s="690">
        <v>22</v>
      </c>
      <c r="V143" s="690" t="s">
        <v>35</v>
      </c>
      <c r="W143" s="690" t="s">
        <v>35</v>
      </c>
      <c r="X143" s="690" t="s">
        <v>35</v>
      </c>
      <c r="Y143" s="690" t="s">
        <v>35</v>
      </c>
      <c r="Z143" s="690" t="s">
        <v>35</v>
      </c>
      <c r="AA143" s="690"/>
      <c r="AB143" s="676"/>
      <c r="AC143" s="700">
        <v>23</v>
      </c>
      <c r="AD143" s="700">
        <v>23</v>
      </c>
      <c r="AE143" s="701">
        <v>23</v>
      </c>
      <c r="AF143" s="701">
        <v>23</v>
      </c>
      <c r="AG143" s="382">
        <v>23</v>
      </c>
      <c r="AH143" s="107"/>
      <c r="AI143" s="107"/>
    </row>
    <row r="144" spans="1:35" ht="22.15" customHeight="1" x14ac:dyDescent="0.2">
      <c r="A144" s="256"/>
      <c r="B144" s="228"/>
      <c r="C144" s="229"/>
      <c r="D144" s="229"/>
      <c r="E144" s="255"/>
      <c r="F144" s="229"/>
      <c r="G144" s="229"/>
      <c r="H144" s="261"/>
      <c r="I144" s="261"/>
      <c r="J144" s="261"/>
      <c r="K144" s="261"/>
      <c r="L144" s="261"/>
      <c r="M144" s="261"/>
      <c r="N144" s="216"/>
      <c r="O144" s="216"/>
      <c r="P144" s="255"/>
      <c r="Q144" s="229"/>
      <c r="R144" s="229"/>
      <c r="S144" s="255"/>
      <c r="T144" s="229"/>
      <c r="U144" s="229"/>
      <c r="V144" s="229"/>
      <c r="W144" s="229"/>
      <c r="X144" s="229"/>
      <c r="Y144" s="229"/>
      <c r="Z144" s="229"/>
      <c r="AA144" s="229"/>
      <c r="AB144" s="216"/>
      <c r="AC144" s="216"/>
      <c r="AD144" s="255"/>
      <c r="AE144" s="229"/>
      <c r="AF144" s="229"/>
      <c r="AG144" s="255"/>
      <c r="AH144" s="107"/>
      <c r="AI144" s="107"/>
    </row>
    <row r="145" spans="1:35" ht="22.15" customHeight="1" x14ac:dyDescent="0.2">
      <c r="A145" s="109"/>
      <c r="B145" s="110"/>
      <c r="C145" s="206"/>
      <c r="D145" s="206"/>
      <c r="E145" s="172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172"/>
      <c r="Q145" s="206"/>
      <c r="R145" s="206"/>
      <c r="S145" s="172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7"/>
      <c r="AD145" s="207"/>
      <c r="AE145" s="207"/>
      <c r="AF145" s="206"/>
      <c r="AG145" s="172"/>
      <c r="AH145" s="107"/>
      <c r="AI145" s="107"/>
    </row>
    <row r="146" spans="1:35" ht="22.15" customHeight="1" thickBot="1" x14ac:dyDescent="0.25">
      <c r="A146" s="162" t="s">
        <v>198</v>
      </c>
      <c r="D146" s="72"/>
      <c r="E146" s="72"/>
      <c r="F146" s="72"/>
      <c r="G146" s="105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</row>
    <row r="147" spans="1:35" ht="22.15" customHeight="1" x14ac:dyDescent="0.2">
      <c r="A147" s="1"/>
      <c r="B147" s="304" t="s">
        <v>167</v>
      </c>
      <c r="C147" s="500"/>
      <c r="D147" s="516" t="s">
        <v>90</v>
      </c>
      <c r="E147" s="473"/>
      <c r="F147" s="504"/>
      <c r="G147" s="500"/>
      <c r="H147" s="516" t="s">
        <v>91</v>
      </c>
      <c r="I147" s="473"/>
      <c r="J147" s="504"/>
      <c r="K147" s="500"/>
      <c r="L147" s="516" t="s">
        <v>92</v>
      </c>
      <c r="M147" s="473"/>
      <c r="N147" s="504"/>
      <c r="O147" s="500"/>
      <c r="P147" s="516" t="s">
        <v>93</v>
      </c>
      <c r="Q147" s="473"/>
      <c r="R147" s="504"/>
      <c r="S147" s="500"/>
      <c r="T147" s="516" t="s">
        <v>94</v>
      </c>
      <c r="U147" s="473"/>
      <c r="V147" s="504"/>
      <c r="W147" s="500"/>
      <c r="X147" s="516" t="s">
        <v>95</v>
      </c>
      <c r="Y147" s="473"/>
      <c r="Z147" s="504"/>
      <c r="AA147" s="500"/>
      <c r="AB147" s="516" t="s">
        <v>96</v>
      </c>
      <c r="AC147" s="473"/>
      <c r="AD147" s="473"/>
      <c r="AE147" s="519" t="s">
        <v>97</v>
      </c>
      <c r="AF147" s="473"/>
      <c r="AG147" s="473"/>
      <c r="AH147" s="473"/>
      <c r="AI147" s="474"/>
    </row>
    <row r="148" spans="1:35" ht="22.15" customHeight="1" x14ac:dyDescent="0.2">
      <c r="A148" s="1"/>
      <c r="B148" s="1799" t="s">
        <v>139</v>
      </c>
      <c r="C148" s="1696" t="s">
        <v>168</v>
      </c>
      <c r="D148" s="1577"/>
      <c r="E148" s="1577"/>
      <c r="F148" s="1802"/>
      <c r="G148" s="1696" t="s">
        <v>168</v>
      </c>
      <c r="H148" s="1577"/>
      <c r="I148" s="1577"/>
      <c r="J148" s="1802"/>
      <c r="K148" s="1696" t="s">
        <v>168</v>
      </c>
      <c r="L148" s="1577"/>
      <c r="M148" s="1577"/>
      <c r="N148" s="1802"/>
      <c r="O148" s="1696" t="s">
        <v>199</v>
      </c>
      <c r="P148" s="1577"/>
      <c r="Q148" s="1577"/>
      <c r="R148" s="1802"/>
      <c r="S148" s="1696" t="s">
        <v>154</v>
      </c>
      <c r="T148" s="1577"/>
      <c r="U148" s="1577"/>
      <c r="V148" s="1802"/>
      <c r="W148" s="1843"/>
      <c r="X148" s="1844"/>
      <c r="Y148" s="1844"/>
      <c r="Z148" s="1804"/>
      <c r="AA148" s="1800"/>
      <c r="AB148" s="1577"/>
      <c r="AC148" s="1577"/>
      <c r="AD148" s="1697"/>
      <c r="AE148" s="1805">
        <v>27</v>
      </c>
      <c r="AF148" s="1577"/>
      <c r="AG148" s="1577"/>
      <c r="AH148" s="1697"/>
      <c r="AI148" s="1586"/>
    </row>
    <row r="149" spans="1:35" ht="22.15" customHeight="1" x14ac:dyDescent="0.2">
      <c r="A149" s="1"/>
      <c r="B149" s="1799" t="s">
        <v>143</v>
      </c>
      <c r="C149" s="1696" t="s">
        <v>200</v>
      </c>
      <c r="D149" s="1577"/>
      <c r="E149" s="1577"/>
      <c r="F149" s="1802"/>
      <c r="G149" s="1696" t="s">
        <v>200</v>
      </c>
      <c r="H149" s="1577"/>
      <c r="I149" s="1577"/>
      <c r="J149" s="1802"/>
      <c r="K149" s="1696" t="s">
        <v>200</v>
      </c>
      <c r="L149" s="1577"/>
      <c r="M149" s="1577"/>
      <c r="N149" s="1802"/>
      <c r="O149" s="1696" t="s">
        <v>200</v>
      </c>
      <c r="P149" s="1577"/>
      <c r="Q149" s="1577"/>
      <c r="R149" s="1802"/>
      <c r="S149" s="1696" t="s">
        <v>168</v>
      </c>
      <c r="T149" s="1577"/>
      <c r="U149" s="1577"/>
      <c r="V149" s="1802"/>
      <c r="W149" s="1696"/>
      <c r="X149" s="1577"/>
      <c r="Y149" s="1577"/>
      <c r="Z149" s="1802"/>
      <c r="AA149" s="1577"/>
      <c r="AB149" s="1577"/>
      <c r="AC149" s="1577"/>
      <c r="AD149" s="1697"/>
      <c r="AE149" s="1805">
        <v>39</v>
      </c>
      <c r="AF149" s="1577"/>
      <c r="AG149" s="1577"/>
      <c r="AH149" s="1697"/>
      <c r="AI149" s="1586"/>
    </row>
    <row r="150" spans="1:35" ht="22.15" customHeight="1" x14ac:dyDescent="0.2">
      <c r="A150" s="1"/>
      <c r="B150" s="1799" t="s">
        <v>153</v>
      </c>
      <c r="C150" s="1696" t="s">
        <v>200</v>
      </c>
      <c r="D150" s="1577"/>
      <c r="E150" s="1577"/>
      <c r="F150" s="1802"/>
      <c r="G150" s="1696" t="s">
        <v>200</v>
      </c>
      <c r="H150" s="1577"/>
      <c r="I150" s="1577"/>
      <c r="J150" s="1802"/>
      <c r="K150" s="1696" t="s">
        <v>200</v>
      </c>
      <c r="L150" s="1577"/>
      <c r="M150" s="1577"/>
      <c r="N150" s="1802"/>
      <c r="O150" s="1696" t="s">
        <v>200</v>
      </c>
      <c r="P150" s="1577"/>
      <c r="Q150" s="1577"/>
      <c r="R150" s="1802"/>
      <c r="S150" s="1696" t="s">
        <v>200</v>
      </c>
      <c r="T150" s="1577"/>
      <c r="U150" s="1577"/>
      <c r="V150" s="1802"/>
      <c r="W150" s="1698" t="s">
        <v>201</v>
      </c>
      <c r="X150" s="1590"/>
      <c r="Y150" s="1590"/>
      <c r="Z150" s="1809"/>
      <c r="AA150" s="1807"/>
      <c r="AB150" s="1590"/>
      <c r="AC150" s="1590"/>
      <c r="AD150" s="1699"/>
      <c r="AE150" s="1805">
        <v>45</v>
      </c>
      <c r="AF150" s="1577"/>
      <c r="AG150" s="1577"/>
      <c r="AH150" s="1697"/>
      <c r="AI150" s="1586"/>
    </row>
    <row r="151" spans="1:35" ht="22.15" customHeight="1" thickBot="1" x14ac:dyDescent="0.25">
      <c r="A151" s="1"/>
      <c r="B151" s="1032" t="s">
        <v>155</v>
      </c>
      <c r="C151" s="1836"/>
      <c r="D151" s="1654"/>
      <c r="E151" s="1654"/>
      <c r="F151" s="1838"/>
      <c r="G151" s="1836"/>
      <c r="H151" s="1654"/>
      <c r="I151" s="1654"/>
      <c r="J151" s="1838"/>
      <c r="K151" s="1836"/>
      <c r="L151" s="1654"/>
      <c r="M151" s="1654"/>
      <c r="N151" s="1838"/>
      <c r="O151" s="1836"/>
      <c r="P151" s="1654"/>
      <c r="Q151" s="1654"/>
      <c r="R151" s="1838"/>
      <c r="S151" s="1836"/>
      <c r="T151" s="1654"/>
      <c r="U151" s="1654"/>
      <c r="V151" s="1820"/>
      <c r="W151" s="1836"/>
      <c r="X151" s="1820"/>
      <c r="Y151" s="1654"/>
      <c r="Z151" s="1838"/>
      <c r="AA151" s="1836"/>
      <c r="AB151" s="1820"/>
      <c r="AC151" s="1654"/>
      <c r="AD151" s="1838"/>
      <c r="AE151" s="1845"/>
      <c r="AF151" s="1654"/>
      <c r="AG151" s="1654"/>
      <c r="AH151" s="1820"/>
      <c r="AI151" s="1661"/>
    </row>
    <row r="152" spans="1:35" ht="22.15" customHeight="1" x14ac:dyDescent="0.2">
      <c r="A152" s="162" t="s">
        <v>337</v>
      </c>
      <c r="B152" s="360"/>
      <c r="C152" s="361"/>
      <c r="D152" s="214"/>
      <c r="E152" s="214"/>
      <c r="F152" s="361"/>
      <c r="G152" s="361"/>
      <c r="H152" s="214"/>
      <c r="I152" s="214"/>
      <c r="J152" s="361"/>
      <c r="K152" s="361"/>
      <c r="L152" s="214"/>
      <c r="M152" s="214"/>
      <c r="N152" s="361"/>
      <c r="O152" s="361"/>
      <c r="P152" s="214"/>
      <c r="Q152" s="214"/>
      <c r="R152" s="361"/>
      <c r="S152" s="361"/>
      <c r="T152" s="214"/>
      <c r="U152" s="214"/>
      <c r="V152" s="361"/>
      <c r="W152" s="361"/>
      <c r="X152" s="361"/>
      <c r="Y152" s="214"/>
      <c r="Z152" s="361"/>
      <c r="AA152" s="361"/>
      <c r="AB152" s="361"/>
      <c r="AC152" s="214"/>
      <c r="AD152" s="361"/>
      <c r="AE152" s="362"/>
      <c r="AF152" s="214"/>
      <c r="AG152" s="214"/>
      <c r="AH152" s="361"/>
      <c r="AI152" s="214"/>
    </row>
    <row r="153" spans="1:35" ht="22.15" customHeight="1" x14ac:dyDescent="0.2">
      <c r="A153" s="108"/>
      <c r="B153" s="1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</row>
    <row r="154" spans="1:35" ht="22.15" customHeight="1" thickBot="1" x14ac:dyDescent="0.25">
      <c r="A154" s="1798"/>
      <c r="B154" s="1663" t="s">
        <v>29</v>
      </c>
      <c r="C154" s="1595">
        <v>1</v>
      </c>
      <c r="D154" s="1595">
        <v>2</v>
      </c>
      <c r="E154" s="1595">
        <v>3</v>
      </c>
      <c r="F154" s="1596">
        <v>4</v>
      </c>
      <c r="G154" s="1596">
        <v>5</v>
      </c>
      <c r="H154" s="1595">
        <v>6</v>
      </c>
      <c r="I154" s="1595">
        <v>7</v>
      </c>
      <c r="J154" s="1595">
        <v>8</v>
      </c>
      <c r="K154" s="1595">
        <v>9</v>
      </c>
      <c r="L154" s="1595">
        <v>10</v>
      </c>
      <c r="M154" s="1596">
        <v>11</v>
      </c>
      <c r="N154" s="1596">
        <v>12</v>
      </c>
      <c r="O154" s="1595">
        <v>13</v>
      </c>
      <c r="P154" s="1595">
        <v>14</v>
      </c>
      <c r="Q154" s="1595">
        <v>15</v>
      </c>
      <c r="R154" s="1595">
        <v>16</v>
      </c>
      <c r="S154" s="1595">
        <v>17</v>
      </c>
      <c r="T154" s="1596">
        <v>18</v>
      </c>
      <c r="U154" s="1596">
        <v>19</v>
      </c>
      <c r="V154" s="1595">
        <v>20</v>
      </c>
      <c r="W154" s="1595">
        <v>21</v>
      </c>
      <c r="X154" s="1595">
        <v>22</v>
      </c>
      <c r="Y154" s="1595">
        <v>23</v>
      </c>
      <c r="Z154" s="1595">
        <v>24</v>
      </c>
      <c r="AA154" s="1596">
        <v>25</v>
      </c>
      <c r="AB154" s="1596">
        <v>26</v>
      </c>
      <c r="AC154" s="1595">
        <v>27</v>
      </c>
      <c r="AD154" s="1595">
        <v>28</v>
      </c>
      <c r="AE154" s="1595">
        <v>29</v>
      </c>
      <c r="AF154" s="1595">
        <v>30</v>
      </c>
      <c r="AG154" s="1597">
        <v>31</v>
      </c>
      <c r="AH154" s="184"/>
      <c r="AI154" s="185"/>
    </row>
    <row r="155" spans="1:35" ht="22.15" customHeight="1" x14ac:dyDescent="0.2">
      <c r="A155" s="521">
        <v>1</v>
      </c>
      <c r="B155" s="523" t="s">
        <v>202</v>
      </c>
      <c r="C155" s="459" t="s">
        <v>31</v>
      </c>
      <c r="D155" s="458" t="s">
        <v>31</v>
      </c>
      <c r="E155" s="458" t="s">
        <v>31</v>
      </c>
      <c r="F155" s="458"/>
      <c r="G155" s="458"/>
      <c r="H155" s="458" t="s">
        <v>31</v>
      </c>
      <c r="I155" s="458" t="s">
        <v>31</v>
      </c>
      <c r="J155" s="459" t="s">
        <v>31</v>
      </c>
      <c r="K155" s="458" t="s">
        <v>31</v>
      </c>
      <c r="L155" s="458" t="s">
        <v>31</v>
      </c>
      <c r="M155" s="458"/>
      <c r="N155" s="458"/>
      <c r="O155" s="459" t="s">
        <v>31</v>
      </c>
      <c r="P155" s="458" t="s">
        <v>31</v>
      </c>
      <c r="Q155" s="459" t="s">
        <v>31</v>
      </c>
      <c r="R155" s="463" t="s">
        <v>31</v>
      </c>
      <c r="S155" s="463" t="s">
        <v>31</v>
      </c>
      <c r="T155" s="458"/>
      <c r="U155" s="458"/>
      <c r="V155" s="458" t="s">
        <v>31</v>
      </c>
      <c r="W155" s="458" t="s">
        <v>31</v>
      </c>
      <c r="X155" s="459" t="s">
        <v>31</v>
      </c>
      <c r="Y155" s="458" t="s">
        <v>31</v>
      </c>
      <c r="Z155" s="458" t="s">
        <v>31</v>
      </c>
      <c r="AA155" s="460"/>
      <c r="AB155" s="459"/>
      <c r="AC155" s="463" t="s">
        <v>31</v>
      </c>
      <c r="AD155" s="463" t="s">
        <v>31</v>
      </c>
      <c r="AE155" s="532" t="s">
        <v>31</v>
      </c>
      <c r="AF155" s="532" t="s">
        <v>31</v>
      </c>
      <c r="AG155" s="554" t="s">
        <v>31</v>
      </c>
      <c r="AH155" s="250"/>
      <c r="AI155" s="190"/>
    </row>
    <row r="156" spans="1:35" ht="22.15" customHeight="1" x14ac:dyDescent="0.2">
      <c r="A156" s="1822">
        <v>2</v>
      </c>
      <c r="B156" s="1846" t="s">
        <v>203</v>
      </c>
      <c r="C156" s="1606" t="s">
        <v>207</v>
      </c>
      <c r="D156" s="1675" t="s">
        <v>207</v>
      </c>
      <c r="E156" s="1606" t="s">
        <v>207</v>
      </c>
      <c r="F156" s="1606"/>
      <c r="G156" s="1606"/>
      <c r="H156" s="1606" t="s">
        <v>204</v>
      </c>
      <c r="I156" s="1606" t="s">
        <v>204</v>
      </c>
      <c r="J156" s="1606" t="s">
        <v>204</v>
      </c>
      <c r="K156" s="1606" t="s">
        <v>204</v>
      </c>
      <c r="L156" s="1606" t="s">
        <v>204</v>
      </c>
      <c r="M156" s="1606" t="s">
        <v>204</v>
      </c>
      <c r="N156" s="1606"/>
      <c r="O156" s="1606" t="s">
        <v>205</v>
      </c>
      <c r="P156" s="1614" t="s">
        <v>365</v>
      </c>
      <c r="Q156" s="1847" t="s">
        <v>205</v>
      </c>
      <c r="R156" s="1847" t="s">
        <v>205</v>
      </c>
      <c r="S156" s="1847" t="s">
        <v>35</v>
      </c>
      <c r="T156" s="1606"/>
      <c r="U156" s="1606"/>
      <c r="V156" s="1603" t="s">
        <v>207</v>
      </c>
      <c r="W156" s="1603" t="s">
        <v>207</v>
      </c>
      <c r="X156" s="1603" t="s">
        <v>207</v>
      </c>
      <c r="Y156" s="1603" t="s">
        <v>207</v>
      </c>
      <c r="Z156" s="1603" t="s">
        <v>207</v>
      </c>
      <c r="AA156" s="1603"/>
      <c r="AB156" s="1603"/>
      <c r="AC156" s="1603" t="s">
        <v>204</v>
      </c>
      <c r="AD156" s="1603" t="s">
        <v>204</v>
      </c>
      <c r="AE156" s="1603" t="s">
        <v>204</v>
      </c>
      <c r="AF156" s="1603" t="s">
        <v>204</v>
      </c>
      <c r="AG156" s="1613" t="s">
        <v>204</v>
      </c>
      <c r="AH156" s="250"/>
      <c r="AI156" s="190"/>
    </row>
    <row r="157" spans="1:35" ht="22.15" customHeight="1" x14ac:dyDescent="0.2">
      <c r="A157" s="1822">
        <v>3</v>
      </c>
      <c r="B157" s="1848" t="s">
        <v>208</v>
      </c>
      <c r="C157" s="1606" t="s">
        <v>204</v>
      </c>
      <c r="D157" s="1606" t="s">
        <v>204</v>
      </c>
      <c r="E157" s="1606" t="s">
        <v>204</v>
      </c>
      <c r="F157" s="1784" t="s">
        <v>204</v>
      </c>
      <c r="G157" s="1784"/>
      <c r="H157" s="1784" t="s">
        <v>205</v>
      </c>
      <c r="I157" s="1784" t="s">
        <v>205</v>
      </c>
      <c r="J157" s="1849" t="s">
        <v>205</v>
      </c>
      <c r="K157" s="1784" t="s">
        <v>205</v>
      </c>
      <c r="L157" s="1784" t="s">
        <v>35</v>
      </c>
      <c r="M157" s="1784"/>
      <c r="N157" s="1784"/>
      <c r="O157" s="1784" t="s">
        <v>207</v>
      </c>
      <c r="P157" s="1784" t="s">
        <v>207</v>
      </c>
      <c r="Q157" s="1784" t="s">
        <v>207</v>
      </c>
      <c r="R157" s="1784" t="s">
        <v>207</v>
      </c>
      <c r="S157" s="1784" t="s">
        <v>207</v>
      </c>
      <c r="T157" s="1784"/>
      <c r="U157" s="1606"/>
      <c r="V157" s="1606" t="s">
        <v>204</v>
      </c>
      <c r="W157" s="1606" t="s">
        <v>204</v>
      </c>
      <c r="X157" s="1606" t="s">
        <v>204</v>
      </c>
      <c r="Y157" s="1606" t="s">
        <v>204</v>
      </c>
      <c r="Z157" s="1606" t="s">
        <v>204</v>
      </c>
      <c r="AA157" s="1788" t="s">
        <v>204</v>
      </c>
      <c r="AB157" s="1788"/>
      <c r="AC157" s="1788" t="s">
        <v>205</v>
      </c>
      <c r="AD157" s="1788" t="s">
        <v>205</v>
      </c>
      <c r="AE157" s="1788" t="s">
        <v>205</v>
      </c>
      <c r="AF157" s="1788" t="s">
        <v>205</v>
      </c>
      <c r="AG157" s="1666" t="s">
        <v>35</v>
      </c>
      <c r="AH157" s="250"/>
      <c r="AI157" s="190"/>
    </row>
    <row r="158" spans="1:35" ht="22.15" customHeight="1" x14ac:dyDescent="0.2">
      <c r="A158" s="1822">
        <v>4</v>
      </c>
      <c r="B158" s="1848" t="s">
        <v>209</v>
      </c>
      <c r="C158" s="1606" t="s">
        <v>32</v>
      </c>
      <c r="D158" s="1606"/>
      <c r="E158" s="1606" t="s">
        <v>32</v>
      </c>
      <c r="F158" s="1606"/>
      <c r="G158" s="1606"/>
      <c r="H158" s="1606"/>
      <c r="I158" s="1606" t="s">
        <v>32</v>
      </c>
      <c r="J158" s="1606" t="s">
        <v>32</v>
      </c>
      <c r="K158" s="1606"/>
      <c r="L158" s="1606" t="s">
        <v>32</v>
      </c>
      <c r="M158" s="1606"/>
      <c r="N158" s="1606"/>
      <c r="O158" s="1606"/>
      <c r="P158" s="1606" t="s">
        <v>32</v>
      </c>
      <c r="Q158" s="1607"/>
      <c r="R158" s="1607"/>
      <c r="S158" s="1607" t="s">
        <v>32</v>
      </c>
      <c r="T158" s="1784" t="s">
        <v>204</v>
      </c>
      <c r="U158" s="1607"/>
      <c r="V158" s="1606"/>
      <c r="W158" s="1606" t="s">
        <v>32</v>
      </c>
      <c r="X158" s="1606" t="s">
        <v>32</v>
      </c>
      <c r="Y158" s="1606"/>
      <c r="Z158" s="1606" t="s">
        <v>32</v>
      </c>
      <c r="AA158" s="1606"/>
      <c r="AB158" s="1606"/>
      <c r="AC158" s="1606"/>
      <c r="AD158" s="1606" t="s">
        <v>32</v>
      </c>
      <c r="AE158" s="1606" t="s">
        <v>32</v>
      </c>
      <c r="AF158" s="1606"/>
      <c r="AG158" s="1666" t="s">
        <v>32</v>
      </c>
      <c r="AH158" s="250"/>
      <c r="AI158" s="190"/>
    </row>
    <row r="159" spans="1:35" ht="22.15" customHeight="1" x14ac:dyDescent="0.2">
      <c r="A159" s="1822">
        <v>5</v>
      </c>
      <c r="B159" s="1848" t="s">
        <v>210</v>
      </c>
      <c r="C159" s="1606"/>
      <c r="D159" s="1606" t="s">
        <v>31</v>
      </c>
      <c r="E159" s="1606"/>
      <c r="F159" s="1606"/>
      <c r="G159" s="1606"/>
      <c r="H159" s="1606" t="s">
        <v>32</v>
      </c>
      <c r="I159" s="1606"/>
      <c r="J159" s="1606"/>
      <c r="K159" s="1614" t="s">
        <v>31</v>
      </c>
      <c r="L159" s="1614"/>
      <c r="M159" s="1614"/>
      <c r="N159" s="1614"/>
      <c r="O159" s="1614" t="s">
        <v>360</v>
      </c>
      <c r="P159" s="1685"/>
      <c r="Q159" s="1685"/>
      <c r="R159" s="1685" t="s">
        <v>32</v>
      </c>
      <c r="S159" s="1685"/>
      <c r="T159" s="1685"/>
      <c r="U159" s="1685"/>
      <c r="V159" s="1850" t="s">
        <v>32</v>
      </c>
      <c r="W159" s="1850"/>
      <c r="X159" s="1850"/>
      <c r="Y159" s="1850" t="s">
        <v>31</v>
      </c>
      <c r="Z159" s="1850"/>
      <c r="AA159" s="1850"/>
      <c r="AB159" s="1850"/>
      <c r="AC159" s="1787" t="s">
        <v>32</v>
      </c>
      <c r="AD159" s="1606"/>
      <c r="AE159" s="1606"/>
      <c r="AF159" s="1787" t="s">
        <v>31</v>
      </c>
      <c r="AG159" s="1666"/>
      <c r="AH159" s="250"/>
      <c r="AI159" s="190"/>
    </row>
    <row r="160" spans="1:35" ht="22.15" customHeight="1" x14ac:dyDescent="0.2">
      <c r="A160" s="1822">
        <v>6</v>
      </c>
      <c r="B160" s="1611" t="s">
        <v>211</v>
      </c>
      <c r="C160" s="1606" t="s">
        <v>31</v>
      </c>
      <c r="D160" s="1606" t="s">
        <v>31</v>
      </c>
      <c r="E160" s="1606" t="s">
        <v>31</v>
      </c>
      <c r="F160" s="1606"/>
      <c r="G160" s="1606"/>
      <c r="H160" s="1606" t="s">
        <v>31</v>
      </c>
      <c r="I160" s="1606" t="s">
        <v>31</v>
      </c>
      <c r="J160" s="1608" t="s">
        <v>31</v>
      </c>
      <c r="K160" s="1606" t="s">
        <v>31</v>
      </c>
      <c r="L160" s="1606" t="s">
        <v>31</v>
      </c>
      <c r="M160" s="1606"/>
      <c r="N160" s="1606"/>
      <c r="O160" s="1606" t="s">
        <v>31</v>
      </c>
      <c r="P160" s="1606" t="s">
        <v>31</v>
      </c>
      <c r="Q160" s="1606" t="s">
        <v>31</v>
      </c>
      <c r="R160" s="1603" t="s">
        <v>31</v>
      </c>
      <c r="S160" s="1603" t="s">
        <v>31</v>
      </c>
      <c r="T160" s="1603"/>
      <c r="U160" s="1603"/>
      <c r="V160" s="1603" t="s">
        <v>31</v>
      </c>
      <c r="W160" s="1603" t="s">
        <v>31</v>
      </c>
      <c r="X160" s="1603" t="s">
        <v>31</v>
      </c>
      <c r="Y160" s="1603" t="s">
        <v>31</v>
      </c>
      <c r="Z160" s="1603" t="s">
        <v>31</v>
      </c>
      <c r="AA160" s="1603"/>
      <c r="AB160" s="1603"/>
      <c r="AC160" s="1603" t="s">
        <v>31</v>
      </c>
      <c r="AD160" s="1603" t="s">
        <v>31</v>
      </c>
      <c r="AE160" s="1603" t="s">
        <v>31</v>
      </c>
      <c r="AF160" s="1603" t="s">
        <v>31</v>
      </c>
      <c r="AG160" s="1613" t="s">
        <v>31</v>
      </c>
      <c r="AH160" s="215"/>
      <c r="AI160" s="107"/>
    </row>
    <row r="161" spans="1:36" ht="22.15" customHeight="1" thickBot="1" x14ac:dyDescent="0.25">
      <c r="A161" s="1829"/>
      <c r="B161" s="1668" t="s">
        <v>212</v>
      </c>
      <c r="C161" s="1671"/>
      <c r="D161" s="1671"/>
      <c r="E161" s="1671"/>
      <c r="F161" s="1671"/>
      <c r="G161" s="1671"/>
      <c r="H161" s="1671"/>
      <c r="I161" s="1671"/>
      <c r="J161" s="1671"/>
      <c r="K161" s="1671"/>
      <c r="L161" s="1671"/>
      <c r="M161" s="1671"/>
      <c r="N161" s="1671"/>
      <c r="O161" s="1671"/>
      <c r="P161" s="1671"/>
      <c r="Q161" s="1671"/>
      <c r="R161" s="1671"/>
      <c r="S161" s="1671"/>
      <c r="T161" s="1671"/>
      <c r="U161" s="1671"/>
      <c r="V161" s="1606"/>
      <c r="W161" s="1671"/>
      <c r="X161" s="1671"/>
      <c r="Y161" s="1606" t="s">
        <v>32</v>
      </c>
      <c r="Z161" s="1671"/>
      <c r="AA161" s="1671"/>
      <c r="AB161" s="1671"/>
      <c r="AC161" s="1671"/>
      <c r="AD161" s="1671"/>
      <c r="AE161" s="1671"/>
      <c r="AF161" s="1671"/>
      <c r="AG161" s="1680"/>
      <c r="AH161" s="107"/>
      <c r="AI161" s="107"/>
    </row>
    <row r="162" spans="1:36" ht="22.15" customHeight="1" x14ac:dyDescent="0.2">
      <c r="A162" s="256"/>
      <c r="B162" s="228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29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107"/>
      <c r="AI162" s="107"/>
    </row>
    <row r="163" spans="1:36" ht="22.15" customHeight="1" x14ac:dyDescent="0.2">
      <c r="A163" s="256"/>
      <c r="B163" s="228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29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107"/>
      <c r="AI163" s="107"/>
    </row>
    <row r="164" spans="1:36" ht="22.15" customHeight="1" thickBot="1" x14ac:dyDescent="0.25">
      <c r="A164" s="150" t="s">
        <v>213</v>
      </c>
      <c r="B164" s="72"/>
      <c r="C164" s="106" t="s">
        <v>99</v>
      </c>
      <c r="D164" s="72"/>
      <c r="E164" s="72"/>
      <c r="F164" s="106" t="s">
        <v>99</v>
      </c>
      <c r="G164" s="72"/>
      <c r="H164" s="72"/>
      <c r="I164" s="106" t="s">
        <v>99</v>
      </c>
      <c r="J164" s="106"/>
      <c r="K164" s="72"/>
      <c r="L164" s="106" t="s">
        <v>99</v>
      </c>
      <c r="M164" s="72"/>
      <c r="N164" s="72"/>
      <c r="O164" s="106" t="s">
        <v>99</v>
      </c>
      <c r="P164" s="72"/>
      <c r="Q164" s="106"/>
      <c r="R164" s="106" t="s">
        <v>99</v>
      </c>
      <c r="S164" s="72"/>
      <c r="T164" s="72"/>
      <c r="U164" s="106" t="s">
        <v>99</v>
      </c>
      <c r="V164" s="72"/>
      <c r="W164" s="106"/>
      <c r="X164" s="106"/>
      <c r="Y164" s="72"/>
      <c r="Z164" s="72"/>
      <c r="AA164" s="72"/>
      <c r="AB164" s="72"/>
      <c r="AC164" s="72"/>
      <c r="AD164" s="72"/>
      <c r="AE164" s="106"/>
      <c r="AF164" s="72"/>
      <c r="AG164" s="72"/>
      <c r="AH164" s="107"/>
      <c r="AI164" s="107"/>
    </row>
    <row r="165" spans="1:36" ht="22.15" customHeight="1" x14ac:dyDescent="0.2">
      <c r="A165" s="109"/>
      <c r="B165" s="294" t="s">
        <v>214</v>
      </c>
      <c r="C165" s="295"/>
      <c r="D165" s="296" t="s">
        <v>90</v>
      </c>
      <c r="E165" s="297"/>
      <c r="F165" s="298"/>
      <c r="G165" s="299"/>
      <c r="H165" s="296" t="s">
        <v>91</v>
      </c>
      <c r="I165" s="297"/>
      <c r="J165" s="298"/>
      <c r="K165" s="299"/>
      <c r="L165" s="296" t="s">
        <v>92</v>
      </c>
      <c r="M165" s="297"/>
      <c r="N165" s="298"/>
      <c r="O165" s="299"/>
      <c r="P165" s="296" t="s">
        <v>93</v>
      </c>
      <c r="Q165" s="297"/>
      <c r="R165" s="298"/>
      <c r="S165" s="299"/>
      <c r="T165" s="296" t="s">
        <v>94</v>
      </c>
      <c r="U165" s="297"/>
      <c r="V165" s="298"/>
      <c r="W165" s="299"/>
      <c r="X165" s="296" t="s">
        <v>95</v>
      </c>
      <c r="Y165" s="297"/>
      <c r="Z165" s="298"/>
      <c r="AA165" s="299"/>
      <c r="AB165" s="296" t="s">
        <v>96</v>
      </c>
      <c r="AC165" s="297"/>
      <c r="AD165" s="297"/>
      <c r="AE165" s="300" t="s">
        <v>97</v>
      </c>
      <c r="AF165" s="297"/>
      <c r="AG165" s="297"/>
      <c r="AH165" s="297"/>
      <c r="AI165" s="301"/>
    </row>
    <row r="166" spans="1:36" ht="22.15" customHeight="1" x14ac:dyDescent="0.2">
      <c r="A166" s="109"/>
      <c r="B166" s="1851" t="s">
        <v>215</v>
      </c>
      <c r="C166" s="1852" t="s">
        <v>216</v>
      </c>
      <c r="D166" s="1438" t="s">
        <v>217</v>
      </c>
      <c r="E166" s="1439"/>
      <c r="F166" s="1440"/>
      <c r="G166" s="1853"/>
      <c r="H166" s="1438" t="s">
        <v>217</v>
      </c>
      <c r="I166" s="1439"/>
      <c r="J166" s="1440"/>
      <c r="K166" s="1853"/>
      <c r="L166" s="1438" t="s">
        <v>217</v>
      </c>
      <c r="M166" s="1439"/>
      <c r="N166" s="1440"/>
      <c r="O166" s="1853"/>
      <c r="P166" s="1438" t="s">
        <v>218</v>
      </c>
      <c r="Q166" s="1439"/>
      <c r="R166" s="1440"/>
      <c r="S166" s="1853"/>
      <c r="T166" s="1438" t="s">
        <v>219</v>
      </c>
      <c r="U166" s="1440"/>
      <c r="V166" s="1442"/>
      <c r="W166" s="1854"/>
      <c r="X166" s="1444"/>
      <c r="Y166" s="1444"/>
      <c r="Z166" s="1442"/>
      <c r="AA166" s="1854"/>
      <c r="AB166" s="1444"/>
      <c r="AC166" s="1444"/>
      <c r="AD166" s="1444"/>
      <c r="AE166" s="1854"/>
      <c r="AF166" s="1444"/>
      <c r="AG166" s="1444"/>
      <c r="AH166" s="1445"/>
      <c r="AI166" s="1855"/>
    </row>
    <row r="167" spans="1:36" ht="22.15" customHeight="1" x14ac:dyDescent="0.2">
      <c r="A167" s="109"/>
      <c r="B167" s="1851" t="s">
        <v>215</v>
      </c>
      <c r="C167" s="1852" t="s">
        <v>220</v>
      </c>
      <c r="D167" s="1438" t="s">
        <v>217</v>
      </c>
      <c r="E167" s="1439"/>
      <c r="F167" s="1440"/>
      <c r="G167" s="1853"/>
      <c r="H167" s="1438" t="s">
        <v>217</v>
      </c>
      <c r="I167" s="1439"/>
      <c r="J167" s="1440"/>
      <c r="K167" s="1853"/>
      <c r="L167" s="1438" t="s">
        <v>217</v>
      </c>
      <c r="M167" s="1439"/>
      <c r="N167" s="1440"/>
      <c r="O167" s="1853"/>
      <c r="P167" s="1438" t="s">
        <v>218</v>
      </c>
      <c r="Q167" s="1439"/>
      <c r="R167" s="1440"/>
      <c r="S167" s="1853"/>
      <c r="T167" s="1438" t="s">
        <v>219</v>
      </c>
      <c r="U167" s="1440"/>
      <c r="V167" s="1442"/>
      <c r="W167" s="1854"/>
      <c r="X167" s="1444"/>
      <c r="Y167" s="1444"/>
      <c r="Z167" s="1442"/>
      <c r="AA167" s="1854"/>
      <c r="AB167" s="1444"/>
      <c r="AC167" s="1444"/>
      <c r="AD167" s="1444"/>
      <c r="AE167" s="1854"/>
      <c r="AF167" s="1444"/>
      <c r="AG167" s="1444"/>
      <c r="AH167" s="1445"/>
      <c r="AI167" s="1855"/>
    </row>
    <row r="168" spans="1:36" ht="22.15" customHeight="1" x14ac:dyDescent="0.2">
      <c r="A168" s="109"/>
      <c r="B168" s="1851" t="s">
        <v>221</v>
      </c>
      <c r="C168" s="1852" t="s">
        <v>158</v>
      </c>
      <c r="D168" s="1438" t="s">
        <v>217</v>
      </c>
      <c r="E168" s="1439"/>
      <c r="F168" s="1440"/>
      <c r="G168" s="1853"/>
      <c r="H168" s="1438" t="s">
        <v>217</v>
      </c>
      <c r="I168" s="1439"/>
      <c r="J168" s="1440"/>
      <c r="K168" s="1853"/>
      <c r="L168" s="1438" t="s">
        <v>217</v>
      </c>
      <c r="M168" s="1439"/>
      <c r="N168" s="1440"/>
      <c r="O168" s="1853"/>
      <c r="P168" s="1438" t="s">
        <v>218</v>
      </c>
      <c r="Q168" s="1439"/>
      <c r="R168" s="1440"/>
      <c r="S168" s="1853"/>
      <c r="T168" s="1438" t="s">
        <v>219</v>
      </c>
      <c r="U168" s="1440"/>
      <c r="V168" s="1442"/>
      <c r="W168" s="1854"/>
      <c r="X168" s="1444"/>
      <c r="Y168" s="1444"/>
      <c r="Z168" s="1442"/>
      <c r="AA168" s="1854"/>
      <c r="AB168" s="1444"/>
      <c r="AC168" s="1444"/>
      <c r="AD168" s="1444"/>
      <c r="AE168" s="1854"/>
      <c r="AF168" s="1444"/>
      <c r="AG168" s="1444"/>
      <c r="AH168" s="1445"/>
      <c r="AI168" s="1855"/>
    </row>
    <row r="169" spans="1:36" ht="22.15" customHeight="1" x14ac:dyDescent="0.2">
      <c r="A169" s="109"/>
      <c r="B169" s="1851" t="s">
        <v>222</v>
      </c>
      <c r="C169" s="1852" t="s">
        <v>223</v>
      </c>
      <c r="D169" s="1438" t="s">
        <v>224</v>
      </c>
      <c r="E169" s="1439"/>
      <c r="F169" s="1440"/>
      <c r="G169" s="1853"/>
      <c r="H169" s="1438" t="s">
        <v>224</v>
      </c>
      <c r="I169" s="1439"/>
      <c r="J169" s="1440"/>
      <c r="K169" s="1853"/>
      <c r="L169" s="1438" t="s">
        <v>224</v>
      </c>
      <c r="M169" s="1439"/>
      <c r="N169" s="1440"/>
      <c r="O169" s="1853"/>
      <c r="P169" s="1438" t="s">
        <v>225</v>
      </c>
      <c r="Q169" s="1439"/>
      <c r="R169" s="1440"/>
      <c r="S169" s="1853"/>
      <c r="T169" s="1438" t="s">
        <v>226</v>
      </c>
      <c r="U169" s="1440"/>
      <c r="V169" s="1442"/>
      <c r="W169" s="1854"/>
      <c r="X169" s="1444"/>
      <c r="Y169" s="1444"/>
      <c r="Z169" s="1442"/>
      <c r="AA169" s="1854"/>
      <c r="AB169" s="1444"/>
      <c r="AC169" s="1444"/>
      <c r="AD169" s="1444"/>
      <c r="AE169" s="1854"/>
      <c r="AF169" s="1444"/>
      <c r="AG169" s="1444"/>
      <c r="AH169" s="1445"/>
      <c r="AI169" s="1855"/>
    </row>
    <row r="170" spans="1:36" ht="22.15" customHeight="1" x14ac:dyDescent="0.2">
      <c r="A170" s="109"/>
      <c r="B170" s="1851" t="s">
        <v>227</v>
      </c>
      <c r="C170" s="1852" t="s">
        <v>228</v>
      </c>
      <c r="D170" s="1438" t="s">
        <v>229</v>
      </c>
      <c r="E170" s="1439"/>
      <c r="F170" s="1440"/>
      <c r="G170" s="1853"/>
      <c r="H170" s="1438" t="s">
        <v>229</v>
      </c>
      <c r="I170" s="1439"/>
      <c r="J170" s="1440"/>
      <c r="K170" s="1853"/>
      <c r="L170" s="1438" t="s">
        <v>230</v>
      </c>
      <c r="M170" s="1439"/>
      <c r="N170" s="1440"/>
      <c r="O170" s="1853"/>
      <c r="P170" s="1438" t="s">
        <v>231</v>
      </c>
      <c r="Q170" s="1439"/>
      <c r="R170" s="1440"/>
      <c r="S170" s="1853"/>
      <c r="T170" s="1438" t="s">
        <v>226</v>
      </c>
      <c r="U170" s="1440"/>
      <c r="V170" s="1442"/>
      <c r="W170" s="1854"/>
      <c r="X170" s="1444"/>
      <c r="Y170" s="1444"/>
      <c r="Z170" s="1442"/>
      <c r="AA170" s="1854"/>
      <c r="AB170" s="1444"/>
      <c r="AC170" s="1444"/>
      <c r="AD170" s="1444"/>
      <c r="AE170" s="1854"/>
      <c r="AF170" s="1444"/>
      <c r="AG170" s="1444"/>
      <c r="AH170" s="1445"/>
      <c r="AI170" s="1855"/>
    </row>
    <row r="171" spans="1:36" ht="22.15" customHeight="1" x14ac:dyDescent="0.2">
      <c r="A171" s="109"/>
      <c r="B171" s="1851" t="s">
        <v>232</v>
      </c>
      <c r="C171" s="1852" t="s">
        <v>233</v>
      </c>
      <c r="D171" s="1438" t="s">
        <v>217</v>
      </c>
      <c r="E171" s="1439"/>
      <c r="F171" s="1440"/>
      <c r="G171" s="1853"/>
      <c r="H171" s="1438" t="s">
        <v>217</v>
      </c>
      <c r="I171" s="1439"/>
      <c r="J171" s="1440"/>
      <c r="K171" s="1853"/>
      <c r="L171" s="1438" t="s">
        <v>217</v>
      </c>
      <c r="M171" s="1439"/>
      <c r="N171" s="1440"/>
      <c r="O171" s="1853"/>
      <c r="P171" s="1438" t="s">
        <v>217</v>
      </c>
      <c r="Q171" s="1439"/>
      <c r="R171" s="1440"/>
      <c r="S171" s="1853"/>
      <c r="T171" s="1438" t="s">
        <v>229</v>
      </c>
      <c r="U171" s="1440"/>
      <c r="V171" s="1442"/>
      <c r="W171" s="1854"/>
      <c r="X171" s="1444"/>
      <c r="Y171" s="1444"/>
      <c r="Z171" s="1442"/>
      <c r="AA171" s="1854"/>
      <c r="AB171" s="1444"/>
      <c r="AC171" s="1444"/>
      <c r="AD171" s="1444"/>
      <c r="AE171" s="1854"/>
      <c r="AF171" s="1444"/>
      <c r="AG171" s="1444"/>
      <c r="AH171" s="1445"/>
      <c r="AI171" s="1855"/>
    </row>
    <row r="172" spans="1:36" ht="22.15" customHeight="1" x14ac:dyDescent="0.2">
      <c r="A172" s="109"/>
      <c r="B172" s="1851" t="s">
        <v>234</v>
      </c>
      <c r="C172" s="1852" t="s">
        <v>235</v>
      </c>
      <c r="D172" s="1438" t="s">
        <v>217</v>
      </c>
      <c r="E172" s="1439"/>
      <c r="F172" s="1440"/>
      <c r="G172" s="1853"/>
      <c r="H172" s="1438" t="s">
        <v>217</v>
      </c>
      <c r="I172" s="1439"/>
      <c r="J172" s="1440"/>
      <c r="K172" s="1853"/>
      <c r="L172" s="1438" t="s">
        <v>217</v>
      </c>
      <c r="M172" s="1439"/>
      <c r="N172" s="1440"/>
      <c r="O172" s="1853"/>
      <c r="P172" s="1438" t="s">
        <v>218</v>
      </c>
      <c r="Q172" s="1439"/>
      <c r="R172" s="1440"/>
      <c r="S172" s="1853"/>
      <c r="T172" s="1438" t="s">
        <v>219</v>
      </c>
      <c r="U172" s="1440"/>
      <c r="V172" s="1442"/>
      <c r="W172" s="1854"/>
      <c r="X172" s="1444"/>
      <c r="Y172" s="1444"/>
      <c r="Z172" s="1442"/>
      <c r="AA172" s="1854"/>
      <c r="AB172" s="1444"/>
      <c r="AC172" s="1444"/>
      <c r="AD172" s="1444"/>
      <c r="AE172" s="1854"/>
      <c r="AF172" s="1444"/>
      <c r="AG172" s="1444"/>
      <c r="AH172" s="1445"/>
      <c r="AI172" s="1855"/>
    </row>
    <row r="173" spans="1:36" ht="22.15" customHeight="1" x14ac:dyDescent="0.2">
      <c r="A173" s="109"/>
      <c r="B173" s="1851" t="s">
        <v>234</v>
      </c>
      <c r="C173" s="1852" t="s">
        <v>236</v>
      </c>
      <c r="D173" s="1438" t="s">
        <v>217</v>
      </c>
      <c r="E173" s="1439"/>
      <c r="F173" s="1440"/>
      <c r="G173" s="1853"/>
      <c r="H173" s="1438" t="s">
        <v>217</v>
      </c>
      <c r="I173" s="1439"/>
      <c r="J173" s="1440"/>
      <c r="K173" s="1853"/>
      <c r="L173" s="1438" t="s">
        <v>217</v>
      </c>
      <c r="M173" s="1439"/>
      <c r="N173" s="1440"/>
      <c r="O173" s="1853"/>
      <c r="P173" s="1438" t="s">
        <v>218</v>
      </c>
      <c r="Q173" s="1439"/>
      <c r="R173" s="1440"/>
      <c r="S173" s="1853"/>
      <c r="T173" s="1438" t="s">
        <v>219</v>
      </c>
      <c r="U173" s="1440"/>
      <c r="V173" s="1442"/>
      <c r="W173" s="1854"/>
      <c r="X173" s="1444"/>
      <c r="Y173" s="1444"/>
      <c r="Z173" s="1442"/>
      <c r="AA173" s="1854"/>
      <c r="AB173" s="1444"/>
      <c r="AC173" s="1444"/>
      <c r="AD173" s="1444"/>
      <c r="AE173" s="1854"/>
      <c r="AF173" s="1444"/>
      <c r="AG173" s="1444"/>
      <c r="AH173" s="1445"/>
      <c r="AI173" s="1855"/>
    </row>
    <row r="174" spans="1:36" ht="22.15" customHeight="1" x14ac:dyDescent="0.2">
      <c r="A174" s="109"/>
      <c r="B174" s="1851" t="s">
        <v>237</v>
      </c>
      <c r="C174" s="1852" t="s">
        <v>238</v>
      </c>
      <c r="D174" s="1438" t="s">
        <v>217</v>
      </c>
      <c r="E174" s="1439"/>
      <c r="F174" s="1440"/>
      <c r="G174" s="1853"/>
      <c r="H174" s="1438" t="s">
        <v>217</v>
      </c>
      <c r="I174" s="1439"/>
      <c r="J174" s="1440"/>
      <c r="K174" s="1853"/>
      <c r="L174" s="1438" t="s">
        <v>217</v>
      </c>
      <c r="M174" s="1439"/>
      <c r="N174" s="1440"/>
      <c r="O174" s="1853"/>
      <c r="P174" s="1438" t="s">
        <v>239</v>
      </c>
      <c r="Q174" s="1439"/>
      <c r="R174" s="1440"/>
      <c r="S174" s="1853"/>
      <c r="T174" s="1438" t="s">
        <v>226</v>
      </c>
      <c r="U174" s="1440"/>
      <c r="V174" s="1442"/>
      <c r="W174" s="1854"/>
      <c r="X174" s="1444"/>
      <c r="Y174" s="1444"/>
      <c r="Z174" s="1442"/>
      <c r="AA174" s="1854"/>
      <c r="AB174" s="1444"/>
      <c r="AC174" s="1444"/>
      <c r="AD174" s="1444"/>
      <c r="AE174" s="1854"/>
      <c r="AF174" s="1444"/>
      <c r="AG174" s="1444"/>
      <c r="AH174" s="1445"/>
      <c r="AI174" s="1855"/>
    </row>
    <row r="175" spans="1:36" ht="22.15" customHeight="1" x14ac:dyDescent="0.2">
      <c r="A175" s="109"/>
      <c r="B175" s="1447" t="s">
        <v>240</v>
      </c>
      <c r="C175" s="1852" t="s">
        <v>80</v>
      </c>
      <c r="D175" s="1438" t="s">
        <v>217</v>
      </c>
      <c r="E175" s="1439"/>
      <c r="F175" s="1440"/>
      <c r="G175" s="1853"/>
      <c r="H175" s="1438" t="s">
        <v>217</v>
      </c>
      <c r="I175" s="1439"/>
      <c r="J175" s="1440"/>
      <c r="K175" s="1853"/>
      <c r="L175" s="1438" t="s">
        <v>217</v>
      </c>
      <c r="M175" s="1439"/>
      <c r="N175" s="1440"/>
      <c r="O175" s="1853"/>
      <c r="P175" s="1438" t="s">
        <v>218</v>
      </c>
      <c r="Q175" s="1439"/>
      <c r="R175" s="1440"/>
      <c r="S175" s="1853"/>
      <c r="T175" s="1438" t="s">
        <v>219</v>
      </c>
      <c r="U175" s="1440"/>
      <c r="V175" s="212"/>
      <c r="W175" s="1448"/>
      <c r="X175" s="211"/>
      <c r="Y175" s="211"/>
      <c r="Z175" s="212"/>
      <c r="AA175" s="1448"/>
      <c r="AB175" s="211"/>
      <c r="AC175" s="211"/>
      <c r="AD175" s="211"/>
      <c r="AE175" s="1448"/>
      <c r="AF175" s="211"/>
      <c r="AG175" s="211"/>
      <c r="AH175" s="213"/>
      <c r="AI175" s="1449"/>
      <c r="AJ175" s="214"/>
    </row>
    <row r="176" spans="1:36" ht="22.15" customHeight="1" x14ac:dyDescent="0.2">
      <c r="A176" s="109"/>
      <c r="B176" s="1851" t="s">
        <v>241</v>
      </c>
      <c r="C176" s="1852" t="s">
        <v>132</v>
      </c>
      <c r="D176" s="1438" t="s">
        <v>217</v>
      </c>
      <c r="E176" s="1439"/>
      <c r="F176" s="1440"/>
      <c r="G176" s="1853"/>
      <c r="H176" s="1438" t="s">
        <v>217</v>
      </c>
      <c r="I176" s="1439"/>
      <c r="J176" s="1440"/>
      <c r="K176" s="1853"/>
      <c r="L176" s="1438" t="s">
        <v>217</v>
      </c>
      <c r="M176" s="1439"/>
      <c r="N176" s="1440"/>
      <c r="O176" s="1853"/>
      <c r="P176" s="1438" t="s">
        <v>218</v>
      </c>
      <c r="Q176" s="1439"/>
      <c r="R176" s="1440"/>
      <c r="S176" s="1853"/>
      <c r="T176" s="1438" t="s">
        <v>219</v>
      </c>
      <c r="U176" s="1440"/>
      <c r="V176" s="1444"/>
      <c r="W176" s="1854"/>
      <c r="X176" s="1444"/>
      <c r="Y176" s="1444"/>
      <c r="Z176" s="1444"/>
      <c r="AA176" s="1854"/>
      <c r="AB176" s="1444"/>
      <c r="AC176" s="1444"/>
      <c r="AD176" s="1444"/>
      <c r="AE176" s="1854"/>
      <c r="AF176" s="1444"/>
      <c r="AG176" s="1444"/>
      <c r="AH176" s="1445"/>
      <c r="AI176" s="1855"/>
      <c r="AJ176" s="214"/>
    </row>
    <row r="177" spans="1:36" ht="22.15" customHeight="1" x14ac:dyDescent="0.2">
      <c r="A177" s="109"/>
      <c r="B177" s="1851" t="s">
        <v>242</v>
      </c>
      <c r="C177" s="1856" t="s">
        <v>243</v>
      </c>
      <c r="D177" s="1438" t="s">
        <v>244</v>
      </c>
      <c r="E177" s="1439"/>
      <c r="F177" s="1440"/>
      <c r="G177" s="1853"/>
      <c r="H177" s="1438" t="s">
        <v>244</v>
      </c>
      <c r="I177" s="1439"/>
      <c r="J177" s="1440"/>
      <c r="K177" s="1853"/>
      <c r="L177" s="1438" t="s">
        <v>244</v>
      </c>
      <c r="M177" s="1439"/>
      <c r="N177" s="1439"/>
      <c r="O177" s="1853"/>
      <c r="P177" s="1438" t="s">
        <v>244</v>
      </c>
      <c r="Q177" s="1439"/>
      <c r="R177" s="1439"/>
      <c r="S177" s="1853"/>
      <c r="T177" s="1438" t="s">
        <v>226</v>
      </c>
      <c r="U177" s="1440"/>
      <c r="V177" s="1444"/>
      <c r="W177" s="1857"/>
      <c r="X177" s="1444"/>
      <c r="Y177" s="1444"/>
      <c r="Z177" s="1444"/>
      <c r="AA177" s="1854"/>
      <c r="AB177" s="1444"/>
      <c r="AC177" s="1444"/>
      <c r="AD177" s="1444"/>
      <c r="AE177" s="1854"/>
      <c r="AF177" s="1444"/>
      <c r="AG177" s="1444"/>
      <c r="AH177" s="1445"/>
      <c r="AI177" s="1855"/>
      <c r="AJ177" s="214"/>
    </row>
    <row r="178" spans="1:36" ht="22.15" customHeight="1" x14ac:dyDescent="0.2">
      <c r="A178" s="109"/>
      <c r="B178" s="1851" t="s">
        <v>245</v>
      </c>
      <c r="C178" s="1856" t="s">
        <v>246</v>
      </c>
      <c r="D178" s="1438" t="s">
        <v>244</v>
      </c>
      <c r="E178" s="1439"/>
      <c r="F178" s="1440"/>
      <c r="G178" s="1853"/>
      <c r="H178" s="1438" t="s">
        <v>244</v>
      </c>
      <c r="I178" s="1439"/>
      <c r="J178" s="1440"/>
      <c r="K178" s="1853"/>
      <c r="L178" s="1438" t="s">
        <v>244</v>
      </c>
      <c r="M178" s="1439"/>
      <c r="N178" s="1439"/>
      <c r="O178" s="1853"/>
      <c r="P178" s="1438" t="s">
        <v>244</v>
      </c>
      <c r="Q178" s="1439"/>
      <c r="R178" s="1439"/>
      <c r="S178" s="1853"/>
      <c r="T178" s="1438" t="s">
        <v>226</v>
      </c>
      <c r="U178" s="1440"/>
      <c r="V178" s="1444"/>
      <c r="W178" s="1857"/>
      <c r="X178" s="1444"/>
      <c r="Y178" s="1444"/>
      <c r="Z178" s="1442"/>
      <c r="AA178" s="1452"/>
      <c r="AB178" s="1444"/>
      <c r="AC178" s="1444"/>
      <c r="AD178" s="1444"/>
      <c r="AE178" s="1854"/>
      <c r="AF178" s="1444"/>
      <c r="AG178" s="1444"/>
      <c r="AH178" s="1445"/>
      <c r="AI178" s="1855"/>
      <c r="AJ178" s="214"/>
    </row>
    <row r="179" spans="1:36" ht="22.15" customHeight="1" thickBot="1" x14ac:dyDescent="0.25">
      <c r="A179" s="109"/>
      <c r="B179" s="1851" t="s">
        <v>247</v>
      </c>
      <c r="C179" s="1856" t="s">
        <v>248</v>
      </c>
      <c r="D179" s="1438" t="s">
        <v>244</v>
      </c>
      <c r="E179" s="1439"/>
      <c r="F179" s="1440"/>
      <c r="G179" s="1853"/>
      <c r="H179" s="1438" t="s">
        <v>244</v>
      </c>
      <c r="I179" s="1439"/>
      <c r="J179" s="1440"/>
      <c r="K179" s="1853"/>
      <c r="L179" s="1438" t="s">
        <v>244</v>
      </c>
      <c r="M179" s="1439"/>
      <c r="N179" s="1439"/>
      <c r="O179" s="1853"/>
      <c r="P179" s="1438" t="s">
        <v>244</v>
      </c>
      <c r="Q179" s="1439"/>
      <c r="R179" s="1439"/>
      <c r="S179" s="1853"/>
      <c r="T179" s="1438" t="s">
        <v>226</v>
      </c>
      <c r="U179" s="1440"/>
      <c r="V179" s="1858"/>
      <c r="W179" s="677"/>
      <c r="X179" s="1858"/>
      <c r="Y179" s="1858"/>
      <c r="Z179" s="1859"/>
      <c r="AA179" s="1860"/>
      <c r="AB179" s="1858"/>
      <c r="AC179" s="1858"/>
      <c r="AD179" s="1858"/>
      <c r="AE179" s="678"/>
      <c r="AF179" s="1858"/>
      <c r="AG179" s="1858"/>
      <c r="AH179" s="1861"/>
      <c r="AI179" s="679"/>
      <c r="AJ179" s="214"/>
    </row>
    <row r="180" spans="1:36" ht="22.15" customHeight="1" x14ac:dyDescent="0.2">
      <c r="A180" s="109"/>
      <c r="B180" s="240"/>
      <c r="C180" s="241"/>
      <c r="D180" s="242"/>
      <c r="E180" s="243"/>
      <c r="F180" s="243"/>
      <c r="G180" s="244"/>
      <c r="H180" s="242"/>
      <c r="I180" s="243"/>
      <c r="J180" s="243"/>
      <c r="K180" s="244"/>
      <c r="L180" s="242"/>
      <c r="M180" s="243"/>
      <c r="N180" s="243"/>
      <c r="O180" s="244"/>
      <c r="P180" s="228"/>
      <c r="Q180" s="243"/>
      <c r="R180" s="243"/>
      <c r="S180" s="244"/>
      <c r="T180" s="228"/>
      <c r="U180" s="243"/>
      <c r="V180" s="243"/>
      <c r="W180" s="243"/>
      <c r="X180" s="243"/>
      <c r="Y180" s="243"/>
      <c r="Z180" s="243"/>
      <c r="AA180" s="244"/>
      <c r="AB180" s="243"/>
      <c r="AC180" s="243"/>
      <c r="AD180" s="243"/>
      <c r="AE180" s="244"/>
      <c r="AF180" s="243"/>
      <c r="AG180" s="243"/>
      <c r="AH180" s="215"/>
      <c r="AI180" s="215"/>
      <c r="AJ180" s="214"/>
    </row>
    <row r="181" spans="1:36" ht="22.15" customHeight="1" thickBot="1" x14ac:dyDescent="0.25">
      <c r="A181" s="148"/>
      <c r="B181" s="1457" t="s">
        <v>29</v>
      </c>
      <c r="C181" s="1595">
        <v>1</v>
      </c>
      <c r="D181" s="1595">
        <v>2</v>
      </c>
      <c r="E181" s="1595">
        <v>3</v>
      </c>
      <c r="F181" s="1596">
        <v>4</v>
      </c>
      <c r="G181" s="1596">
        <v>5</v>
      </c>
      <c r="H181" s="1595">
        <v>6</v>
      </c>
      <c r="I181" s="1595">
        <v>7</v>
      </c>
      <c r="J181" s="1595">
        <v>8</v>
      </c>
      <c r="K181" s="1595">
        <v>9</v>
      </c>
      <c r="L181" s="1595">
        <v>10</v>
      </c>
      <c r="M181" s="1596">
        <v>11</v>
      </c>
      <c r="N181" s="1596">
        <v>12</v>
      </c>
      <c r="O181" s="1595">
        <v>13</v>
      </c>
      <c r="P181" s="1595">
        <v>14</v>
      </c>
      <c r="Q181" s="1595">
        <v>15</v>
      </c>
      <c r="R181" s="1595">
        <v>16</v>
      </c>
      <c r="S181" s="1595">
        <v>17</v>
      </c>
      <c r="T181" s="1596">
        <v>18</v>
      </c>
      <c r="U181" s="1596">
        <v>19</v>
      </c>
      <c r="V181" s="1595">
        <v>20</v>
      </c>
      <c r="W181" s="1595">
        <v>21</v>
      </c>
      <c r="X181" s="1595">
        <v>22</v>
      </c>
      <c r="Y181" s="1595">
        <v>23</v>
      </c>
      <c r="Z181" s="1595">
        <v>24</v>
      </c>
      <c r="AA181" s="1596">
        <v>25</v>
      </c>
      <c r="AB181" s="1596">
        <v>26</v>
      </c>
      <c r="AC181" s="1595">
        <v>27</v>
      </c>
      <c r="AD181" s="1595">
        <v>28</v>
      </c>
      <c r="AE181" s="1595">
        <v>29</v>
      </c>
      <c r="AF181" s="1595">
        <v>30</v>
      </c>
      <c r="AG181" s="1597">
        <v>31</v>
      </c>
      <c r="AH181" s="195"/>
      <c r="AI181" s="185"/>
    </row>
    <row r="182" spans="1:36" ht="22.15" customHeight="1" x14ac:dyDescent="0.2">
      <c r="A182" s="109"/>
      <c r="B182" s="411" t="s">
        <v>249</v>
      </c>
      <c r="C182" s="385" t="s">
        <v>216</v>
      </c>
      <c r="D182" s="385" t="s">
        <v>216</v>
      </c>
      <c r="E182" s="385" t="s">
        <v>216</v>
      </c>
      <c r="F182" s="385"/>
      <c r="G182" s="385"/>
      <c r="H182" s="385" t="s">
        <v>216</v>
      </c>
      <c r="I182" s="385" t="s">
        <v>216</v>
      </c>
      <c r="J182" s="385" t="s">
        <v>216</v>
      </c>
      <c r="K182" s="385" t="s">
        <v>216</v>
      </c>
      <c r="L182" s="385" t="s">
        <v>216</v>
      </c>
      <c r="M182" s="385"/>
      <c r="N182" s="385"/>
      <c r="O182" s="385" t="s">
        <v>216</v>
      </c>
      <c r="P182" s="385" t="s">
        <v>216</v>
      </c>
      <c r="Q182" s="385" t="s">
        <v>216</v>
      </c>
      <c r="R182" s="385" t="s">
        <v>216</v>
      </c>
      <c r="S182" s="385" t="s">
        <v>216</v>
      </c>
      <c r="T182" s="385"/>
      <c r="U182" s="385"/>
      <c r="V182" s="385" t="s">
        <v>216</v>
      </c>
      <c r="W182" s="385" t="s">
        <v>216</v>
      </c>
      <c r="X182" s="385" t="s">
        <v>216</v>
      </c>
      <c r="Y182" s="385" t="s">
        <v>216</v>
      </c>
      <c r="Z182" s="385" t="s">
        <v>216</v>
      </c>
      <c r="AA182" s="385"/>
      <c r="AB182" s="385"/>
      <c r="AC182" s="385" t="s">
        <v>216</v>
      </c>
      <c r="AD182" s="385" t="s">
        <v>216</v>
      </c>
      <c r="AE182" s="385" t="s">
        <v>216</v>
      </c>
      <c r="AF182" s="385" t="s">
        <v>216</v>
      </c>
      <c r="AG182" s="412" t="s">
        <v>216</v>
      </c>
      <c r="AH182" s="190"/>
      <c r="AI182" s="190"/>
    </row>
    <row r="183" spans="1:36" ht="22.15" customHeight="1" x14ac:dyDescent="0.2">
      <c r="A183" s="109"/>
      <c r="B183" s="1459" t="s">
        <v>250</v>
      </c>
      <c r="C183" s="1625" t="s">
        <v>216</v>
      </c>
      <c r="D183" s="1625" t="s">
        <v>216</v>
      </c>
      <c r="E183" s="1625" t="s">
        <v>216</v>
      </c>
      <c r="F183" s="1625"/>
      <c r="G183" s="1625"/>
      <c r="H183" s="1625" t="s">
        <v>216</v>
      </c>
      <c r="I183" s="1637" t="s">
        <v>216</v>
      </c>
      <c r="J183" s="1637" t="s">
        <v>216</v>
      </c>
      <c r="K183" s="1625" t="s">
        <v>216</v>
      </c>
      <c r="L183" s="1625" t="s">
        <v>216</v>
      </c>
      <c r="M183" s="1633"/>
      <c r="N183" s="1633"/>
      <c r="O183" s="1633" t="s">
        <v>216</v>
      </c>
      <c r="P183" s="1633" t="s">
        <v>216</v>
      </c>
      <c r="Q183" s="1633" t="s">
        <v>216</v>
      </c>
      <c r="R183" s="1633" t="s">
        <v>216</v>
      </c>
      <c r="S183" s="1633" t="s">
        <v>216</v>
      </c>
      <c r="T183" s="1633"/>
      <c r="U183" s="1633"/>
      <c r="V183" s="1633" t="s">
        <v>216</v>
      </c>
      <c r="W183" s="1633" t="s">
        <v>216</v>
      </c>
      <c r="X183" s="1633" t="s">
        <v>216</v>
      </c>
      <c r="Y183" s="1625" t="s">
        <v>216</v>
      </c>
      <c r="Z183" s="1625" t="s">
        <v>216</v>
      </c>
      <c r="AA183" s="1625"/>
      <c r="AB183" s="1625"/>
      <c r="AC183" s="1625" t="s">
        <v>216</v>
      </c>
      <c r="AD183" s="1625" t="s">
        <v>216</v>
      </c>
      <c r="AE183" s="1625" t="s">
        <v>216</v>
      </c>
      <c r="AF183" s="1625" t="s">
        <v>216</v>
      </c>
      <c r="AG183" s="1842" t="s">
        <v>216</v>
      </c>
      <c r="AH183" s="190"/>
      <c r="AI183" s="190"/>
    </row>
    <row r="184" spans="1:36" ht="22.15" customHeight="1" x14ac:dyDescent="0.2">
      <c r="A184" s="109"/>
      <c r="B184" s="1459" t="s">
        <v>251</v>
      </c>
      <c r="C184" s="1625" t="s">
        <v>220</v>
      </c>
      <c r="D184" s="1625" t="s">
        <v>220</v>
      </c>
      <c r="E184" s="1625" t="s">
        <v>220</v>
      </c>
      <c r="F184" s="1633"/>
      <c r="G184" s="1625"/>
      <c r="H184" s="1465" t="s">
        <v>220</v>
      </c>
      <c r="I184" s="1465" t="s">
        <v>220</v>
      </c>
      <c r="J184" s="1465" t="s">
        <v>220</v>
      </c>
      <c r="K184" s="1465" t="s">
        <v>220</v>
      </c>
      <c r="L184" s="1465" t="s">
        <v>220</v>
      </c>
      <c r="M184" s="1465"/>
      <c r="N184" s="1465"/>
      <c r="O184" s="1465" t="s">
        <v>220</v>
      </c>
      <c r="P184" s="1465" t="s">
        <v>220</v>
      </c>
      <c r="Q184" s="1465" t="s">
        <v>220</v>
      </c>
      <c r="R184" s="1465" t="s">
        <v>220</v>
      </c>
      <c r="S184" s="1465" t="s">
        <v>220</v>
      </c>
      <c r="T184" s="1465"/>
      <c r="U184" s="1465"/>
      <c r="V184" s="1734" t="s">
        <v>220</v>
      </c>
      <c r="W184" s="1734" t="s">
        <v>220</v>
      </c>
      <c r="X184" s="1734" t="s">
        <v>220</v>
      </c>
      <c r="Y184" s="1734" t="s">
        <v>220</v>
      </c>
      <c r="Z184" s="1734" t="s">
        <v>220</v>
      </c>
      <c r="AA184" s="1734" t="s">
        <v>0</v>
      </c>
      <c r="AB184" s="1734" t="s">
        <v>0</v>
      </c>
      <c r="AC184" s="1625" t="s">
        <v>220</v>
      </c>
      <c r="AD184" s="1625" t="s">
        <v>220</v>
      </c>
      <c r="AE184" s="1625" t="s">
        <v>220</v>
      </c>
      <c r="AF184" s="1625" t="s">
        <v>220</v>
      </c>
      <c r="AG184" s="1842" t="s">
        <v>220</v>
      </c>
      <c r="AH184" s="190"/>
      <c r="AI184" s="190"/>
    </row>
    <row r="185" spans="1:36" ht="22.15" customHeight="1" x14ac:dyDescent="0.2">
      <c r="A185" s="109"/>
      <c r="B185" s="1459" t="s">
        <v>252</v>
      </c>
      <c r="C185" s="1712" t="s">
        <v>158</v>
      </c>
      <c r="D185" s="1712" t="s">
        <v>158</v>
      </c>
      <c r="E185" s="1712" t="s">
        <v>158</v>
      </c>
      <c r="F185" s="1712"/>
      <c r="G185" s="1712"/>
      <c r="H185" s="1712" t="s">
        <v>158</v>
      </c>
      <c r="I185" s="1712" t="s">
        <v>158</v>
      </c>
      <c r="J185" s="1712" t="s">
        <v>158</v>
      </c>
      <c r="K185" s="1712" t="s">
        <v>158</v>
      </c>
      <c r="L185" s="1712" t="s">
        <v>158</v>
      </c>
      <c r="M185" s="1625"/>
      <c r="N185" s="1625"/>
      <c r="O185" s="1625" t="s">
        <v>158</v>
      </c>
      <c r="P185" s="1625" t="s">
        <v>158</v>
      </c>
      <c r="Q185" s="1625" t="s">
        <v>158</v>
      </c>
      <c r="R185" s="1625" t="s">
        <v>158</v>
      </c>
      <c r="S185" s="1625" t="s">
        <v>158</v>
      </c>
      <c r="T185" s="1625"/>
      <c r="U185" s="1625"/>
      <c r="V185" s="1625" t="s">
        <v>158</v>
      </c>
      <c r="W185" s="1625" t="s">
        <v>158</v>
      </c>
      <c r="X185" s="1625" t="s">
        <v>158</v>
      </c>
      <c r="Y185" s="1625" t="s">
        <v>158</v>
      </c>
      <c r="Z185" s="1625" t="s">
        <v>158</v>
      </c>
      <c r="AA185" s="1625"/>
      <c r="AB185" s="1625"/>
      <c r="AC185" s="1625" t="s">
        <v>158</v>
      </c>
      <c r="AD185" s="1625" t="s">
        <v>158</v>
      </c>
      <c r="AE185" s="1625" t="s">
        <v>158</v>
      </c>
      <c r="AF185" s="1625" t="s">
        <v>158</v>
      </c>
      <c r="AG185" s="1842" t="s">
        <v>158</v>
      </c>
      <c r="AH185" s="190"/>
      <c r="AI185" s="190"/>
    </row>
    <row r="186" spans="1:36" ht="22.15" customHeight="1" x14ac:dyDescent="0.2">
      <c r="A186" s="109"/>
      <c r="B186" s="1665" t="s">
        <v>253</v>
      </c>
      <c r="C186" s="1734" t="s">
        <v>223</v>
      </c>
      <c r="D186" s="1734" t="s">
        <v>223</v>
      </c>
      <c r="E186" s="1734" t="s">
        <v>223</v>
      </c>
      <c r="F186" s="1639"/>
      <c r="G186" s="1625"/>
      <c r="H186" s="1712" t="s">
        <v>223</v>
      </c>
      <c r="I186" s="1712" t="s">
        <v>223</v>
      </c>
      <c r="J186" s="1712" t="s">
        <v>223</v>
      </c>
      <c r="K186" s="1712" t="s">
        <v>223</v>
      </c>
      <c r="L186" s="1712" t="s">
        <v>223</v>
      </c>
      <c r="M186" s="1712"/>
      <c r="N186" s="1712"/>
      <c r="O186" s="1712" t="s">
        <v>223</v>
      </c>
      <c r="P186" s="1712" t="s">
        <v>223</v>
      </c>
      <c r="Q186" s="1712" t="s">
        <v>223</v>
      </c>
      <c r="R186" s="1712" t="s">
        <v>223</v>
      </c>
      <c r="S186" s="1712" t="s">
        <v>223</v>
      </c>
      <c r="T186" s="1712"/>
      <c r="U186" s="1712"/>
      <c r="V186" s="1712" t="s">
        <v>223</v>
      </c>
      <c r="W186" s="1712" t="s">
        <v>223</v>
      </c>
      <c r="X186" s="1712" t="s">
        <v>223</v>
      </c>
      <c r="Y186" s="1712" t="s">
        <v>223</v>
      </c>
      <c r="Z186" s="1712" t="s">
        <v>223</v>
      </c>
      <c r="AA186" s="1712"/>
      <c r="AB186" s="1712"/>
      <c r="AC186" s="1625" t="s">
        <v>223</v>
      </c>
      <c r="AD186" s="1625" t="s">
        <v>223</v>
      </c>
      <c r="AE186" s="1625" t="s">
        <v>223</v>
      </c>
      <c r="AF186" s="1625" t="s">
        <v>223</v>
      </c>
      <c r="AG186" s="1842" t="s">
        <v>223</v>
      </c>
      <c r="AH186" s="190"/>
      <c r="AI186" s="190"/>
    </row>
    <row r="187" spans="1:36" ht="22.15" customHeight="1" x14ac:dyDescent="0.2">
      <c r="A187" s="109"/>
      <c r="B187" s="1747" t="s">
        <v>254</v>
      </c>
      <c r="C187" s="1625" t="s">
        <v>238</v>
      </c>
      <c r="D187" s="1625" t="s">
        <v>228</v>
      </c>
      <c r="E187" s="1625" t="s">
        <v>228</v>
      </c>
      <c r="F187" s="1625"/>
      <c r="G187" s="1625"/>
      <c r="H187" s="1625" t="s">
        <v>228</v>
      </c>
      <c r="I187" s="1625" t="s">
        <v>228</v>
      </c>
      <c r="J187" s="1625" t="s">
        <v>228</v>
      </c>
      <c r="K187" s="1625" t="s">
        <v>228</v>
      </c>
      <c r="L187" s="1625" t="s">
        <v>228</v>
      </c>
      <c r="M187" s="1625"/>
      <c r="N187" s="1625"/>
      <c r="O187" s="1625" t="s">
        <v>228</v>
      </c>
      <c r="P187" s="1625" t="s">
        <v>228</v>
      </c>
      <c r="Q187" s="1625" t="s">
        <v>228</v>
      </c>
      <c r="R187" s="1625" t="s">
        <v>228</v>
      </c>
      <c r="S187" s="1625" t="s">
        <v>228</v>
      </c>
      <c r="T187" s="1625"/>
      <c r="U187" s="1625"/>
      <c r="V187" s="1625" t="s">
        <v>228</v>
      </c>
      <c r="W187" s="1625" t="s">
        <v>228</v>
      </c>
      <c r="X187" s="1625" t="s">
        <v>228</v>
      </c>
      <c r="Y187" s="1625" t="s">
        <v>228</v>
      </c>
      <c r="Z187" s="1625" t="s">
        <v>228</v>
      </c>
      <c r="AA187" s="1625"/>
      <c r="AB187" s="1625"/>
      <c r="AC187" s="1625" t="s">
        <v>238</v>
      </c>
      <c r="AD187" s="1625" t="s">
        <v>238</v>
      </c>
      <c r="AE187" s="1625" t="s">
        <v>238</v>
      </c>
      <c r="AF187" s="1625" t="s">
        <v>238</v>
      </c>
      <c r="AG187" s="1625" t="s">
        <v>238</v>
      </c>
      <c r="AH187" s="190"/>
      <c r="AI187" s="190"/>
    </row>
    <row r="188" spans="1:36" ht="22.15" customHeight="1" x14ac:dyDescent="0.2">
      <c r="A188" s="109"/>
      <c r="B188" s="1459" t="s">
        <v>255</v>
      </c>
      <c r="C188" s="1612" t="s">
        <v>233</v>
      </c>
      <c r="D188" s="1625" t="s">
        <v>233</v>
      </c>
      <c r="E188" s="1625" t="s">
        <v>233</v>
      </c>
      <c r="F188" s="1625"/>
      <c r="G188" s="1625"/>
      <c r="H188" s="1625" t="s">
        <v>233</v>
      </c>
      <c r="I188" s="1625" t="s">
        <v>233</v>
      </c>
      <c r="J188" s="1625" t="s">
        <v>233</v>
      </c>
      <c r="K188" s="1625" t="s">
        <v>233</v>
      </c>
      <c r="L188" s="1625" t="s">
        <v>233</v>
      </c>
      <c r="M188" s="1625"/>
      <c r="N188" s="1625"/>
      <c r="O188" s="1625" t="s">
        <v>233</v>
      </c>
      <c r="P188" s="1625" t="s">
        <v>233</v>
      </c>
      <c r="Q188" s="1625" t="s">
        <v>233</v>
      </c>
      <c r="R188" s="1625" t="s">
        <v>233</v>
      </c>
      <c r="S188" s="1625" t="s">
        <v>233</v>
      </c>
      <c r="T188" s="1625"/>
      <c r="U188" s="1625"/>
      <c r="V188" s="1625" t="s">
        <v>233</v>
      </c>
      <c r="W188" s="1625" t="s">
        <v>233</v>
      </c>
      <c r="X188" s="1625" t="s">
        <v>233</v>
      </c>
      <c r="Y188" s="1625" t="s">
        <v>233</v>
      </c>
      <c r="Z188" s="1625" t="s">
        <v>233</v>
      </c>
      <c r="AA188" s="1625"/>
      <c r="AB188" s="1625"/>
      <c r="AC188" s="1712" t="s">
        <v>233</v>
      </c>
      <c r="AD188" s="1712" t="s">
        <v>233</v>
      </c>
      <c r="AE188" s="1712" t="s">
        <v>233</v>
      </c>
      <c r="AF188" s="1712" t="s">
        <v>233</v>
      </c>
      <c r="AG188" s="1713" t="s">
        <v>233</v>
      </c>
      <c r="AH188" s="190"/>
      <c r="AI188" s="190"/>
    </row>
    <row r="189" spans="1:36" ht="22.15" customHeight="1" x14ac:dyDescent="0.2">
      <c r="A189" s="109"/>
      <c r="B189" s="1715" t="s">
        <v>256</v>
      </c>
      <c r="C189" s="1625" t="s">
        <v>235</v>
      </c>
      <c r="D189" s="1625" t="s">
        <v>235</v>
      </c>
      <c r="E189" s="1625" t="s">
        <v>235</v>
      </c>
      <c r="F189" s="1625"/>
      <c r="G189" s="1625"/>
      <c r="H189" s="1712" t="s">
        <v>235</v>
      </c>
      <c r="I189" s="1712" t="s">
        <v>235</v>
      </c>
      <c r="J189" s="1712" t="s">
        <v>235</v>
      </c>
      <c r="K189" s="1712" t="s">
        <v>235</v>
      </c>
      <c r="L189" s="1712" t="s">
        <v>235</v>
      </c>
      <c r="M189" s="1712"/>
      <c r="N189" s="1712"/>
      <c r="O189" s="1712" t="s">
        <v>235</v>
      </c>
      <c r="P189" s="1712" t="s">
        <v>235</v>
      </c>
      <c r="Q189" s="1712" t="s">
        <v>235</v>
      </c>
      <c r="R189" s="1712" t="s">
        <v>235</v>
      </c>
      <c r="S189" s="1712" t="s">
        <v>235</v>
      </c>
      <c r="T189" s="1712"/>
      <c r="U189" s="1712"/>
      <c r="V189" s="1712" t="s">
        <v>235</v>
      </c>
      <c r="W189" s="1712" t="s">
        <v>235</v>
      </c>
      <c r="X189" s="1712" t="s">
        <v>235</v>
      </c>
      <c r="Y189" s="1712" t="s">
        <v>235</v>
      </c>
      <c r="Z189" s="1712" t="s">
        <v>235</v>
      </c>
      <c r="AA189" s="1712"/>
      <c r="AB189" s="1712"/>
      <c r="AC189" s="1625" t="s">
        <v>235</v>
      </c>
      <c r="AD189" s="1625" t="s">
        <v>235</v>
      </c>
      <c r="AE189" s="1625" t="s">
        <v>235</v>
      </c>
      <c r="AF189" s="1625" t="s">
        <v>235</v>
      </c>
      <c r="AG189" s="1842" t="s">
        <v>235</v>
      </c>
      <c r="AH189" s="190"/>
      <c r="AI189" s="190"/>
    </row>
    <row r="190" spans="1:36" ht="22.15" customHeight="1" x14ac:dyDescent="0.2">
      <c r="A190" s="109"/>
      <c r="B190" s="1459" t="s">
        <v>257</v>
      </c>
      <c r="C190" s="1625" t="s">
        <v>236</v>
      </c>
      <c r="D190" s="1625" t="s">
        <v>236</v>
      </c>
      <c r="E190" s="1625" t="s">
        <v>236</v>
      </c>
      <c r="F190" s="1625"/>
      <c r="G190" s="1625"/>
      <c r="H190" s="1625" t="s">
        <v>236</v>
      </c>
      <c r="I190" s="1625" t="s">
        <v>236</v>
      </c>
      <c r="J190" s="1625" t="s">
        <v>236</v>
      </c>
      <c r="K190" s="1625" t="s">
        <v>236</v>
      </c>
      <c r="L190" s="1625" t="s">
        <v>236</v>
      </c>
      <c r="M190" s="1625"/>
      <c r="N190" s="1862"/>
      <c r="O190" s="1625" t="s">
        <v>236</v>
      </c>
      <c r="P190" s="1625" t="s">
        <v>236</v>
      </c>
      <c r="Q190" s="1625" t="s">
        <v>236</v>
      </c>
      <c r="R190" s="1625" t="s">
        <v>236</v>
      </c>
      <c r="S190" s="1625" t="s">
        <v>236</v>
      </c>
      <c r="T190" s="1636"/>
      <c r="U190" s="1636"/>
      <c r="V190" s="1636" t="s">
        <v>236</v>
      </c>
      <c r="W190" s="1636" t="s">
        <v>236</v>
      </c>
      <c r="X190" s="1636" t="s">
        <v>236</v>
      </c>
      <c r="Y190" s="1625" t="s">
        <v>236</v>
      </c>
      <c r="Z190" s="1625" t="s">
        <v>236</v>
      </c>
      <c r="AA190" s="1625"/>
      <c r="AB190" s="1625"/>
      <c r="AC190" s="1465" t="s">
        <v>236</v>
      </c>
      <c r="AD190" s="1625" t="s">
        <v>236</v>
      </c>
      <c r="AE190" s="1625" t="s">
        <v>236</v>
      </c>
      <c r="AF190" s="1625" t="s">
        <v>236</v>
      </c>
      <c r="AG190" s="1842" t="s">
        <v>236</v>
      </c>
      <c r="AH190" s="190"/>
      <c r="AI190" s="190"/>
    </row>
    <row r="191" spans="1:36" ht="22.15" customHeight="1" x14ac:dyDescent="0.2">
      <c r="A191" s="109"/>
      <c r="B191" s="1459" t="s">
        <v>258</v>
      </c>
      <c r="C191" s="1625" t="s">
        <v>238</v>
      </c>
      <c r="D191" s="1625" t="s">
        <v>238</v>
      </c>
      <c r="E191" s="1625" t="s">
        <v>238</v>
      </c>
      <c r="F191" s="1625"/>
      <c r="G191" s="1636"/>
      <c r="H191" s="1636" t="s">
        <v>238</v>
      </c>
      <c r="I191" s="1636" t="s">
        <v>238</v>
      </c>
      <c r="J191" s="1636" t="s">
        <v>238</v>
      </c>
      <c r="K191" s="1636" t="s">
        <v>238</v>
      </c>
      <c r="L191" s="1625" t="s">
        <v>238</v>
      </c>
      <c r="M191" s="1625"/>
      <c r="N191" s="1625"/>
      <c r="O191" s="1625" t="s">
        <v>238</v>
      </c>
      <c r="P191" s="1625" t="s">
        <v>238</v>
      </c>
      <c r="Q191" s="1625" t="s">
        <v>238</v>
      </c>
      <c r="R191" s="1625" t="s">
        <v>238</v>
      </c>
      <c r="S191" s="1625" t="s">
        <v>238</v>
      </c>
      <c r="T191" s="1625"/>
      <c r="U191" s="1625"/>
      <c r="V191" s="1625" t="s">
        <v>238</v>
      </c>
      <c r="W191" s="1625" t="s">
        <v>238</v>
      </c>
      <c r="X191" s="1625" t="s">
        <v>238</v>
      </c>
      <c r="Y191" s="1625" t="s">
        <v>238</v>
      </c>
      <c r="Z191" s="1625" t="s">
        <v>238</v>
      </c>
      <c r="AA191" s="1625"/>
      <c r="AB191" s="1625"/>
      <c r="AC191" s="1712" t="s">
        <v>238</v>
      </c>
      <c r="AD191" s="1712" t="s">
        <v>238</v>
      </c>
      <c r="AE191" s="1712" t="s">
        <v>238</v>
      </c>
      <c r="AF191" s="1712" t="s">
        <v>238</v>
      </c>
      <c r="AG191" s="1713" t="s">
        <v>238</v>
      </c>
      <c r="AH191" s="190"/>
      <c r="AI191" s="190"/>
    </row>
    <row r="192" spans="1:36" ht="22.15" customHeight="1" x14ac:dyDescent="0.2">
      <c r="A192" s="109"/>
      <c r="B192" s="1715" t="s">
        <v>260</v>
      </c>
      <c r="C192" s="1625" t="s">
        <v>80</v>
      </c>
      <c r="D192" s="1625" t="s">
        <v>80</v>
      </c>
      <c r="E192" s="1625" t="s">
        <v>80</v>
      </c>
      <c r="F192" s="1625"/>
      <c r="G192" s="1625"/>
      <c r="H192" s="1625" t="s">
        <v>80</v>
      </c>
      <c r="I192" s="1625" t="s">
        <v>80</v>
      </c>
      <c r="J192" s="1625" t="s">
        <v>80</v>
      </c>
      <c r="K192" s="1625" t="s">
        <v>80</v>
      </c>
      <c r="L192" s="1625" t="s">
        <v>80</v>
      </c>
      <c r="M192" s="1625"/>
      <c r="N192" s="1625"/>
      <c r="O192" s="1625" t="s">
        <v>80</v>
      </c>
      <c r="P192" s="1625" t="s">
        <v>80</v>
      </c>
      <c r="Q192" s="1625" t="s">
        <v>80</v>
      </c>
      <c r="R192" s="1625" t="s">
        <v>80</v>
      </c>
      <c r="S192" s="1636" t="s">
        <v>80</v>
      </c>
      <c r="T192" s="1612"/>
      <c r="U192" s="1612"/>
      <c r="V192" s="1612" t="s">
        <v>80</v>
      </c>
      <c r="W192" s="1625" t="s">
        <v>80</v>
      </c>
      <c r="X192" s="1625" t="s">
        <v>80</v>
      </c>
      <c r="Y192" s="1625" t="s">
        <v>80</v>
      </c>
      <c r="Z192" s="1625" t="s">
        <v>80</v>
      </c>
      <c r="AA192" s="1625"/>
      <c r="AB192" s="1625"/>
      <c r="AC192" s="1625" t="s">
        <v>80</v>
      </c>
      <c r="AD192" s="1625" t="s">
        <v>80</v>
      </c>
      <c r="AE192" s="1628" t="s">
        <v>80</v>
      </c>
      <c r="AF192" s="1625" t="s">
        <v>80</v>
      </c>
      <c r="AG192" s="1842" t="s">
        <v>80</v>
      </c>
      <c r="AH192" s="190"/>
      <c r="AI192" s="190"/>
    </row>
    <row r="193" spans="1:35" ht="22.15" customHeight="1" x14ac:dyDescent="0.2">
      <c r="A193" s="109"/>
      <c r="B193" s="1459" t="s">
        <v>261</v>
      </c>
      <c r="C193" s="1625" t="s">
        <v>132</v>
      </c>
      <c r="D193" s="1625" t="s">
        <v>132</v>
      </c>
      <c r="E193" s="1625" t="s">
        <v>132</v>
      </c>
      <c r="F193" s="1625"/>
      <c r="G193" s="1625"/>
      <c r="H193" s="1625" t="s">
        <v>132</v>
      </c>
      <c r="I193" s="1625" t="s">
        <v>132</v>
      </c>
      <c r="J193" s="1625" t="s">
        <v>132</v>
      </c>
      <c r="K193" s="1625" t="s">
        <v>132</v>
      </c>
      <c r="L193" s="1625" t="s">
        <v>132</v>
      </c>
      <c r="M193" s="1625"/>
      <c r="N193" s="1625"/>
      <c r="O193" s="1625" t="s">
        <v>132</v>
      </c>
      <c r="P193" s="1625" t="s">
        <v>132</v>
      </c>
      <c r="Q193" s="1625" t="s">
        <v>132</v>
      </c>
      <c r="R193" s="1625" t="s">
        <v>132</v>
      </c>
      <c r="S193" s="1625" t="s">
        <v>132</v>
      </c>
      <c r="T193" s="1625"/>
      <c r="U193" s="1625"/>
      <c r="V193" s="1625" t="s">
        <v>132</v>
      </c>
      <c r="W193" s="1625" t="s">
        <v>132</v>
      </c>
      <c r="X193" s="1625" t="s">
        <v>132</v>
      </c>
      <c r="Y193" s="1625" t="s">
        <v>132</v>
      </c>
      <c r="Z193" s="1625" t="s">
        <v>132</v>
      </c>
      <c r="AA193" s="1625"/>
      <c r="AB193" s="1625"/>
      <c r="AC193" s="1625" t="s">
        <v>132</v>
      </c>
      <c r="AD193" s="1625" t="s">
        <v>132</v>
      </c>
      <c r="AE193" s="1625" t="s">
        <v>132</v>
      </c>
      <c r="AF193" s="1625" t="s">
        <v>132</v>
      </c>
      <c r="AG193" s="1842" t="s">
        <v>132</v>
      </c>
      <c r="AH193" s="190"/>
      <c r="AI193" s="190"/>
    </row>
    <row r="194" spans="1:35" ht="22.15" customHeight="1" x14ac:dyDescent="0.2">
      <c r="A194" s="109"/>
      <c r="B194" s="1715" t="s">
        <v>355</v>
      </c>
      <c r="C194" s="1625" t="s">
        <v>243</v>
      </c>
      <c r="D194" s="1625" t="s">
        <v>243</v>
      </c>
      <c r="E194" s="1625" t="s">
        <v>243</v>
      </c>
      <c r="F194" s="1625"/>
      <c r="G194" s="1625"/>
      <c r="H194" s="1465" t="s">
        <v>243</v>
      </c>
      <c r="I194" s="1465" t="s">
        <v>243</v>
      </c>
      <c r="J194" s="1465" t="s">
        <v>243</v>
      </c>
      <c r="K194" s="1465" t="s">
        <v>243</v>
      </c>
      <c r="L194" s="1465" t="s">
        <v>243</v>
      </c>
      <c r="M194" s="1465"/>
      <c r="N194" s="1465"/>
      <c r="O194" s="1465" t="s">
        <v>243</v>
      </c>
      <c r="P194" s="1465" t="s">
        <v>243</v>
      </c>
      <c r="Q194" s="1465" t="s">
        <v>243</v>
      </c>
      <c r="R194" s="1465" t="s">
        <v>243</v>
      </c>
      <c r="S194" s="1465" t="s">
        <v>243</v>
      </c>
      <c r="T194" s="1465"/>
      <c r="U194" s="1465"/>
      <c r="V194" s="1465" t="s">
        <v>243</v>
      </c>
      <c r="W194" s="1465" t="s">
        <v>243</v>
      </c>
      <c r="X194" s="1465" t="s">
        <v>243</v>
      </c>
      <c r="Y194" s="1465" t="s">
        <v>243</v>
      </c>
      <c r="Z194" s="1465" t="s">
        <v>243</v>
      </c>
      <c r="AA194" s="1625"/>
      <c r="AB194" s="1625"/>
      <c r="AC194" s="1625" t="s">
        <v>243</v>
      </c>
      <c r="AD194" s="1625" t="s">
        <v>243</v>
      </c>
      <c r="AE194" s="1863" t="s">
        <v>243</v>
      </c>
      <c r="AF194" s="1625" t="s">
        <v>243</v>
      </c>
      <c r="AG194" s="1842" t="s">
        <v>243</v>
      </c>
      <c r="AH194" s="190"/>
      <c r="AI194" s="190"/>
    </row>
    <row r="195" spans="1:35" ht="22.15" customHeight="1" x14ac:dyDescent="0.2">
      <c r="A195" s="109"/>
      <c r="B195" s="1715" t="s">
        <v>263</v>
      </c>
      <c r="C195" s="1625" t="s">
        <v>246</v>
      </c>
      <c r="D195" s="1625" t="s">
        <v>246</v>
      </c>
      <c r="E195" s="1625" t="s">
        <v>246</v>
      </c>
      <c r="F195" s="1625"/>
      <c r="G195" s="1625"/>
      <c r="H195" s="1625" t="s">
        <v>246</v>
      </c>
      <c r="I195" s="1625" t="s">
        <v>246</v>
      </c>
      <c r="J195" s="1625" t="s">
        <v>246</v>
      </c>
      <c r="K195" s="1625" t="s">
        <v>246</v>
      </c>
      <c r="L195" s="1625" t="s">
        <v>246</v>
      </c>
      <c r="M195" s="1625"/>
      <c r="N195" s="1625"/>
      <c r="O195" s="1625" t="s">
        <v>246</v>
      </c>
      <c r="P195" s="1625" t="s">
        <v>246</v>
      </c>
      <c r="Q195" s="1625" t="s">
        <v>246</v>
      </c>
      <c r="R195" s="1625" t="s">
        <v>246</v>
      </c>
      <c r="S195" s="1625" t="s">
        <v>246</v>
      </c>
      <c r="T195" s="1625"/>
      <c r="U195" s="1625"/>
      <c r="V195" s="1625" t="s">
        <v>246</v>
      </c>
      <c r="W195" s="1625" t="s">
        <v>246</v>
      </c>
      <c r="X195" s="1625" t="s">
        <v>246</v>
      </c>
      <c r="Y195" s="1625" t="s">
        <v>246</v>
      </c>
      <c r="Z195" s="1623" t="s">
        <v>366</v>
      </c>
      <c r="AA195" s="1464"/>
      <c r="AB195" s="1464"/>
      <c r="AC195" s="1464" t="s">
        <v>246</v>
      </c>
      <c r="AD195" s="1464" t="s">
        <v>246</v>
      </c>
      <c r="AE195" s="1625" t="s">
        <v>246</v>
      </c>
      <c r="AF195" s="1625" t="s">
        <v>246</v>
      </c>
      <c r="AG195" s="1842" t="s">
        <v>246</v>
      </c>
      <c r="AH195" s="107"/>
      <c r="AI195" s="107"/>
    </row>
    <row r="196" spans="1:35" ht="21" customHeight="1" thickBot="1" x14ac:dyDescent="0.25">
      <c r="A196" s="148"/>
      <c r="B196" s="692" t="s">
        <v>264</v>
      </c>
      <c r="C196" s="696" t="s">
        <v>248</v>
      </c>
      <c r="D196" s="696" t="s">
        <v>248</v>
      </c>
      <c r="E196" s="696" t="s">
        <v>248</v>
      </c>
      <c r="F196" s="696"/>
      <c r="G196" s="696"/>
      <c r="H196" s="696" t="s">
        <v>248</v>
      </c>
      <c r="I196" s="680" t="s">
        <v>248</v>
      </c>
      <c r="J196" s="680" t="s">
        <v>248</v>
      </c>
      <c r="K196" s="696" t="s">
        <v>248</v>
      </c>
      <c r="L196" s="696" t="s">
        <v>248</v>
      </c>
      <c r="M196" s="680"/>
      <c r="N196" s="690"/>
      <c r="O196" s="696" t="s">
        <v>248</v>
      </c>
      <c r="P196" s="696" t="s">
        <v>248</v>
      </c>
      <c r="Q196" s="696" t="s">
        <v>248</v>
      </c>
      <c r="R196" s="696" t="s">
        <v>248</v>
      </c>
      <c r="S196" s="696" t="s">
        <v>248</v>
      </c>
      <c r="T196" s="696"/>
      <c r="U196" s="696"/>
      <c r="V196" s="696" t="s">
        <v>248</v>
      </c>
      <c r="W196" s="696" t="s">
        <v>248</v>
      </c>
      <c r="X196" s="696" t="s">
        <v>248</v>
      </c>
      <c r="Y196" s="696" t="s">
        <v>248</v>
      </c>
      <c r="Z196" s="696" t="s">
        <v>248</v>
      </c>
      <c r="AA196" s="696"/>
      <c r="AB196" s="696"/>
      <c r="AC196" s="706" t="s">
        <v>248</v>
      </c>
      <c r="AD196" s="706" t="s">
        <v>248</v>
      </c>
      <c r="AE196" s="706" t="s">
        <v>248</v>
      </c>
      <c r="AF196" s="706" t="s">
        <v>248</v>
      </c>
      <c r="AG196" s="276" t="s">
        <v>248</v>
      </c>
      <c r="AH196" s="115"/>
    </row>
    <row r="197" spans="1:35" ht="21" customHeight="1" x14ac:dyDescent="0.2">
      <c r="A197" s="148"/>
      <c r="B197" s="257"/>
      <c r="C197" s="255"/>
      <c r="D197" s="255"/>
      <c r="E197" s="255"/>
      <c r="F197" s="255"/>
      <c r="G197" s="255"/>
      <c r="H197" s="255"/>
      <c r="I197" s="261"/>
      <c r="J197" s="261"/>
      <c r="K197" s="255"/>
      <c r="L197" s="255"/>
      <c r="M197" s="261"/>
      <c r="N197" s="229"/>
      <c r="O197" s="255"/>
      <c r="P197" s="255"/>
      <c r="Q197" s="255"/>
      <c r="R197" s="255"/>
      <c r="S197" s="255"/>
      <c r="T197" s="255"/>
      <c r="U197" s="255"/>
      <c r="V197" s="255"/>
      <c r="W197" s="255"/>
      <c r="X197" s="255"/>
      <c r="Y197" s="255"/>
      <c r="Z197" s="255"/>
      <c r="AA197" s="255"/>
      <c r="AB197" s="255"/>
      <c r="AC197" s="255"/>
      <c r="AD197" s="255"/>
      <c r="AE197" s="255"/>
      <c r="AF197" s="255"/>
      <c r="AG197" s="255"/>
      <c r="AH197" s="115"/>
    </row>
    <row r="198" spans="1:35" ht="22.15" customHeight="1" x14ac:dyDescent="0.2"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</row>
    <row r="199" spans="1:35" ht="22.15" customHeight="1" thickBot="1" x14ac:dyDescent="0.25">
      <c r="A199" s="1" t="s">
        <v>266</v>
      </c>
      <c r="B199" s="59"/>
    </row>
    <row r="200" spans="1:35" ht="22.15" customHeight="1" x14ac:dyDescent="0.2">
      <c r="A200" s="1"/>
      <c r="B200" s="1466" t="s">
        <v>267</v>
      </c>
      <c r="C200" s="525" t="s">
        <v>90</v>
      </c>
      <c r="D200" s="525"/>
      <c r="E200" s="525"/>
      <c r="F200" s="525"/>
      <c r="G200" s="526" t="s">
        <v>91</v>
      </c>
      <c r="H200" s="525"/>
      <c r="I200" s="525"/>
      <c r="J200" s="525"/>
      <c r="K200" s="526" t="s">
        <v>92</v>
      </c>
      <c r="L200" s="525"/>
      <c r="M200" s="525"/>
      <c r="N200" s="525"/>
      <c r="O200" s="526" t="s">
        <v>93</v>
      </c>
      <c r="P200" s="525"/>
      <c r="Q200" s="525"/>
      <c r="R200" s="525"/>
      <c r="S200" s="526" t="s">
        <v>94</v>
      </c>
      <c r="T200" s="525"/>
      <c r="U200" s="525"/>
      <c r="V200" s="525"/>
      <c r="W200" s="527" t="s">
        <v>95</v>
      </c>
      <c r="X200" s="473"/>
      <c r="Y200" s="525"/>
      <c r="Z200" s="528"/>
      <c r="AA200" s="527" t="s">
        <v>96</v>
      </c>
      <c r="AB200" s="473"/>
      <c r="AC200" s="525"/>
      <c r="AD200" s="528"/>
      <c r="AE200" s="529" t="s">
        <v>97</v>
      </c>
      <c r="AF200" s="525"/>
      <c r="AG200" s="525"/>
      <c r="AH200" s="525"/>
      <c r="AI200" s="474"/>
    </row>
    <row r="201" spans="1:35" ht="22.15" customHeight="1" x14ac:dyDescent="0.2">
      <c r="A201" s="1"/>
      <c r="B201" s="1467">
        <v>3701</v>
      </c>
      <c r="C201" s="110" t="s">
        <v>268</v>
      </c>
      <c r="D201" s="110"/>
      <c r="E201" s="110"/>
      <c r="F201" s="110"/>
      <c r="G201" s="1864" t="s">
        <v>269</v>
      </c>
      <c r="H201" s="110"/>
      <c r="I201" s="110"/>
      <c r="J201" s="110"/>
      <c r="K201" s="1864" t="s">
        <v>269</v>
      </c>
      <c r="L201" s="110"/>
      <c r="M201" s="110"/>
      <c r="N201" s="110"/>
      <c r="O201" s="1864" t="s">
        <v>269</v>
      </c>
      <c r="P201" s="110"/>
      <c r="Q201" s="110"/>
      <c r="R201" s="110"/>
      <c r="S201" s="1864" t="s">
        <v>270</v>
      </c>
      <c r="T201" s="110"/>
      <c r="U201" s="110"/>
      <c r="V201" s="110"/>
      <c r="W201" s="1865"/>
      <c r="X201" s="1866"/>
      <c r="Y201" s="1651"/>
      <c r="Z201" s="1867"/>
      <c r="AA201" s="1865"/>
      <c r="AB201" s="1866"/>
      <c r="AC201" s="1651"/>
      <c r="AD201" s="1867"/>
      <c r="AE201" s="1800"/>
      <c r="AF201" s="1651"/>
      <c r="AG201" s="1651"/>
      <c r="AH201" s="1651"/>
      <c r="AI201" s="1586"/>
    </row>
    <row r="202" spans="1:35" ht="22.15" customHeight="1" x14ac:dyDescent="0.2">
      <c r="A202" s="1472"/>
      <c r="B202" s="1466"/>
      <c r="C202" s="1473"/>
      <c r="D202" s="1474"/>
      <c r="E202" s="1474"/>
      <c r="F202" s="1868"/>
      <c r="G202" s="1473"/>
      <c r="H202" s="1474"/>
      <c r="I202" s="1474"/>
      <c r="J202" s="1868"/>
      <c r="K202" s="1473"/>
      <c r="L202" s="1474"/>
      <c r="M202" s="1474"/>
      <c r="N202" s="1868"/>
      <c r="O202" s="1473"/>
      <c r="P202" s="1474"/>
      <c r="Q202" s="1474"/>
      <c r="R202" s="1868"/>
      <c r="S202" s="1473"/>
      <c r="T202" s="1474"/>
      <c r="U202" s="1474"/>
      <c r="V202" s="1474"/>
      <c r="W202" s="1865"/>
      <c r="X202" s="1866"/>
      <c r="Y202" s="1651"/>
      <c r="Z202" s="1867"/>
      <c r="AA202" s="1865"/>
      <c r="AB202" s="1866"/>
      <c r="AC202" s="1651"/>
      <c r="AD202" s="1867"/>
      <c r="AE202" s="1800"/>
      <c r="AF202" s="1651"/>
      <c r="AG202" s="1651"/>
      <c r="AH202" s="1651"/>
      <c r="AI202" s="1586"/>
    </row>
    <row r="203" spans="1:35" ht="22.15" customHeight="1" x14ac:dyDescent="0.2">
      <c r="A203" s="1472"/>
      <c r="B203" s="1466"/>
      <c r="C203" s="1473"/>
      <c r="D203" s="1474"/>
      <c r="E203" s="1474"/>
      <c r="F203" s="1868"/>
      <c r="G203" s="1473"/>
      <c r="H203" s="1474"/>
      <c r="I203" s="1474"/>
      <c r="J203" s="1868"/>
      <c r="K203" s="1473"/>
      <c r="L203" s="1474"/>
      <c r="M203" s="1474"/>
      <c r="N203" s="1868"/>
      <c r="O203" s="1473"/>
      <c r="P203" s="1474"/>
      <c r="Q203" s="1474"/>
      <c r="R203" s="1868"/>
      <c r="S203" s="1473"/>
      <c r="T203" s="1474"/>
      <c r="U203" s="1474"/>
      <c r="V203" s="1474"/>
      <c r="W203" s="1865"/>
      <c r="X203" s="1866"/>
      <c r="Y203" s="1651"/>
      <c r="Z203" s="1867"/>
      <c r="AA203" s="1865"/>
      <c r="AB203" s="1866"/>
      <c r="AC203" s="1651"/>
      <c r="AD203" s="1867"/>
      <c r="AE203" s="1800"/>
      <c r="AF203" s="1651"/>
      <c r="AG203" s="1651"/>
      <c r="AH203" s="1651"/>
      <c r="AI203" s="1586"/>
    </row>
    <row r="204" spans="1:35" ht="22.15" customHeight="1" thickBot="1" x14ac:dyDescent="0.25">
      <c r="A204" s="682"/>
      <c r="B204" s="683"/>
      <c r="C204" s="1869"/>
      <c r="D204" s="1870"/>
      <c r="E204" s="1870"/>
      <c r="F204" s="1871"/>
      <c r="G204" s="1869"/>
      <c r="H204" s="1870"/>
      <c r="I204" s="1870"/>
      <c r="J204" s="1871"/>
      <c r="K204" s="1869"/>
      <c r="L204" s="1870"/>
      <c r="M204" s="1870"/>
      <c r="N204" s="1871"/>
      <c r="O204" s="1869"/>
      <c r="P204" s="1870"/>
      <c r="Q204" s="1870"/>
      <c r="R204" s="1871"/>
      <c r="S204" s="1869"/>
      <c r="T204" s="1870"/>
      <c r="U204" s="1870"/>
      <c r="V204" s="1870"/>
      <c r="W204" s="1872"/>
      <c r="X204" s="1873"/>
      <c r="Y204" s="1874"/>
      <c r="Z204" s="1875"/>
      <c r="AA204" s="1872"/>
      <c r="AB204" s="1873"/>
      <c r="AC204" s="1874"/>
      <c r="AD204" s="1875"/>
      <c r="AE204" s="1813"/>
      <c r="AF204" s="1658"/>
      <c r="AG204" s="1658"/>
      <c r="AH204" s="1658"/>
      <c r="AI204" s="1661"/>
    </row>
    <row r="205" spans="1:35" ht="22.15" customHeight="1" x14ac:dyDescent="0.2">
      <c r="AG205" s="110"/>
      <c r="AH205" s="110"/>
    </row>
    <row r="206" spans="1:35" ht="22.15" customHeight="1" x14ac:dyDescent="0.2">
      <c r="B206" s="1466">
        <v>3700</v>
      </c>
      <c r="C206" s="1651" t="s">
        <v>162</v>
      </c>
      <c r="D206" s="1651"/>
      <c r="E206" s="1651"/>
      <c r="F206" s="1651"/>
      <c r="G206" s="1876" t="s">
        <v>162</v>
      </c>
      <c r="H206" s="1651"/>
      <c r="I206" s="1651"/>
      <c r="J206" s="1651"/>
      <c r="K206" s="1876" t="s">
        <v>162</v>
      </c>
      <c r="L206" s="1651"/>
      <c r="M206" s="1651"/>
      <c r="N206" s="1651"/>
      <c r="O206" s="1876" t="s">
        <v>162</v>
      </c>
      <c r="P206" s="1651"/>
      <c r="Q206" s="1651"/>
      <c r="R206" s="1651"/>
      <c r="S206" s="1876" t="s">
        <v>163</v>
      </c>
      <c r="T206" s="1651"/>
      <c r="U206" s="1651"/>
      <c r="V206" s="1651"/>
      <c r="W206" s="1651"/>
      <c r="X206" s="1876"/>
      <c r="Y206" s="1651"/>
      <c r="Z206" s="1802"/>
      <c r="AA206" s="1800"/>
      <c r="AB206" s="1651"/>
      <c r="AC206" s="1651"/>
      <c r="AD206" s="1697"/>
      <c r="AE206" s="1877"/>
      <c r="AF206" s="1651"/>
      <c r="AG206" s="1651"/>
      <c r="AH206" s="1697"/>
      <c r="AI206" s="1586"/>
    </row>
    <row r="207" spans="1:35" ht="22.15" customHeight="1" x14ac:dyDescent="0.2">
      <c r="A207" s="1"/>
      <c r="B207" s="1466">
        <v>8514</v>
      </c>
      <c r="C207" s="1651" t="s">
        <v>269</v>
      </c>
      <c r="D207" s="1651"/>
      <c r="E207" s="1651"/>
      <c r="F207" s="1651"/>
      <c r="G207" s="1876" t="s">
        <v>269</v>
      </c>
      <c r="H207" s="1651"/>
      <c r="I207" s="1651"/>
      <c r="J207" s="1651"/>
      <c r="K207" s="1876" t="s">
        <v>269</v>
      </c>
      <c r="L207" s="1651"/>
      <c r="M207" s="1651"/>
      <c r="N207" s="1651"/>
      <c r="O207" s="1876" t="s">
        <v>269</v>
      </c>
      <c r="P207" s="1651"/>
      <c r="Q207" s="1651"/>
      <c r="R207" s="1651"/>
      <c r="S207" s="1876" t="s">
        <v>271</v>
      </c>
      <c r="T207" s="1651"/>
      <c r="U207" s="1651"/>
      <c r="V207" s="1651"/>
      <c r="W207" s="1651"/>
      <c r="X207" s="1876"/>
      <c r="Y207" s="1651"/>
      <c r="Z207" s="1802"/>
      <c r="AA207" s="1696"/>
      <c r="AB207" s="1651"/>
      <c r="AC207" s="1651"/>
      <c r="AD207" s="1697"/>
      <c r="AE207" s="1696"/>
      <c r="AF207" s="1651"/>
      <c r="AG207" s="1651"/>
      <c r="AH207" s="1697"/>
      <c r="AI207" s="1586"/>
    </row>
    <row r="208" spans="1:35" ht="22.15" customHeight="1" x14ac:dyDescent="0.2">
      <c r="A208" s="1"/>
      <c r="B208" s="1466">
        <v>8500</v>
      </c>
      <c r="C208" s="166" t="s">
        <v>272</v>
      </c>
      <c r="D208" s="166"/>
      <c r="E208" s="166"/>
      <c r="F208" s="166"/>
      <c r="G208" s="167" t="s">
        <v>272</v>
      </c>
      <c r="H208" s="166"/>
      <c r="I208" s="166"/>
      <c r="J208" s="166"/>
      <c r="K208" s="167" t="s">
        <v>272</v>
      </c>
      <c r="L208" s="166"/>
      <c r="M208" s="166"/>
      <c r="N208" s="166"/>
      <c r="O208" s="167" t="s">
        <v>272</v>
      </c>
      <c r="P208" s="166"/>
      <c r="Q208" s="166"/>
      <c r="R208" s="166"/>
      <c r="S208" s="167" t="s">
        <v>273</v>
      </c>
      <c r="T208" s="166"/>
      <c r="U208" s="166"/>
      <c r="V208" s="166"/>
      <c r="W208" s="166"/>
      <c r="X208" s="167"/>
      <c r="Y208" s="166"/>
      <c r="Z208" s="121"/>
      <c r="AA208" s="120"/>
      <c r="AB208" s="166"/>
      <c r="AC208" s="166"/>
      <c r="AD208" s="121"/>
      <c r="AE208" s="120"/>
      <c r="AF208" s="166"/>
      <c r="AG208" s="166"/>
      <c r="AH208" s="113"/>
      <c r="AI208" s="119"/>
    </row>
    <row r="209" spans="1:36" ht="22.15" customHeight="1" x14ac:dyDescent="0.2">
      <c r="A209" s="1"/>
      <c r="B209" s="1466">
        <v>8514</v>
      </c>
      <c r="C209" s="169" t="s">
        <v>269</v>
      </c>
      <c r="D209" s="169"/>
      <c r="E209" s="169"/>
      <c r="F209" s="169"/>
      <c r="G209" s="170" t="s">
        <v>269</v>
      </c>
      <c r="H209" s="169"/>
      <c r="I209" s="169"/>
      <c r="J209" s="169"/>
      <c r="K209" s="170" t="s">
        <v>269</v>
      </c>
      <c r="L209" s="169"/>
      <c r="M209" s="169"/>
      <c r="N209" s="169"/>
      <c r="O209" s="170" t="s">
        <v>269</v>
      </c>
      <c r="P209" s="169"/>
      <c r="Q209" s="169"/>
      <c r="R209" s="169"/>
      <c r="S209" s="170" t="s">
        <v>271</v>
      </c>
      <c r="T209" s="169"/>
      <c r="U209" s="169"/>
      <c r="V209" s="169"/>
      <c r="W209" s="169"/>
      <c r="X209" s="149"/>
      <c r="Y209" s="166"/>
      <c r="Z209" s="168"/>
      <c r="AA209" s="156"/>
      <c r="AB209" s="117"/>
      <c r="AC209" s="166"/>
      <c r="AD209" s="166"/>
      <c r="AE209" s="118"/>
      <c r="AF209" s="166"/>
      <c r="AG209" s="166"/>
      <c r="AH209" s="166"/>
      <c r="AI209" s="119"/>
    </row>
    <row r="210" spans="1:36" ht="22.15" customHeight="1" thickBot="1" x14ac:dyDescent="0.25">
      <c r="A210" s="1"/>
      <c r="B210" s="1484" t="s">
        <v>274</v>
      </c>
      <c r="C210" s="1658" t="s">
        <v>275</v>
      </c>
      <c r="D210" s="1658"/>
      <c r="E210" s="1658"/>
      <c r="F210" s="1658"/>
      <c r="G210" s="1878" t="s">
        <v>275</v>
      </c>
      <c r="H210" s="1658"/>
      <c r="I210" s="1658"/>
      <c r="J210" s="1658"/>
      <c r="K210" s="1879" t="s">
        <v>275</v>
      </c>
      <c r="L210" s="1658"/>
      <c r="M210" s="1658"/>
      <c r="N210" s="1658"/>
      <c r="O210" s="1878" t="s">
        <v>275</v>
      </c>
      <c r="P210" s="1658"/>
      <c r="Q210" s="1658"/>
      <c r="R210" s="1658"/>
      <c r="S210" s="1878" t="s">
        <v>276</v>
      </c>
      <c r="T210" s="1658"/>
      <c r="U210" s="1658"/>
      <c r="V210" s="1658"/>
      <c r="W210" s="1658"/>
      <c r="X210" s="1878"/>
      <c r="Y210" s="1658"/>
      <c r="Z210" s="1838"/>
      <c r="AA210" s="1813"/>
      <c r="AB210" s="1658"/>
      <c r="AC210" s="1658"/>
      <c r="AD210" s="1820"/>
      <c r="AE210" s="1880"/>
      <c r="AF210" s="1658"/>
      <c r="AG210" s="1658"/>
      <c r="AH210" s="1820"/>
      <c r="AI210" s="1661"/>
    </row>
    <row r="211" spans="1:36" ht="22.15" customHeight="1" x14ac:dyDescent="0.2">
      <c r="A211" s="162" t="s">
        <v>337</v>
      </c>
      <c r="B211" s="363"/>
      <c r="C211" s="228"/>
      <c r="D211" s="228"/>
      <c r="E211" s="228"/>
      <c r="F211" s="228"/>
      <c r="G211" s="228"/>
      <c r="H211" s="228"/>
      <c r="I211" s="228"/>
      <c r="J211" s="228"/>
      <c r="K211" s="228"/>
      <c r="L211" s="228"/>
      <c r="M211" s="228"/>
      <c r="N211" s="228"/>
      <c r="O211" s="228"/>
      <c r="P211" s="228"/>
      <c r="Q211" s="228"/>
      <c r="R211" s="228"/>
      <c r="S211" s="228"/>
      <c r="T211" s="228"/>
      <c r="U211" s="228"/>
      <c r="V211" s="228"/>
      <c r="W211" s="228"/>
      <c r="X211" s="228"/>
      <c r="Y211" s="228"/>
      <c r="Z211" s="361"/>
      <c r="AA211" s="364"/>
      <c r="AB211" s="228"/>
      <c r="AC211" s="228"/>
      <c r="AD211" s="361"/>
      <c r="AE211" s="365"/>
      <c r="AF211" s="228"/>
      <c r="AG211" s="228"/>
      <c r="AH211" s="361"/>
      <c r="AI211" s="214"/>
    </row>
    <row r="212" spans="1:36" ht="22.15" customHeight="1" x14ac:dyDescent="0.2">
      <c r="A212" s="1"/>
      <c r="B212" s="18"/>
      <c r="C212" s="64"/>
      <c r="D212" s="110"/>
      <c r="E212" s="110"/>
      <c r="F212" s="69"/>
      <c r="G212" s="64"/>
      <c r="H212" s="110"/>
      <c r="I212" s="110"/>
      <c r="J212" s="69"/>
      <c r="K212" s="64"/>
      <c r="L212" s="110"/>
      <c r="M212" s="110"/>
      <c r="N212" s="69"/>
      <c r="O212" s="64"/>
      <c r="P212" s="110"/>
      <c r="Q212" s="110"/>
      <c r="R212" s="69"/>
      <c r="S212" s="64"/>
      <c r="T212" s="110"/>
      <c r="U212" s="110"/>
      <c r="V212" s="69"/>
      <c r="W212" s="69"/>
      <c r="Z212" s="69"/>
      <c r="AA212" s="69"/>
      <c r="AD212" s="69"/>
      <c r="AE212" s="69"/>
      <c r="AH212" s="69"/>
    </row>
    <row r="213" spans="1:36" ht="22.15" customHeight="1" x14ac:dyDescent="0.2">
      <c r="A213" s="1" t="s">
        <v>277</v>
      </c>
      <c r="B213" s="18"/>
      <c r="C213" s="64"/>
      <c r="D213" s="110"/>
      <c r="E213" s="110"/>
      <c r="F213" s="69"/>
      <c r="G213" s="64"/>
      <c r="H213" s="110"/>
      <c r="I213" s="110"/>
      <c r="J213" s="69"/>
      <c r="K213" s="64"/>
      <c r="L213" s="110"/>
      <c r="M213" s="110"/>
      <c r="N213" s="69"/>
      <c r="O213" s="64"/>
      <c r="P213" s="110"/>
      <c r="Q213" s="110"/>
      <c r="R213" s="69"/>
      <c r="S213" s="64"/>
      <c r="T213" s="110"/>
      <c r="U213" s="110"/>
      <c r="V213" s="69"/>
      <c r="W213" s="69"/>
      <c r="Z213" s="69"/>
      <c r="AA213" s="69"/>
      <c r="AD213" s="69"/>
      <c r="AE213" s="69"/>
      <c r="AH213" s="69"/>
    </row>
    <row r="214" spans="1:36" ht="22.15" customHeight="1" thickBot="1" x14ac:dyDescent="0.25">
      <c r="A214" s="1798"/>
      <c r="B214" s="1663" t="s">
        <v>29</v>
      </c>
      <c r="C214" s="1595">
        <v>1</v>
      </c>
      <c r="D214" s="1595">
        <v>2</v>
      </c>
      <c r="E214" s="1595">
        <v>3</v>
      </c>
      <c r="F214" s="1596">
        <v>4</v>
      </c>
      <c r="G214" s="1596">
        <v>5</v>
      </c>
      <c r="H214" s="1595">
        <v>6</v>
      </c>
      <c r="I214" s="1595">
        <v>7</v>
      </c>
      <c r="J214" s="1595">
        <v>8</v>
      </c>
      <c r="K214" s="1595">
        <v>9</v>
      </c>
      <c r="L214" s="1595">
        <v>10</v>
      </c>
      <c r="M214" s="1596">
        <v>11</v>
      </c>
      <c r="N214" s="1596">
        <v>12</v>
      </c>
      <c r="O214" s="1595">
        <v>13</v>
      </c>
      <c r="P214" s="1595">
        <v>14</v>
      </c>
      <c r="Q214" s="1595">
        <v>15</v>
      </c>
      <c r="R214" s="1595">
        <v>16</v>
      </c>
      <c r="S214" s="1595">
        <v>17</v>
      </c>
      <c r="T214" s="1596">
        <v>18</v>
      </c>
      <c r="U214" s="1596">
        <v>19</v>
      </c>
      <c r="V214" s="1595">
        <v>20</v>
      </c>
      <c r="W214" s="1595">
        <v>21</v>
      </c>
      <c r="X214" s="1595">
        <v>22</v>
      </c>
      <c r="Y214" s="1595">
        <v>23</v>
      </c>
      <c r="Z214" s="1595">
        <v>24</v>
      </c>
      <c r="AA214" s="1596">
        <v>25</v>
      </c>
      <c r="AB214" s="1596">
        <v>26</v>
      </c>
      <c r="AC214" s="1595">
        <v>27</v>
      </c>
      <c r="AD214" s="1595">
        <v>28</v>
      </c>
      <c r="AE214" s="1595">
        <v>29</v>
      </c>
      <c r="AF214" s="1595">
        <v>30</v>
      </c>
      <c r="AG214" s="1597">
        <v>31</v>
      </c>
      <c r="AH214" s="184"/>
      <c r="AI214" s="185"/>
    </row>
    <row r="215" spans="1:36" ht="22.15" customHeight="1" x14ac:dyDescent="0.2">
      <c r="A215" s="305"/>
      <c r="B215" s="306" t="s">
        <v>278</v>
      </c>
      <c r="C215" s="1629" t="s">
        <v>31</v>
      </c>
      <c r="D215" s="1629" t="s">
        <v>31</v>
      </c>
      <c r="E215" s="1629" t="s">
        <v>31</v>
      </c>
      <c r="F215" s="1636"/>
      <c r="G215" s="1636"/>
      <c r="H215" s="1629" t="s">
        <v>31</v>
      </c>
      <c r="I215" s="1629" t="s">
        <v>31</v>
      </c>
      <c r="J215" s="1629" t="s">
        <v>31</v>
      </c>
      <c r="K215" s="1629" t="s">
        <v>31</v>
      </c>
      <c r="L215" s="1629" t="s">
        <v>31</v>
      </c>
      <c r="M215" s="1629"/>
      <c r="N215" s="1612"/>
      <c r="O215" s="1629" t="s">
        <v>31</v>
      </c>
      <c r="P215" s="1629" t="s">
        <v>31</v>
      </c>
      <c r="Q215" s="1629" t="s">
        <v>31</v>
      </c>
      <c r="R215" s="1629" t="s">
        <v>31</v>
      </c>
      <c r="S215" s="1629" t="s">
        <v>31</v>
      </c>
      <c r="T215" s="1629"/>
      <c r="U215" s="1629"/>
      <c r="V215" s="1629" t="s">
        <v>31</v>
      </c>
      <c r="W215" s="1629" t="s">
        <v>31</v>
      </c>
      <c r="X215" s="1629" t="s">
        <v>31</v>
      </c>
      <c r="Y215" s="1628" t="s">
        <v>31</v>
      </c>
      <c r="Z215" s="1628" t="s">
        <v>31</v>
      </c>
      <c r="AA215" s="1628"/>
      <c r="AB215" s="1629"/>
      <c r="AC215" s="1629" t="s">
        <v>31</v>
      </c>
      <c r="AD215" s="1629" t="s">
        <v>31</v>
      </c>
      <c r="AE215" s="1629" t="s">
        <v>31</v>
      </c>
      <c r="AF215" s="1712" t="s">
        <v>31</v>
      </c>
      <c r="AG215" s="381" t="s">
        <v>31</v>
      </c>
      <c r="AH215" s="184"/>
      <c r="AI215" s="185"/>
    </row>
    <row r="216" spans="1:36" ht="22.15" customHeight="1" x14ac:dyDescent="0.2">
      <c r="A216" s="1488"/>
      <c r="B216" s="1881" t="s">
        <v>279</v>
      </c>
      <c r="C216" s="1629" t="s">
        <v>31</v>
      </c>
      <c r="D216" s="1629" t="s">
        <v>31</v>
      </c>
      <c r="E216" s="1629" t="s">
        <v>31</v>
      </c>
      <c r="F216" s="1636"/>
      <c r="G216" s="1636"/>
      <c r="H216" s="1712" t="s">
        <v>31</v>
      </c>
      <c r="I216" s="1712" t="s">
        <v>31</v>
      </c>
      <c r="J216" s="1712" t="s">
        <v>31</v>
      </c>
      <c r="K216" s="1712" t="s">
        <v>31</v>
      </c>
      <c r="L216" s="1712" t="s">
        <v>31</v>
      </c>
      <c r="M216" s="1712"/>
      <c r="N216" s="1712"/>
      <c r="O216" s="1712" t="s">
        <v>31</v>
      </c>
      <c r="P216" s="1297" t="s">
        <v>31</v>
      </c>
      <c r="Q216" s="1297" t="s">
        <v>31</v>
      </c>
      <c r="R216" s="1297" t="s">
        <v>31</v>
      </c>
      <c r="S216" s="1297" t="s">
        <v>31</v>
      </c>
      <c r="T216" s="1629"/>
      <c r="U216" s="1629"/>
      <c r="V216" s="1629" t="s">
        <v>31</v>
      </c>
      <c r="W216" s="1629" t="s">
        <v>31</v>
      </c>
      <c r="X216" s="1629" t="s">
        <v>31</v>
      </c>
      <c r="Y216" s="1628" t="s">
        <v>31</v>
      </c>
      <c r="Z216" s="1628" t="s">
        <v>31</v>
      </c>
      <c r="AA216" s="1628"/>
      <c r="AB216" s="1629"/>
      <c r="AC216" s="1629" t="s">
        <v>31</v>
      </c>
      <c r="AD216" s="1629" t="s">
        <v>31</v>
      </c>
      <c r="AE216" s="1629" t="s">
        <v>31</v>
      </c>
      <c r="AF216" s="1629" t="s">
        <v>31</v>
      </c>
      <c r="AG216" s="1490" t="s">
        <v>31</v>
      </c>
      <c r="AH216" s="184"/>
      <c r="AI216" s="185"/>
    </row>
    <row r="217" spans="1:36" ht="22.15" customHeight="1" x14ac:dyDescent="0.2">
      <c r="A217" s="1882">
        <v>8514</v>
      </c>
      <c r="B217" s="1665" t="s">
        <v>280</v>
      </c>
      <c r="C217" s="1629" t="s">
        <v>31</v>
      </c>
      <c r="D217" s="1629" t="s">
        <v>31</v>
      </c>
      <c r="E217" s="1629" t="s">
        <v>31</v>
      </c>
      <c r="F217" s="1636"/>
      <c r="G217" s="1636"/>
      <c r="H217" s="1297" t="s">
        <v>31</v>
      </c>
      <c r="I217" s="1297" t="s">
        <v>31</v>
      </c>
      <c r="J217" s="1297" t="s">
        <v>31</v>
      </c>
      <c r="K217" s="1297" t="s">
        <v>31</v>
      </c>
      <c r="L217" s="1297" t="s">
        <v>31</v>
      </c>
      <c r="M217" s="1629"/>
      <c r="N217" s="1612"/>
      <c r="O217" s="1712" t="s">
        <v>31</v>
      </c>
      <c r="P217" s="1712" t="s">
        <v>31</v>
      </c>
      <c r="Q217" s="1712" t="s">
        <v>31</v>
      </c>
      <c r="R217" s="1712" t="s">
        <v>31</v>
      </c>
      <c r="S217" s="1712" t="s">
        <v>31</v>
      </c>
      <c r="T217" s="1712"/>
      <c r="U217" s="1712"/>
      <c r="V217" s="1712" t="s">
        <v>31</v>
      </c>
      <c r="W217" s="1712" t="s">
        <v>31</v>
      </c>
      <c r="X217" s="1712" t="s">
        <v>31</v>
      </c>
      <c r="Y217" s="1712" t="s">
        <v>31</v>
      </c>
      <c r="Z217" s="1712" t="s">
        <v>31</v>
      </c>
      <c r="AA217" s="1712"/>
      <c r="AB217" s="1712"/>
      <c r="AC217" s="1712" t="s">
        <v>31</v>
      </c>
      <c r="AD217" s="1712" t="s">
        <v>31</v>
      </c>
      <c r="AE217" s="1712" t="s">
        <v>31</v>
      </c>
      <c r="AF217" s="1712" t="s">
        <v>31</v>
      </c>
      <c r="AG217" s="1492" t="s">
        <v>31</v>
      </c>
      <c r="AH217" s="189"/>
      <c r="AI217" s="190"/>
    </row>
    <row r="218" spans="1:36" ht="21" customHeight="1" x14ac:dyDescent="0.2">
      <c r="A218" s="1882">
        <v>3701</v>
      </c>
      <c r="B218" s="1665" t="s">
        <v>281</v>
      </c>
      <c r="C218" s="1629" t="s">
        <v>31</v>
      </c>
      <c r="D218" s="1629" t="s">
        <v>31</v>
      </c>
      <c r="E218" s="1629" t="s">
        <v>31</v>
      </c>
      <c r="F218" s="1636"/>
      <c r="G218" s="1636"/>
      <c r="H218" s="1712" t="s">
        <v>31</v>
      </c>
      <c r="I218" s="1712" t="s">
        <v>31</v>
      </c>
      <c r="J218" s="1712" t="s">
        <v>31</v>
      </c>
      <c r="K218" s="1712" t="s">
        <v>31</v>
      </c>
      <c r="L218" s="1712" t="s">
        <v>31</v>
      </c>
      <c r="M218" s="1712"/>
      <c r="N218" s="1712"/>
      <c r="O218" s="1712" t="s">
        <v>31</v>
      </c>
      <c r="P218" s="1712" t="s">
        <v>31</v>
      </c>
      <c r="Q218" s="1712" t="s">
        <v>31</v>
      </c>
      <c r="R218" s="1712" t="s">
        <v>31</v>
      </c>
      <c r="S218" s="1712" t="s">
        <v>31</v>
      </c>
      <c r="T218" s="1712"/>
      <c r="U218" s="1712"/>
      <c r="V218" s="1712" t="s">
        <v>31</v>
      </c>
      <c r="W218" s="1712" t="s">
        <v>31</v>
      </c>
      <c r="X218" s="1712" t="s">
        <v>31</v>
      </c>
      <c r="Y218" s="1712" t="s">
        <v>31</v>
      </c>
      <c r="Z218" s="1712" t="s">
        <v>31</v>
      </c>
      <c r="AA218" s="1628"/>
      <c r="AB218" s="1629"/>
      <c r="AC218" s="1629" t="s">
        <v>31</v>
      </c>
      <c r="AD218" s="1629" t="s">
        <v>31</v>
      </c>
      <c r="AE218" s="1629" t="s">
        <v>31</v>
      </c>
      <c r="AF218" s="1629" t="s">
        <v>31</v>
      </c>
      <c r="AG218" s="1492" t="s">
        <v>31</v>
      </c>
      <c r="AH218" s="189"/>
      <c r="AI218" s="190"/>
      <c r="AJ218" s="229"/>
    </row>
    <row r="219" spans="1:36" ht="21" customHeight="1" x14ac:dyDescent="0.2">
      <c r="A219" s="1882">
        <v>3701</v>
      </c>
      <c r="B219" s="1665" t="s">
        <v>282</v>
      </c>
      <c r="C219" s="1629" t="s">
        <v>31</v>
      </c>
      <c r="D219" s="1629" t="s">
        <v>31</v>
      </c>
      <c r="E219" s="1629" t="s">
        <v>31</v>
      </c>
      <c r="F219" s="1636"/>
      <c r="G219" s="1636"/>
      <c r="H219" s="1712" t="s">
        <v>31</v>
      </c>
      <c r="I219" s="1712" t="s">
        <v>31</v>
      </c>
      <c r="J219" s="1712" t="s">
        <v>31</v>
      </c>
      <c r="K219" s="1712" t="s">
        <v>31</v>
      </c>
      <c r="L219" s="1712" t="s">
        <v>31</v>
      </c>
      <c r="M219" s="1712"/>
      <c r="N219" s="1712"/>
      <c r="O219" s="1712" t="s">
        <v>31</v>
      </c>
      <c r="P219" s="1712" t="s">
        <v>31</v>
      </c>
      <c r="Q219" s="1712" t="s">
        <v>31</v>
      </c>
      <c r="R219" s="1712" t="s">
        <v>31</v>
      </c>
      <c r="S219" s="1712" t="s">
        <v>31</v>
      </c>
      <c r="T219" s="1712"/>
      <c r="U219" s="1712"/>
      <c r="V219" s="1623" t="s">
        <v>31</v>
      </c>
      <c r="W219" s="1623" t="s">
        <v>31</v>
      </c>
      <c r="X219" s="1623" t="s">
        <v>31</v>
      </c>
      <c r="Y219" s="1623" t="s">
        <v>31</v>
      </c>
      <c r="Z219" s="1623" t="s">
        <v>31</v>
      </c>
      <c r="AA219" s="1628"/>
      <c r="AB219" s="1629"/>
      <c r="AC219" s="1623" t="s">
        <v>31</v>
      </c>
      <c r="AD219" s="1623" t="s">
        <v>31</v>
      </c>
      <c r="AE219" s="1623" t="s">
        <v>31</v>
      </c>
      <c r="AF219" s="1623" t="s">
        <v>31</v>
      </c>
      <c r="AG219" s="1497" t="s">
        <v>31</v>
      </c>
      <c r="AH219" s="189"/>
      <c r="AI219" s="190"/>
    </row>
    <row r="220" spans="1:36" ht="21" customHeight="1" x14ac:dyDescent="0.2">
      <c r="A220" s="1882">
        <v>3701</v>
      </c>
      <c r="B220" s="1665" t="s">
        <v>283</v>
      </c>
      <c r="C220" s="1712" t="s">
        <v>31</v>
      </c>
      <c r="D220" s="1712" t="s">
        <v>31</v>
      </c>
      <c r="E220" s="1712" t="s">
        <v>31</v>
      </c>
      <c r="F220" s="1712"/>
      <c r="G220" s="1712"/>
      <c r="H220" s="1712" t="s">
        <v>31</v>
      </c>
      <c r="I220" s="1712" t="s">
        <v>31</v>
      </c>
      <c r="J220" s="1712" t="s">
        <v>31</v>
      </c>
      <c r="K220" s="1712" t="s">
        <v>31</v>
      </c>
      <c r="L220" s="1712" t="s">
        <v>31</v>
      </c>
      <c r="M220" s="1712"/>
      <c r="N220" s="1712"/>
      <c r="O220" s="1712" t="s">
        <v>31</v>
      </c>
      <c r="P220" s="1712" t="s">
        <v>31</v>
      </c>
      <c r="Q220" s="1712" t="s">
        <v>31</v>
      </c>
      <c r="R220" s="1712" t="s">
        <v>31</v>
      </c>
      <c r="S220" s="1712" t="s">
        <v>31</v>
      </c>
      <c r="T220" s="1712"/>
      <c r="U220" s="1712"/>
      <c r="V220" s="1712" t="s">
        <v>31</v>
      </c>
      <c r="W220" s="1712" t="s">
        <v>31</v>
      </c>
      <c r="X220" s="1712" t="s">
        <v>31</v>
      </c>
      <c r="Y220" s="1712" t="s">
        <v>31</v>
      </c>
      <c r="Z220" s="1712" t="s">
        <v>31</v>
      </c>
      <c r="AA220" s="1712"/>
      <c r="AB220" s="1712"/>
      <c r="AC220" s="1712" t="s">
        <v>31</v>
      </c>
      <c r="AD220" s="1712" t="s">
        <v>31</v>
      </c>
      <c r="AE220" s="1712" t="s">
        <v>31</v>
      </c>
      <c r="AF220" s="1712" t="s">
        <v>31</v>
      </c>
      <c r="AG220" s="1883" t="s">
        <v>31</v>
      </c>
      <c r="AH220" s="189"/>
      <c r="AI220" s="190"/>
    </row>
    <row r="221" spans="1:36" ht="21" customHeight="1" x14ac:dyDescent="0.2">
      <c r="A221" s="1882">
        <v>3701</v>
      </c>
      <c r="B221" s="1665" t="s">
        <v>284</v>
      </c>
      <c r="C221" s="1629" t="s">
        <v>31</v>
      </c>
      <c r="D221" s="1629" t="s">
        <v>31</v>
      </c>
      <c r="E221" s="1629" t="s">
        <v>31</v>
      </c>
      <c r="F221" s="1636"/>
      <c r="G221" s="1636"/>
      <c r="H221" s="1712" t="s">
        <v>31</v>
      </c>
      <c r="I221" s="1712" t="s">
        <v>31</v>
      </c>
      <c r="J221" s="1712" t="s">
        <v>31</v>
      </c>
      <c r="K221" s="1712" t="s">
        <v>31</v>
      </c>
      <c r="L221" s="1712" t="s">
        <v>31</v>
      </c>
      <c r="M221" s="1712"/>
      <c r="N221" s="1712"/>
      <c r="O221" s="1712" t="s">
        <v>31</v>
      </c>
      <c r="P221" s="1712" t="s">
        <v>31</v>
      </c>
      <c r="Q221" s="1712" t="s">
        <v>31</v>
      </c>
      <c r="R221" s="1712" t="s">
        <v>31</v>
      </c>
      <c r="S221" s="1712" t="s">
        <v>31</v>
      </c>
      <c r="T221" s="1712"/>
      <c r="U221" s="1712"/>
      <c r="V221" s="1712" t="s">
        <v>31</v>
      </c>
      <c r="W221" s="1712" t="s">
        <v>31</v>
      </c>
      <c r="X221" s="1712" t="s">
        <v>31</v>
      </c>
      <c r="Y221" s="1712" t="s">
        <v>31</v>
      </c>
      <c r="Z221" s="1712" t="s">
        <v>31</v>
      </c>
      <c r="AA221" s="1628"/>
      <c r="AB221" s="1629"/>
      <c r="AC221" s="1629" t="s">
        <v>31</v>
      </c>
      <c r="AD221" s="1629" t="s">
        <v>31</v>
      </c>
      <c r="AE221" s="1629" t="s">
        <v>31</v>
      </c>
      <c r="AF221" s="1629" t="s">
        <v>31</v>
      </c>
      <c r="AG221" s="1490" t="s">
        <v>31</v>
      </c>
      <c r="AH221" s="189"/>
      <c r="AI221" s="190"/>
    </row>
    <row r="222" spans="1:36" ht="22.15" customHeight="1" x14ac:dyDescent="0.2">
      <c r="A222" s="1882">
        <v>3701</v>
      </c>
      <c r="B222" s="1665" t="s">
        <v>285</v>
      </c>
      <c r="C222" s="1712" t="s">
        <v>31</v>
      </c>
      <c r="D222" s="1712" t="s">
        <v>31</v>
      </c>
      <c r="E222" s="1712" t="s">
        <v>31</v>
      </c>
      <c r="F222" s="1712"/>
      <c r="G222" s="1712"/>
      <c r="H222" s="1712" t="s">
        <v>31</v>
      </c>
      <c r="I222" s="1712" t="s">
        <v>31</v>
      </c>
      <c r="J222" s="1712" t="s">
        <v>31</v>
      </c>
      <c r="K222" s="1712" t="s">
        <v>31</v>
      </c>
      <c r="L222" s="1712" t="s">
        <v>31</v>
      </c>
      <c r="M222" s="1712"/>
      <c r="N222" s="1712"/>
      <c r="O222" s="1712" t="s">
        <v>31</v>
      </c>
      <c r="P222" s="1712" t="s">
        <v>31</v>
      </c>
      <c r="Q222" s="1712" t="s">
        <v>31</v>
      </c>
      <c r="R222" s="1712" t="s">
        <v>31</v>
      </c>
      <c r="S222" s="1712" t="s">
        <v>31</v>
      </c>
      <c r="T222" s="1712"/>
      <c r="U222" s="1712"/>
      <c r="V222" s="1712" t="s">
        <v>31</v>
      </c>
      <c r="W222" s="1712" t="s">
        <v>31</v>
      </c>
      <c r="X222" s="1712" t="s">
        <v>31</v>
      </c>
      <c r="Y222" s="1712" t="s">
        <v>31</v>
      </c>
      <c r="Z222" s="1712" t="s">
        <v>31</v>
      </c>
      <c r="AA222" s="1628"/>
      <c r="AB222" s="1629"/>
      <c r="AC222" s="1884" t="s">
        <v>31</v>
      </c>
      <c r="AD222" s="1884" t="s">
        <v>31</v>
      </c>
      <c r="AE222" s="1884" t="s">
        <v>31</v>
      </c>
      <c r="AF222" s="1884" t="s">
        <v>31</v>
      </c>
      <c r="AG222" s="1492" t="s">
        <v>31</v>
      </c>
      <c r="AH222" s="189"/>
      <c r="AI222" s="190"/>
    </row>
    <row r="223" spans="1:36" ht="22.15" customHeight="1" x14ac:dyDescent="0.2">
      <c r="A223" s="1882">
        <v>3701</v>
      </c>
      <c r="B223" s="1665" t="s">
        <v>286</v>
      </c>
      <c r="C223" s="1629" t="s">
        <v>31</v>
      </c>
      <c r="D223" s="1629" t="s">
        <v>31</v>
      </c>
      <c r="E223" s="1629" t="s">
        <v>31</v>
      </c>
      <c r="F223" s="1636"/>
      <c r="G223" s="1636"/>
      <c r="H223" s="1712" t="s">
        <v>31</v>
      </c>
      <c r="I223" s="1712" t="s">
        <v>31</v>
      </c>
      <c r="J223" s="1712" t="s">
        <v>31</v>
      </c>
      <c r="K223" s="1712" t="s">
        <v>31</v>
      </c>
      <c r="L223" s="1712" t="s">
        <v>31</v>
      </c>
      <c r="M223" s="1712"/>
      <c r="N223" s="1712"/>
      <c r="O223" s="1712" t="s">
        <v>31</v>
      </c>
      <c r="P223" s="1712" t="s">
        <v>31</v>
      </c>
      <c r="Q223" s="1712" t="s">
        <v>31</v>
      </c>
      <c r="R223" s="1712" t="s">
        <v>31</v>
      </c>
      <c r="S223" s="1712" t="s">
        <v>31</v>
      </c>
      <c r="T223" s="1629"/>
      <c r="U223" s="1629"/>
      <c r="V223" s="1629" t="s">
        <v>31</v>
      </c>
      <c r="W223" s="1629" t="s">
        <v>31</v>
      </c>
      <c r="X223" s="1629" t="s">
        <v>31</v>
      </c>
      <c r="Y223" s="1628" t="s">
        <v>31</v>
      </c>
      <c r="Z223" s="1628" t="s">
        <v>31</v>
      </c>
      <c r="AA223" s="1628"/>
      <c r="AB223" s="1629"/>
      <c r="AC223" s="1629" t="s">
        <v>31</v>
      </c>
      <c r="AD223" s="1629" t="s">
        <v>31</v>
      </c>
      <c r="AE223" s="1629" t="s">
        <v>31</v>
      </c>
      <c r="AF223" s="1629" t="s">
        <v>31</v>
      </c>
      <c r="AG223" s="1490" t="s">
        <v>31</v>
      </c>
      <c r="AH223" s="189"/>
      <c r="AI223" s="190"/>
    </row>
    <row r="224" spans="1:36" ht="22.15" customHeight="1" x14ac:dyDescent="0.2">
      <c r="A224" s="1882">
        <v>3701</v>
      </c>
      <c r="B224" s="1665" t="s">
        <v>287</v>
      </c>
      <c r="C224" s="1712" t="s">
        <v>31</v>
      </c>
      <c r="D224" s="1712" t="s">
        <v>31</v>
      </c>
      <c r="E224" s="1712" t="s">
        <v>31</v>
      </c>
      <c r="F224" s="1712"/>
      <c r="G224" s="1712"/>
      <c r="H224" s="1712" t="s">
        <v>31</v>
      </c>
      <c r="I224" s="1712" t="s">
        <v>31</v>
      </c>
      <c r="J224" s="1712" t="s">
        <v>31</v>
      </c>
      <c r="K224" s="1712" t="s">
        <v>31</v>
      </c>
      <c r="L224" s="1712" t="s">
        <v>31</v>
      </c>
      <c r="M224" s="1712"/>
      <c r="N224" s="1712"/>
      <c r="O224" s="1712" t="s">
        <v>31</v>
      </c>
      <c r="P224" s="1712" t="s">
        <v>31</v>
      </c>
      <c r="Q224" s="1712" t="s">
        <v>31</v>
      </c>
      <c r="R224" s="1712" t="s">
        <v>31</v>
      </c>
      <c r="S224" s="1712" t="s">
        <v>31</v>
      </c>
      <c r="T224" s="1712"/>
      <c r="U224" s="1712"/>
      <c r="V224" s="1712" t="s">
        <v>31</v>
      </c>
      <c r="W224" s="1712" t="s">
        <v>31</v>
      </c>
      <c r="X224" s="1712" t="s">
        <v>31</v>
      </c>
      <c r="Y224" s="1712" t="s">
        <v>31</v>
      </c>
      <c r="Z224" s="1712" t="s">
        <v>31</v>
      </c>
      <c r="AA224" s="1712"/>
      <c r="AB224" s="1712"/>
      <c r="AC224" s="1712" t="s">
        <v>31</v>
      </c>
      <c r="AD224" s="1712" t="s">
        <v>31</v>
      </c>
      <c r="AE224" s="1712" t="s">
        <v>31</v>
      </c>
      <c r="AF224" s="1712" t="s">
        <v>31</v>
      </c>
      <c r="AG224" s="1492" t="s">
        <v>31</v>
      </c>
      <c r="AH224" s="189"/>
      <c r="AI224" s="190"/>
    </row>
    <row r="225" spans="1:35" ht="22.15" customHeight="1" x14ac:dyDescent="0.2">
      <c r="A225" s="1885">
        <v>3701</v>
      </c>
      <c r="B225" s="1665" t="s">
        <v>290</v>
      </c>
      <c r="C225" s="1712" t="s">
        <v>31</v>
      </c>
      <c r="D225" s="1712" t="s">
        <v>31</v>
      </c>
      <c r="E225" s="1712" t="s">
        <v>31</v>
      </c>
      <c r="F225" s="1712"/>
      <c r="G225" s="1712"/>
      <c r="H225" s="1712" t="s">
        <v>31</v>
      </c>
      <c r="I225" s="1712" t="s">
        <v>31</v>
      </c>
      <c r="J225" s="1712" t="s">
        <v>31</v>
      </c>
      <c r="K225" s="1712" t="s">
        <v>31</v>
      </c>
      <c r="L225" s="1712" t="s">
        <v>31</v>
      </c>
      <c r="M225" s="1712"/>
      <c r="N225" s="1712"/>
      <c r="O225" s="1629" t="s">
        <v>31</v>
      </c>
      <c r="P225" s="1629" t="s">
        <v>31</v>
      </c>
      <c r="Q225" s="1629" t="s">
        <v>31</v>
      </c>
      <c r="R225" s="1629" t="s">
        <v>31</v>
      </c>
      <c r="S225" s="1629" t="s">
        <v>31</v>
      </c>
      <c r="T225" s="1629"/>
      <c r="U225" s="1629"/>
      <c r="V225" s="1629" t="s">
        <v>31</v>
      </c>
      <c r="W225" s="1629" t="s">
        <v>31</v>
      </c>
      <c r="X225" s="1629" t="s">
        <v>31</v>
      </c>
      <c r="Y225" s="1628" t="s">
        <v>31</v>
      </c>
      <c r="Z225" s="1628" t="s">
        <v>31</v>
      </c>
      <c r="AA225" s="1628"/>
      <c r="AB225" s="1629"/>
      <c r="AC225" s="1736" t="s">
        <v>31</v>
      </c>
      <c r="AD225" s="1629" t="s">
        <v>31</v>
      </c>
      <c r="AE225" s="1629" t="s">
        <v>31</v>
      </c>
      <c r="AF225" s="1629" t="s">
        <v>31</v>
      </c>
      <c r="AG225" s="1490" t="s">
        <v>31</v>
      </c>
      <c r="AH225" s="189"/>
      <c r="AI225" s="190"/>
    </row>
    <row r="226" spans="1:35" ht="22.15" customHeight="1" x14ac:dyDescent="0.2">
      <c r="A226" s="1882">
        <v>3701</v>
      </c>
      <c r="B226" s="1665" t="s">
        <v>291</v>
      </c>
      <c r="C226" s="1629" t="s">
        <v>31</v>
      </c>
      <c r="D226" s="1629" t="s">
        <v>31</v>
      </c>
      <c r="E226" s="1629" t="s">
        <v>31</v>
      </c>
      <c r="F226" s="1636"/>
      <c r="G226" s="1636"/>
      <c r="H226" s="1629" t="s">
        <v>31</v>
      </c>
      <c r="I226" s="1629" t="s">
        <v>31</v>
      </c>
      <c r="J226" s="1629" t="s">
        <v>31</v>
      </c>
      <c r="K226" s="1629" t="s">
        <v>31</v>
      </c>
      <c r="L226" s="1629" t="s">
        <v>31</v>
      </c>
      <c r="M226" s="1629"/>
      <c r="N226" s="1612"/>
      <c r="O226" s="1629" t="s">
        <v>31</v>
      </c>
      <c r="P226" s="1629" t="s">
        <v>31</v>
      </c>
      <c r="Q226" s="1629" t="s">
        <v>31</v>
      </c>
      <c r="R226" s="1629" t="s">
        <v>31</v>
      </c>
      <c r="S226" s="1629" t="s">
        <v>31</v>
      </c>
      <c r="T226" s="1629"/>
      <c r="U226" s="1629"/>
      <c r="V226" s="1629" t="s">
        <v>31</v>
      </c>
      <c r="W226" s="1629" t="s">
        <v>31</v>
      </c>
      <c r="X226" s="1629" t="s">
        <v>31</v>
      </c>
      <c r="Y226" s="1628" t="s">
        <v>31</v>
      </c>
      <c r="Z226" s="1628" t="s">
        <v>31</v>
      </c>
      <c r="AA226" s="1628"/>
      <c r="AB226" s="1629"/>
      <c r="AC226" s="1712" t="s">
        <v>31</v>
      </c>
      <c r="AD226" s="1712" t="s">
        <v>31</v>
      </c>
      <c r="AE226" s="1712" t="s">
        <v>31</v>
      </c>
      <c r="AF226" s="1712" t="s">
        <v>31</v>
      </c>
      <c r="AG226" s="1492" t="s">
        <v>31</v>
      </c>
      <c r="AH226" s="189"/>
      <c r="AI226" s="190"/>
    </row>
    <row r="227" spans="1:35" ht="22.15" customHeight="1" x14ac:dyDescent="0.2">
      <c r="A227" s="1882">
        <v>3701</v>
      </c>
      <c r="B227" s="1665" t="s">
        <v>292</v>
      </c>
      <c r="C227" s="1629" t="s">
        <v>31</v>
      </c>
      <c r="D227" s="1629" t="s">
        <v>31</v>
      </c>
      <c r="E227" s="1629" t="s">
        <v>31</v>
      </c>
      <c r="F227" s="1636"/>
      <c r="G227" s="1636"/>
      <c r="H227" s="1629" t="s">
        <v>31</v>
      </c>
      <c r="I227" s="1629" t="s">
        <v>31</v>
      </c>
      <c r="J227" s="1629" t="s">
        <v>31</v>
      </c>
      <c r="K227" s="1629" t="s">
        <v>31</v>
      </c>
      <c r="L227" s="1629" t="s">
        <v>31</v>
      </c>
      <c r="M227" s="1629"/>
      <c r="N227" s="1612"/>
      <c r="O227" s="1712" t="s">
        <v>31</v>
      </c>
      <c r="P227" s="1712" t="s">
        <v>31</v>
      </c>
      <c r="Q227" s="1712" t="s">
        <v>31</v>
      </c>
      <c r="R227" s="1712" t="s">
        <v>31</v>
      </c>
      <c r="S227" s="1712" t="s">
        <v>31</v>
      </c>
      <c r="T227" s="1629"/>
      <c r="U227" s="1629"/>
      <c r="V227" s="1884" t="s">
        <v>31</v>
      </c>
      <c r="W227" s="1886" t="s">
        <v>31</v>
      </c>
      <c r="X227" s="1886" t="s">
        <v>31</v>
      </c>
      <c r="Y227" s="1886" t="s">
        <v>31</v>
      </c>
      <c r="Z227" s="1886" t="s">
        <v>31</v>
      </c>
      <c r="AA227" s="1628"/>
      <c r="AB227" s="1629"/>
      <c r="AC227" s="1629" t="s">
        <v>31</v>
      </c>
      <c r="AD227" s="1629" t="s">
        <v>31</v>
      </c>
      <c r="AE227" s="1629" t="s">
        <v>31</v>
      </c>
      <c r="AF227" s="1629" t="s">
        <v>31</v>
      </c>
      <c r="AG227" s="1495" t="s">
        <v>31</v>
      </c>
      <c r="AH227" s="189"/>
      <c r="AI227" s="190"/>
    </row>
    <row r="228" spans="1:35" ht="22.15" customHeight="1" x14ac:dyDescent="0.2">
      <c r="A228" s="1882"/>
      <c r="B228" s="1887"/>
      <c r="C228" s="1629" t="s">
        <v>31</v>
      </c>
      <c r="D228" s="1629" t="s">
        <v>31</v>
      </c>
      <c r="E228" s="1629" t="s">
        <v>31</v>
      </c>
      <c r="F228" s="1636"/>
      <c r="G228" s="1636"/>
      <c r="H228" s="1629" t="s">
        <v>31</v>
      </c>
      <c r="I228" s="1629" t="s">
        <v>31</v>
      </c>
      <c r="J228" s="1629" t="s">
        <v>31</v>
      </c>
      <c r="K228" s="1629" t="s">
        <v>31</v>
      </c>
      <c r="L228" s="1629" t="s">
        <v>31</v>
      </c>
      <c r="M228" s="1629"/>
      <c r="N228" s="1612"/>
      <c r="O228" s="1629" t="s">
        <v>31</v>
      </c>
      <c r="P228" s="1629" t="s">
        <v>31</v>
      </c>
      <c r="Q228" s="1629" t="s">
        <v>31</v>
      </c>
      <c r="R228" s="1629" t="s">
        <v>31</v>
      </c>
      <c r="S228" s="1629" t="s">
        <v>31</v>
      </c>
      <c r="T228" s="1629"/>
      <c r="U228" s="1629"/>
      <c r="V228" s="1629" t="s">
        <v>31</v>
      </c>
      <c r="W228" s="1629" t="s">
        <v>31</v>
      </c>
      <c r="X228" s="1629" t="s">
        <v>31</v>
      </c>
      <c r="Y228" s="1628" t="s">
        <v>31</v>
      </c>
      <c r="Z228" s="1628" t="s">
        <v>31</v>
      </c>
      <c r="AA228" s="1628"/>
      <c r="AB228" s="1629"/>
      <c r="AC228" s="1629" t="s">
        <v>31</v>
      </c>
      <c r="AD228" s="1629" t="s">
        <v>31</v>
      </c>
      <c r="AE228" s="1629" t="s">
        <v>31</v>
      </c>
      <c r="AF228" s="1629" t="s">
        <v>31</v>
      </c>
      <c r="AG228" s="1490" t="s">
        <v>31</v>
      </c>
      <c r="AH228" s="189"/>
      <c r="AI228" s="190"/>
    </row>
    <row r="229" spans="1:35" ht="22.15" customHeight="1" x14ac:dyDescent="0.2">
      <c r="A229" s="1882"/>
      <c r="B229" s="1665" t="s">
        <v>293</v>
      </c>
      <c r="C229" s="1629" t="s">
        <v>31</v>
      </c>
      <c r="D229" s="1629" t="s">
        <v>31</v>
      </c>
      <c r="E229" s="1629" t="s">
        <v>31</v>
      </c>
      <c r="F229" s="1636"/>
      <c r="G229" s="1636"/>
      <c r="H229" s="1629" t="s">
        <v>31</v>
      </c>
      <c r="I229" s="1629" t="s">
        <v>31</v>
      </c>
      <c r="J229" s="1629" t="s">
        <v>31</v>
      </c>
      <c r="K229" s="1629" t="s">
        <v>31</v>
      </c>
      <c r="L229" s="1629" t="s">
        <v>31</v>
      </c>
      <c r="M229" s="1629"/>
      <c r="N229" s="1612"/>
      <c r="O229" s="1629" t="s">
        <v>31</v>
      </c>
      <c r="P229" s="1629" t="s">
        <v>31</v>
      </c>
      <c r="Q229" s="1629" t="s">
        <v>31</v>
      </c>
      <c r="R229" s="1629" t="s">
        <v>31</v>
      </c>
      <c r="S229" s="1629" t="s">
        <v>31</v>
      </c>
      <c r="T229" s="1629"/>
      <c r="U229" s="1629"/>
      <c r="V229" s="1629" t="s">
        <v>31</v>
      </c>
      <c r="W229" s="1884" t="s">
        <v>31</v>
      </c>
      <c r="X229" s="1629" t="s">
        <v>31</v>
      </c>
      <c r="Y229" s="1628" t="s">
        <v>31</v>
      </c>
      <c r="Z229" s="1628" t="s">
        <v>31</v>
      </c>
      <c r="AA229" s="1628"/>
      <c r="AB229" s="1629"/>
      <c r="AC229" s="1712" t="s">
        <v>31</v>
      </c>
      <c r="AD229" s="1712" t="s">
        <v>31</v>
      </c>
      <c r="AE229" s="1712" t="s">
        <v>31</v>
      </c>
      <c r="AF229" s="1712" t="s">
        <v>31</v>
      </c>
      <c r="AG229" s="1492" t="s">
        <v>31</v>
      </c>
      <c r="AH229" s="189"/>
      <c r="AI229" s="190"/>
    </row>
    <row r="230" spans="1:35" ht="22.15" customHeight="1" x14ac:dyDescent="0.2">
      <c r="A230" s="1882"/>
      <c r="B230" s="1665" t="s">
        <v>294</v>
      </c>
      <c r="C230" s="1623" t="s">
        <v>31</v>
      </c>
      <c r="D230" s="1623" t="s">
        <v>31</v>
      </c>
      <c r="E230" s="1623" t="s">
        <v>31</v>
      </c>
      <c r="F230" s="1623"/>
      <c r="G230" s="1623"/>
      <c r="H230" s="1623" t="s">
        <v>31</v>
      </c>
      <c r="I230" s="1623" t="s">
        <v>31</v>
      </c>
      <c r="J230" s="1623" t="s">
        <v>31</v>
      </c>
      <c r="K230" s="1623" t="s">
        <v>31</v>
      </c>
      <c r="L230" s="1623" t="s">
        <v>31</v>
      </c>
      <c r="M230" s="1623"/>
      <c r="N230" s="1623"/>
      <c r="O230" s="1623" t="s">
        <v>31</v>
      </c>
      <c r="P230" s="1623" t="s">
        <v>31</v>
      </c>
      <c r="Q230" s="1623" t="s">
        <v>31</v>
      </c>
      <c r="R230" s="1623" t="s">
        <v>31</v>
      </c>
      <c r="S230" s="1623" t="s">
        <v>31</v>
      </c>
      <c r="T230" s="1623"/>
      <c r="U230" s="1623"/>
      <c r="V230" s="1623" t="s">
        <v>31</v>
      </c>
      <c r="W230" s="1623" t="s">
        <v>31</v>
      </c>
      <c r="X230" s="1623" t="s">
        <v>31</v>
      </c>
      <c r="Y230" s="1623" t="s">
        <v>31</v>
      </c>
      <c r="Z230" s="1623" t="s">
        <v>31</v>
      </c>
      <c r="AA230" s="1623"/>
      <c r="AB230" s="1623"/>
      <c r="AC230" s="1623" t="s">
        <v>31</v>
      </c>
      <c r="AD230" s="1623" t="s">
        <v>31</v>
      </c>
      <c r="AE230" s="1623" t="s">
        <v>31</v>
      </c>
      <c r="AF230" s="1623" t="s">
        <v>31</v>
      </c>
      <c r="AG230" s="1497" t="s">
        <v>31</v>
      </c>
      <c r="AH230" s="189"/>
      <c r="AI230" s="190"/>
    </row>
    <row r="231" spans="1:35" ht="22.15" customHeight="1" x14ac:dyDescent="0.2">
      <c r="A231" s="1882"/>
      <c r="B231" s="1665" t="s">
        <v>295</v>
      </c>
      <c r="C231" s="1629" t="s">
        <v>31</v>
      </c>
      <c r="D231" s="1629" t="s">
        <v>31</v>
      </c>
      <c r="E231" s="1629" t="s">
        <v>31</v>
      </c>
      <c r="F231" s="1636"/>
      <c r="G231" s="1636"/>
      <c r="H231" s="1629" t="s">
        <v>31</v>
      </c>
      <c r="I231" s="1629" t="s">
        <v>31</v>
      </c>
      <c r="J231" s="1629" t="s">
        <v>31</v>
      </c>
      <c r="K231" s="1629" t="s">
        <v>31</v>
      </c>
      <c r="L231" s="1629" t="s">
        <v>31</v>
      </c>
      <c r="M231" s="1629"/>
      <c r="N231" s="1612"/>
      <c r="O231" s="1629" t="s">
        <v>31</v>
      </c>
      <c r="P231" s="1629" t="s">
        <v>31</v>
      </c>
      <c r="Q231" s="1629" t="s">
        <v>31</v>
      </c>
      <c r="R231" s="1623" t="s">
        <v>289</v>
      </c>
      <c r="S231" s="1629" t="s">
        <v>31</v>
      </c>
      <c r="T231" s="1629"/>
      <c r="U231" s="1629"/>
      <c r="V231" s="1629" t="s">
        <v>31</v>
      </c>
      <c r="W231" s="1629" t="s">
        <v>31</v>
      </c>
      <c r="X231" s="1629" t="s">
        <v>31</v>
      </c>
      <c r="Y231" s="1628" t="s">
        <v>31</v>
      </c>
      <c r="Z231" s="1628" t="s">
        <v>31</v>
      </c>
      <c r="AA231" s="1628"/>
      <c r="AB231" s="1629"/>
      <c r="AC231" s="1629" t="s">
        <v>31</v>
      </c>
      <c r="AD231" s="1629" t="s">
        <v>31</v>
      </c>
      <c r="AE231" s="1629" t="s">
        <v>31</v>
      </c>
      <c r="AF231" s="1629" t="s">
        <v>31</v>
      </c>
      <c r="AG231" s="1490" t="s">
        <v>31</v>
      </c>
      <c r="AH231" s="189"/>
      <c r="AI231" s="190"/>
    </row>
    <row r="232" spans="1:35" ht="22.15" customHeight="1" x14ac:dyDescent="0.2">
      <c r="A232" s="1882"/>
      <c r="B232" s="1665" t="s">
        <v>296</v>
      </c>
      <c r="C232" s="1629" t="s">
        <v>31</v>
      </c>
      <c r="D232" s="1629" t="s">
        <v>31</v>
      </c>
      <c r="E232" s="1629" t="s">
        <v>31</v>
      </c>
      <c r="F232" s="1636"/>
      <c r="G232" s="1636"/>
      <c r="H232" s="1629" t="s">
        <v>31</v>
      </c>
      <c r="I232" s="1629" t="s">
        <v>31</v>
      </c>
      <c r="J232" s="1629" t="s">
        <v>31</v>
      </c>
      <c r="K232" s="1629" t="s">
        <v>31</v>
      </c>
      <c r="L232" s="1629" t="s">
        <v>31</v>
      </c>
      <c r="M232" s="1629"/>
      <c r="N232" s="1612"/>
      <c r="O232" s="1629" t="s">
        <v>31</v>
      </c>
      <c r="P232" s="1629" t="s">
        <v>31</v>
      </c>
      <c r="Q232" s="1629" t="s">
        <v>31</v>
      </c>
      <c r="R232" s="1629" t="s">
        <v>31</v>
      </c>
      <c r="S232" s="1629" t="s">
        <v>31</v>
      </c>
      <c r="T232" s="1629"/>
      <c r="U232" s="1629"/>
      <c r="V232" s="1712" t="s">
        <v>31</v>
      </c>
      <c r="W232" s="1712" t="s">
        <v>31</v>
      </c>
      <c r="X232" s="1712" t="s">
        <v>31</v>
      </c>
      <c r="Y232" s="1712" t="s">
        <v>31</v>
      </c>
      <c r="Z232" s="1712" t="s">
        <v>31</v>
      </c>
      <c r="AA232" s="1712"/>
      <c r="AB232" s="1712"/>
      <c r="AC232" s="1712" t="s">
        <v>31</v>
      </c>
      <c r="AD232" s="1712" t="s">
        <v>31</v>
      </c>
      <c r="AE232" s="1712" t="s">
        <v>31</v>
      </c>
      <c r="AF232" s="1712" t="s">
        <v>31</v>
      </c>
      <c r="AG232" s="1492" t="s">
        <v>31</v>
      </c>
      <c r="AH232" s="189"/>
      <c r="AI232" s="190"/>
    </row>
    <row r="233" spans="1:35" ht="22.15" customHeight="1" x14ac:dyDescent="0.2">
      <c r="A233" s="1882"/>
      <c r="B233" s="1888" t="s">
        <v>297</v>
      </c>
      <c r="C233" s="1629"/>
      <c r="D233" s="1629"/>
      <c r="E233" s="1629"/>
      <c r="F233" s="1625"/>
      <c r="G233" s="1633"/>
      <c r="H233" s="1633"/>
      <c r="I233" s="1629"/>
      <c r="J233" s="1629"/>
      <c r="K233" s="1629"/>
      <c r="L233" s="1629"/>
      <c r="M233" s="1629"/>
      <c r="N233" s="1612"/>
      <c r="O233" s="1629"/>
      <c r="P233" s="1629"/>
      <c r="Q233" s="1629"/>
      <c r="R233" s="1629"/>
      <c r="S233" s="1629"/>
      <c r="T233" s="1629"/>
      <c r="U233" s="1629"/>
      <c r="V233" s="1629"/>
      <c r="W233" s="1629"/>
      <c r="X233" s="1629"/>
      <c r="Y233" s="1628"/>
      <c r="Z233" s="1628"/>
      <c r="AA233" s="1628"/>
      <c r="AB233" s="1629"/>
      <c r="AC233" s="1629"/>
      <c r="AD233" s="1629"/>
      <c r="AE233" s="1629"/>
      <c r="AF233" s="1612"/>
      <c r="AG233" s="1490"/>
      <c r="AH233" s="186"/>
      <c r="AI233" s="107"/>
    </row>
    <row r="234" spans="1:35" ht="22.15" customHeight="1" x14ac:dyDescent="0.2">
      <c r="A234" s="1882"/>
      <c r="B234" s="1665"/>
      <c r="C234" s="1629"/>
      <c r="D234" s="1629"/>
      <c r="E234" s="1629"/>
      <c r="F234" s="1625"/>
      <c r="G234" s="1633"/>
      <c r="H234" s="1633"/>
      <c r="I234" s="1629"/>
      <c r="J234" s="1629"/>
      <c r="K234" s="1629"/>
      <c r="L234" s="1629"/>
      <c r="M234" s="1629"/>
      <c r="N234" s="1612"/>
      <c r="O234" s="1629"/>
      <c r="P234" s="1629"/>
      <c r="Q234" s="1629"/>
      <c r="R234" s="1629"/>
      <c r="S234" s="1629"/>
      <c r="T234" s="1629"/>
      <c r="U234" s="1629"/>
      <c r="V234" s="1629"/>
      <c r="W234" s="1629"/>
      <c r="X234" s="1629"/>
      <c r="Y234" s="1628"/>
      <c r="Z234" s="1628"/>
      <c r="AA234" s="1628"/>
      <c r="AB234" s="1629"/>
      <c r="AC234" s="1629"/>
      <c r="AD234" s="1629"/>
      <c r="AE234" s="1629"/>
      <c r="AF234" s="1612"/>
      <c r="AG234" s="1499"/>
      <c r="AH234" s="186"/>
      <c r="AI234" s="107"/>
    </row>
    <row r="235" spans="1:35" ht="22.15" customHeight="1" x14ac:dyDescent="0.2">
      <c r="A235" s="1734"/>
      <c r="B235" s="1889" t="s">
        <v>298</v>
      </c>
      <c r="C235" s="1629"/>
      <c r="D235" s="1629"/>
      <c r="E235" s="1629"/>
      <c r="F235" s="1629"/>
      <c r="G235" s="1629"/>
      <c r="H235" s="1629"/>
      <c r="I235" s="1629"/>
      <c r="J235" s="1629"/>
      <c r="K235" s="1629"/>
      <c r="L235" s="1629"/>
      <c r="M235" s="1629"/>
      <c r="N235" s="1629"/>
      <c r="O235" s="1629"/>
      <c r="P235" s="1629"/>
      <c r="Q235" s="1629"/>
      <c r="R235" s="1629"/>
      <c r="S235" s="1629"/>
      <c r="T235" s="1629"/>
      <c r="U235" s="1629"/>
      <c r="V235" s="1629"/>
      <c r="W235" s="1629"/>
      <c r="X235" s="1629"/>
      <c r="Y235" s="1629"/>
      <c r="Z235" s="1629"/>
      <c r="AA235" s="1629"/>
      <c r="AB235" s="1629"/>
      <c r="AC235" s="1629"/>
      <c r="AD235" s="1629"/>
      <c r="AE235" s="1629"/>
      <c r="AF235" s="1629"/>
      <c r="AG235" s="1490"/>
      <c r="AH235" s="186"/>
      <c r="AI235" s="107"/>
    </row>
    <row r="236" spans="1:35" ht="22.15" customHeight="1" x14ac:dyDescent="0.2">
      <c r="A236" s="1734"/>
      <c r="B236" s="1665"/>
      <c r="C236" s="1629" t="s">
        <v>31</v>
      </c>
      <c r="D236" s="1629" t="s">
        <v>31</v>
      </c>
      <c r="E236" s="1629" t="s">
        <v>31</v>
      </c>
      <c r="F236" s="1636"/>
      <c r="G236" s="1636"/>
      <c r="H236" s="1629" t="s">
        <v>31</v>
      </c>
      <c r="I236" s="1629" t="s">
        <v>31</v>
      </c>
      <c r="J236" s="1629" t="s">
        <v>31</v>
      </c>
      <c r="K236" s="1629" t="s">
        <v>31</v>
      </c>
      <c r="L236" s="1629" t="s">
        <v>31</v>
      </c>
      <c r="M236" s="1629"/>
      <c r="N236" s="1612"/>
      <c r="O236" s="1629" t="s">
        <v>31</v>
      </c>
      <c r="P236" s="1629" t="s">
        <v>31</v>
      </c>
      <c r="Q236" s="1629" t="s">
        <v>31</v>
      </c>
      <c r="R236" s="1629" t="s">
        <v>31</v>
      </c>
      <c r="S236" s="1629" t="s">
        <v>31</v>
      </c>
      <c r="T236" s="1629"/>
      <c r="U236" s="1629"/>
      <c r="V236" s="1629" t="s">
        <v>31</v>
      </c>
      <c r="W236" s="1629" t="s">
        <v>31</v>
      </c>
      <c r="X236" s="1629" t="s">
        <v>31</v>
      </c>
      <c r="Y236" s="1628" t="s">
        <v>31</v>
      </c>
      <c r="Z236" s="1628" t="s">
        <v>31</v>
      </c>
      <c r="AA236" s="1628"/>
      <c r="AB236" s="1629"/>
      <c r="AC236" s="1629" t="s">
        <v>31</v>
      </c>
      <c r="AD236" s="1629" t="s">
        <v>31</v>
      </c>
      <c r="AE236" s="1629" t="s">
        <v>31</v>
      </c>
      <c r="AF236" s="1629" t="s">
        <v>31</v>
      </c>
      <c r="AG236" s="1494" t="s">
        <v>31</v>
      </c>
      <c r="AH236" s="186"/>
      <c r="AI236" s="107"/>
    </row>
    <row r="237" spans="1:35" ht="22.15" customHeight="1" x14ac:dyDescent="0.2">
      <c r="A237" s="1734"/>
      <c r="B237" s="1734"/>
      <c r="C237" s="1629"/>
      <c r="D237" s="1629"/>
      <c r="E237" s="1629"/>
      <c r="F237" s="1629"/>
      <c r="G237" s="1629"/>
      <c r="H237" s="1629"/>
      <c r="I237" s="1629"/>
      <c r="J237" s="1629"/>
      <c r="K237" s="1629"/>
      <c r="L237" s="1629"/>
      <c r="M237" s="1629"/>
      <c r="N237" s="1629"/>
      <c r="O237" s="1629"/>
      <c r="P237" s="1629"/>
      <c r="Q237" s="1629"/>
      <c r="R237" s="1629"/>
      <c r="S237" s="1629"/>
      <c r="T237" s="1629"/>
      <c r="U237" s="1629"/>
      <c r="V237" s="1629"/>
      <c r="W237" s="1629"/>
      <c r="X237" s="1629"/>
      <c r="Y237" s="1629"/>
      <c r="Z237" s="1629"/>
      <c r="AA237" s="1629"/>
      <c r="AB237" s="1629"/>
      <c r="AC237" s="1629"/>
      <c r="AD237" s="1629"/>
      <c r="AE237" s="1629"/>
      <c r="AF237" s="1629"/>
      <c r="AG237" s="1490"/>
      <c r="AH237" s="186"/>
      <c r="AI237" s="107"/>
    </row>
    <row r="238" spans="1:35" ht="22.15" customHeight="1" x14ac:dyDescent="0.2">
      <c r="A238" s="1734"/>
      <c r="B238" s="1734"/>
      <c r="C238" s="1629"/>
      <c r="D238" s="1629"/>
      <c r="E238" s="1629"/>
      <c r="F238" s="1629"/>
      <c r="G238" s="1629"/>
      <c r="H238" s="1501"/>
      <c r="I238" s="1629"/>
      <c r="J238" s="1629"/>
      <c r="K238" s="1629"/>
      <c r="L238" s="1629"/>
      <c r="M238" s="1629"/>
      <c r="N238" s="1629"/>
      <c r="O238" s="1629"/>
      <c r="P238" s="1629"/>
      <c r="Q238" s="1629"/>
      <c r="R238" s="1629"/>
      <c r="S238" s="1629"/>
      <c r="T238" s="1629"/>
      <c r="U238" s="1629"/>
      <c r="V238" s="1629"/>
      <c r="W238" s="1629"/>
      <c r="X238" s="1629"/>
      <c r="Y238" s="1629"/>
      <c r="Z238" s="1629"/>
      <c r="AA238" s="1629"/>
      <c r="AB238" s="1629"/>
      <c r="AC238" s="1629"/>
      <c r="AD238" s="1629"/>
      <c r="AE238" s="1629"/>
      <c r="AF238" s="1629"/>
      <c r="AG238" s="1499"/>
      <c r="AH238" s="186"/>
      <c r="AI238" s="107"/>
    </row>
    <row r="239" spans="1:35" ht="22.15" customHeight="1" x14ac:dyDescent="0.2">
      <c r="A239" s="1882"/>
      <c r="B239" s="1887"/>
      <c r="C239" s="1629"/>
      <c r="D239" s="1629"/>
      <c r="E239" s="1629"/>
      <c r="F239" s="1629"/>
      <c r="G239" s="1629"/>
      <c r="H239" s="1629"/>
      <c r="I239" s="1629"/>
      <c r="J239" s="1629"/>
      <c r="K239" s="1629"/>
      <c r="L239" s="1629"/>
      <c r="M239" s="1629"/>
      <c r="N239" s="1629"/>
      <c r="O239" s="1629"/>
      <c r="P239" s="1629"/>
      <c r="Q239" s="1629"/>
      <c r="R239" s="1629"/>
      <c r="S239" s="1629"/>
      <c r="T239" s="1629"/>
      <c r="U239" s="1629"/>
      <c r="V239" s="1629"/>
      <c r="W239" s="1629"/>
      <c r="X239" s="1629"/>
      <c r="Y239" s="1629"/>
      <c r="Z239" s="1629"/>
      <c r="AA239" s="1629"/>
      <c r="AB239" s="1629"/>
      <c r="AC239" s="1629"/>
      <c r="AD239" s="1629"/>
      <c r="AE239" s="1629"/>
      <c r="AF239" s="1629"/>
      <c r="AG239" s="1499"/>
      <c r="AH239" s="186"/>
      <c r="AI239" s="107"/>
    </row>
    <row r="240" spans="1:35" ht="22.15" customHeight="1" x14ac:dyDescent="0.2">
      <c r="A240" s="1882"/>
      <c r="B240" s="1502"/>
      <c r="C240" s="1629"/>
      <c r="D240" s="1629"/>
      <c r="E240" s="1629"/>
      <c r="F240" s="1629"/>
      <c r="G240" s="1629"/>
      <c r="H240" s="1629"/>
      <c r="I240" s="1629"/>
      <c r="J240" s="1629"/>
      <c r="K240" s="1629"/>
      <c r="L240" s="1629"/>
      <c r="M240" s="1629"/>
      <c r="N240" s="1629"/>
      <c r="O240" s="1629"/>
      <c r="P240" s="1629"/>
      <c r="Q240" s="1629"/>
      <c r="R240" s="1629"/>
      <c r="S240" s="1629"/>
      <c r="T240" s="1629"/>
      <c r="U240" s="1629"/>
      <c r="V240" s="1629"/>
      <c r="W240" s="1629"/>
      <c r="X240" s="1629"/>
      <c r="Y240" s="1629"/>
      <c r="Z240" s="1629"/>
      <c r="AA240" s="1629"/>
      <c r="AB240" s="1629"/>
      <c r="AC240" s="1629"/>
      <c r="AD240" s="1629"/>
      <c r="AE240" s="1629"/>
      <c r="AF240" s="1629"/>
      <c r="AG240" s="1499"/>
      <c r="AH240" s="186"/>
      <c r="AI240" s="107"/>
    </row>
    <row r="241" spans="1:35" ht="22.15" customHeight="1" x14ac:dyDescent="0.2">
      <c r="A241" s="108"/>
      <c r="B241" s="122"/>
      <c r="C241" s="106"/>
      <c r="D241" s="106"/>
      <c r="E241" s="106"/>
      <c r="F241" s="106"/>
      <c r="G241" s="106"/>
      <c r="H241" s="106"/>
      <c r="I241" s="106"/>
      <c r="J241" s="106"/>
      <c r="L241" s="106"/>
      <c r="M241" s="106"/>
      <c r="N241" s="106"/>
      <c r="O241" s="106"/>
      <c r="P241" s="72"/>
      <c r="Q241" s="72"/>
      <c r="R241" s="72"/>
      <c r="S241" s="106"/>
      <c r="T241" s="106"/>
      <c r="U241" s="106"/>
      <c r="V241" s="106"/>
      <c r="W241" s="106"/>
      <c r="X241" s="106"/>
      <c r="Y241" s="106"/>
      <c r="Z241" s="106"/>
      <c r="AA241" s="106"/>
      <c r="AB241" s="106"/>
      <c r="AC241" s="106"/>
      <c r="AD241" s="106"/>
      <c r="AE241" s="106"/>
      <c r="AF241" s="106"/>
      <c r="AG241" s="106"/>
      <c r="AH241" s="107"/>
      <c r="AI241" s="107"/>
    </row>
    <row r="245" spans="1:35" ht="21" customHeight="1" thickBot="1" x14ac:dyDescent="0.25">
      <c r="A245" s="162" t="s">
        <v>300</v>
      </c>
    </row>
    <row r="246" spans="1:35" ht="21" customHeight="1" x14ac:dyDescent="0.2">
      <c r="B246" s="530" t="s">
        <v>267</v>
      </c>
      <c r="C246" s="500"/>
      <c r="D246" s="516" t="s">
        <v>90</v>
      </c>
      <c r="E246" s="473"/>
      <c r="F246" s="504"/>
      <c r="G246" s="500"/>
      <c r="H246" s="516" t="s">
        <v>91</v>
      </c>
      <c r="I246" s="473"/>
      <c r="J246" s="504"/>
      <c r="K246" s="500"/>
      <c r="L246" s="516" t="s">
        <v>92</v>
      </c>
      <c r="M246" s="473"/>
      <c r="N246" s="504"/>
      <c r="O246" s="500"/>
      <c r="P246" s="516" t="s">
        <v>93</v>
      </c>
      <c r="Q246" s="473"/>
      <c r="R246" s="504"/>
      <c r="S246" s="500"/>
      <c r="T246" s="516" t="s">
        <v>94</v>
      </c>
      <c r="U246" s="473"/>
      <c r="V246" s="504"/>
      <c r="W246" s="500"/>
      <c r="X246" s="516" t="s">
        <v>95</v>
      </c>
      <c r="Y246" s="473"/>
      <c r="Z246" s="504"/>
      <c r="AA246" s="500"/>
      <c r="AB246" s="516" t="s">
        <v>96</v>
      </c>
      <c r="AC246" s="473"/>
      <c r="AD246" s="473"/>
      <c r="AE246" s="519" t="s">
        <v>97</v>
      </c>
      <c r="AF246" s="473"/>
      <c r="AG246" s="473"/>
      <c r="AH246" s="473"/>
      <c r="AI246" s="474"/>
    </row>
    <row r="247" spans="1:35" ht="21" customHeight="1" x14ac:dyDescent="0.2">
      <c r="B247" s="3"/>
      <c r="C247" s="156"/>
      <c r="D247" s="117"/>
      <c r="E247" s="166"/>
      <c r="F247" s="168"/>
      <c r="G247" s="156"/>
      <c r="H247" s="117"/>
      <c r="I247" s="166"/>
      <c r="J247" s="168"/>
      <c r="K247" s="156"/>
      <c r="L247" s="117"/>
      <c r="M247" s="166"/>
      <c r="N247" s="168"/>
      <c r="O247" s="156"/>
      <c r="P247" s="117"/>
      <c r="Q247" s="166"/>
      <c r="R247" s="168"/>
      <c r="S247" s="156"/>
      <c r="T247" s="117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A248" s="110"/>
      <c r="B248" s="1890">
        <v>3701</v>
      </c>
      <c r="C248" s="1696" t="s">
        <v>272</v>
      </c>
      <c r="D248" s="1697"/>
      <c r="E248" s="166"/>
      <c r="F248" s="168"/>
      <c r="G248" s="1696" t="s">
        <v>272</v>
      </c>
      <c r="H248" s="117"/>
      <c r="I248" s="166"/>
      <c r="J248" s="168"/>
      <c r="K248" s="1696" t="s">
        <v>272</v>
      </c>
      <c r="L248" s="117"/>
      <c r="M248" s="166"/>
      <c r="N248" s="168"/>
      <c r="O248" s="1696" t="s">
        <v>272</v>
      </c>
      <c r="P248" s="117"/>
      <c r="Q248" s="166"/>
      <c r="R248" s="168"/>
      <c r="S248" s="156" t="s">
        <v>273</v>
      </c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1890"/>
      <c r="C249" s="1696"/>
      <c r="D249" s="1697"/>
      <c r="E249" s="166"/>
      <c r="F249" s="168"/>
      <c r="G249" s="1696"/>
      <c r="H249" s="117"/>
      <c r="I249" s="166"/>
      <c r="J249" s="168"/>
      <c r="K249" s="1696"/>
      <c r="L249" s="117"/>
      <c r="M249" s="166"/>
      <c r="N249" s="168"/>
      <c r="O249" s="1696"/>
      <c r="P249" s="117"/>
      <c r="Q249" s="166"/>
      <c r="R249" s="168"/>
      <c r="S249" s="1696"/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x14ac:dyDescent="0.2">
      <c r="B250" s="1890">
        <v>3702</v>
      </c>
      <c r="C250" s="1696" t="s">
        <v>301</v>
      </c>
      <c r="D250" s="1697"/>
      <c r="E250" s="166"/>
      <c r="F250" s="168"/>
      <c r="G250" s="1696" t="s">
        <v>301</v>
      </c>
      <c r="H250" s="1697"/>
      <c r="I250" s="166"/>
      <c r="J250" s="168"/>
      <c r="K250" s="1696" t="s">
        <v>301</v>
      </c>
      <c r="L250" s="1697"/>
      <c r="M250" s="166"/>
      <c r="N250" s="168"/>
      <c r="O250" s="1696" t="s">
        <v>301</v>
      </c>
      <c r="P250" s="1697"/>
      <c r="Q250" s="166"/>
      <c r="R250" s="168"/>
      <c r="S250" s="1696" t="s">
        <v>302</v>
      </c>
      <c r="T250" s="1697"/>
      <c r="U250" s="166"/>
      <c r="V250" s="168"/>
      <c r="W250" s="156"/>
      <c r="X250" s="117"/>
      <c r="Y250" s="166"/>
      <c r="Z250" s="168"/>
      <c r="AA250" s="156"/>
      <c r="AB250" s="117"/>
      <c r="AC250" s="166"/>
      <c r="AD250" s="166"/>
      <c r="AE250" s="118"/>
      <c r="AF250" s="166"/>
      <c r="AG250" s="14"/>
      <c r="AH250" s="14"/>
      <c r="AI250" s="119"/>
    </row>
    <row r="251" spans="1:35" ht="21" customHeight="1" x14ac:dyDescent="0.2">
      <c r="B251" s="1890"/>
      <c r="C251" s="1800"/>
      <c r="D251" s="1697"/>
      <c r="E251" s="166"/>
      <c r="F251" s="168"/>
      <c r="G251" s="117"/>
      <c r="H251" s="117"/>
      <c r="I251" s="166"/>
      <c r="J251" s="168"/>
      <c r="K251" s="117"/>
      <c r="L251" s="117"/>
      <c r="M251" s="166"/>
      <c r="N251" s="168"/>
      <c r="O251" s="117"/>
      <c r="P251" s="117"/>
      <c r="Q251" s="166"/>
      <c r="R251" s="168"/>
      <c r="S251" s="117"/>
      <c r="T251" s="117"/>
      <c r="U251" s="166"/>
      <c r="V251" s="168"/>
      <c r="W251" s="156"/>
      <c r="X251" s="117"/>
      <c r="Y251" s="166"/>
      <c r="Z251" s="168"/>
      <c r="AA251" s="156"/>
      <c r="AB251" s="117"/>
      <c r="AC251" s="166"/>
      <c r="AD251" s="166"/>
      <c r="AE251" s="118"/>
      <c r="AF251" s="166"/>
      <c r="AG251" s="14"/>
      <c r="AH251" s="14"/>
      <c r="AI251" s="119"/>
    </row>
    <row r="252" spans="1:35" ht="21" customHeight="1" x14ac:dyDescent="0.2">
      <c r="B252" s="1890" t="s">
        <v>139</v>
      </c>
      <c r="C252" s="1800" t="s">
        <v>303</v>
      </c>
      <c r="D252" s="1697"/>
      <c r="E252" s="166"/>
      <c r="F252" s="168"/>
      <c r="G252" s="1800" t="s">
        <v>303</v>
      </c>
      <c r="H252" s="1697"/>
      <c r="I252" s="166"/>
      <c r="J252" s="168"/>
      <c r="K252" s="1800" t="s">
        <v>303</v>
      </c>
      <c r="L252" s="1697"/>
      <c r="M252" s="166"/>
      <c r="N252" s="168"/>
      <c r="O252" s="1800" t="s">
        <v>303</v>
      </c>
      <c r="P252" s="1697"/>
      <c r="Q252" s="166"/>
      <c r="R252" s="168"/>
      <c r="S252" s="117" t="s">
        <v>304</v>
      </c>
      <c r="T252" s="117"/>
      <c r="U252" s="166"/>
      <c r="V252" s="168"/>
      <c r="W252" s="156"/>
      <c r="X252" s="117"/>
      <c r="Y252" s="166"/>
      <c r="Z252" s="168"/>
      <c r="AA252" s="156"/>
      <c r="AB252" s="117"/>
      <c r="AC252" s="166"/>
      <c r="AD252" s="166"/>
      <c r="AE252" s="118"/>
      <c r="AF252" s="166"/>
      <c r="AG252" s="14"/>
      <c r="AH252" s="14"/>
      <c r="AI252" s="119"/>
    </row>
    <row r="253" spans="1:35" ht="21" customHeight="1" x14ac:dyDescent="0.2">
      <c r="B253" s="1890" t="s">
        <v>143</v>
      </c>
      <c r="C253" s="1800" t="s">
        <v>305</v>
      </c>
      <c r="D253" s="1697"/>
      <c r="E253" s="166"/>
      <c r="F253" s="168"/>
      <c r="G253" s="1800" t="s">
        <v>305</v>
      </c>
      <c r="H253" s="1697"/>
      <c r="I253" s="166"/>
      <c r="J253" s="168"/>
      <c r="K253" s="1800" t="s">
        <v>305</v>
      </c>
      <c r="L253" s="1697"/>
      <c r="M253" s="166"/>
      <c r="N253" s="168"/>
      <c r="O253" s="1800" t="s">
        <v>305</v>
      </c>
      <c r="P253" s="1697"/>
      <c r="Q253" s="166"/>
      <c r="R253" s="168"/>
      <c r="S253" s="117" t="s">
        <v>306</v>
      </c>
      <c r="T253" s="117"/>
      <c r="U253" s="166"/>
      <c r="V253" s="168"/>
      <c r="W253" s="156"/>
      <c r="X253" s="117"/>
      <c r="Y253" s="166"/>
      <c r="Z253" s="168"/>
      <c r="AA253" s="156"/>
      <c r="AB253" s="117"/>
      <c r="AC253" s="166"/>
      <c r="AD253" s="166"/>
      <c r="AE253" s="118"/>
      <c r="AF253" s="166"/>
      <c r="AG253" s="14"/>
      <c r="AH253" s="14"/>
      <c r="AI253" s="119"/>
    </row>
    <row r="254" spans="1:35" ht="21" customHeight="1" thickBot="1" x14ac:dyDescent="0.25">
      <c r="B254" s="1891" t="s">
        <v>153</v>
      </c>
      <c r="C254" s="1813" t="s">
        <v>307</v>
      </c>
      <c r="D254" s="1892"/>
      <c r="E254" s="1506"/>
      <c r="F254" s="1507"/>
      <c r="G254" s="1813" t="s">
        <v>307</v>
      </c>
      <c r="H254" s="1892"/>
      <c r="I254" s="1506"/>
      <c r="J254" s="1507"/>
      <c r="K254" s="1813" t="s">
        <v>307</v>
      </c>
      <c r="L254" s="1892"/>
      <c r="M254" s="1506"/>
      <c r="N254" s="1507"/>
      <c r="O254" s="1813" t="s">
        <v>307</v>
      </c>
      <c r="P254" s="1892"/>
      <c r="Q254" s="1506"/>
      <c r="R254" s="1507"/>
      <c r="S254" s="1508" t="s">
        <v>308</v>
      </c>
      <c r="T254" s="1508"/>
      <c r="U254" s="1506"/>
      <c r="V254" s="1507"/>
      <c r="W254" s="1509"/>
      <c r="X254" s="1508"/>
      <c r="Y254" s="1510"/>
      <c r="Z254" s="1511"/>
      <c r="AA254" s="1512"/>
      <c r="AB254" s="1508"/>
      <c r="AC254" s="1510"/>
      <c r="AD254" s="1510"/>
      <c r="AE254" s="1513"/>
      <c r="AF254" s="1510"/>
      <c r="AG254" s="1506"/>
      <c r="AH254" s="1506"/>
      <c r="AI254" s="1514"/>
    </row>
    <row r="255" spans="1:35" ht="21" customHeight="1" x14ac:dyDescent="0.2">
      <c r="B255" s="59"/>
      <c r="C255" s="64"/>
      <c r="D255" s="18"/>
      <c r="G255" s="64"/>
      <c r="H255" s="18"/>
      <c r="K255" s="64"/>
      <c r="L255" s="18"/>
      <c r="O255" s="64"/>
      <c r="P255" s="18"/>
      <c r="S255" s="64"/>
      <c r="T255" s="64"/>
      <c r="X255" s="64"/>
      <c r="AB255" s="64"/>
      <c r="AE255" s="64"/>
    </row>
    <row r="256" spans="1:35" ht="21" customHeight="1" x14ac:dyDescent="0.2">
      <c r="A256" s="123" t="s">
        <v>309</v>
      </c>
    </row>
    <row r="257" spans="1:35" ht="21" customHeight="1" thickBot="1" x14ac:dyDescent="0.25">
      <c r="A257" s="1798"/>
      <c r="B257" s="1663" t="s">
        <v>29</v>
      </c>
      <c r="C257" s="1595">
        <v>1</v>
      </c>
      <c r="D257" s="1595">
        <v>2</v>
      </c>
      <c r="E257" s="1595">
        <v>3</v>
      </c>
      <c r="F257" s="1596">
        <v>4</v>
      </c>
      <c r="G257" s="1596">
        <v>5</v>
      </c>
      <c r="H257" s="1595">
        <v>6</v>
      </c>
      <c r="I257" s="1595">
        <v>7</v>
      </c>
      <c r="J257" s="1595">
        <v>8</v>
      </c>
      <c r="K257" s="1595">
        <v>9</v>
      </c>
      <c r="L257" s="1595">
        <v>10</v>
      </c>
      <c r="M257" s="1596">
        <v>11</v>
      </c>
      <c r="N257" s="1596">
        <v>12</v>
      </c>
      <c r="O257" s="1595">
        <v>13</v>
      </c>
      <c r="P257" s="1595">
        <v>14</v>
      </c>
      <c r="Q257" s="1595">
        <v>15</v>
      </c>
      <c r="R257" s="1595">
        <v>16</v>
      </c>
      <c r="S257" s="1595">
        <v>17</v>
      </c>
      <c r="T257" s="1596">
        <v>18</v>
      </c>
      <c r="U257" s="1596">
        <v>19</v>
      </c>
      <c r="V257" s="1595">
        <v>20</v>
      </c>
      <c r="W257" s="1595">
        <v>21</v>
      </c>
      <c r="X257" s="1595">
        <v>22</v>
      </c>
      <c r="Y257" s="1595">
        <v>23</v>
      </c>
      <c r="Z257" s="1595">
        <v>24</v>
      </c>
      <c r="AA257" s="1596">
        <v>25</v>
      </c>
      <c r="AB257" s="1596">
        <v>26</v>
      </c>
      <c r="AC257" s="1595">
        <v>27</v>
      </c>
      <c r="AD257" s="1595">
        <v>28</v>
      </c>
      <c r="AE257" s="1595">
        <v>29</v>
      </c>
      <c r="AF257" s="1595">
        <v>30</v>
      </c>
      <c r="AG257" s="1597">
        <v>31</v>
      </c>
      <c r="AH257" s="184"/>
      <c r="AI257" s="185"/>
    </row>
    <row r="258" spans="1:35" ht="21" customHeight="1" x14ac:dyDescent="0.2">
      <c r="A258" s="531">
        <v>3701</v>
      </c>
      <c r="B258" s="476"/>
      <c r="C258" s="1629" t="s">
        <v>31</v>
      </c>
      <c r="D258" s="1629" t="s">
        <v>31</v>
      </c>
      <c r="E258" s="1629" t="s">
        <v>31</v>
      </c>
      <c r="F258" s="1636"/>
      <c r="G258" s="1636"/>
      <c r="H258" s="1629" t="s">
        <v>31</v>
      </c>
      <c r="I258" s="1629" t="s">
        <v>31</v>
      </c>
      <c r="J258" s="1629" t="s">
        <v>31</v>
      </c>
      <c r="K258" s="1629" t="s">
        <v>31</v>
      </c>
      <c r="L258" s="1629" t="s">
        <v>31</v>
      </c>
      <c r="M258" s="1629"/>
      <c r="N258" s="1612"/>
      <c r="O258" s="1629" t="s">
        <v>31</v>
      </c>
      <c r="P258" s="1629" t="s">
        <v>31</v>
      </c>
      <c r="Q258" s="1629" t="s">
        <v>31</v>
      </c>
      <c r="R258" s="1629" t="s">
        <v>31</v>
      </c>
      <c r="S258" s="1629" t="s">
        <v>31</v>
      </c>
      <c r="T258" s="1629"/>
      <c r="U258" s="1629"/>
      <c r="V258" s="1629" t="s">
        <v>31</v>
      </c>
      <c r="W258" s="1629" t="s">
        <v>31</v>
      </c>
      <c r="X258" s="1629" t="s">
        <v>31</v>
      </c>
      <c r="Y258" s="1628" t="s">
        <v>31</v>
      </c>
      <c r="Z258" s="1628" t="s">
        <v>31</v>
      </c>
      <c r="AA258" s="1628"/>
      <c r="AB258" s="1629"/>
      <c r="AC258" s="1629" t="s">
        <v>31</v>
      </c>
      <c r="AD258" s="1629" t="s">
        <v>31</v>
      </c>
      <c r="AE258" s="1629" t="s">
        <v>31</v>
      </c>
      <c r="AF258" s="1629" t="s">
        <v>31</v>
      </c>
      <c r="AG258" s="478" t="s">
        <v>31</v>
      </c>
      <c r="AH258" s="189"/>
      <c r="AI258" s="190"/>
    </row>
    <row r="259" spans="1:35" ht="21" customHeight="1" x14ac:dyDescent="0.2">
      <c r="A259" s="1893">
        <v>3702</v>
      </c>
      <c r="B259" s="1611" t="s">
        <v>310</v>
      </c>
      <c r="C259" s="1629" t="s">
        <v>31</v>
      </c>
      <c r="D259" s="1629" t="s">
        <v>31</v>
      </c>
      <c r="E259" s="1629" t="s">
        <v>31</v>
      </c>
      <c r="F259" s="1636"/>
      <c r="G259" s="1636"/>
      <c r="H259" s="1629" t="s">
        <v>31</v>
      </c>
      <c r="I259" s="1629" t="s">
        <v>31</v>
      </c>
      <c r="J259" s="1629" t="s">
        <v>31</v>
      </c>
      <c r="K259" s="1629" t="s">
        <v>31</v>
      </c>
      <c r="L259" s="1629" t="s">
        <v>31</v>
      </c>
      <c r="M259" s="1629"/>
      <c r="N259" s="1612"/>
      <c r="O259" s="1629" t="s">
        <v>31</v>
      </c>
      <c r="P259" s="1629" t="s">
        <v>31</v>
      </c>
      <c r="Q259" s="1629" t="s">
        <v>31</v>
      </c>
      <c r="R259" s="1629" t="s">
        <v>31</v>
      </c>
      <c r="S259" s="1629" t="s">
        <v>31</v>
      </c>
      <c r="T259" s="1629"/>
      <c r="U259" s="1629"/>
      <c r="V259" s="1629" t="s">
        <v>31</v>
      </c>
      <c r="W259" s="1629" t="s">
        <v>31</v>
      </c>
      <c r="X259" s="1629" t="s">
        <v>31</v>
      </c>
      <c r="Y259" s="1628" t="s">
        <v>31</v>
      </c>
      <c r="Z259" s="1628" t="s">
        <v>31</v>
      </c>
      <c r="AA259" s="1628"/>
      <c r="AB259" s="1629"/>
      <c r="AC259" s="1629" t="s">
        <v>31</v>
      </c>
      <c r="AD259" s="1629" t="s">
        <v>31</v>
      </c>
      <c r="AE259" s="1629" t="s">
        <v>31</v>
      </c>
      <c r="AF259" s="1629" t="s">
        <v>31</v>
      </c>
      <c r="AG259" s="1678" t="s">
        <v>31</v>
      </c>
      <c r="AH259" s="189"/>
      <c r="AI259" s="190"/>
    </row>
    <row r="260" spans="1:35" ht="21" customHeight="1" x14ac:dyDescent="0.2">
      <c r="A260" s="1893"/>
      <c r="B260" s="1611"/>
      <c r="C260" s="1675"/>
      <c r="D260" s="1675"/>
      <c r="E260" s="1675"/>
      <c r="F260" s="1675"/>
      <c r="G260" s="1675"/>
      <c r="H260" s="1675"/>
      <c r="I260" s="1675"/>
      <c r="J260" s="1675"/>
      <c r="K260" s="1675"/>
      <c r="L260" s="1675"/>
      <c r="M260" s="1894"/>
      <c r="N260" s="1675"/>
      <c r="O260" s="1675"/>
      <c r="P260" s="1675"/>
      <c r="Q260" s="1675"/>
      <c r="R260" s="1675"/>
      <c r="S260" s="1675"/>
      <c r="T260" s="1675"/>
      <c r="U260" s="1675"/>
      <c r="V260" s="1675"/>
      <c r="W260" s="1675"/>
      <c r="X260" s="1675"/>
      <c r="Y260" s="1675"/>
      <c r="Z260" s="1675"/>
      <c r="AA260" s="1675"/>
      <c r="AB260" s="1675"/>
      <c r="AC260" s="1675"/>
      <c r="AD260" s="1675"/>
      <c r="AE260" s="1675"/>
      <c r="AF260" s="1675"/>
      <c r="AG260" s="1678"/>
      <c r="AH260" s="189"/>
      <c r="AI260" s="190"/>
    </row>
    <row r="261" spans="1:35" ht="21" customHeight="1" thickBot="1" x14ac:dyDescent="0.25">
      <c r="A261" s="1895"/>
      <c r="B261" s="1896"/>
      <c r="C261" s="1671"/>
      <c r="D261" s="1671"/>
      <c r="E261" s="1671"/>
      <c r="F261" s="1671"/>
      <c r="G261" s="1671"/>
      <c r="H261" s="1671"/>
      <c r="I261" s="1671"/>
      <c r="J261" s="1671"/>
      <c r="K261" s="1671"/>
      <c r="L261" s="1671"/>
      <c r="M261" s="1671"/>
      <c r="N261" s="1671"/>
      <c r="O261" s="1671"/>
      <c r="P261" s="1671"/>
      <c r="Q261" s="1671"/>
      <c r="R261" s="1671"/>
      <c r="S261" s="1671"/>
      <c r="T261" s="1671"/>
      <c r="U261" s="1671"/>
      <c r="V261" s="1671"/>
      <c r="W261" s="1671"/>
      <c r="X261" s="1671"/>
      <c r="Y261" s="1671"/>
      <c r="Z261" s="1671"/>
      <c r="AA261" s="1671"/>
      <c r="AB261" s="1671"/>
      <c r="AC261" s="1671"/>
      <c r="AD261" s="1671"/>
      <c r="AE261" s="1671"/>
      <c r="AF261" s="1671"/>
      <c r="AG261" s="1680"/>
      <c r="AH261" s="189"/>
      <c r="AI261" s="190"/>
    </row>
    <row r="262" spans="1:35" ht="21" customHeight="1" x14ac:dyDescent="0.2">
      <c r="A262" s="251"/>
      <c r="B262" s="1897" t="s">
        <v>311</v>
      </c>
      <c r="C262" s="1898"/>
      <c r="D262" s="1898"/>
      <c r="E262" s="1898"/>
      <c r="F262" s="1898"/>
      <c r="G262" s="1898"/>
      <c r="H262" s="1898"/>
      <c r="I262" s="1898"/>
      <c r="J262" s="1898"/>
      <c r="K262" s="1898"/>
      <c r="L262" s="1898"/>
      <c r="M262" s="1898"/>
      <c r="N262" s="1898"/>
      <c r="O262" s="1898"/>
      <c r="P262" s="1898"/>
      <c r="Q262" s="1898"/>
      <c r="R262" s="1898"/>
      <c r="S262" s="1898"/>
      <c r="T262" s="1898"/>
      <c r="U262" s="1898"/>
      <c r="V262" s="1898"/>
      <c r="W262" s="1898"/>
      <c r="X262" s="1898"/>
      <c r="Y262" s="1898"/>
      <c r="Z262" s="1898"/>
      <c r="AA262" s="1898"/>
      <c r="AB262" s="1898"/>
      <c r="AC262" s="1898"/>
      <c r="AD262" s="1898"/>
      <c r="AE262" s="1898"/>
      <c r="AF262" s="1898"/>
      <c r="AG262" s="1899"/>
      <c r="AH262" s="187"/>
      <c r="AI262" s="188"/>
    </row>
    <row r="263" spans="1:35" ht="21" customHeight="1" x14ac:dyDescent="0.2">
      <c r="A263" s="1893">
        <v>3702</v>
      </c>
      <c r="B263" s="1473" t="s">
        <v>312</v>
      </c>
      <c r="C263" s="1675" t="s">
        <v>313</v>
      </c>
      <c r="D263" s="1675" t="s">
        <v>313</v>
      </c>
      <c r="E263" s="1675" t="s">
        <v>313</v>
      </c>
      <c r="F263" s="1675"/>
      <c r="G263" s="1675"/>
      <c r="H263" s="1675" t="s">
        <v>313</v>
      </c>
      <c r="I263" s="1675" t="s">
        <v>313</v>
      </c>
      <c r="J263" s="1675" t="s">
        <v>313</v>
      </c>
      <c r="K263" s="1675" t="s">
        <v>313</v>
      </c>
      <c r="L263" s="1675" t="s">
        <v>313</v>
      </c>
      <c r="M263" s="1675"/>
      <c r="N263" s="1675"/>
      <c r="O263" s="1675" t="s">
        <v>343</v>
      </c>
      <c r="P263" s="1675" t="s">
        <v>343</v>
      </c>
      <c r="Q263" s="1675" t="s">
        <v>343</v>
      </c>
      <c r="R263" s="1675" t="s">
        <v>313</v>
      </c>
      <c r="S263" s="1675" t="s">
        <v>313</v>
      </c>
      <c r="T263" s="1675"/>
      <c r="U263" s="1675"/>
      <c r="V263" s="1675" t="s">
        <v>313</v>
      </c>
      <c r="W263" s="1675" t="s">
        <v>313</v>
      </c>
      <c r="X263" s="1675" t="s">
        <v>367</v>
      </c>
      <c r="Y263" s="1675" t="s">
        <v>313</v>
      </c>
      <c r="Z263" s="1675" t="s">
        <v>313</v>
      </c>
      <c r="AA263" s="1675"/>
      <c r="AB263" s="1675"/>
      <c r="AC263" s="1675" t="s">
        <v>313</v>
      </c>
      <c r="AD263" s="1675" t="s">
        <v>313</v>
      </c>
      <c r="AE263" s="1675" t="s">
        <v>313</v>
      </c>
      <c r="AF263" s="1675" t="s">
        <v>313</v>
      </c>
      <c r="AG263" s="1675" t="s">
        <v>313</v>
      </c>
      <c r="AH263" s="189"/>
      <c r="AI263" s="190"/>
    </row>
    <row r="264" spans="1:35" ht="21" customHeight="1" x14ac:dyDescent="0.2">
      <c r="A264" s="1893"/>
      <c r="B264" s="1865" t="s">
        <v>314</v>
      </c>
      <c r="C264" s="1675" t="s">
        <v>315</v>
      </c>
      <c r="D264" s="1675" t="s">
        <v>315</v>
      </c>
      <c r="E264" s="1675" t="s">
        <v>315</v>
      </c>
      <c r="F264" s="1675"/>
      <c r="G264" s="1675"/>
      <c r="H264" s="1675" t="s">
        <v>315</v>
      </c>
      <c r="I264" s="1675" t="s">
        <v>315</v>
      </c>
      <c r="J264" s="1675" t="s">
        <v>315</v>
      </c>
      <c r="K264" s="1675" t="s">
        <v>315</v>
      </c>
      <c r="L264" s="1675" t="s">
        <v>315</v>
      </c>
      <c r="M264" s="1675"/>
      <c r="N264" s="1675"/>
      <c r="O264" s="1675" t="s">
        <v>315</v>
      </c>
      <c r="P264" s="1675" t="s">
        <v>315</v>
      </c>
      <c r="Q264" s="1675" t="s">
        <v>315</v>
      </c>
      <c r="R264" s="1675" t="s">
        <v>315</v>
      </c>
      <c r="S264" s="1675" t="s">
        <v>315</v>
      </c>
      <c r="T264" s="1675"/>
      <c r="U264" s="1675"/>
      <c r="V264" s="1603" t="s">
        <v>315</v>
      </c>
      <c r="W264" s="1603" t="s">
        <v>315</v>
      </c>
      <c r="X264" s="1603" t="s">
        <v>315</v>
      </c>
      <c r="Y264" s="1603" t="s">
        <v>315</v>
      </c>
      <c r="Z264" s="1603" t="s">
        <v>315</v>
      </c>
      <c r="AA264" s="1603"/>
      <c r="AB264" s="1603"/>
      <c r="AC264" s="1603" t="s">
        <v>315</v>
      </c>
      <c r="AD264" s="1603" t="s">
        <v>315</v>
      </c>
      <c r="AE264" s="1603" t="s">
        <v>315</v>
      </c>
      <c r="AF264" s="1603" t="s">
        <v>315</v>
      </c>
      <c r="AG264" s="1603" t="s">
        <v>315</v>
      </c>
      <c r="AH264" s="189"/>
      <c r="AI264" s="190"/>
    </row>
    <row r="265" spans="1:35" ht="21" customHeight="1" thickBot="1" x14ac:dyDescent="0.25">
      <c r="A265" s="1112"/>
      <c r="B265" s="1872" t="s">
        <v>316</v>
      </c>
      <c r="C265" s="1670" t="s">
        <v>317</v>
      </c>
      <c r="D265" s="1321" t="s">
        <v>317</v>
      </c>
      <c r="E265" s="1321" t="s">
        <v>317</v>
      </c>
      <c r="F265" s="1321"/>
      <c r="G265" s="1321" t="s">
        <v>118</v>
      </c>
      <c r="H265" s="1900" t="s">
        <v>317</v>
      </c>
      <c r="I265" s="1670" t="s">
        <v>317</v>
      </c>
      <c r="J265" s="1670" t="s">
        <v>317</v>
      </c>
      <c r="K265" s="1670" t="s">
        <v>317</v>
      </c>
      <c r="L265" s="1670" t="s">
        <v>317</v>
      </c>
      <c r="M265" s="1670"/>
      <c r="N265" s="1670"/>
      <c r="O265" s="1670" t="s">
        <v>317</v>
      </c>
      <c r="P265" s="1670" t="s">
        <v>317</v>
      </c>
      <c r="Q265" s="1670" t="s">
        <v>317</v>
      </c>
      <c r="R265" s="1670" t="s">
        <v>317</v>
      </c>
      <c r="S265" s="1670" t="s">
        <v>343</v>
      </c>
      <c r="T265" s="1670"/>
      <c r="U265" s="1670"/>
      <c r="V265" s="1670" t="s">
        <v>367</v>
      </c>
      <c r="W265" s="1670" t="s">
        <v>367</v>
      </c>
      <c r="X265" s="1670" t="s">
        <v>317</v>
      </c>
      <c r="Y265" s="1670" t="s">
        <v>367</v>
      </c>
      <c r="Z265" s="1670" t="s">
        <v>317</v>
      </c>
      <c r="AA265" s="1670"/>
      <c r="AB265" s="1670"/>
      <c r="AC265" s="1669" t="s">
        <v>317</v>
      </c>
      <c r="AD265" s="1669" t="s">
        <v>317</v>
      </c>
      <c r="AE265" s="1669" t="s">
        <v>317</v>
      </c>
      <c r="AF265" s="1669" t="s">
        <v>317</v>
      </c>
      <c r="AG265" s="1669" t="s">
        <v>317</v>
      </c>
      <c r="AH265" s="189"/>
      <c r="AI265" s="190"/>
    </row>
    <row r="266" spans="1:35" ht="21" customHeight="1" x14ac:dyDescent="0.2"/>
    <row r="267" spans="1:35" ht="21" customHeight="1" x14ac:dyDescent="0.2"/>
    <row r="268" spans="1:35" ht="21" customHeight="1" thickBot="1" x14ac:dyDescent="0.25">
      <c r="A268" s="162" t="s">
        <v>318</v>
      </c>
    </row>
    <row r="269" spans="1:35" ht="21" customHeight="1" x14ac:dyDescent="0.2">
      <c r="B269" s="530" t="s">
        <v>267</v>
      </c>
      <c r="C269" s="500"/>
      <c r="D269" s="516" t="s">
        <v>90</v>
      </c>
      <c r="E269" s="473"/>
      <c r="F269" s="504"/>
      <c r="G269" s="500"/>
      <c r="H269" s="516" t="s">
        <v>91</v>
      </c>
      <c r="I269" s="473"/>
      <c r="J269" s="504"/>
      <c r="K269" s="500"/>
      <c r="L269" s="516" t="s">
        <v>92</v>
      </c>
      <c r="M269" s="473"/>
      <c r="N269" s="504"/>
      <c r="O269" s="500"/>
      <c r="P269" s="516" t="s">
        <v>93</v>
      </c>
      <c r="Q269" s="473"/>
      <c r="R269" s="504"/>
      <c r="S269" s="500"/>
      <c r="T269" s="516" t="s">
        <v>94</v>
      </c>
      <c r="U269" s="473"/>
      <c r="V269" s="504"/>
      <c r="W269" s="500"/>
      <c r="X269" s="516" t="s">
        <v>95</v>
      </c>
      <c r="Y269" s="473"/>
      <c r="Z269" s="504"/>
      <c r="AA269" s="500"/>
      <c r="AB269" s="516" t="s">
        <v>96</v>
      </c>
      <c r="AC269" s="473"/>
      <c r="AD269" s="473"/>
      <c r="AE269" s="519" t="s">
        <v>97</v>
      </c>
      <c r="AF269" s="473"/>
      <c r="AG269" s="473"/>
      <c r="AH269" s="473"/>
      <c r="AI269" s="474"/>
    </row>
    <row r="270" spans="1:35" ht="21" customHeight="1" x14ac:dyDescent="0.2">
      <c r="B270" s="3">
        <v>8500</v>
      </c>
      <c r="C270" s="1696" t="s">
        <v>319</v>
      </c>
      <c r="D270" s="117"/>
      <c r="E270" s="14"/>
      <c r="F270" s="116"/>
      <c r="G270" s="1696" t="s">
        <v>319</v>
      </c>
      <c r="H270" s="117"/>
      <c r="I270" s="14"/>
      <c r="J270" s="116"/>
      <c r="K270" s="1696" t="s">
        <v>319</v>
      </c>
      <c r="L270" s="117"/>
      <c r="M270" s="14"/>
      <c r="N270" s="116"/>
      <c r="O270" s="1696" t="s">
        <v>319</v>
      </c>
      <c r="P270" s="117"/>
      <c r="Q270" s="14"/>
      <c r="R270" s="116"/>
      <c r="S270" s="1696" t="s">
        <v>320</v>
      </c>
      <c r="T270" s="117"/>
      <c r="U270" s="14"/>
      <c r="V270" s="116"/>
      <c r="W270" s="8"/>
      <c r="X270" s="117"/>
      <c r="Y270" s="14"/>
      <c r="Z270" s="116"/>
      <c r="AA270" s="8"/>
      <c r="AB270" s="117"/>
      <c r="AC270" s="14"/>
      <c r="AD270" s="14"/>
      <c r="AE270" s="118"/>
      <c r="AF270" s="14"/>
      <c r="AG270" s="14"/>
      <c r="AH270" s="14"/>
      <c r="AI270" s="119"/>
    </row>
    <row r="271" spans="1:35" ht="21" customHeight="1" thickBot="1" x14ac:dyDescent="0.25">
      <c r="A271" s="110"/>
      <c r="B271" s="1115"/>
      <c r="C271" s="1527"/>
      <c r="D271" s="1528"/>
      <c r="E271" s="1506"/>
      <c r="F271" s="1507"/>
      <c r="G271" s="1527"/>
      <c r="H271" s="1508"/>
      <c r="I271" s="1506"/>
      <c r="J271" s="1507"/>
      <c r="K271" s="1527"/>
      <c r="L271" s="1508"/>
      <c r="M271" s="1506"/>
      <c r="N271" s="1507"/>
      <c r="O271" s="1527"/>
      <c r="P271" s="1508"/>
      <c r="Q271" s="1506"/>
      <c r="R271" s="1507"/>
      <c r="S271" s="1527"/>
      <c r="T271" s="1508"/>
      <c r="U271" s="1506"/>
      <c r="V271" s="1507"/>
      <c r="W271" s="1509"/>
      <c r="X271" s="1508"/>
      <c r="Y271" s="1506"/>
      <c r="Z271" s="1507"/>
      <c r="AA271" s="1509"/>
      <c r="AB271" s="1508"/>
      <c r="AC271" s="1506"/>
      <c r="AD271" s="1506"/>
      <c r="AE271" s="1513"/>
      <c r="AF271" s="1506"/>
      <c r="AG271" s="1506"/>
      <c r="AH271" s="1506"/>
      <c r="AI271" s="1514"/>
    </row>
    <row r="272" spans="1:35" ht="21" customHeight="1" x14ac:dyDescent="0.2">
      <c r="A272" s="16" t="s">
        <v>321</v>
      </c>
    </row>
    <row r="273" spans="1:35" ht="21" customHeight="1" thickBot="1" x14ac:dyDescent="0.25">
      <c r="A273" s="1118"/>
      <c r="B273" s="1119" t="s">
        <v>29</v>
      </c>
      <c r="C273" s="1595">
        <v>1</v>
      </c>
      <c r="D273" s="1595">
        <v>2</v>
      </c>
      <c r="E273" s="1595">
        <v>3</v>
      </c>
      <c r="F273" s="1596">
        <v>4</v>
      </c>
      <c r="G273" s="1596">
        <v>5</v>
      </c>
      <c r="H273" s="1595">
        <v>6</v>
      </c>
      <c r="I273" s="1595">
        <v>7</v>
      </c>
      <c r="J273" s="1595">
        <v>8</v>
      </c>
      <c r="K273" s="1595">
        <v>9</v>
      </c>
      <c r="L273" s="1595">
        <v>10</v>
      </c>
      <c r="M273" s="1596">
        <v>11</v>
      </c>
      <c r="N273" s="1596">
        <v>12</v>
      </c>
      <c r="O273" s="1595">
        <v>13</v>
      </c>
      <c r="P273" s="1595">
        <v>14</v>
      </c>
      <c r="Q273" s="1595">
        <v>15</v>
      </c>
      <c r="R273" s="1595">
        <v>16</v>
      </c>
      <c r="S273" s="1595">
        <v>17</v>
      </c>
      <c r="T273" s="1596">
        <v>18</v>
      </c>
      <c r="U273" s="1596">
        <v>19</v>
      </c>
      <c r="V273" s="1595">
        <v>20</v>
      </c>
      <c r="W273" s="1595">
        <v>21</v>
      </c>
      <c r="X273" s="1595">
        <v>22</v>
      </c>
      <c r="Y273" s="1595">
        <v>23</v>
      </c>
      <c r="Z273" s="1595">
        <v>24</v>
      </c>
      <c r="AA273" s="1596">
        <v>25</v>
      </c>
      <c r="AB273" s="1596">
        <v>26</v>
      </c>
      <c r="AC273" s="1595">
        <v>27</v>
      </c>
      <c r="AD273" s="1595">
        <v>28</v>
      </c>
      <c r="AE273" s="1595">
        <v>29</v>
      </c>
      <c r="AF273" s="1595">
        <v>30</v>
      </c>
      <c r="AG273" s="1597">
        <v>31</v>
      </c>
      <c r="AH273" s="184"/>
      <c r="AI273" s="185"/>
    </row>
    <row r="274" spans="1:35" ht="21" customHeight="1" x14ac:dyDescent="0.2">
      <c r="A274" s="8">
        <v>8500</v>
      </c>
      <c r="B274" s="157" t="s">
        <v>322</v>
      </c>
      <c r="C274" s="1629" t="s">
        <v>31</v>
      </c>
      <c r="D274" s="1629" t="s">
        <v>31</v>
      </c>
      <c r="E274" s="1629" t="s">
        <v>31</v>
      </c>
      <c r="F274" s="1636"/>
      <c r="G274" s="1636"/>
      <c r="H274" s="1629" t="s">
        <v>31</v>
      </c>
      <c r="I274" s="1629" t="s">
        <v>31</v>
      </c>
      <c r="J274" s="1629" t="s">
        <v>31</v>
      </c>
      <c r="K274" s="1629" t="s">
        <v>31</v>
      </c>
      <c r="L274" s="1629" t="s">
        <v>31</v>
      </c>
      <c r="M274" s="1629"/>
      <c r="N274" s="1612"/>
      <c r="O274" s="1629" t="s">
        <v>31</v>
      </c>
      <c r="P274" s="1629" t="s">
        <v>31</v>
      </c>
      <c r="Q274" s="1629" t="s">
        <v>31</v>
      </c>
      <c r="R274" s="1629" t="s">
        <v>31</v>
      </c>
      <c r="S274" s="1629" t="s">
        <v>31</v>
      </c>
      <c r="T274" s="1629"/>
      <c r="U274" s="1629"/>
      <c r="V274" s="1629" t="s">
        <v>31</v>
      </c>
      <c r="W274" s="1629" t="s">
        <v>31</v>
      </c>
      <c r="X274" s="1712" t="s">
        <v>31</v>
      </c>
      <c r="Y274" s="1712" t="s">
        <v>31</v>
      </c>
      <c r="Z274" s="1712" t="s">
        <v>31</v>
      </c>
      <c r="AA274" s="1712"/>
      <c r="AB274" s="1712"/>
      <c r="AC274" s="1712" t="s">
        <v>31</v>
      </c>
      <c r="AD274" s="1712" t="s">
        <v>31</v>
      </c>
      <c r="AE274" s="1712" t="s">
        <v>31</v>
      </c>
      <c r="AF274" s="1712" t="s">
        <v>31</v>
      </c>
      <c r="AG274" s="1712" t="s">
        <v>31</v>
      </c>
      <c r="AH274" s="196"/>
      <c r="AI274" s="197"/>
    </row>
    <row r="275" spans="1:35" ht="21" customHeight="1" x14ac:dyDescent="0.2">
      <c r="A275" s="1601"/>
      <c r="B275" s="1901" t="s">
        <v>323</v>
      </c>
      <c r="C275" s="1629" t="s">
        <v>31</v>
      </c>
      <c r="D275" s="1629" t="s">
        <v>31</v>
      </c>
      <c r="E275" s="1629" t="s">
        <v>31</v>
      </c>
      <c r="F275" s="1636"/>
      <c r="G275" s="1636"/>
      <c r="H275" s="1629" t="s">
        <v>31</v>
      </c>
      <c r="I275" s="1629" t="s">
        <v>31</v>
      </c>
      <c r="J275" s="1629" t="s">
        <v>31</v>
      </c>
      <c r="K275" s="1629" t="s">
        <v>31</v>
      </c>
      <c r="L275" s="1629" t="s">
        <v>31</v>
      </c>
      <c r="M275" s="1629"/>
      <c r="N275" s="1612"/>
      <c r="O275" s="1629" t="s">
        <v>31</v>
      </c>
      <c r="P275" s="1629" t="s">
        <v>31</v>
      </c>
      <c r="Q275" s="1629" t="s">
        <v>31</v>
      </c>
      <c r="R275" s="1629" t="s">
        <v>31</v>
      </c>
      <c r="S275" s="1629" t="s">
        <v>31</v>
      </c>
      <c r="T275" s="1629"/>
      <c r="U275" s="1629"/>
      <c r="V275" s="1629" t="s">
        <v>31</v>
      </c>
      <c r="W275" s="1629" t="s">
        <v>31</v>
      </c>
      <c r="X275" s="1629" t="s">
        <v>31</v>
      </c>
      <c r="Y275" s="1628" t="s">
        <v>31</v>
      </c>
      <c r="Z275" s="1628" t="s">
        <v>31</v>
      </c>
      <c r="AA275" s="1628"/>
      <c r="AB275" s="1629"/>
      <c r="AC275" s="1629" t="s">
        <v>31</v>
      </c>
      <c r="AD275" s="1629" t="s">
        <v>31</v>
      </c>
      <c r="AE275" s="1629" t="s">
        <v>31</v>
      </c>
      <c r="AF275" s="1629" t="s">
        <v>31</v>
      </c>
      <c r="AG275" s="1629" t="s">
        <v>31</v>
      </c>
      <c r="AH275" s="196"/>
      <c r="AI275" s="197"/>
    </row>
    <row r="276" spans="1:35" ht="22.15" customHeight="1" x14ac:dyDescent="0.2">
      <c r="A276" s="1902"/>
      <c r="B276" s="1901" t="s">
        <v>324</v>
      </c>
      <c r="C276" s="1734" t="s">
        <v>31</v>
      </c>
      <c r="D276" s="1734" t="s">
        <v>31</v>
      </c>
      <c r="E276" s="1734" t="s">
        <v>31</v>
      </c>
      <c r="F276" s="1734"/>
      <c r="G276" s="1734"/>
      <c r="H276" s="1734" t="s">
        <v>31</v>
      </c>
      <c r="I276" s="1734" t="s">
        <v>31</v>
      </c>
      <c r="J276" s="1734" t="s">
        <v>31</v>
      </c>
      <c r="K276" s="1734" t="s">
        <v>31</v>
      </c>
      <c r="L276" s="1734" t="s">
        <v>31</v>
      </c>
      <c r="M276" s="1734"/>
      <c r="N276" s="1734"/>
      <c r="O276" s="1734" t="s">
        <v>31</v>
      </c>
      <c r="P276" s="1734" t="s">
        <v>31</v>
      </c>
      <c r="Q276" s="1734" t="s">
        <v>31</v>
      </c>
      <c r="R276" s="1734" t="s">
        <v>31</v>
      </c>
      <c r="S276" s="1734" t="s">
        <v>31</v>
      </c>
      <c r="T276" s="1629"/>
      <c r="U276" s="1629"/>
      <c r="V276" s="1629" t="s">
        <v>31</v>
      </c>
      <c r="W276" s="1629" t="s">
        <v>31</v>
      </c>
      <c r="X276" s="1735" t="s">
        <v>31</v>
      </c>
      <c r="Y276" s="1903" t="s">
        <v>31</v>
      </c>
      <c r="Z276" s="1903" t="s">
        <v>289</v>
      </c>
      <c r="AA276" s="1628"/>
      <c r="AB276" s="1629"/>
      <c r="AC276" s="1712" t="s">
        <v>31</v>
      </c>
      <c r="AD276" s="1712" t="s">
        <v>31</v>
      </c>
      <c r="AE276" s="1712" t="s">
        <v>31</v>
      </c>
      <c r="AF276" s="1712" t="s">
        <v>31</v>
      </c>
      <c r="AG276" s="1712" t="s">
        <v>31</v>
      </c>
      <c r="AH276" s="196"/>
      <c r="AI276" s="197"/>
    </row>
    <row r="277" spans="1:35" ht="22.15" customHeight="1" x14ac:dyDescent="0.2">
      <c r="A277" s="102"/>
      <c r="B277" s="1904"/>
      <c r="C277" s="1629"/>
      <c r="D277" s="1629"/>
      <c r="E277" s="1629"/>
      <c r="F277" s="1629"/>
      <c r="G277" s="1629"/>
      <c r="H277" s="1629"/>
      <c r="I277" s="1629"/>
      <c r="J277" s="1629"/>
      <c r="K277" s="1629"/>
      <c r="L277" s="1629"/>
      <c r="M277" s="1629"/>
      <c r="N277" s="1629"/>
      <c r="O277" s="1629"/>
      <c r="P277" s="1629"/>
      <c r="Q277" s="1629"/>
      <c r="R277" s="1629"/>
      <c r="S277" s="1629"/>
      <c r="T277" s="1629"/>
      <c r="U277" s="1629"/>
      <c r="V277" s="1629"/>
      <c r="W277" s="1629"/>
      <c r="X277" s="1629"/>
      <c r="Y277" s="1629"/>
      <c r="Z277" s="1629"/>
      <c r="AA277" s="1629"/>
      <c r="AB277" s="1629"/>
      <c r="AC277" s="1629"/>
      <c r="AD277" s="1629"/>
      <c r="AE277" s="1629"/>
      <c r="AF277" s="1629"/>
      <c r="AG277" s="1636"/>
      <c r="AH277" s="196"/>
      <c r="AI277" s="197"/>
    </row>
    <row r="278" spans="1:35" ht="21" customHeight="1" x14ac:dyDescent="0.2">
      <c r="A278" s="1851"/>
      <c r="B278" s="1904"/>
      <c r="C278" s="1675"/>
      <c r="D278" s="1675"/>
      <c r="E278" s="1675"/>
      <c r="F278" s="1675"/>
      <c r="G278" s="1675"/>
      <c r="H278" s="1675"/>
      <c r="I278" s="1675"/>
      <c r="J278" s="1675"/>
      <c r="K278" s="1675"/>
      <c r="L278" s="1675"/>
      <c r="M278" s="1675"/>
      <c r="N278" s="1606"/>
      <c r="O278" s="1606"/>
      <c r="P278" s="1675"/>
      <c r="Q278" s="1675"/>
      <c r="R278" s="1675"/>
      <c r="S278" s="1675"/>
      <c r="T278" s="1675"/>
      <c r="U278" s="1675"/>
      <c r="V278" s="1675"/>
      <c r="W278" s="1675"/>
      <c r="X278" s="1675"/>
      <c r="Y278" s="1675"/>
      <c r="Z278" s="1675"/>
      <c r="AA278" s="1675"/>
      <c r="AB278" s="1606"/>
      <c r="AC278" s="1606"/>
      <c r="AD278" s="1675"/>
      <c r="AE278" s="1675"/>
      <c r="AF278" s="1675"/>
      <c r="AG278" s="1675"/>
      <c r="AH278" s="198"/>
      <c r="AI278" s="199"/>
    </row>
    <row r="279" spans="1:35" ht="22.15" customHeight="1" x14ac:dyDescent="0.2">
      <c r="A279" s="1534"/>
      <c r="B279" s="1905"/>
      <c r="C279" s="1675"/>
      <c r="D279" s="1675"/>
      <c r="E279" s="1675"/>
      <c r="F279" s="1675"/>
      <c r="G279" s="1675"/>
      <c r="H279" s="1675"/>
      <c r="I279" s="1675"/>
      <c r="J279" s="1675"/>
      <c r="K279" s="1675"/>
      <c r="L279" s="1675"/>
      <c r="M279" s="1675"/>
      <c r="N279" s="1606"/>
      <c r="O279" s="1606"/>
      <c r="P279" s="1675"/>
      <c r="Q279" s="1675"/>
      <c r="R279" s="1675"/>
      <c r="S279" s="1675"/>
      <c r="T279" s="1675"/>
      <c r="U279" s="1675"/>
      <c r="V279" s="1675"/>
      <c r="W279" s="1675"/>
      <c r="X279" s="1675"/>
      <c r="Y279" s="1675"/>
      <c r="Z279" s="1675"/>
      <c r="AA279" s="1675"/>
      <c r="AB279" s="1606"/>
      <c r="AC279" s="1606"/>
      <c r="AD279" s="1675"/>
      <c r="AE279" s="1675"/>
      <c r="AF279" s="1675"/>
      <c r="AG279" s="1675"/>
      <c r="AH279" s="198"/>
      <c r="AI279" s="199"/>
    </row>
    <row r="280" spans="1:35" ht="22.15" customHeight="1" thickBot="1" x14ac:dyDescent="0.25">
      <c r="A280" s="688"/>
      <c r="B280" s="685"/>
      <c r="C280" s="1126"/>
      <c r="D280" s="1127"/>
      <c r="E280" s="1127"/>
      <c r="F280" s="1127"/>
      <c r="G280" s="1127"/>
      <c r="H280" s="1127"/>
      <c r="I280" s="1127"/>
      <c r="J280" s="1127"/>
      <c r="K280" s="1127"/>
      <c r="L280" s="1127"/>
      <c r="M280" s="1127"/>
      <c r="N280" s="1128"/>
      <c r="O280" s="1128"/>
      <c r="P280" s="1127"/>
      <c r="Q280" s="1127"/>
      <c r="R280" s="1127"/>
      <c r="S280" s="1127"/>
      <c r="T280" s="1127"/>
      <c r="U280" s="1127"/>
      <c r="V280" s="1127"/>
      <c r="W280" s="1127"/>
      <c r="X280" s="1127"/>
      <c r="Y280" s="1127"/>
      <c r="Z280" s="1127"/>
      <c r="AA280" s="1127"/>
      <c r="AB280" s="1128"/>
      <c r="AC280" s="1128"/>
      <c r="AD280" s="1127"/>
      <c r="AE280" s="1127"/>
      <c r="AF280" s="1127"/>
      <c r="AG280" s="1129"/>
      <c r="AH280" s="198"/>
      <c r="AI280" s="199"/>
    </row>
    <row r="281" spans="1:35" ht="22.15" customHeight="1" x14ac:dyDescent="0.2">
      <c r="A281" s="262"/>
      <c r="B281" s="263"/>
      <c r="C281" s="255"/>
      <c r="D281" s="255"/>
      <c r="E281" s="255"/>
      <c r="F281" s="255"/>
      <c r="G281" s="255"/>
      <c r="H281" s="255"/>
      <c r="I281" s="255"/>
      <c r="J281" s="255"/>
      <c r="K281" s="255"/>
      <c r="L281" s="255"/>
      <c r="M281" s="255"/>
      <c r="N281" s="229"/>
      <c r="O281" s="229"/>
      <c r="P281" s="255"/>
      <c r="Q281" s="255"/>
      <c r="R281" s="255"/>
      <c r="S281" s="255"/>
      <c r="T281" s="255"/>
      <c r="U281" s="255"/>
      <c r="V281" s="255"/>
      <c r="W281" s="255"/>
      <c r="X281" s="255"/>
      <c r="Y281" s="255"/>
      <c r="Z281" s="255"/>
      <c r="AA281" s="255"/>
      <c r="AB281" s="229"/>
      <c r="AC281" s="229"/>
      <c r="AD281" s="255"/>
      <c r="AE281" s="255"/>
      <c r="AF281" s="255"/>
      <c r="AG281" s="255"/>
      <c r="AH281" s="264"/>
      <c r="AI281" s="199"/>
    </row>
    <row r="282" spans="1:35" ht="24" customHeight="1" x14ac:dyDescent="0.2"/>
    <row r="283" spans="1:35" ht="25.5" customHeight="1" thickBot="1" x14ac:dyDescent="0.25">
      <c r="A283" s="162" t="s">
        <v>325</v>
      </c>
    </row>
    <row r="284" spans="1:35" ht="21" customHeight="1" x14ac:dyDescent="0.2">
      <c r="A284" s="1"/>
      <c r="B284" s="530" t="s">
        <v>267</v>
      </c>
      <c r="C284" s="500"/>
      <c r="D284" s="516" t="s">
        <v>90</v>
      </c>
      <c r="E284" s="473"/>
      <c r="F284" s="504"/>
      <c r="G284" s="500"/>
      <c r="H284" s="516" t="s">
        <v>91</v>
      </c>
      <c r="I284" s="473"/>
      <c r="J284" s="504"/>
      <c r="K284" s="500"/>
      <c r="L284" s="516" t="s">
        <v>92</v>
      </c>
      <c r="M284" s="473"/>
      <c r="N284" s="504"/>
      <c r="O284" s="500"/>
      <c r="P284" s="516" t="s">
        <v>93</v>
      </c>
      <c r="Q284" s="473"/>
      <c r="R284" s="504"/>
      <c r="S284" s="500"/>
      <c r="T284" s="516" t="s">
        <v>94</v>
      </c>
      <c r="U284" s="473"/>
      <c r="V284" s="504"/>
      <c r="W284" s="500"/>
      <c r="X284" s="516" t="s">
        <v>95</v>
      </c>
      <c r="Y284" s="473"/>
      <c r="Z284" s="504"/>
      <c r="AA284" s="500"/>
      <c r="AB284" s="516" t="s">
        <v>96</v>
      </c>
      <c r="AC284" s="473"/>
      <c r="AD284" s="473"/>
      <c r="AE284" s="519" t="s">
        <v>97</v>
      </c>
      <c r="AF284" s="473"/>
      <c r="AG284" s="473"/>
      <c r="AH284" s="473"/>
      <c r="AI284" s="474"/>
    </row>
    <row r="285" spans="1:35" ht="21" customHeight="1" x14ac:dyDescent="0.2">
      <c r="A285" s="1"/>
      <c r="B285" s="3"/>
      <c r="C285" s="8"/>
      <c r="D285" s="117"/>
      <c r="E285" s="14"/>
      <c r="F285" s="116"/>
      <c r="G285" s="8"/>
      <c r="H285" s="117"/>
      <c r="I285" s="14"/>
      <c r="J285" s="116"/>
      <c r="K285" s="8"/>
      <c r="L285" s="117"/>
      <c r="M285" s="14"/>
      <c r="N285" s="116"/>
      <c r="O285" s="8"/>
      <c r="P285" s="117"/>
      <c r="Q285" s="14"/>
      <c r="R285" s="116"/>
      <c r="S285" s="8"/>
      <c r="T285" s="117"/>
      <c r="U285" s="14"/>
      <c r="V285" s="116"/>
      <c r="W285" s="8"/>
      <c r="X285" s="117"/>
      <c r="Y285" s="14"/>
      <c r="Z285" s="116"/>
      <c r="AA285" s="8"/>
      <c r="AB285" s="117"/>
      <c r="AC285" s="14"/>
      <c r="AD285" s="14"/>
      <c r="AE285" s="118"/>
      <c r="AF285" s="14"/>
      <c r="AG285" s="14"/>
      <c r="AH285" s="14"/>
      <c r="AI285" s="119"/>
    </row>
    <row r="286" spans="1:35" ht="21" customHeight="1" x14ac:dyDescent="0.2">
      <c r="A286" s="110"/>
      <c r="B286" s="1890"/>
      <c r="C286" s="1696"/>
      <c r="D286" s="1577"/>
      <c r="E286" s="1577"/>
      <c r="F286" s="1802"/>
      <c r="G286" s="1696"/>
      <c r="H286" s="1577"/>
      <c r="I286" s="1577"/>
      <c r="J286" s="1802"/>
      <c r="K286" s="1696"/>
      <c r="L286" s="1577"/>
      <c r="M286" s="1577"/>
      <c r="N286" s="1802"/>
      <c r="O286" s="1696"/>
      <c r="P286" s="1577"/>
      <c r="Q286" s="1577"/>
      <c r="R286" s="1802"/>
      <c r="S286" s="1696"/>
      <c r="T286" s="1577"/>
      <c r="U286" s="1577"/>
      <c r="V286" s="1802"/>
      <c r="W286" s="1696"/>
      <c r="X286" s="1577"/>
      <c r="Y286" s="1577"/>
      <c r="Z286" s="1802"/>
      <c r="AA286" s="1800"/>
      <c r="AB286" s="1577"/>
      <c r="AC286" s="1577"/>
      <c r="AD286" s="1697"/>
      <c r="AE286" s="1906"/>
      <c r="AF286" s="1577"/>
      <c r="AG286" s="1577"/>
      <c r="AH286" s="1697"/>
      <c r="AI286" s="1586"/>
    </row>
    <row r="287" spans="1:35" ht="21" customHeight="1" thickBot="1" x14ac:dyDescent="0.25">
      <c r="A287" s="1"/>
      <c r="B287" s="1812"/>
      <c r="C287" s="1813"/>
      <c r="D287" s="1654"/>
      <c r="E287" s="1654"/>
      <c r="F287" s="1838"/>
      <c r="G287" s="1813"/>
      <c r="H287" s="1654"/>
      <c r="I287" s="1654"/>
      <c r="J287" s="1838"/>
      <c r="K287" s="1813"/>
      <c r="L287" s="1654"/>
      <c r="M287" s="1654"/>
      <c r="N287" s="1838"/>
      <c r="O287" s="1813"/>
      <c r="P287" s="1654"/>
      <c r="Q287" s="1654"/>
      <c r="R287" s="1838"/>
      <c r="S287" s="1813"/>
      <c r="T287" s="1654"/>
      <c r="U287" s="1654"/>
      <c r="V287" s="1838"/>
      <c r="W287" s="1836"/>
      <c r="X287" s="1654"/>
      <c r="Y287" s="1654"/>
      <c r="Z287" s="1838"/>
      <c r="AA287" s="1836"/>
      <c r="AB287" s="1654"/>
      <c r="AC287" s="1654"/>
      <c r="AD287" s="1820"/>
      <c r="AE287" s="1836"/>
      <c r="AF287" s="1654"/>
      <c r="AG287" s="1654"/>
      <c r="AH287" s="1820"/>
      <c r="AI287" s="1661"/>
    </row>
    <row r="288" spans="1:35" ht="21" customHeight="1" x14ac:dyDescent="0.2">
      <c r="A288" s="1"/>
      <c r="B288" s="18"/>
      <c r="C288" s="64"/>
      <c r="F288" s="69"/>
      <c r="G288" s="64"/>
      <c r="J288" s="69"/>
      <c r="K288" s="64"/>
      <c r="N288" s="69"/>
      <c r="O288" s="64"/>
      <c r="R288" s="69"/>
      <c r="S288" s="64"/>
      <c r="V288" s="69"/>
      <c r="W288" s="69"/>
      <c r="Z288" s="69"/>
      <c r="AA288" s="69"/>
      <c r="AD288" s="69"/>
      <c r="AE288" s="69"/>
      <c r="AH288" s="69"/>
    </row>
    <row r="289" spans="1:35" ht="33" customHeight="1" x14ac:dyDescent="0.2">
      <c r="A289" s="162" t="s">
        <v>326</v>
      </c>
      <c r="B289" s="18"/>
      <c r="C289" s="64"/>
      <c r="F289" s="69"/>
      <c r="G289" s="64"/>
      <c r="J289" s="69"/>
      <c r="K289" s="64"/>
      <c r="N289" s="69"/>
      <c r="O289" s="64"/>
      <c r="R289" s="69"/>
      <c r="S289" s="64"/>
      <c r="V289" s="69"/>
      <c r="W289" s="69"/>
      <c r="Z289" s="69"/>
      <c r="AA289" s="69"/>
      <c r="AD289" s="69"/>
      <c r="AE289" s="69"/>
      <c r="AH289" s="69"/>
    </row>
    <row r="290" spans="1:35" ht="21" customHeight="1" thickBot="1" x14ac:dyDescent="0.25">
      <c r="A290" s="1131" t="s">
        <v>28</v>
      </c>
      <c r="B290" s="1119" t="s">
        <v>29</v>
      </c>
      <c r="C290" s="1595">
        <v>1</v>
      </c>
      <c r="D290" s="1595">
        <v>2</v>
      </c>
      <c r="E290" s="1595">
        <v>3</v>
      </c>
      <c r="F290" s="1596">
        <v>4</v>
      </c>
      <c r="G290" s="1596">
        <v>5</v>
      </c>
      <c r="H290" s="1595">
        <v>6</v>
      </c>
      <c r="I290" s="1595">
        <v>7</v>
      </c>
      <c r="J290" s="1595">
        <v>8</v>
      </c>
      <c r="K290" s="1595">
        <v>9</v>
      </c>
      <c r="L290" s="1595">
        <v>10</v>
      </c>
      <c r="M290" s="1596">
        <v>11</v>
      </c>
      <c r="N290" s="1596">
        <v>12</v>
      </c>
      <c r="O290" s="1595">
        <v>13</v>
      </c>
      <c r="P290" s="1595">
        <v>14</v>
      </c>
      <c r="Q290" s="1595">
        <v>15</v>
      </c>
      <c r="R290" s="1595">
        <v>16</v>
      </c>
      <c r="S290" s="1595">
        <v>17</v>
      </c>
      <c r="T290" s="1596">
        <v>18</v>
      </c>
      <c r="U290" s="1596">
        <v>19</v>
      </c>
      <c r="V290" s="1595">
        <v>20</v>
      </c>
      <c r="W290" s="1595">
        <v>21</v>
      </c>
      <c r="X290" s="1595">
        <v>22</v>
      </c>
      <c r="Y290" s="1595">
        <v>23</v>
      </c>
      <c r="Z290" s="1595">
        <v>24</v>
      </c>
      <c r="AA290" s="1596">
        <v>25</v>
      </c>
      <c r="AB290" s="1596">
        <v>26</v>
      </c>
      <c r="AC290" s="1595">
        <v>27</v>
      </c>
      <c r="AD290" s="1595">
        <v>28</v>
      </c>
      <c r="AE290" s="1595">
        <v>29</v>
      </c>
      <c r="AF290" s="1595">
        <v>30</v>
      </c>
      <c r="AG290" s="1597">
        <v>31</v>
      </c>
      <c r="AH290" s="200"/>
      <c r="AI290" s="185"/>
    </row>
    <row r="291" spans="1:35" ht="21" customHeight="1" x14ac:dyDescent="0.2">
      <c r="A291" s="88"/>
      <c r="B291" s="158" t="s">
        <v>327</v>
      </c>
      <c r="C291" s="1629" t="s">
        <v>31</v>
      </c>
      <c r="D291" s="1629" t="s">
        <v>31</v>
      </c>
      <c r="E291" s="1629" t="s">
        <v>31</v>
      </c>
      <c r="F291" s="1636"/>
      <c r="G291" s="1636"/>
      <c r="H291" s="1629" t="s">
        <v>31</v>
      </c>
      <c r="I291" s="1629" t="s">
        <v>31</v>
      </c>
      <c r="J291" s="1629" t="s">
        <v>31</v>
      </c>
      <c r="K291" s="1629" t="s">
        <v>31</v>
      </c>
      <c r="L291" s="1629" t="s">
        <v>31</v>
      </c>
      <c r="M291" s="1629"/>
      <c r="N291" s="1612"/>
      <c r="O291" s="1629" t="s">
        <v>31</v>
      </c>
      <c r="P291" s="1629" t="s">
        <v>31</v>
      </c>
      <c r="Q291" s="1629" t="s">
        <v>31</v>
      </c>
      <c r="R291" s="1629" t="s">
        <v>31</v>
      </c>
      <c r="S291" s="1629" t="s">
        <v>31</v>
      </c>
      <c r="T291" s="1629"/>
      <c r="U291" s="1629"/>
      <c r="V291" s="1629" t="s">
        <v>31</v>
      </c>
      <c r="W291" s="1629" t="s">
        <v>31</v>
      </c>
      <c r="X291" s="1629" t="s">
        <v>31</v>
      </c>
      <c r="Y291" s="1628" t="s">
        <v>31</v>
      </c>
      <c r="Z291" s="1628" t="s">
        <v>31</v>
      </c>
      <c r="AA291" s="1628"/>
      <c r="AB291" s="1629"/>
      <c r="AC291" s="1629" t="s">
        <v>31</v>
      </c>
      <c r="AD291" s="1629" t="s">
        <v>31</v>
      </c>
      <c r="AE291" s="1629" t="s">
        <v>31</v>
      </c>
      <c r="AF291" s="1629" t="s">
        <v>31</v>
      </c>
      <c r="AG291" s="1629" t="s">
        <v>31</v>
      </c>
      <c r="AH291" s="201"/>
      <c r="AI291" s="197"/>
    </row>
    <row r="292" spans="1:35" ht="21" customHeight="1" x14ac:dyDescent="0.2">
      <c r="A292" s="1907"/>
      <c r="B292" s="1908" t="s">
        <v>328</v>
      </c>
      <c r="C292" s="1629" t="s">
        <v>31</v>
      </c>
      <c r="D292" s="1629" t="s">
        <v>31</v>
      </c>
      <c r="E292" s="1629" t="s">
        <v>31</v>
      </c>
      <c r="F292" s="1636"/>
      <c r="G292" s="1636"/>
      <c r="H292" s="1629" t="s">
        <v>31</v>
      </c>
      <c r="I292" s="1629" t="s">
        <v>31</v>
      </c>
      <c r="J292" s="1629" t="s">
        <v>31</v>
      </c>
      <c r="K292" s="1629" t="s">
        <v>31</v>
      </c>
      <c r="L292" s="1629" t="s">
        <v>31</v>
      </c>
      <c r="M292" s="1629"/>
      <c r="N292" s="1612"/>
      <c r="O292" s="1629" t="s">
        <v>31</v>
      </c>
      <c r="P292" s="1629" t="s">
        <v>31</v>
      </c>
      <c r="Q292" s="1629" t="s">
        <v>31</v>
      </c>
      <c r="R292" s="1629" t="s">
        <v>31</v>
      </c>
      <c r="S292" s="1629" t="s">
        <v>31</v>
      </c>
      <c r="T292" s="1629"/>
      <c r="U292" s="1629"/>
      <c r="V292" s="1712" t="s">
        <v>31</v>
      </c>
      <c r="W292" s="1712" t="s">
        <v>31</v>
      </c>
      <c r="X292" s="1712" t="s">
        <v>31</v>
      </c>
      <c r="Y292" s="1712" t="s">
        <v>31</v>
      </c>
      <c r="Z292" s="1712" t="s">
        <v>31</v>
      </c>
      <c r="AA292" s="1712"/>
      <c r="AB292" s="1712"/>
      <c r="AC292" s="1712" t="s">
        <v>31</v>
      </c>
      <c r="AD292" s="1712" t="s">
        <v>31</v>
      </c>
      <c r="AE292" s="1712" t="s">
        <v>31</v>
      </c>
      <c r="AF292" s="1712" t="s">
        <v>31</v>
      </c>
      <c r="AG292" s="1712" t="s">
        <v>31</v>
      </c>
      <c r="AH292" s="201"/>
      <c r="AI292" s="197"/>
    </row>
    <row r="293" spans="1:35" ht="21" customHeight="1" x14ac:dyDescent="0.2">
      <c r="A293" s="1893"/>
      <c r="B293" s="1908" t="s">
        <v>329</v>
      </c>
      <c r="C293" s="1712" t="s">
        <v>31</v>
      </c>
      <c r="D293" s="1712" t="s">
        <v>31</v>
      </c>
      <c r="E293" s="1712" t="s">
        <v>31</v>
      </c>
      <c r="F293" s="1712"/>
      <c r="G293" s="1712"/>
      <c r="H293" s="1712" t="s">
        <v>31</v>
      </c>
      <c r="I293" s="1712" t="s">
        <v>31</v>
      </c>
      <c r="J293" s="1712" t="s">
        <v>31</v>
      </c>
      <c r="K293" s="1712" t="s">
        <v>31</v>
      </c>
      <c r="L293" s="1712" t="s">
        <v>31</v>
      </c>
      <c r="M293" s="1712"/>
      <c r="N293" s="1712"/>
      <c r="O293" s="1712" t="s">
        <v>31</v>
      </c>
      <c r="P293" s="1712" t="s">
        <v>31</v>
      </c>
      <c r="Q293" s="1712" t="s">
        <v>31</v>
      </c>
      <c r="R293" s="1712" t="s">
        <v>31</v>
      </c>
      <c r="S293" s="1712" t="s">
        <v>31</v>
      </c>
      <c r="T293" s="1712"/>
      <c r="U293" s="1712"/>
      <c r="V293" s="1629" t="s">
        <v>31</v>
      </c>
      <c r="W293" s="1629" t="s">
        <v>31</v>
      </c>
      <c r="X293" s="1629" t="s">
        <v>31</v>
      </c>
      <c r="Y293" s="1628" t="s">
        <v>31</v>
      </c>
      <c r="Z293" s="1628" t="s">
        <v>31</v>
      </c>
      <c r="AA293" s="1628"/>
      <c r="AB293" s="1629"/>
      <c r="AC293" s="1629" t="s">
        <v>31</v>
      </c>
      <c r="AD293" s="1629" t="s">
        <v>31</v>
      </c>
      <c r="AE293" s="1629" t="s">
        <v>31</v>
      </c>
      <c r="AF293" s="1629" t="s">
        <v>31</v>
      </c>
      <c r="AG293" s="1629" t="s">
        <v>31</v>
      </c>
      <c r="AH293" s="201"/>
      <c r="AI293" s="197"/>
    </row>
    <row r="294" spans="1:35" ht="21" customHeight="1" x14ac:dyDescent="0.2">
      <c r="A294" s="1893"/>
      <c r="B294" s="1908" t="s">
        <v>330</v>
      </c>
      <c r="C294" s="1629" t="s">
        <v>31</v>
      </c>
      <c r="D294" s="1629" t="s">
        <v>31</v>
      </c>
      <c r="E294" s="1629" t="s">
        <v>31</v>
      </c>
      <c r="F294" s="1636"/>
      <c r="G294" s="1636"/>
      <c r="H294" s="1629" t="s">
        <v>31</v>
      </c>
      <c r="I294" s="1629" t="s">
        <v>31</v>
      </c>
      <c r="J294" s="1629" t="s">
        <v>31</v>
      </c>
      <c r="K294" s="1629" t="s">
        <v>31</v>
      </c>
      <c r="L294" s="1629" t="s">
        <v>31</v>
      </c>
      <c r="M294" s="1629"/>
      <c r="N294" s="1612"/>
      <c r="O294" s="1629" t="s">
        <v>31</v>
      </c>
      <c r="P294" s="1629" t="s">
        <v>31</v>
      </c>
      <c r="Q294" s="1629" t="s">
        <v>31</v>
      </c>
      <c r="R294" s="1629" t="s">
        <v>31</v>
      </c>
      <c r="S294" s="1629" t="s">
        <v>31</v>
      </c>
      <c r="T294" s="1629"/>
      <c r="U294" s="1629"/>
      <c r="V294" s="1629" t="s">
        <v>31</v>
      </c>
      <c r="W294" s="1629" t="s">
        <v>31</v>
      </c>
      <c r="X294" s="1629" t="s">
        <v>31</v>
      </c>
      <c r="Y294" s="1628" t="s">
        <v>31</v>
      </c>
      <c r="Z294" s="1628" t="s">
        <v>31</v>
      </c>
      <c r="AA294" s="1628"/>
      <c r="AB294" s="1629"/>
      <c r="AC294" s="1712" t="s">
        <v>31</v>
      </c>
      <c r="AD294" s="1712" t="s">
        <v>31</v>
      </c>
      <c r="AE294" s="1712" t="s">
        <v>31</v>
      </c>
      <c r="AF294" s="1712" t="s">
        <v>31</v>
      </c>
      <c r="AG294" s="1712" t="s">
        <v>31</v>
      </c>
      <c r="AH294" s="201"/>
      <c r="AI294" s="197"/>
    </row>
    <row r="295" spans="1:35" ht="21" customHeight="1" x14ac:dyDescent="0.2">
      <c r="A295" s="1893"/>
      <c r="B295" s="1908" t="s">
        <v>331</v>
      </c>
      <c r="C295" s="1629" t="s">
        <v>31</v>
      </c>
      <c r="D295" s="1629" t="s">
        <v>31</v>
      </c>
      <c r="E295" s="1629" t="s">
        <v>31</v>
      </c>
      <c r="F295" s="1636"/>
      <c r="G295" s="1636"/>
      <c r="H295" s="1629" t="s">
        <v>31</v>
      </c>
      <c r="I295" s="1629" t="s">
        <v>31</v>
      </c>
      <c r="J295" s="1629" t="s">
        <v>31</v>
      </c>
      <c r="K295" s="1297" t="s">
        <v>31</v>
      </c>
      <c r="L295" s="1712" t="s">
        <v>31</v>
      </c>
      <c r="M295" s="1712"/>
      <c r="N295" s="1712"/>
      <c r="O295" s="1712" t="s">
        <v>31</v>
      </c>
      <c r="P295" s="1712" t="s">
        <v>31</v>
      </c>
      <c r="Q295" s="1712" t="s">
        <v>31</v>
      </c>
      <c r="R295" s="1712" t="s">
        <v>31</v>
      </c>
      <c r="S295" s="1712" t="s">
        <v>31</v>
      </c>
      <c r="T295" s="1712"/>
      <c r="U295" s="1712"/>
      <c r="V295" s="1712" t="s">
        <v>31</v>
      </c>
      <c r="W295" s="1712" t="s">
        <v>31</v>
      </c>
      <c r="X295" s="1712" t="s">
        <v>31</v>
      </c>
      <c r="Y295" s="1712" t="s">
        <v>31</v>
      </c>
      <c r="Z295" s="1712" t="s">
        <v>31</v>
      </c>
      <c r="AA295" s="1712"/>
      <c r="AB295" s="1712"/>
      <c r="AC295" s="1712" t="s">
        <v>31</v>
      </c>
      <c r="AD295" s="1712" t="s">
        <v>31</v>
      </c>
      <c r="AE295" s="1712" t="s">
        <v>31</v>
      </c>
      <c r="AF295" s="1712" t="s">
        <v>31</v>
      </c>
      <c r="AG295" s="1712" t="s">
        <v>31</v>
      </c>
      <c r="AH295" s="201"/>
      <c r="AI295" s="197"/>
    </row>
    <row r="296" spans="1:35" ht="21" customHeight="1" x14ac:dyDescent="0.2">
      <c r="A296" s="1893"/>
      <c r="B296" s="1908" t="s">
        <v>332</v>
      </c>
      <c r="C296" s="1629" t="s">
        <v>31</v>
      </c>
      <c r="D296" s="1629" t="s">
        <v>31</v>
      </c>
      <c r="E296" s="1629" t="s">
        <v>31</v>
      </c>
      <c r="F296" s="1636"/>
      <c r="G296" s="1636"/>
      <c r="H296" s="1629" t="s">
        <v>31</v>
      </c>
      <c r="I296" s="1629" t="s">
        <v>31</v>
      </c>
      <c r="J296" s="1629" t="s">
        <v>31</v>
      </c>
      <c r="K296" s="1629" t="s">
        <v>31</v>
      </c>
      <c r="L296" s="1629" t="s">
        <v>31</v>
      </c>
      <c r="M296" s="1629"/>
      <c r="N296" s="1612"/>
      <c r="O296" s="1629" t="s">
        <v>31</v>
      </c>
      <c r="P296" s="1629" t="s">
        <v>31</v>
      </c>
      <c r="Q296" s="1629" t="s">
        <v>31</v>
      </c>
      <c r="R296" s="1629" t="s">
        <v>31</v>
      </c>
      <c r="S296" s="1629" t="s">
        <v>31</v>
      </c>
      <c r="T296" s="1629"/>
      <c r="U296" s="1629"/>
      <c r="V296" s="1629" t="s">
        <v>31</v>
      </c>
      <c r="W296" s="1629" t="s">
        <v>31</v>
      </c>
      <c r="X296" s="1629" t="s">
        <v>31</v>
      </c>
      <c r="Y296" s="1628" t="s">
        <v>31</v>
      </c>
      <c r="Z296" s="1628" t="s">
        <v>31</v>
      </c>
      <c r="AA296" s="1628"/>
      <c r="AB296" s="1629"/>
      <c r="AC296" s="1629" t="s">
        <v>31</v>
      </c>
      <c r="AD296" s="1629" t="s">
        <v>31</v>
      </c>
      <c r="AE296" s="1629" t="s">
        <v>31</v>
      </c>
      <c r="AF296" s="1629" t="s">
        <v>31</v>
      </c>
      <c r="AG296" s="1629" t="s">
        <v>31</v>
      </c>
      <c r="AH296" s="201"/>
      <c r="AI296" s="197"/>
    </row>
    <row r="297" spans="1:35" ht="21" customHeight="1" x14ac:dyDescent="0.2">
      <c r="A297" s="1893"/>
      <c r="B297" s="1908" t="s">
        <v>333</v>
      </c>
      <c r="C297" s="1629" t="s">
        <v>31</v>
      </c>
      <c r="D297" s="1629" t="s">
        <v>31</v>
      </c>
      <c r="E297" s="1629" t="s">
        <v>31</v>
      </c>
      <c r="F297" s="1636"/>
      <c r="G297" s="1636"/>
      <c r="H297" s="1629" t="s">
        <v>31</v>
      </c>
      <c r="I297" s="1629" t="s">
        <v>31</v>
      </c>
      <c r="J297" s="1629" t="s">
        <v>31</v>
      </c>
      <c r="K297" s="1629" t="s">
        <v>31</v>
      </c>
      <c r="L297" s="1629" t="s">
        <v>31</v>
      </c>
      <c r="M297" s="1629"/>
      <c r="N297" s="1612"/>
      <c r="O297" s="1629" t="s">
        <v>31</v>
      </c>
      <c r="P297" s="1629" t="s">
        <v>31</v>
      </c>
      <c r="Q297" s="1629" t="s">
        <v>31</v>
      </c>
      <c r="R297" s="1629" t="s">
        <v>31</v>
      </c>
      <c r="S297" s="1629" t="s">
        <v>31</v>
      </c>
      <c r="T297" s="1629"/>
      <c r="U297" s="1629"/>
      <c r="V297" s="1629" t="s">
        <v>31</v>
      </c>
      <c r="W297" s="1629" t="s">
        <v>31</v>
      </c>
      <c r="X297" s="1629" t="s">
        <v>31</v>
      </c>
      <c r="Y297" s="1628" t="s">
        <v>31</v>
      </c>
      <c r="Z297" s="1628" t="s">
        <v>31</v>
      </c>
      <c r="AA297" s="1628"/>
      <c r="AB297" s="1629"/>
      <c r="AC297" s="1712" t="s">
        <v>31</v>
      </c>
      <c r="AD297" s="1712" t="s">
        <v>31</v>
      </c>
      <c r="AE297" s="1712" t="s">
        <v>31</v>
      </c>
      <c r="AF297" s="1712" t="s">
        <v>31</v>
      </c>
      <c r="AG297" s="1712" t="s">
        <v>31</v>
      </c>
      <c r="AH297" s="201"/>
      <c r="AI297" s="197"/>
    </row>
    <row r="298" spans="1:35" ht="21" customHeight="1" x14ac:dyDescent="0.2">
      <c r="A298" s="1893"/>
      <c r="B298" s="1908" t="s">
        <v>334</v>
      </c>
      <c r="C298" s="1712" t="s">
        <v>31</v>
      </c>
      <c r="D298" s="1629" t="s">
        <v>31</v>
      </c>
      <c r="E298" s="1629" t="s">
        <v>31</v>
      </c>
      <c r="F298" s="1636"/>
      <c r="G298" s="1636"/>
      <c r="H298" s="1629" t="s">
        <v>31</v>
      </c>
      <c r="I298" s="1623" t="s">
        <v>289</v>
      </c>
      <c r="J298" s="1734" t="s">
        <v>31</v>
      </c>
      <c r="K298" s="1734" t="s">
        <v>31</v>
      </c>
      <c r="L298" s="1734" t="s">
        <v>31</v>
      </c>
      <c r="M298" s="1629"/>
      <c r="N298" s="1612"/>
      <c r="O298" s="1629" t="s">
        <v>31</v>
      </c>
      <c r="P298" s="1629" t="s">
        <v>31</v>
      </c>
      <c r="Q298" s="1629" t="s">
        <v>31</v>
      </c>
      <c r="R298" s="1629" t="s">
        <v>31</v>
      </c>
      <c r="S298" s="1629" t="s">
        <v>31</v>
      </c>
      <c r="T298" s="1629"/>
      <c r="U298" s="1629"/>
      <c r="V298" s="1629" t="s">
        <v>31</v>
      </c>
      <c r="W298" s="1629" t="s">
        <v>31</v>
      </c>
      <c r="X298" s="1629" t="s">
        <v>31</v>
      </c>
      <c r="Y298" s="1628" t="s">
        <v>31</v>
      </c>
      <c r="Z298" s="1628" t="s">
        <v>31</v>
      </c>
      <c r="AA298" s="1628"/>
      <c r="AB298" s="1629"/>
      <c r="AC298" s="1629" t="s">
        <v>31</v>
      </c>
      <c r="AD298" s="1629" t="s">
        <v>31</v>
      </c>
      <c r="AE298" s="1629" t="s">
        <v>31</v>
      </c>
      <c r="AF298" s="1623" t="s">
        <v>360</v>
      </c>
      <c r="AG298" s="1909" t="s">
        <v>31</v>
      </c>
      <c r="AH298" s="201"/>
      <c r="AI298" s="197"/>
    </row>
    <row r="299" spans="1:35" ht="21" customHeight="1" x14ac:dyDescent="0.2">
      <c r="A299" s="1893"/>
      <c r="B299" s="1901"/>
      <c r="C299" s="1629" t="s">
        <v>31</v>
      </c>
      <c r="D299" s="1629" t="s">
        <v>31</v>
      </c>
      <c r="E299" s="1629" t="s">
        <v>31</v>
      </c>
      <c r="F299" s="1636"/>
      <c r="G299" s="1636"/>
      <c r="H299" s="1629" t="s">
        <v>31</v>
      </c>
      <c r="I299" s="1629" t="s">
        <v>31</v>
      </c>
      <c r="J299" s="1629" t="s">
        <v>31</v>
      </c>
      <c r="K299" s="1629" t="s">
        <v>31</v>
      </c>
      <c r="L299" s="1629" t="s">
        <v>31</v>
      </c>
      <c r="M299" s="1629"/>
      <c r="N299" s="1612"/>
      <c r="O299" s="1629" t="s">
        <v>31</v>
      </c>
      <c r="P299" s="1629" t="s">
        <v>31</v>
      </c>
      <c r="Q299" s="1629" t="s">
        <v>31</v>
      </c>
      <c r="R299" s="1629" t="s">
        <v>31</v>
      </c>
      <c r="S299" s="1629" t="s">
        <v>31</v>
      </c>
      <c r="T299" s="1629"/>
      <c r="U299" s="1629"/>
      <c r="V299" s="1629" t="s">
        <v>31</v>
      </c>
      <c r="W299" s="1629" t="s">
        <v>31</v>
      </c>
      <c r="X299" s="1629" t="s">
        <v>31</v>
      </c>
      <c r="Y299" s="1628" t="s">
        <v>31</v>
      </c>
      <c r="Z299" s="1628" t="s">
        <v>31</v>
      </c>
      <c r="AA299" s="1628"/>
      <c r="AB299" s="1629"/>
      <c r="AC299" s="1629" t="s">
        <v>31</v>
      </c>
      <c r="AD299" s="1629" t="s">
        <v>31</v>
      </c>
      <c r="AE299" s="1629" t="s">
        <v>31</v>
      </c>
      <c r="AF299" s="1629" t="s">
        <v>31</v>
      </c>
      <c r="AG299" s="1629" t="s">
        <v>31</v>
      </c>
      <c r="AH299" s="201"/>
      <c r="AI299" s="197"/>
    </row>
    <row r="300" spans="1:35" ht="21" customHeight="1" x14ac:dyDescent="0.2">
      <c r="A300" s="1893"/>
      <c r="B300" s="1910" t="s">
        <v>335</v>
      </c>
      <c r="C300" s="1629" t="s">
        <v>31</v>
      </c>
      <c r="D300" s="1629" t="s">
        <v>31</v>
      </c>
      <c r="E300" s="1629" t="s">
        <v>31</v>
      </c>
      <c r="F300" s="1636"/>
      <c r="G300" s="1636"/>
      <c r="H300" s="1712" t="s">
        <v>31</v>
      </c>
      <c r="I300" s="1712" t="s">
        <v>31</v>
      </c>
      <c r="J300" s="1712" t="s">
        <v>31</v>
      </c>
      <c r="K300" s="1712" t="s">
        <v>31</v>
      </c>
      <c r="L300" s="1712" t="s">
        <v>31</v>
      </c>
      <c r="M300" s="1712"/>
      <c r="N300" s="1712"/>
      <c r="O300" s="1712" t="s">
        <v>31</v>
      </c>
      <c r="P300" s="1712" t="s">
        <v>31</v>
      </c>
      <c r="Q300" s="1712" t="s">
        <v>31</v>
      </c>
      <c r="R300" s="1712" t="s">
        <v>31</v>
      </c>
      <c r="S300" s="1712" t="s">
        <v>31</v>
      </c>
      <c r="T300" s="1629"/>
      <c r="U300" s="1629"/>
      <c r="V300" s="1629" t="s">
        <v>31</v>
      </c>
      <c r="W300" s="1629" t="s">
        <v>31</v>
      </c>
      <c r="X300" s="1629" t="s">
        <v>31</v>
      </c>
      <c r="Y300" s="1628" t="s">
        <v>31</v>
      </c>
      <c r="Z300" s="1628" t="s">
        <v>31</v>
      </c>
      <c r="AA300" s="1628"/>
      <c r="AB300" s="1629"/>
      <c r="AC300" s="1629" t="s">
        <v>31</v>
      </c>
      <c r="AD300" s="1629" t="s">
        <v>31</v>
      </c>
      <c r="AE300" s="1629" t="s">
        <v>31</v>
      </c>
      <c r="AF300" s="1629" t="s">
        <v>31</v>
      </c>
      <c r="AG300" s="1629" t="s">
        <v>31</v>
      </c>
      <c r="AH300" s="201"/>
      <c r="AI300" s="197"/>
    </row>
    <row r="301" spans="1:35" ht="21" customHeight="1" x14ac:dyDescent="0.2">
      <c r="A301" s="1893"/>
      <c r="B301" s="1665" t="s">
        <v>336</v>
      </c>
      <c r="C301" s="1629" t="s">
        <v>31</v>
      </c>
      <c r="D301" s="1629" t="s">
        <v>31</v>
      </c>
      <c r="E301" s="1629" t="s">
        <v>31</v>
      </c>
      <c r="F301" s="1636"/>
      <c r="G301" s="1636"/>
      <c r="H301" s="1629" t="s">
        <v>31</v>
      </c>
      <c r="I301" s="1629" t="s">
        <v>31</v>
      </c>
      <c r="J301" s="1629" t="s">
        <v>31</v>
      </c>
      <c r="K301" s="1629" t="s">
        <v>31</v>
      </c>
      <c r="L301" s="1629" t="s">
        <v>31</v>
      </c>
      <c r="M301" s="1629"/>
      <c r="N301" s="1612"/>
      <c r="O301" s="1629" t="s">
        <v>31</v>
      </c>
      <c r="P301" s="1629" t="s">
        <v>31</v>
      </c>
      <c r="Q301" s="1629" t="s">
        <v>31</v>
      </c>
      <c r="R301" s="1629" t="s">
        <v>31</v>
      </c>
      <c r="S301" s="1629" t="s">
        <v>31</v>
      </c>
      <c r="T301" s="1629"/>
      <c r="U301" s="1629"/>
      <c r="V301" s="1629" t="s">
        <v>31</v>
      </c>
      <c r="W301" s="1629" t="s">
        <v>31</v>
      </c>
      <c r="X301" s="1629" t="s">
        <v>31</v>
      </c>
      <c r="Y301" s="1628" t="s">
        <v>31</v>
      </c>
      <c r="Z301" s="1628" t="s">
        <v>31</v>
      </c>
      <c r="AA301" s="1628"/>
      <c r="AB301" s="1629"/>
      <c r="AC301" s="1629" t="s">
        <v>31</v>
      </c>
      <c r="AD301" s="1629" t="s">
        <v>31</v>
      </c>
      <c r="AE301" s="1629" t="s">
        <v>31</v>
      </c>
      <c r="AF301" s="1629" t="s">
        <v>31</v>
      </c>
      <c r="AG301" s="1629" t="s">
        <v>31</v>
      </c>
      <c r="AH301" s="201"/>
      <c r="AI301" s="197"/>
    </row>
    <row r="302" spans="1:35" ht="21" customHeight="1" x14ac:dyDescent="0.2">
      <c r="A302" s="1893"/>
      <c r="B302" s="1910"/>
      <c r="C302" s="1629"/>
      <c r="D302" s="1546"/>
      <c r="E302" s="1629"/>
      <c r="F302" s="1629"/>
      <c r="G302" s="1629"/>
      <c r="H302" s="1629"/>
      <c r="I302" s="1629"/>
      <c r="J302" s="1629"/>
      <c r="K302" s="1629"/>
      <c r="L302" s="1629"/>
      <c r="M302" s="1629"/>
      <c r="N302" s="1629"/>
      <c r="O302" s="1629"/>
      <c r="P302" s="1629"/>
      <c r="Q302" s="1629"/>
      <c r="R302" s="1629"/>
      <c r="S302" s="1629"/>
      <c r="T302" s="1629"/>
      <c r="U302" s="1629"/>
      <c r="V302" s="1629"/>
      <c r="W302" s="1629"/>
      <c r="X302" s="1629"/>
      <c r="Y302" s="1629"/>
      <c r="Z302" s="1629"/>
      <c r="AA302" s="1629"/>
      <c r="AB302" s="1629"/>
      <c r="AC302" s="1629"/>
      <c r="AD302" s="1629"/>
      <c r="AE302" s="1629"/>
      <c r="AF302" s="1629"/>
      <c r="AG302" s="1675"/>
      <c r="AH302" s="201"/>
      <c r="AI302" s="197"/>
    </row>
    <row r="303" spans="1:35" ht="21" customHeight="1" x14ac:dyDescent="0.2">
      <c r="A303" s="1690"/>
      <c r="B303" s="1910"/>
      <c r="C303" s="1675"/>
      <c r="D303" s="1675"/>
      <c r="E303" s="1675"/>
      <c r="F303" s="1675"/>
      <c r="G303" s="1675"/>
      <c r="H303" s="1675"/>
      <c r="I303" s="1675"/>
      <c r="J303" s="1675"/>
      <c r="K303" s="1675"/>
      <c r="L303" s="1675"/>
      <c r="M303" s="1675"/>
      <c r="N303" s="1606"/>
      <c r="O303" s="1606"/>
      <c r="P303" s="1675"/>
      <c r="Q303" s="1675"/>
      <c r="R303" s="1675"/>
      <c r="S303" s="1675"/>
      <c r="T303" s="1675"/>
      <c r="U303" s="1675"/>
      <c r="V303" s="1675"/>
      <c r="W303" s="1675"/>
      <c r="X303" s="1675"/>
      <c r="Y303" s="1675"/>
      <c r="Z303" s="1675"/>
      <c r="AA303" s="1675"/>
      <c r="AB303" s="1606"/>
      <c r="AC303" s="1606"/>
      <c r="AD303" s="1675"/>
      <c r="AE303" s="1675"/>
      <c r="AF303" s="1675"/>
      <c r="AG303" s="1675"/>
      <c r="AH303" s="201"/>
      <c r="AI303" s="199"/>
    </row>
    <row r="304" spans="1:35" ht="21" customHeight="1" thickBot="1" x14ac:dyDescent="0.25">
      <c r="A304" s="686"/>
      <c r="B304" s="687"/>
      <c r="C304" s="1126"/>
      <c r="D304" s="1127"/>
      <c r="E304" s="1127"/>
      <c r="F304" s="1127"/>
      <c r="G304" s="1127"/>
      <c r="H304" s="1127"/>
      <c r="I304" s="1127"/>
      <c r="J304" s="1127"/>
      <c r="K304" s="1127"/>
      <c r="L304" s="1127"/>
      <c r="M304" s="1127"/>
      <c r="N304" s="1128"/>
      <c r="O304" s="1128"/>
      <c r="P304" s="1127"/>
      <c r="Q304" s="1127"/>
      <c r="R304" s="1127"/>
      <c r="S304" s="1127"/>
      <c r="T304" s="1127"/>
      <c r="U304" s="1127"/>
      <c r="V304" s="1127"/>
      <c r="W304" s="1127"/>
      <c r="X304" s="1127"/>
      <c r="Y304" s="1127"/>
      <c r="Z304" s="1127"/>
      <c r="AA304" s="1127"/>
      <c r="AB304" s="1128"/>
      <c r="AC304" s="1128"/>
      <c r="AD304" s="1127"/>
      <c r="AE304" s="1127"/>
      <c r="AF304" s="1127"/>
      <c r="AG304" s="1127"/>
      <c r="AH304" s="201"/>
      <c r="AI304" s="199"/>
    </row>
  </sheetData>
  <protectedRanges>
    <protectedRange sqref="B229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1:B12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4:B126 B187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2:Z32"/>
  </mergeCells>
  <pageMargins left="0.19652777777777777" right="0" top="0.19652777777777777" bottom="0" header="0.19652777777777777" footer="0.51180555555555551"/>
  <pageSetup paperSize="9" scale="74" firstPageNumber="0" fitToHeight="0" orientation="landscape" horizontalDpi="300" verticalDpi="300" r:id="rId1"/>
  <headerFooter alignWithMargins="0">
    <oddHeader xml:space="preserve">&amp;R&amp;"Arial,fed"&amp;12&amp;A </oddHeader>
  </headerFooter>
  <ignoredErrors>
    <ignoredError sqref="E42" numberStoredAsText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FF077-3794-4F7B-9582-14D3C36496E7}">
  <sheetPr codeName="Ark66"/>
  <dimension ref="A1:AM301"/>
  <sheetViews>
    <sheetView zoomScale="90" zoomScaleNormal="90" workbookViewId="0">
      <pane xSplit="2" ySplit="3" topLeftCell="C52" activePane="bottomRight" state="frozen"/>
      <selection pane="topRight" activeCell="AM167" sqref="AM167"/>
      <selection pane="bottomLeft" activeCell="AM167" sqref="AM167"/>
      <selection pane="bottomRight" activeCell="E82" sqref="E82:I82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1911" t="s">
        <v>2</v>
      </c>
      <c r="C2" s="1912" t="s">
        <v>3</v>
      </c>
      <c r="D2" s="1913"/>
      <c r="E2" s="1914" t="s">
        <v>4</v>
      </c>
      <c r="F2" s="1915"/>
      <c r="G2" s="1916"/>
      <c r="H2" s="1916"/>
      <c r="I2" s="1916"/>
      <c r="J2" s="1916"/>
      <c r="K2" s="1917"/>
      <c r="L2" s="1918" t="s">
        <v>5</v>
      </c>
      <c r="M2" s="1919"/>
      <c r="N2" s="1920"/>
      <c r="O2" s="1921" t="s">
        <v>6</v>
      </c>
      <c r="P2" s="1922"/>
      <c r="Q2" s="1923"/>
      <c r="R2" s="1924"/>
      <c r="S2" s="1925" t="s">
        <v>7</v>
      </c>
      <c r="T2" s="1926"/>
      <c r="U2" s="1927"/>
      <c r="V2" s="1926"/>
      <c r="W2" s="1928" t="s">
        <v>8</v>
      </c>
      <c r="X2" s="1929"/>
      <c r="Y2" s="1930"/>
      <c r="Z2" s="164" t="s">
        <v>9</v>
      </c>
      <c r="AA2" s="1157"/>
      <c r="AB2" s="1158"/>
      <c r="AC2" s="1159"/>
      <c r="AD2" s="1160" t="s">
        <v>10</v>
      </c>
      <c r="AE2" s="1161"/>
      <c r="AF2" s="1161"/>
      <c r="AG2" s="1162"/>
    </row>
    <row r="3" spans="1:35" ht="13.35" customHeight="1" x14ac:dyDescent="0.2">
      <c r="A3" s="1"/>
      <c r="B3" s="1163" t="s">
        <v>11</v>
      </c>
      <c r="C3" s="1164" t="s">
        <v>12</v>
      </c>
      <c r="D3" s="1165"/>
      <c r="E3" s="91"/>
      <c r="F3" s="92"/>
      <c r="G3" s="92"/>
      <c r="H3" s="165" t="s">
        <v>13</v>
      </c>
      <c r="I3" s="93"/>
      <c r="J3" s="93"/>
      <c r="K3" s="94"/>
      <c r="L3" s="1166" t="s">
        <v>14</v>
      </c>
      <c r="M3" s="1167"/>
      <c r="N3" s="1168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1167"/>
      <c r="AA3" s="1167"/>
      <c r="AB3" s="1169"/>
      <c r="AC3" s="1170"/>
      <c r="AD3" s="1171" t="s">
        <v>17</v>
      </c>
      <c r="AE3" s="1172"/>
      <c r="AF3" s="1172"/>
      <c r="AG3" s="1173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1174" t="s">
        <v>20</v>
      </c>
      <c r="B6" s="1167"/>
      <c r="C6" s="1175"/>
      <c r="D6" s="1174" t="s">
        <v>21</v>
      </c>
      <c r="E6" s="1167"/>
      <c r="F6" s="1167"/>
      <c r="G6" s="1167"/>
      <c r="H6" s="1176"/>
      <c r="I6" s="1167"/>
      <c r="J6" s="1167"/>
      <c r="K6" s="1167"/>
      <c r="L6" s="1177" t="s">
        <v>22</v>
      </c>
      <c r="M6" s="1167"/>
      <c r="N6" s="1167"/>
      <c r="O6" s="1167"/>
      <c r="P6" s="1167"/>
      <c r="Q6" s="1167"/>
      <c r="R6" s="1167"/>
      <c r="S6" s="1175"/>
      <c r="T6" s="1178"/>
      <c r="U6" s="1167"/>
      <c r="V6" s="1167"/>
      <c r="W6" s="1167"/>
      <c r="X6" s="1167"/>
      <c r="Y6" s="1167"/>
      <c r="Z6" s="1167"/>
      <c r="AA6" s="1175"/>
      <c r="AB6" s="1179"/>
      <c r="AC6" s="1180"/>
      <c r="AD6" s="1180"/>
      <c r="AE6" s="1180"/>
      <c r="AF6" s="1180"/>
      <c r="AG6" s="1181"/>
    </row>
    <row r="7" spans="1:35" ht="22.15" customHeight="1" x14ac:dyDescent="0.2">
      <c r="A7" s="1174" t="s">
        <v>23</v>
      </c>
      <c r="B7" s="1167"/>
      <c r="C7" s="1167"/>
      <c r="D7" s="1167"/>
      <c r="E7" s="1167"/>
      <c r="F7" s="1167"/>
      <c r="G7" s="1167"/>
      <c r="H7" s="1167"/>
      <c r="I7" s="1167"/>
      <c r="J7" s="1167"/>
      <c r="K7" s="1175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167"/>
      <c r="V7" s="1167"/>
      <c r="W7" s="1167"/>
      <c r="X7" s="1167"/>
      <c r="Y7" s="1167"/>
      <c r="Z7" s="1167"/>
      <c r="AA7" s="1167"/>
      <c r="AB7" s="1182"/>
      <c r="AC7" s="1167"/>
      <c r="AD7" s="1167"/>
      <c r="AE7" s="1167"/>
      <c r="AF7" s="1167"/>
      <c r="AG7" s="1175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5" ht="22.15" customHeight="1" thickBot="1" x14ac:dyDescent="0.25">
      <c r="A11" s="1183" t="s">
        <v>28</v>
      </c>
      <c r="B11" s="1184" t="s">
        <v>29</v>
      </c>
      <c r="C11" s="1185">
        <v>1</v>
      </c>
      <c r="D11" s="1185">
        <v>2</v>
      </c>
      <c r="E11" s="1186">
        <v>3</v>
      </c>
      <c r="F11" s="1186">
        <v>4</v>
      </c>
      <c r="G11" s="1186">
        <v>5</v>
      </c>
      <c r="H11" s="1186">
        <v>6</v>
      </c>
      <c r="I11" s="1186">
        <v>7</v>
      </c>
      <c r="J11" s="1185">
        <v>8</v>
      </c>
      <c r="K11" s="1185">
        <v>9</v>
      </c>
      <c r="L11" s="1186">
        <v>10</v>
      </c>
      <c r="M11" s="1186">
        <v>11</v>
      </c>
      <c r="N11" s="1186">
        <v>12</v>
      </c>
      <c r="O11" s="1186">
        <v>13</v>
      </c>
      <c r="P11" s="1186">
        <v>14</v>
      </c>
      <c r="Q11" s="1185">
        <v>15</v>
      </c>
      <c r="R11" s="1185">
        <v>16</v>
      </c>
      <c r="S11" s="1186">
        <v>17</v>
      </c>
      <c r="T11" s="1186">
        <v>18</v>
      </c>
      <c r="U11" s="1186">
        <v>19</v>
      </c>
      <c r="V11" s="1186">
        <v>20</v>
      </c>
      <c r="W11" s="1186">
        <v>21</v>
      </c>
      <c r="X11" s="1185">
        <v>22</v>
      </c>
      <c r="Y11" s="1185">
        <v>23</v>
      </c>
      <c r="Z11" s="1186">
        <v>24</v>
      </c>
      <c r="AA11" s="1186">
        <v>25</v>
      </c>
      <c r="AB11" s="1186">
        <v>26</v>
      </c>
      <c r="AC11" s="1186">
        <v>27</v>
      </c>
      <c r="AD11" s="1186">
        <v>28</v>
      </c>
      <c r="AE11" s="1185">
        <v>29</v>
      </c>
      <c r="AF11" s="1185">
        <v>30</v>
      </c>
      <c r="AG11" s="1931">
        <v>31</v>
      </c>
      <c r="AH11" s="184"/>
      <c r="AI11" s="185"/>
    </row>
    <row r="12" spans="1:35" ht="22.15" customHeight="1" x14ac:dyDescent="0.2">
      <c r="A12" s="456">
        <v>8500</v>
      </c>
      <c r="B12" s="457" t="s">
        <v>30</v>
      </c>
      <c r="C12" s="458"/>
      <c r="D12" s="458"/>
      <c r="E12" s="458" t="s">
        <v>31</v>
      </c>
      <c r="F12" s="459" t="s">
        <v>31</v>
      </c>
      <c r="G12" s="459" t="s">
        <v>31</v>
      </c>
      <c r="H12" s="459" t="s">
        <v>31</v>
      </c>
      <c r="I12" s="459" t="s">
        <v>31</v>
      </c>
      <c r="J12" s="459"/>
      <c r="K12" s="458"/>
      <c r="L12" s="458" t="s">
        <v>31</v>
      </c>
      <c r="M12" s="458" t="s">
        <v>31</v>
      </c>
      <c r="N12" s="458" t="s">
        <v>31</v>
      </c>
      <c r="O12" s="458" t="s">
        <v>31</v>
      </c>
      <c r="P12" s="458" t="s">
        <v>31</v>
      </c>
      <c r="Q12" s="458"/>
      <c r="R12" s="458"/>
      <c r="S12" s="458" t="s">
        <v>31</v>
      </c>
      <c r="T12" s="458" t="s">
        <v>31</v>
      </c>
      <c r="U12" s="458" t="s">
        <v>31</v>
      </c>
      <c r="V12" s="458" t="s">
        <v>31</v>
      </c>
      <c r="W12" s="458" t="s">
        <v>31</v>
      </c>
      <c r="X12" s="459"/>
      <c r="Y12" s="458"/>
      <c r="Z12" s="458" t="s">
        <v>31</v>
      </c>
      <c r="AA12" s="458" t="s">
        <v>31</v>
      </c>
      <c r="AB12" s="458" t="s">
        <v>31</v>
      </c>
      <c r="AC12" s="458" t="s">
        <v>31</v>
      </c>
      <c r="AD12" s="458" t="s">
        <v>31</v>
      </c>
      <c r="AE12" s="458"/>
      <c r="AF12" s="458"/>
      <c r="AG12" s="464" t="s">
        <v>31</v>
      </c>
      <c r="AH12" s="190"/>
      <c r="AI12" s="190"/>
    </row>
    <row r="13" spans="1:35" ht="22.15" customHeight="1" x14ac:dyDescent="0.2">
      <c r="A13" s="1188" t="s">
        <v>33</v>
      </c>
      <c r="B13" s="1189"/>
      <c r="C13" s="1189"/>
      <c r="D13" s="1189"/>
      <c r="E13" s="1189"/>
      <c r="F13" s="1189"/>
      <c r="G13" s="1189"/>
      <c r="H13" s="1189"/>
      <c r="I13" s="1189"/>
      <c r="J13" s="1189"/>
      <c r="K13" s="1189"/>
      <c r="L13" s="1189"/>
      <c r="M13" s="1189"/>
      <c r="N13" s="1189"/>
      <c r="O13" s="1189"/>
      <c r="P13" s="1189"/>
      <c r="Q13" s="1189"/>
      <c r="R13" s="1189"/>
      <c r="S13" s="1189"/>
      <c r="T13" s="1189"/>
      <c r="U13" s="1189"/>
      <c r="V13" s="1189"/>
      <c r="W13" s="1189"/>
      <c r="X13" s="1189"/>
      <c r="Y13" s="1189"/>
      <c r="Z13" s="1189"/>
      <c r="AA13" s="1189"/>
      <c r="AB13" s="1189"/>
      <c r="AC13" s="1189"/>
      <c r="AD13" s="1189"/>
      <c r="AE13" s="1189"/>
      <c r="AF13" s="1189"/>
      <c r="AG13" s="1190"/>
      <c r="AH13" s="188"/>
      <c r="AI13" s="188"/>
    </row>
    <row r="14" spans="1:35" ht="22.15" customHeight="1" x14ac:dyDescent="0.2">
      <c r="A14" s="1191">
        <v>8546</v>
      </c>
      <c r="B14" s="1192" t="s">
        <v>34</v>
      </c>
      <c r="C14" s="1193"/>
      <c r="D14" s="1193"/>
      <c r="E14" s="1193">
        <v>4</v>
      </c>
      <c r="F14" s="1193">
        <v>4</v>
      </c>
      <c r="G14" s="1193">
        <v>4</v>
      </c>
      <c r="H14" s="1194">
        <v>4</v>
      </c>
      <c r="I14" s="1194">
        <v>4</v>
      </c>
      <c r="J14" s="1194" t="s">
        <v>37</v>
      </c>
      <c r="K14" s="1203" t="s">
        <v>37</v>
      </c>
      <c r="L14" s="1194" t="s">
        <v>35</v>
      </c>
      <c r="M14" s="1258" t="s">
        <v>35</v>
      </c>
      <c r="N14" s="1193" t="s">
        <v>35</v>
      </c>
      <c r="O14" s="1193" t="s">
        <v>35</v>
      </c>
      <c r="P14" s="1199" t="s">
        <v>35</v>
      </c>
      <c r="Q14" s="1199"/>
      <c r="R14" s="1194"/>
      <c r="S14" s="1267">
        <v>1</v>
      </c>
      <c r="T14" s="1199">
        <v>1</v>
      </c>
      <c r="U14" s="1199">
        <v>1</v>
      </c>
      <c r="V14" s="1194">
        <v>1</v>
      </c>
      <c r="W14" s="1194">
        <v>1</v>
      </c>
      <c r="X14" s="1194"/>
      <c r="Y14" s="1194"/>
      <c r="Z14" s="1194">
        <v>2</v>
      </c>
      <c r="AA14" s="1194">
        <v>2</v>
      </c>
      <c r="AB14" s="1194">
        <v>2</v>
      </c>
      <c r="AC14" s="1194">
        <v>2</v>
      </c>
      <c r="AD14" s="1199">
        <v>2</v>
      </c>
      <c r="AE14" s="1194" t="s">
        <v>36</v>
      </c>
      <c r="AF14" s="1194" t="s">
        <v>36</v>
      </c>
      <c r="AG14" s="1201" t="s">
        <v>35</v>
      </c>
      <c r="AH14" s="190"/>
      <c r="AI14" s="190"/>
    </row>
    <row r="15" spans="1:35" ht="22.15" customHeight="1" x14ac:dyDescent="0.2">
      <c r="A15" s="1191">
        <v>8546</v>
      </c>
      <c r="B15" s="1202" t="s">
        <v>38</v>
      </c>
      <c r="C15" s="1200" t="s">
        <v>36</v>
      </c>
      <c r="D15" s="1200" t="s">
        <v>36</v>
      </c>
      <c r="E15" s="1200" t="s">
        <v>35</v>
      </c>
      <c r="F15" s="1200" t="s">
        <v>35</v>
      </c>
      <c r="G15" s="1200" t="s">
        <v>35</v>
      </c>
      <c r="H15" s="1200" t="s">
        <v>35</v>
      </c>
      <c r="I15" s="1200" t="s">
        <v>35</v>
      </c>
      <c r="J15" s="1200"/>
      <c r="K15" s="1200"/>
      <c r="L15" s="1200">
        <v>4</v>
      </c>
      <c r="M15" s="1200">
        <v>4</v>
      </c>
      <c r="N15" s="1200">
        <v>4</v>
      </c>
      <c r="O15" s="1200">
        <v>4</v>
      </c>
      <c r="P15" s="1200">
        <v>4</v>
      </c>
      <c r="Q15" s="1200" t="s">
        <v>37</v>
      </c>
      <c r="R15" s="1200" t="s">
        <v>37</v>
      </c>
      <c r="S15" s="1194" t="s">
        <v>35</v>
      </c>
      <c r="T15" s="1376" t="s">
        <v>35</v>
      </c>
      <c r="U15" s="1194" t="s">
        <v>35</v>
      </c>
      <c r="V15" s="1194" t="s">
        <v>35</v>
      </c>
      <c r="W15" s="1194" t="s">
        <v>35</v>
      </c>
      <c r="X15" s="1194"/>
      <c r="Y15" s="1194"/>
      <c r="Z15" s="1194">
        <v>1</v>
      </c>
      <c r="AA15" s="1194">
        <v>1</v>
      </c>
      <c r="AB15" s="1194">
        <v>1</v>
      </c>
      <c r="AC15" s="1194">
        <v>1</v>
      </c>
      <c r="AD15" s="1194">
        <v>1</v>
      </c>
      <c r="AE15" s="1194"/>
      <c r="AF15" s="1194"/>
      <c r="AG15" s="1201">
        <v>2</v>
      </c>
      <c r="AH15" s="190"/>
      <c r="AI15" s="190"/>
    </row>
    <row r="16" spans="1:35" ht="22.15" customHeight="1" x14ac:dyDescent="0.2">
      <c r="A16" s="1191">
        <v>8546</v>
      </c>
      <c r="B16" s="1192" t="s">
        <v>39</v>
      </c>
      <c r="C16" s="1200"/>
      <c r="D16" s="1200"/>
      <c r="E16" s="1200">
        <v>1</v>
      </c>
      <c r="F16" s="1200">
        <v>1</v>
      </c>
      <c r="G16" s="1200">
        <v>1</v>
      </c>
      <c r="H16" s="1200">
        <v>1</v>
      </c>
      <c r="I16" s="1200">
        <v>1</v>
      </c>
      <c r="J16" s="1200"/>
      <c r="K16" s="1200"/>
      <c r="L16" s="1200">
        <v>2</v>
      </c>
      <c r="M16" s="1200">
        <v>2</v>
      </c>
      <c r="N16" s="1200">
        <v>2</v>
      </c>
      <c r="O16" s="1200">
        <v>2</v>
      </c>
      <c r="P16" s="1200">
        <v>2</v>
      </c>
      <c r="Q16" s="1200" t="s">
        <v>36</v>
      </c>
      <c r="R16" s="1200" t="s">
        <v>36</v>
      </c>
      <c r="S16" s="1194" t="s">
        <v>35</v>
      </c>
      <c r="T16" s="1194" t="s">
        <v>35</v>
      </c>
      <c r="U16" s="1194" t="s">
        <v>35</v>
      </c>
      <c r="V16" s="1194" t="s">
        <v>35</v>
      </c>
      <c r="W16" s="1203" t="s">
        <v>35</v>
      </c>
      <c r="X16" s="1194"/>
      <c r="Y16" s="1199"/>
      <c r="Z16" s="1199">
        <v>4</v>
      </c>
      <c r="AA16" s="1199">
        <v>4</v>
      </c>
      <c r="AB16" s="1199">
        <v>4</v>
      </c>
      <c r="AC16" s="1199">
        <v>4</v>
      </c>
      <c r="AD16" s="1194">
        <v>4</v>
      </c>
      <c r="AE16" s="1194" t="s">
        <v>37</v>
      </c>
      <c r="AF16" s="1194" t="s">
        <v>37</v>
      </c>
      <c r="AG16" s="1201" t="s">
        <v>35</v>
      </c>
      <c r="AH16" s="190"/>
      <c r="AI16" s="190"/>
    </row>
    <row r="17" spans="1:37" ht="22.15" customHeight="1" x14ac:dyDescent="0.2">
      <c r="A17" s="1191">
        <v>8546</v>
      </c>
      <c r="B17" s="1202" t="s">
        <v>40</v>
      </c>
      <c r="C17" s="1194" t="s">
        <v>37</v>
      </c>
      <c r="D17" s="1203" t="s">
        <v>37</v>
      </c>
      <c r="E17" s="1194" t="s">
        <v>35</v>
      </c>
      <c r="F17" s="1199" t="s">
        <v>35</v>
      </c>
      <c r="G17" s="1194" t="s">
        <v>35</v>
      </c>
      <c r="H17" s="1194" t="s">
        <v>35</v>
      </c>
      <c r="I17" s="1194" t="s">
        <v>35</v>
      </c>
      <c r="J17" s="1194"/>
      <c r="K17" s="1194"/>
      <c r="L17" s="1194">
        <v>1</v>
      </c>
      <c r="M17" s="1193">
        <v>1</v>
      </c>
      <c r="N17" s="1193">
        <v>1</v>
      </c>
      <c r="O17" s="1193">
        <v>1</v>
      </c>
      <c r="P17" s="1193">
        <v>1</v>
      </c>
      <c r="Q17" s="1193"/>
      <c r="R17" s="1193"/>
      <c r="S17" s="1193">
        <v>2</v>
      </c>
      <c r="T17" s="1376">
        <v>2</v>
      </c>
      <c r="U17" s="1194">
        <v>2</v>
      </c>
      <c r="V17" s="1194">
        <v>2</v>
      </c>
      <c r="W17" s="1194">
        <v>2</v>
      </c>
      <c r="X17" s="1203" t="s">
        <v>36</v>
      </c>
      <c r="Y17" s="1194" t="s">
        <v>36</v>
      </c>
      <c r="Z17" s="1194" t="s">
        <v>35</v>
      </c>
      <c r="AA17" s="1206" t="s">
        <v>35</v>
      </c>
      <c r="AB17" s="1206" t="s">
        <v>35</v>
      </c>
      <c r="AC17" s="1206" t="s">
        <v>35</v>
      </c>
      <c r="AD17" s="1206" t="s">
        <v>35</v>
      </c>
      <c r="AE17" s="1206"/>
      <c r="AF17" s="1206"/>
      <c r="AG17" s="1201">
        <v>4</v>
      </c>
      <c r="AH17" s="190"/>
      <c r="AI17" s="190"/>
    </row>
    <row r="18" spans="1:37" ht="22.15" customHeight="1" x14ac:dyDescent="0.2">
      <c r="A18" s="1191">
        <v>8546</v>
      </c>
      <c r="B18" s="1192" t="s">
        <v>41</v>
      </c>
      <c r="C18" s="1194"/>
      <c r="D18" s="1203"/>
      <c r="E18" s="1194">
        <v>2</v>
      </c>
      <c r="F18" s="1194">
        <v>2</v>
      </c>
      <c r="G18" s="1194">
        <v>2</v>
      </c>
      <c r="H18" s="1194">
        <v>2</v>
      </c>
      <c r="I18" s="1194">
        <v>2</v>
      </c>
      <c r="J18" s="1199" t="s">
        <v>36</v>
      </c>
      <c r="K18" s="1199" t="s">
        <v>36</v>
      </c>
      <c r="L18" s="1194" t="s">
        <v>35</v>
      </c>
      <c r="M18" s="1199" t="s">
        <v>35</v>
      </c>
      <c r="N18" s="1199" t="s">
        <v>35</v>
      </c>
      <c r="O18" s="1194" t="s">
        <v>35</v>
      </c>
      <c r="P18" s="1194" t="s">
        <v>35</v>
      </c>
      <c r="Q18" s="1194"/>
      <c r="R18" s="1194"/>
      <c r="S18" s="1194">
        <v>4</v>
      </c>
      <c r="T18" s="1194">
        <v>4</v>
      </c>
      <c r="U18" s="1199">
        <v>4</v>
      </c>
      <c r="V18" s="1199">
        <v>4</v>
      </c>
      <c r="W18" s="1194">
        <v>4</v>
      </c>
      <c r="X18" s="1194" t="s">
        <v>37</v>
      </c>
      <c r="Y18" s="1194" t="s">
        <v>37</v>
      </c>
      <c r="Z18" s="1194" t="s">
        <v>35</v>
      </c>
      <c r="AA18" s="1194" t="s">
        <v>35</v>
      </c>
      <c r="AB18" s="1194" t="s">
        <v>35</v>
      </c>
      <c r="AC18" s="1207" t="s">
        <v>35</v>
      </c>
      <c r="AD18" s="1194" t="s">
        <v>35</v>
      </c>
      <c r="AE18" s="1194"/>
      <c r="AF18" s="1194"/>
      <c r="AG18" s="1201">
        <v>1</v>
      </c>
      <c r="AH18" s="190"/>
      <c r="AI18" s="190"/>
    </row>
    <row r="19" spans="1:37" ht="22.15" customHeight="1" thickBot="1" x14ac:dyDescent="0.25">
      <c r="A19" s="1208" t="s">
        <v>42</v>
      </c>
      <c r="B19" s="1209"/>
      <c r="C19" s="1210"/>
      <c r="D19" s="1210"/>
      <c r="E19" s="1210"/>
      <c r="F19" s="1210"/>
      <c r="G19" s="1210"/>
      <c r="H19" s="1210"/>
      <c r="I19" s="1210"/>
      <c r="J19" s="1210"/>
      <c r="K19" s="1210"/>
      <c r="L19" s="1210"/>
      <c r="M19" s="1210"/>
      <c r="N19" s="1210"/>
      <c r="O19" s="1210"/>
      <c r="P19" s="1210"/>
      <c r="Q19" s="1210"/>
      <c r="R19" s="1210"/>
      <c r="S19" s="1210"/>
      <c r="T19" s="1210"/>
      <c r="U19" s="1210"/>
      <c r="V19" s="1210"/>
      <c r="W19" s="1210"/>
      <c r="X19" s="1210"/>
      <c r="Y19" s="1210"/>
      <c r="Z19" s="1210"/>
      <c r="AA19" s="1210"/>
      <c r="AB19" s="1210"/>
      <c r="AC19" s="1210"/>
      <c r="AD19" s="1210"/>
      <c r="AE19" s="1210"/>
      <c r="AF19" s="1210"/>
      <c r="AG19" s="1932"/>
      <c r="AH19" s="188"/>
      <c r="AI19" s="188"/>
    </row>
    <row r="20" spans="1:37" ht="22.15" customHeight="1" thickBot="1" x14ac:dyDescent="0.25">
      <c r="A20" s="465">
        <v>8500</v>
      </c>
      <c r="B20" s="466" t="s">
        <v>43</v>
      </c>
      <c r="C20" s="534"/>
      <c r="D20" s="534"/>
      <c r="E20" s="534" t="s">
        <v>31</v>
      </c>
      <c r="F20" s="534" t="s">
        <v>233</v>
      </c>
      <c r="G20" s="534" t="s">
        <v>233</v>
      </c>
      <c r="H20" s="534" t="s">
        <v>31</v>
      </c>
      <c r="I20" s="534" t="s">
        <v>31</v>
      </c>
      <c r="J20" s="534"/>
      <c r="L20" s="534" t="s">
        <v>31</v>
      </c>
      <c r="M20" s="552" t="s">
        <v>31</v>
      </c>
      <c r="N20" s="534" t="s">
        <v>31</v>
      </c>
      <c r="O20" s="534" t="s">
        <v>31</v>
      </c>
      <c r="P20" s="534" t="s">
        <v>31</v>
      </c>
      <c r="Q20" s="534"/>
      <c r="R20" s="534"/>
      <c r="S20" s="534" t="s">
        <v>216</v>
      </c>
      <c r="T20" s="535" t="s">
        <v>31</v>
      </c>
      <c r="U20" s="555" t="s">
        <v>31</v>
      </c>
      <c r="V20" s="555" t="s">
        <v>31</v>
      </c>
      <c r="W20" s="555" t="s">
        <v>31</v>
      </c>
      <c r="X20" s="555"/>
      <c r="Y20" s="556"/>
      <c r="Z20" s="557" t="s">
        <v>31</v>
      </c>
      <c r="AA20" s="555" t="s">
        <v>31</v>
      </c>
      <c r="AB20" s="555" t="s">
        <v>31</v>
      </c>
      <c r="AC20" s="555" t="s">
        <v>31</v>
      </c>
      <c r="AD20" s="555" t="s">
        <v>31</v>
      </c>
      <c r="AE20" s="555"/>
      <c r="AF20" s="555"/>
      <c r="AG20" s="558" t="s">
        <v>31</v>
      </c>
      <c r="AH20" s="190"/>
      <c r="AI20" s="190"/>
    </row>
    <row r="21" spans="1:37" ht="22.15" customHeight="1" x14ac:dyDescent="0.2">
      <c r="A21" s="1626">
        <v>8500</v>
      </c>
      <c r="B21" s="1627" t="s">
        <v>44</v>
      </c>
      <c r="C21" s="1612"/>
      <c r="D21" s="1612"/>
      <c r="E21" s="1612">
        <v>1</v>
      </c>
      <c r="F21" s="1612">
        <v>1</v>
      </c>
      <c r="G21" s="1612">
        <v>1</v>
      </c>
      <c r="H21" s="1629">
        <v>1</v>
      </c>
      <c r="I21" s="1629">
        <v>1</v>
      </c>
      <c r="J21" s="1612"/>
      <c r="K21" s="559">
        <v>26</v>
      </c>
      <c r="L21" s="1628">
        <v>4</v>
      </c>
      <c r="M21" s="1612">
        <v>4</v>
      </c>
      <c r="N21" s="1629">
        <v>4</v>
      </c>
      <c r="O21" s="1612">
        <v>4</v>
      </c>
      <c r="P21" s="1612">
        <v>4</v>
      </c>
      <c r="Q21" s="1612" t="s">
        <v>37</v>
      </c>
      <c r="R21" s="1612" t="s">
        <v>37</v>
      </c>
      <c r="S21" s="1933" t="s">
        <v>35</v>
      </c>
      <c r="T21" s="1933" t="s">
        <v>35</v>
      </c>
      <c r="U21" s="1933" t="s">
        <v>35</v>
      </c>
      <c r="V21" s="1933" t="s">
        <v>35</v>
      </c>
      <c r="W21" s="1933" t="s">
        <v>35</v>
      </c>
      <c r="X21" s="1933"/>
      <c r="Y21" s="1740"/>
      <c r="Z21" s="1740" t="s">
        <v>31</v>
      </c>
      <c r="AA21" s="1933" t="s">
        <v>31</v>
      </c>
      <c r="AB21" s="1933" t="s">
        <v>31</v>
      </c>
      <c r="AC21" s="1933" t="s">
        <v>31</v>
      </c>
      <c r="AD21" s="1933" t="s">
        <v>31</v>
      </c>
      <c r="AE21" s="1739"/>
      <c r="AF21" s="1739"/>
      <c r="AH21" s="190"/>
      <c r="AI21" s="190"/>
    </row>
    <row r="22" spans="1:37" ht="22.15" customHeight="1" x14ac:dyDescent="0.2">
      <c r="A22" s="1626">
        <v>8500</v>
      </c>
      <c r="B22" s="1630" t="s">
        <v>45</v>
      </c>
      <c r="C22" s="1612" t="s">
        <v>36</v>
      </c>
      <c r="D22" s="1612" t="s">
        <v>36</v>
      </c>
      <c r="E22" s="1612" t="s">
        <v>35</v>
      </c>
      <c r="F22" s="1629" t="s">
        <v>35</v>
      </c>
      <c r="G22" s="1612" t="s">
        <v>35</v>
      </c>
      <c r="H22" s="1612" t="s">
        <v>35</v>
      </c>
      <c r="I22" s="1612" t="s">
        <v>35</v>
      </c>
      <c r="J22" s="1612"/>
      <c r="K22" s="1612"/>
      <c r="L22" s="1612">
        <v>2</v>
      </c>
      <c r="M22" s="1612">
        <v>2</v>
      </c>
      <c r="N22" s="1633">
        <v>2</v>
      </c>
      <c r="O22" s="1633">
        <v>2</v>
      </c>
      <c r="P22" s="1633">
        <v>2</v>
      </c>
      <c r="Q22" s="1628" t="s">
        <v>36</v>
      </c>
      <c r="R22" s="1633" t="s">
        <v>36</v>
      </c>
      <c r="S22" s="1712" t="s">
        <v>35</v>
      </c>
      <c r="T22" s="1712" t="s">
        <v>35</v>
      </c>
      <c r="U22" s="1712" t="s">
        <v>35</v>
      </c>
      <c r="V22" s="1712" t="s">
        <v>35</v>
      </c>
      <c r="W22" s="1712" t="s">
        <v>35</v>
      </c>
      <c r="X22" s="1712"/>
      <c r="Y22" s="1712"/>
      <c r="Z22" s="1712" t="s">
        <v>31</v>
      </c>
      <c r="AA22" s="1712" t="s">
        <v>31</v>
      </c>
      <c r="AB22" s="1712" t="s">
        <v>31</v>
      </c>
      <c r="AC22" s="1712" t="s">
        <v>31</v>
      </c>
      <c r="AD22" s="1712" t="s">
        <v>31</v>
      </c>
      <c r="AE22" s="1712"/>
      <c r="AF22" s="1712"/>
      <c r="AG22" s="1713" t="s">
        <v>31</v>
      </c>
      <c r="AH22" s="190"/>
      <c r="AI22" s="190"/>
    </row>
    <row r="23" spans="1:37" ht="22.15" customHeight="1" x14ac:dyDescent="0.2">
      <c r="A23" s="1626"/>
      <c r="B23" s="1635"/>
      <c r="C23" s="1629"/>
      <c r="D23" s="1628"/>
      <c r="E23" s="1612"/>
      <c r="F23" s="1612"/>
      <c r="G23" s="1612"/>
      <c r="H23" s="1612"/>
      <c r="I23" s="1629"/>
      <c r="J23" s="1629"/>
      <c r="K23" s="1629"/>
      <c r="L23" s="1629"/>
      <c r="M23" s="1629"/>
      <c r="N23" s="1629"/>
      <c r="O23" s="1636"/>
      <c r="P23" s="1629"/>
      <c r="Q23" s="1629"/>
      <c r="R23" s="1637"/>
      <c r="S23" s="1637"/>
      <c r="T23" s="1629"/>
      <c r="U23" s="1629"/>
      <c r="V23" s="1629"/>
      <c r="W23" s="1629"/>
      <c r="X23" s="1629"/>
      <c r="Y23" s="1629"/>
      <c r="Z23" s="1629"/>
      <c r="AA23" s="1629"/>
      <c r="AB23" s="1629"/>
      <c r="AC23" s="1633"/>
      <c r="AD23" s="1633"/>
      <c r="AE23" s="1633"/>
      <c r="AF23" s="1633"/>
      <c r="AG23" s="1634"/>
    </row>
    <row r="24" spans="1:37" ht="22.15" customHeight="1" thickBot="1" x14ac:dyDescent="0.25">
      <c r="A24" s="688"/>
      <c r="B24" s="689" t="s">
        <v>338</v>
      </c>
      <c r="C24" s="690"/>
      <c r="D24" s="690"/>
      <c r="E24" s="690"/>
      <c r="F24" s="690"/>
      <c r="G24" s="690" t="s">
        <v>0</v>
      </c>
      <c r="H24" s="690"/>
      <c r="I24" s="690"/>
      <c r="J24" s="690"/>
      <c r="K24" s="690"/>
      <c r="L24" s="690" t="s">
        <v>0</v>
      </c>
      <c r="M24" s="690"/>
      <c r="N24" s="690" t="s">
        <v>0</v>
      </c>
      <c r="O24" s="690" t="s">
        <v>0</v>
      </c>
      <c r="P24" s="690"/>
      <c r="Q24" s="690"/>
      <c r="R24" s="690"/>
      <c r="S24" s="690"/>
      <c r="T24" s="690"/>
      <c r="U24" s="690" t="s">
        <v>0</v>
      </c>
      <c r="V24" s="690"/>
      <c r="W24" s="690"/>
      <c r="X24" s="690"/>
      <c r="Y24" s="690"/>
      <c r="Z24" s="690"/>
      <c r="AA24" s="690"/>
      <c r="AB24" s="690"/>
      <c r="AC24" s="690"/>
      <c r="AD24" s="690"/>
      <c r="AE24" s="690"/>
      <c r="AF24" s="690"/>
      <c r="AG24" s="218"/>
    </row>
    <row r="25" spans="1:37" ht="22.15" customHeight="1" x14ac:dyDescent="0.2">
      <c r="A25" s="102"/>
      <c r="E25" t="s">
        <v>368</v>
      </c>
      <c r="F25" t="s">
        <v>0</v>
      </c>
      <c r="G25" t="s">
        <v>0</v>
      </c>
      <c r="H25" t="s">
        <v>0</v>
      </c>
      <c r="I25" t="s">
        <v>0</v>
      </c>
      <c r="K25">
        <v>26</v>
      </c>
      <c r="L25" s="1629" t="s">
        <v>248</v>
      </c>
      <c r="M25" s="1629" t="s">
        <v>248</v>
      </c>
      <c r="N25" s="1629" t="s">
        <v>248</v>
      </c>
      <c r="O25" s="1629" t="s">
        <v>248</v>
      </c>
      <c r="P25" s="1629" t="s">
        <v>248</v>
      </c>
      <c r="Q25" s="1629" t="s">
        <v>0</v>
      </c>
      <c r="R25" s="1629" t="s">
        <v>0</v>
      </c>
      <c r="AA25" s="1934" t="s">
        <v>0</v>
      </c>
    </row>
    <row r="26" spans="1:37" ht="22.15" customHeight="1" x14ac:dyDescent="0.2">
      <c r="A26" s="102"/>
      <c r="E26">
        <v>1</v>
      </c>
      <c r="F26">
        <v>1</v>
      </c>
      <c r="G26">
        <v>1</v>
      </c>
      <c r="H26">
        <v>1</v>
      </c>
      <c r="I26">
        <v>1</v>
      </c>
      <c r="L26" s="1258"/>
      <c r="M26" s="1258"/>
      <c r="N26" s="1258"/>
      <c r="O26" s="1258"/>
      <c r="P26" s="1258"/>
      <c r="Z26" t="s">
        <v>0</v>
      </c>
      <c r="AA26" t="s">
        <v>0</v>
      </c>
      <c r="AE26" t="s">
        <v>0</v>
      </c>
      <c r="AF26" t="s">
        <v>0</v>
      </c>
    </row>
    <row r="27" spans="1:37" ht="22.15" customHeight="1" x14ac:dyDescent="0.2">
      <c r="A27" s="102"/>
      <c r="E27" t="s">
        <v>0</v>
      </c>
      <c r="F27" t="s">
        <v>175</v>
      </c>
      <c r="G27" t="s">
        <v>175</v>
      </c>
      <c r="H27" t="s">
        <v>175</v>
      </c>
      <c r="I27" t="s">
        <v>175</v>
      </c>
      <c r="J27" t="s">
        <v>0</v>
      </c>
      <c r="K27" t="s">
        <v>0</v>
      </c>
    </row>
    <row r="28" spans="1:37" ht="22.15" customHeight="1" x14ac:dyDescent="0.2">
      <c r="A28" s="102"/>
    </row>
    <row r="29" spans="1:37" ht="22.15" customHeight="1" x14ac:dyDescent="0.2">
      <c r="A29" s="102"/>
    </row>
    <row r="30" spans="1:37" ht="12.75" customHeight="1" thickBot="1" x14ac:dyDescent="0.25">
      <c r="A30" s="162" t="s">
        <v>48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37" ht="28.5" customHeight="1" x14ac:dyDescent="0.2">
      <c r="A31" s="302" t="s">
        <v>49</v>
      </c>
      <c r="B31" s="404"/>
      <c r="C31" s="404"/>
      <c r="D31" s="471" t="s">
        <v>50</v>
      </c>
      <c r="E31" s="405"/>
      <c r="F31" s="405"/>
      <c r="G31" s="405"/>
      <c r="H31" s="405"/>
      <c r="I31" s="405"/>
      <c r="J31" s="405"/>
      <c r="K31" s="405"/>
      <c r="L31" s="405"/>
      <c r="M31" s="406" t="s">
        <v>51</v>
      </c>
      <c r="N31" s="405"/>
      <c r="O31" s="405"/>
      <c r="P31" s="405"/>
      <c r="Q31" s="405"/>
      <c r="R31" s="405"/>
      <c r="S31" s="407"/>
      <c r="T31" s="3653" t="s">
        <v>52</v>
      </c>
      <c r="U31" s="3654"/>
      <c r="V31" s="3654"/>
      <c r="W31" s="3654"/>
      <c r="X31" s="3654"/>
      <c r="Y31" s="3654"/>
      <c r="Z31" s="3655"/>
      <c r="AA31" s="472" t="s">
        <v>53</v>
      </c>
      <c r="AB31" s="473"/>
      <c r="AC31" s="473"/>
      <c r="AD31" s="473"/>
      <c r="AE31" s="473"/>
      <c r="AF31" s="473"/>
      <c r="AG31" s="474"/>
      <c r="AK31" s="1"/>
    </row>
    <row r="32" spans="1:37" ht="22.15" customHeight="1" x14ac:dyDescent="0.2">
      <c r="A32" s="1227" t="s">
        <v>54</v>
      </c>
      <c r="B32" s="1180"/>
      <c r="C32" s="1180"/>
      <c r="D32" s="1228" t="s">
        <v>55</v>
      </c>
      <c r="E32" s="1229"/>
      <c r="F32" s="1167"/>
      <c r="G32" s="1167"/>
      <c r="H32" s="1167"/>
      <c r="I32" s="1167"/>
      <c r="J32" s="1167"/>
      <c r="K32" s="1167"/>
      <c r="L32" s="1175"/>
      <c r="M32" s="1230" t="s">
        <v>56</v>
      </c>
      <c r="N32" s="1180"/>
      <c r="O32" s="1231"/>
      <c r="P32" s="1180"/>
      <c r="Q32" s="1180"/>
      <c r="R32" s="1180"/>
      <c r="S32" s="1232"/>
      <c r="T32" s="1228" t="s">
        <v>57</v>
      </c>
      <c r="U32" s="1167"/>
      <c r="V32" s="1229"/>
      <c r="W32" s="1167"/>
      <c r="X32" s="1167"/>
      <c r="Y32" s="1167"/>
      <c r="Z32" s="1175"/>
      <c r="AA32" s="163" t="s">
        <v>58</v>
      </c>
      <c r="AD32" s="100"/>
      <c r="AG32" s="103"/>
      <c r="AK32" s="1"/>
    </row>
    <row r="33" spans="1:38" ht="22.15" customHeight="1" x14ac:dyDescent="0.2">
      <c r="A33" s="1233" t="s">
        <v>59</v>
      </c>
      <c r="B33" s="1167"/>
      <c r="C33" s="1167"/>
      <c r="D33" s="1234"/>
      <c r="E33" s="1167"/>
      <c r="F33" s="1167"/>
      <c r="G33" s="1175"/>
      <c r="H33" s="1182" t="s">
        <v>60</v>
      </c>
      <c r="I33" s="1167"/>
      <c r="J33" s="1167"/>
      <c r="K33" s="1167"/>
      <c r="L33" s="1167"/>
      <c r="M33" s="1235"/>
      <c r="N33" s="1167"/>
      <c r="O33" s="1167"/>
      <c r="P33" s="1167"/>
      <c r="Q33" s="1167"/>
      <c r="R33" s="1167"/>
      <c r="S33" s="1167"/>
      <c r="T33" s="1234"/>
      <c r="U33" s="162" t="s">
        <v>61</v>
      </c>
      <c r="AA33" s="1231"/>
      <c r="AB33" s="1180"/>
      <c r="AC33" s="1180"/>
      <c r="AD33" s="1180"/>
      <c r="AE33" s="1180"/>
      <c r="AF33" s="1180"/>
      <c r="AG33" s="1236"/>
      <c r="AK33" s="64"/>
    </row>
    <row r="34" spans="1:38" ht="22.15" customHeight="1" thickBot="1" x14ac:dyDescent="0.25">
      <c r="A34" s="1935" t="s">
        <v>62</v>
      </c>
      <c r="B34" s="1238"/>
      <c r="C34" s="1238"/>
      <c r="D34" s="1239"/>
      <c r="E34" s="1238"/>
      <c r="F34" s="1238"/>
      <c r="G34" s="1240"/>
      <c r="H34" s="1241" t="s">
        <v>63</v>
      </c>
      <c r="I34" s="1240"/>
      <c r="J34" s="1238"/>
      <c r="K34" s="1238"/>
      <c r="L34" s="1238"/>
      <c r="M34" s="1242"/>
      <c r="N34" s="1238"/>
      <c r="O34" s="1238"/>
      <c r="P34" s="1238"/>
      <c r="Q34" s="1243"/>
      <c r="R34" s="1243"/>
      <c r="S34" s="1243"/>
      <c r="T34" s="1239"/>
      <c r="U34" s="1244" t="s">
        <v>64</v>
      </c>
      <c r="V34" s="1238"/>
      <c r="W34" s="1238"/>
      <c r="X34" s="1238"/>
      <c r="Y34" s="1238"/>
      <c r="Z34" s="1238"/>
      <c r="AA34" s="1238"/>
      <c r="AB34" s="1238"/>
      <c r="AC34" s="1238"/>
      <c r="AD34" s="1238"/>
      <c r="AE34" s="1238"/>
      <c r="AF34" s="1238"/>
      <c r="AG34" s="1245"/>
      <c r="AK34" s="1"/>
    </row>
    <row r="35" spans="1:38" ht="22.1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  <c r="AJ35" s="177"/>
    </row>
    <row r="36" spans="1:38" ht="22.15" customHeight="1" thickBot="1" x14ac:dyDescent="0.25">
      <c r="A36" s="1246" t="s">
        <v>28</v>
      </c>
      <c r="B36" s="1247" t="s">
        <v>29</v>
      </c>
      <c r="C36" s="1185">
        <v>1</v>
      </c>
      <c r="D36" s="1185">
        <v>2</v>
      </c>
      <c r="E36" s="1186">
        <v>3</v>
      </c>
      <c r="F36" s="1186">
        <v>4</v>
      </c>
      <c r="G36" s="1186">
        <v>5</v>
      </c>
      <c r="H36" s="1186">
        <v>6</v>
      </c>
      <c r="I36" s="1186">
        <v>7</v>
      </c>
      <c r="J36" s="1185">
        <v>8</v>
      </c>
      <c r="K36" s="1185">
        <v>9</v>
      </c>
      <c r="L36" s="1186">
        <v>10</v>
      </c>
      <c r="M36" s="1186">
        <v>11</v>
      </c>
      <c r="N36" s="1186">
        <v>12</v>
      </c>
      <c r="O36" s="1186">
        <v>13</v>
      </c>
      <c r="P36" s="1186">
        <v>14</v>
      </c>
      <c r="Q36" s="1185">
        <v>15</v>
      </c>
      <c r="R36" s="1185">
        <v>16</v>
      </c>
      <c r="S36" s="1186">
        <v>17</v>
      </c>
      <c r="T36" s="1186">
        <v>18</v>
      </c>
      <c r="U36" s="1186">
        <v>19</v>
      </c>
      <c r="V36" s="1186">
        <v>20</v>
      </c>
      <c r="W36" s="1186">
        <v>21</v>
      </c>
      <c r="X36" s="1185">
        <v>22</v>
      </c>
      <c r="Y36" s="1185">
        <v>23</v>
      </c>
      <c r="Z36" s="1186">
        <v>24</v>
      </c>
      <c r="AA36" s="1186">
        <v>25</v>
      </c>
      <c r="AB36" s="1186">
        <v>26</v>
      </c>
      <c r="AC36" s="1186">
        <v>27</v>
      </c>
      <c r="AD36" s="1186">
        <v>28</v>
      </c>
      <c r="AE36" s="1185">
        <v>29</v>
      </c>
      <c r="AF36" s="1185">
        <v>30</v>
      </c>
      <c r="AG36" s="1931">
        <v>31</v>
      </c>
      <c r="AH36" s="184"/>
      <c r="AI36" s="185"/>
      <c r="AL36" t="s">
        <v>0</v>
      </c>
    </row>
    <row r="37" spans="1:38" ht="22.15" customHeight="1" x14ac:dyDescent="0.2">
      <c r="A37" s="475">
        <v>1</v>
      </c>
      <c r="B37" s="476" t="s">
        <v>65</v>
      </c>
      <c r="C37" s="477"/>
      <c r="D37" s="458"/>
      <c r="E37" s="477" t="s">
        <v>228</v>
      </c>
      <c r="F37" s="477" t="s">
        <v>228</v>
      </c>
      <c r="G37" s="477" t="s">
        <v>228</v>
      </c>
      <c r="H37" s="477" t="s">
        <v>228</v>
      </c>
      <c r="I37" s="477" t="s">
        <v>228</v>
      </c>
      <c r="J37" s="458"/>
      <c r="K37" s="477"/>
      <c r="L37" s="477">
        <v>9</v>
      </c>
      <c r="M37" s="477">
        <v>9</v>
      </c>
      <c r="N37" s="477">
        <v>9</v>
      </c>
      <c r="O37" s="458">
        <v>9</v>
      </c>
      <c r="P37" s="477">
        <v>9</v>
      </c>
      <c r="Q37" s="459" t="s">
        <v>66</v>
      </c>
      <c r="R37" s="458" t="s">
        <v>67</v>
      </c>
      <c r="S37" s="532" t="s">
        <v>35</v>
      </c>
      <c r="T37" s="532" t="s">
        <v>35</v>
      </c>
      <c r="U37" s="532" t="s">
        <v>35</v>
      </c>
      <c r="V37" s="532" t="s">
        <v>35</v>
      </c>
      <c r="W37" s="532" t="s">
        <v>35</v>
      </c>
      <c r="X37" s="532" t="s">
        <v>68</v>
      </c>
      <c r="Y37" s="532" t="s">
        <v>69</v>
      </c>
      <c r="Z37" s="532">
        <v>6</v>
      </c>
      <c r="AA37" s="532">
        <v>6</v>
      </c>
      <c r="AB37" s="532">
        <v>6</v>
      </c>
      <c r="AC37" s="532">
        <v>6</v>
      </c>
      <c r="AD37" s="532">
        <v>6</v>
      </c>
      <c r="AE37" s="532"/>
      <c r="AF37" s="532"/>
      <c r="AG37" s="554" t="s">
        <v>35</v>
      </c>
      <c r="AH37" s="189"/>
      <c r="AI37" s="190"/>
    </row>
    <row r="38" spans="1:38" ht="22.15" customHeight="1" x14ac:dyDescent="0.2">
      <c r="A38" s="1249">
        <v>6</v>
      </c>
      <c r="B38" s="1665" t="s">
        <v>0</v>
      </c>
      <c r="C38" s="1193"/>
      <c r="D38" s="1193"/>
      <c r="E38" s="1193">
        <v>5</v>
      </c>
      <c r="F38" s="1193">
        <v>5</v>
      </c>
      <c r="G38" s="1193">
        <v>5</v>
      </c>
      <c r="H38" s="1193">
        <v>5</v>
      </c>
      <c r="I38" s="1193">
        <v>5</v>
      </c>
      <c r="J38" s="1193"/>
      <c r="K38" s="1193"/>
      <c r="L38" s="1193">
        <v>10</v>
      </c>
      <c r="M38" s="1193">
        <v>10</v>
      </c>
      <c r="N38" s="1193">
        <v>10</v>
      </c>
      <c r="O38" s="1193">
        <v>10</v>
      </c>
      <c r="P38" s="1193">
        <v>10</v>
      </c>
      <c r="Q38" s="1193" t="s">
        <v>67</v>
      </c>
      <c r="R38" s="1193" t="s">
        <v>67</v>
      </c>
      <c r="S38" s="1193" t="s">
        <v>35</v>
      </c>
      <c r="T38" s="1193" t="s">
        <v>35</v>
      </c>
      <c r="U38" s="1193" t="s">
        <v>35</v>
      </c>
      <c r="V38" s="1193" t="s">
        <v>35</v>
      </c>
      <c r="W38" s="1193" t="s">
        <v>35</v>
      </c>
      <c r="X38" s="1193" t="s">
        <v>71</v>
      </c>
      <c r="Y38" s="1193" t="s">
        <v>71</v>
      </c>
      <c r="Z38" s="1193">
        <v>7</v>
      </c>
      <c r="AA38" s="1193">
        <v>7</v>
      </c>
      <c r="AB38" s="1193">
        <v>7</v>
      </c>
      <c r="AC38" s="1193">
        <v>7</v>
      </c>
      <c r="AD38" s="1193">
        <v>7</v>
      </c>
      <c r="AE38" s="1193"/>
      <c r="AF38" s="1193"/>
      <c r="AG38" s="1251">
        <v>4</v>
      </c>
      <c r="AH38" s="189"/>
      <c r="AI38" s="190"/>
    </row>
    <row r="39" spans="1:38" ht="22.15" customHeight="1" thickBot="1" x14ac:dyDescent="0.25">
      <c r="A39" s="1936">
        <v>11</v>
      </c>
      <c r="B39" s="1253" t="s">
        <v>72</v>
      </c>
      <c r="C39" s="1937"/>
      <c r="D39" s="1255"/>
      <c r="E39" s="1255">
        <v>3</v>
      </c>
      <c r="F39" s="1255">
        <v>3</v>
      </c>
      <c r="G39" s="1255">
        <v>3</v>
      </c>
      <c r="H39" s="1255">
        <v>3</v>
      </c>
      <c r="I39" s="1255">
        <v>3</v>
      </c>
      <c r="J39" s="1255"/>
      <c r="K39" s="1255"/>
      <c r="L39" s="1255">
        <v>11</v>
      </c>
      <c r="M39" s="1255">
        <v>11</v>
      </c>
      <c r="N39" s="1255">
        <v>11</v>
      </c>
      <c r="O39" s="1254">
        <v>11</v>
      </c>
      <c r="P39" s="1255">
        <v>11</v>
      </c>
      <c r="Q39" s="1254" t="s">
        <v>73</v>
      </c>
      <c r="R39" s="1254" t="s">
        <v>73</v>
      </c>
      <c r="S39" s="1255" t="s">
        <v>35</v>
      </c>
      <c r="T39" s="1938" t="s">
        <v>35</v>
      </c>
      <c r="U39" s="1938" t="s">
        <v>35</v>
      </c>
      <c r="V39" s="1938" t="s">
        <v>35</v>
      </c>
      <c r="W39" s="1938" t="s">
        <v>35</v>
      </c>
      <c r="X39" s="1938" t="s">
        <v>69</v>
      </c>
      <c r="Y39" s="1271" t="s">
        <v>69</v>
      </c>
      <c r="Z39" s="1255">
        <v>8</v>
      </c>
      <c r="AA39" s="1255">
        <v>8</v>
      </c>
      <c r="AB39" s="1263">
        <v>8</v>
      </c>
      <c r="AC39" s="1263">
        <v>8</v>
      </c>
      <c r="AD39" s="1263">
        <v>8</v>
      </c>
      <c r="AE39" s="1255"/>
      <c r="AF39" s="1255"/>
      <c r="AG39" s="1939" t="s">
        <v>35</v>
      </c>
      <c r="AH39" s="189"/>
      <c r="AI39" s="190"/>
    </row>
    <row r="40" spans="1:38" ht="22.15" customHeight="1" x14ac:dyDescent="0.2">
      <c r="A40" s="475">
        <v>2</v>
      </c>
      <c r="B40" s="183" t="s">
        <v>74</v>
      </c>
      <c r="C40" s="532"/>
      <c r="D40" s="532"/>
      <c r="E40" s="458">
        <v>9</v>
      </c>
      <c r="F40" s="458">
        <v>9</v>
      </c>
      <c r="G40" s="458">
        <v>9</v>
      </c>
      <c r="H40" s="477">
        <v>9</v>
      </c>
      <c r="I40" s="477">
        <v>9</v>
      </c>
      <c r="J40" s="458" t="s">
        <v>66</v>
      </c>
      <c r="K40" s="458" t="s">
        <v>67</v>
      </c>
      <c r="L40" s="477" t="s">
        <v>35</v>
      </c>
      <c r="M40" s="477" t="s">
        <v>35</v>
      </c>
      <c r="N40" s="477" t="s">
        <v>35</v>
      </c>
      <c r="O40" s="459" t="s">
        <v>35</v>
      </c>
      <c r="P40" s="477" t="s">
        <v>35</v>
      </c>
      <c r="Q40" s="459" t="s">
        <v>68</v>
      </c>
      <c r="R40" s="459" t="s">
        <v>69</v>
      </c>
      <c r="S40" s="458">
        <v>6</v>
      </c>
      <c r="T40" s="459">
        <v>6</v>
      </c>
      <c r="U40" s="459">
        <v>6</v>
      </c>
      <c r="V40" s="459">
        <v>6</v>
      </c>
      <c r="W40" s="459">
        <v>6</v>
      </c>
      <c r="X40" s="459"/>
      <c r="Y40" s="477"/>
      <c r="Z40" s="477" t="s">
        <v>35</v>
      </c>
      <c r="AA40" s="477" t="s">
        <v>35</v>
      </c>
      <c r="AB40" s="477" t="s">
        <v>35</v>
      </c>
      <c r="AC40" s="459" t="s">
        <v>35</v>
      </c>
      <c r="AD40" s="459" t="s">
        <v>35</v>
      </c>
      <c r="AE40" s="477"/>
      <c r="AF40" s="477"/>
      <c r="AG40" s="478">
        <v>5</v>
      </c>
      <c r="AH40" s="189"/>
      <c r="AI40" s="190"/>
    </row>
    <row r="41" spans="1:38" ht="22.15" customHeight="1" x14ac:dyDescent="0.2">
      <c r="A41" s="1249">
        <v>7</v>
      </c>
      <c r="B41" s="1202" t="s">
        <v>75</v>
      </c>
      <c r="C41" s="1258"/>
      <c r="D41" s="1940"/>
      <c r="E41" s="1259">
        <v>10</v>
      </c>
      <c r="F41" s="1259">
        <v>10</v>
      </c>
      <c r="G41" s="1259">
        <v>10</v>
      </c>
      <c r="H41" s="1259">
        <v>10</v>
      </c>
      <c r="I41" s="1259">
        <v>10</v>
      </c>
      <c r="J41" s="1258" t="s">
        <v>67</v>
      </c>
      <c r="K41" s="1260" t="s">
        <v>67</v>
      </c>
      <c r="L41" s="1260" t="s">
        <v>35</v>
      </c>
      <c r="M41" s="1260" t="s">
        <v>35</v>
      </c>
      <c r="N41" s="1259" t="s">
        <v>35</v>
      </c>
      <c r="O41" s="1259" t="s">
        <v>35</v>
      </c>
      <c r="P41" s="1259" t="s">
        <v>35</v>
      </c>
      <c r="Q41" s="1258" t="s">
        <v>71</v>
      </c>
      <c r="R41" s="1259" t="s">
        <v>71</v>
      </c>
      <c r="S41" s="1259">
        <v>7</v>
      </c>
      <c r="T41" s="1260">
        <v>7</v>
      </c>
      <c r="U41" s="1260">
        <v>7</v>
      </c>
      <c r="V41" s="1260">
        <v>7</v>
      </c>
      <c r="W41" s="1260">
        <v>7</v>
      </c>
      <c r="X41" s="1259"/>
      <c r="Y41" s="1259"/>
      <c r="Z41" s="1259">
        <v>4</v>
      </c>
      <c r="AA41" s="1259">
        <v>4</v>
      </c>
      <c r="AB41" s="1259">
        <v>4</v>
      </c>
      <c r="AC41" s="1259">
        <v>4</v>
      </c>
      <c r="AD41" s="1259">
        <v>4</v>
      </c>
      <c r="AE41" s="1259"/>
      <c r="AF41" s="1259"/>
      <c r="AG41" s="1261">
        <v>3</v>
      </c>
      <c r="AH41" s="189"/>
      <c r="AI41" s="190"/>
    </row>
    <row r="42" spans="1:38" ht="22.15" customHeight="1" thickBot="1" x14ac:dyDescent="0.25">
      <c r="A42" s="1936">
        <v>12</v>
      </c>
      <c r="B42" s="1262" t="s">
        <v>76</v>
      </c>
      <c r="C42" s="1255"/>
      <c r="D42" s="1263"/>
      <c r="E42" s="1255">
        <v>11</v>
      </c>
      <c r="F42" s="1255">
        <v>11</v>
      </c>
      <c r="G42" s="1255">
        <v>11</v>
      </c>
      <c r="H42" s="1255">
        <v>11</v>
      </c>
      <c r="I42" s="1941">
        <v>11</v>
      </c>
      <c r="J42" s="1271" t="s">
        <v>73</v>
      </c>
      <c r="K42" s="1941" t="s">
        <v>73</v>
      </c>
      <c r="L42" s="1255" t="s">
        <v>35</v>
      </c>
      <c r="M42" s="1255" t="s">
        <v>35</v>
      </c>
      <c r="N42" s="1255" t="s">
        <v>35</v>
      </c>
      <c r="O42" s="1255" t="s">
        <v>35</v>
      </c>
      <c r="P42" s="1255" t="s">
        <v>35</v>
      </c>
      <c r="Q42" s="1254" t="s">
        <v>69</v>
      </c>
      <c r="R42" s="1255" t="s">
        <v>69</v>
      </c>
      <c r="S42" s="1255">
        <v>8</v>
      </c>
      <c r="T42" s="1255">
        <v>8</v>
      </c>
      <c r="U42" s="1263">
        <v>8</v>
      </c>
      <c r="V42" s="1263">
        <v>8</v>
      </c>
      <c r="W42" s="1263">
        <v>8</v>
      </c>
      <c r="X42" s="1255"/>
      <c r="Y42" s="1255"/>
      <c r="Z42" s="1255" t="s">
        <v>35</v>
      </c>
      <c r="AA42" s="1255" t="s">
        <v>35</v>
      </c>
      <c r="AB42" s="1255" t="s">
        <v>35</v>
      </c>
      <c r="AC42" s="1254" t="s">
        <v>35</v>
      </c>
      <c r="AD42" s="1254" t="s">
        <v>35</v>
      </c>
      <c r="AE42" s="1254"/>
      <c r="AF42" s="1254"/>
      <c r="AG42" s="1942">
        <v>1</v>
      </c>
      <c r="AH42" s="189"/>
      <c r="AI42" s="190"/>
    </row>
    <row r="43" spans="1:38" ht="22.15" customHeight="1" x14ac:dyDescent="0.2">
      <c r="A43" s="475">
        <v>3</v>
      </c>
      <c r="B43" s="479" t="s">
        <v>77</v>
      </c>
      <c r="C43" s="532" t="s">
        <v>66</v>
      </c>
      <c r="D43" s="532" t="s">
        <v>67</v>
      </c>
      <c r="E43" s="532" t="s">
        <v>35</v>
      </c>
      <c r="F43" s="532" t="s">
        <v>35</v>
      </c>
      <c r="G43" s="532" t="s">
        <v>35</v>
      </c>
      <c r="H43" s="532" t="s">
        <v>35</v>
      </c>
      <c r="I43" s="532" t="s">
        <v>35</v>
      </c>
      <c r="J43" s="532" t="s">
        <v>68</v>
      </c>
      <c r="K43" s="532" t="s">
        <v>69</v>
      </c>
      <c r="L43" s="532">
        <v>6</v>
      </c>
      <c r="M43" s="532">
        <v>6</v>
      </c>
      <c r="N43" s="532">
        <v>6</v>
      </c>
      <c r="O43" s="532">
        <v>6</v>
      </c>
      <c r="P43" s="532">
        <v>6</v>
      </c>
      <c r="Q43" s="532"/>
      <c r="R43" s="532"/>
      <c r="S43" s="477" t="s">
        <v>35</v>
      </c>
      <c r="T43" s="477" t="s">
        <v>35</v>
      </c>
      <c r="U43" s="477" t="s">
        <v>35</v>
      </c>
      <c r="V43" s="459" t="s">
        <v>35</v>
      </c>
      <c r="W43" s="459" t="s">
        <v>35</v>
      </c>
      <c r="X43" s="458"/>
      <c r="Y43" s="477"/>
      <c r="Z43" s="485">
        <v>5</v>
      </c>
      <c r="AA43" s="485">
        <v>5</v>
      </c>
      <c r="AB43" s="485">
        <v>5</v>
      </c>
      <c r="AC43" s="560">
        <v>5</v>
      </c>
      <c r="AD43" s="485">
        <v>5</v>
      </c>
      <c r="AE43" s="477"/>
      <c r="AF43" s="477"/>
      <c r="AG43" s="478">
        <v>10</v>
      </c>
      <c r="AH43" s="189"/>
      <c r="AI43" s="190"/>
    </row>
    <row r="44" spans="1:38" ht="22.15" customHeight="1" x14ac:dyDescent="0.2">
      <c r="A44" s="1249">
        <v>8</v>
      </c>
      <c r="B44" s="1202"/>
      <c r="C44" s="1199" t="s">
        <v>67</v>
      </c>
      <c r="D44" s="1199" t="s">
        <v>67</v>
      </c>
      <c r="E44" s="1199" t="s">
        <v>35</v>
      </c>
      <c r="F44" s="1199" t="s">
        <v>35</v>
      </c>
      <c r="G44" s="1199" t="s">
        <v>35</v>
      </c>
      <c r="H44" s="1199" t="s">
        <v>35</v>
      </c>
      <c r="I44" s="1259" t="s">
        <v>35</v>
      </c>
      <c r="J44" s="1258" t="s">
        <v>71</v>
      </c>
      <c r="K44" s="1193" t="s">
        <v>71</v>
      </c>
      <c r="L44" s="1193">
        <v>7</v>
      </c>
      <c r="M44" s="1193">
        <v>7</v>
      </c>
      <c r="N44" s="1199">
        <v>7</v>
      </c>
      <c r="O44" s="1259">
        <v>7</v>
      </c>
      <c r="P44" s="1259">
        <v>7</v>
      </c>
      <c r="Q44" s="1259"/>
      <c r="R44" s="1259"/>
      <c r="S44" s="1259">
        <v>4</v>
      </c>
      <c r="T44" s="1259">
        <v>4</v>
      </c>
      <c r="U44" s="1259">
        <v>4</v>
      </c>
      <c r="V44" s="1259">
        <v>4</v>
      </c>
      <c r="W44" s="1259">
        <v>4</v>
      </c>
      <c r="X44" s="1258"/>
      <c r="Y44" s="1259"/>
      <c r="Z44" s="1259">
        <v>3</v>
      </c>
      <c r="AA44" s="1259">
        <v>3</v>
      </c>
      <c r="AB44" s="1259">
        <v>3</v>
      </c>
      <c r="AC44" s="1259">
        <v>3</v>
      </c>
      <c r="AD44" s="1199">
        <v>3</v>
      </c>
      <c r="AE44" s="1199"/>
      <c r="AF44" s="1267"/>
      <c r="AG44" s="1261">
        <v>11</v>
      </c>
      <c r="AH44" s="189"/>
      <c r="AI44" s="190"/>
    </row>
    <row r="45" spans="1:38" ht="22.15" customHeight="1" thickBot="1" x14ac:dyDescent="0.25">
      <c r="A45" s="1936">
        <v>13</v>
      </c>
      <c r="B45" s="1253" t="s">
        <v>79</v>
      </c>
      <c r="C45" s="1943" t="s">
        <v>73</v>
      </c>
      <c r="D45" s="1321" t="s">
        <v>73</v>
      </c>
      <c r="E45" s="1321" t="s">
        <v>35</v>
      </c>
      <c r="F45" s="1321" t="s">
        <v>81</v>
      </c>
      <c r="G45" s="1900" t="s">
        <v>35</v>
      </c>
      <c r="H45" s="1255" t="s">
        <v>35</v>
      </c>
      <c r="I45" s="1255" t="s">
        <v>35</v>
      </c>
      <c r="J45" s="1254" t="s">
        <v>69</v>
      </c>
      <c r="K45" s="1255" t="s">
        <v>69</v>
      </c>
      <c r="L45" s="1263">
        <v>8</v>
      </c>
      <c r="M45" s="1255">
        <v>8</v>
      </c>
      <c r="N45" s="1263">
        <v>8</v>
      </c>
      <c r="O45" s="1263">
        <v>8</v>
      </c>
      <c r="P45" s="1263">
        <v>8</v>
      </c>
      <c r="Q45" s="1255"/>
      <c r="R45" s="1255"/>
      <c r="S45" s="1256" t="s">
        <v>35</v>
      </c>
      <c r="T45" s="1256" t="s">
        <v>35</v>
      </c>
      <c r="U45" s="1256" t="s">
        <v>35</v>
      </c>
      <c r="V45" s="1256" t="s">
        <v>35</v>
      </c>
      <c r="W45" s="1256" t="s">
        <v>35</v>
      </c>
      <c r="X45" s="1256"/>
      <c r="Y45" s="1256"/>
      <c r="Z45" s="1256">
        <v>1</v>
      </c>
      <c r="AA45" s="1256">
        <v>1</v>
      </c>
      <c r="AB45" s="1256">
        <v>1</v>
      </c>
      <c r="AC45" s="1256">
        <v>1</v>
      </c>
      <c r="AD45" s="1256">
        <v>1</v>
      </c>
      <c r="AE45" s="1256"/>
      <c r="AF45" s="1256"/>
      <c r="AG45" s="1944">
        <v>9</v>
      </c>
      <c r="AH45" s="189"/>
      <c r="AI45" s="190"/>
    </row>
    <row r="46" spans="1:38" ht="22.15" customHeight="1" x14ac:dyDescent="0.2">
      <c r="A46" s="475">
        <v>4</v>
      </c>
      <c r="B46" s="476" t="s">
        <v>82</v>
      </c>
      <c r="C46" s="459" t="s">
        <v>68</v>
      </c>
      <c r="D46" s="459" t="s">
        <v>69</v>
      </c>
      <c r="E46" s="477">
        <v>6</v>
      </c>
      <c r="F46" s="458">
        <v>6</v>
      </c>
      <c r="G46" s="458">
        <v>6</v>
      </c>
      <c r="H46" s="458">
        <v>6</v>
      </c>
      <c r="I46" s="458">
        <v>6</v>
      </c>
      <c r="J46" s="458"/>
      <c r="K46" s="458"/>
      <c r="L46" s="458" t="s">
        <v>35</v>
      </c>
      <c r="M46" s="458" t="s">
        <v>35</v>
      </c>
      <c r="N46" s="458" t="s">
        <v>35</v>
      </c>
      <c r="O46" s="458" t="s">
        <v>35</v>
      </c>
      <c r="P46" s="458" t="s">
        <v>35</v>
      </c>
      <c r="Q46" s="458"/>
      <c r="R46" s="458"/>
      <c r="S46" s="532">
        <v>5</v>
      </c>
      <c r="T46" s="532">
        <v>5</v>
      </c>
      <c r="U46" s="532">
        <v>5</v>
      </c>
      <c r="V46" s="532">
        <v>5</v>
      </c>
      <c r="W46" s="532">
        <v>5</v>
      </c>
      <c r="X46" s="532"/>
      <c r="Y46" s="532"/>
      <c r="Z46" s="532">
        <v>10</v>
      </c>
      <c r="AA46" s="532">
        <v>10</v>
      </c>
      <c r="AB46" s="532">
        <v>10</v>
      </c>
      <c r="AC46" s="532">
        <v>10</v>
      </c>
      <c r="AD46" s="532">
        <v>10</v>
      </c>
      <c r="AE46" s="532" t="s">
        <v>67</v>
      </c>
      <c r="AF46" s="532" t="s">
        <v>67</v>
      </c>
      <c r="AG46" s="554" t="s">
        <v>35</v>
      </c>
      <c r="AH46" s="189"/>
      <c r="AI46" s="190"/>
    </row>
    <row r="47" spans="1:38" ht="22.15" customHeight="1" x14ac:dyDescent="0.2">
      <c r="A47" s="1249">
        <v>9</v>
      </c>
      <c r="B47" s="1202" t="s">
        <v>84</v>
      </c>
      <c r="C47" s="1258" t="s">
        <v>71</v>
      </c>
      <c r="D47" s="1259" t="s">
        <v>71</v>
      </c>
      <c r="E47" s="1259">
        <v>7</v>
      </c>
      <c r="F47" s="1259">
        <v>7</v>
      </c>
      <c r="G47" s="1259">
        <v>7</v>
      </c>
      <c r="H47" s="1259">
        <v>7</v>
      </c>
      <c r="I47" s="1259">
        <v>7</v>
      </c>
      <c r="J47" s="1259"/>
      <c r="K47" s="1259"/>
      <c r="L47" s="1259">
        <v>4</v>
      </c>
      <c r="M47" s="1259">
        <v>4</v>
      </c>
      <c r="N47" s="1259">
        <v>4</v>
      </c>
      <c r="O47" s="1259">
        <v>4</v>
      </c>
      <c r="P47" s="1259">
        <v>4</v>
      </c>
      <c r="Q47" s="1258"/>
      <c r="R47" s="1259"/>
      <c r="S47" s="1259">
        <v>3</v>
      </c>
      <c r="T47" s="1259">
        <v>3</v>
      </c>
      <c r="U47" s="1259">
        <v>3</v>
      </c>
      <c r="V47" s="1259">
        <v>3</v>
      </c>
      <c r="W47" s="1259">
        <v>3</v>
      </c>
      <c r="X47" s="1259"/>
      <c r="Y47" s="1259"/>
      <c r="Z47" s="1259">
        <v>11</v>
      </c>
      <c r="AA47" s="1259">
        <v>11</v>
      </c>
      <c r="AB47" s="1259">
        <v>11</v>
      </c>
      <c r="AC47" s="1259">
        <v>11</v>
      </c>
      <c r="AD47" s="1259">
        <v>11</v>
      </c>
      <c r="AE47" s="1259" t="s">
        <v>73</v>
      </c>
      <c r="AF47" s="1259" t="s">
        <v>73</v>
      </c>
      <c r="AG47" s="1261" t="s">
        <v>35</v>
      </c>
      <c r="AH47" s="189"/>
      <c r="AI47" s="190"/>
    </row>
    <row r="48" spans="1:38" ht="22.15" customHeight="1" thickBot="1" x14ac:dyDescent="0.25">
      <c r="A48" s="1936">
        <v>14</v>
      </c>
      <c r="B48" s="1253" t="s">
        <v>85</v>
      </c>
      <c r="C48" s="1254" t="s">
        <v>69</v>
      </c>
      <c r="D48" s="1255" t="s">
        <v>69</v>
      </c>
      <c r="E48" s="1255">
        <v>8</v>
      </c>
      <c r="F48" s="1255">
        <v>8</v>
      </c>
      <c r="G48" s="1263">
        <v>8</v>
      </c>
      <c r="H48" s="1263">
        <v>8</v>
      </c>
      <c r="I48" s="1263">
        <v>8</v>
      </c>
      <c r="J48" s="1255"/>
      <c r="K48" s="1255"/>
      <c r="L48" s="1255" t="s">
        <v>35</v>
      </c>
      <c r="M48" s="1255" t="s">
        <v>35</v>
      </c>
      <c r="N48" s="1255" t="s">
        <v>35</v>
      </c>
      <c r="O48" s="1254" t="s">
        <v>35</v>
      </c>
      <c r="P48" s="1255" t="s">
        <v>35</v>
      </c>
      <c r="Q48" s="1255"/>
      <c r="R48" s="1254"/>
      <c r="S48" s="1255">
        <v>1</v>
      </c>
      <c r="T48" s="1255">
        <v>1</v>
      </c>
      <c r="U48" s="1255">
        <v>1</v>
      </c>
      <c r="V48" s="1255">
        <v>1</v>
      </c>
      <c r="W48" s="1255">
        <v>1</v>
      </c>
      <c r="X48" s="1254"/>
      <c r="Y48" s="1255"/>
      <c r="Z48" s="1255">
        <v>9</v>
      </c>
      <c r="AA48" s="1255">
        <v>9</v>
      </c>
      <c r="AB48" s="1255">
        <v>9</v>
      </c>
      <c r="AC48" s="1254">
        <v>9</v>
      </c>
      <c r="AD48" s="1255">
        <v>9</v>
      </c>
      <c r="AE48" s="1255" t="s">
        <v>66</v>
      </c>
      <c r="AF48" s="1254" t="s">
        <v>67</v>
      </c>
      <c r="AG48" s="1945" t="s">
        <v>35</v>
      </c>
      <c r="AH48" s="189"/>
      <c r="AI48" s="190"/>
    </row>
    <row r="49" spans="1:37" ht="22.15" customHeight="1" x14ac:dyDescent="0.2">
      <c r="A49" s="475">
        <v>5</v>
      </c>
      <c r="B49" s="1202" t="s">
        <v>86</v>
      </c>
      <c r="C49" s="459"/>
      <c r="D49" s="477"/>
      <c r="E49" s="477" t="s">
        <v>35</v>
      </c>
      <c r="F49" s="459" t="s">
        <v>35</v>
      </c>
      <c r="G49" s="459" t="s">
        <v>35</v>
      </c>
      <c r="H49" s="459" t="s">
        <v>35</v>
      </c>
      <c r="I49" s="459" t="s">
        <v>35</v>
      </c>
      <c r="J49" s="459"/>
      <c r="K49" s="477"/>
      <c r="L49" s="477">
        <v>5</v>
      </c>
      <c r="M49" s="477">
        <v>5</v>
      </c>
      <c r="N49" s="477">
        <v>5</v>
      </c>
      <c r="O49" s="458">
        <v>5</v>
      </c>
      <c r="P49" s="477">
        <v>5</v>
      </c>
      <c r="Q49" s="477"/>
      <c r="R49" s="458"/>
      <c r="S49" s="477">
        <v>10</v>
      </c>
      <c r="T49" s="477">
        <v>10</v>
      </c>
      <c r="U49" s="459">
        <v>10</v>
      </c>
      <c r="V49" s="459">
        <v>10</v>
      </c>
      <c r="W49" s="459">
        <v>10</v>
      </c>
      <c r="X49" s="459" t="s">
        <v>67</v>
      </c>
      <c r="Y49" s="460" t="s">
        <v>67</v>
      </c>
      <c r="Z49" s="459" t="s">
        <v>35</v>
      </c>
      <c r="AA49" s="459" t="s">
        <v>35</v>
      </c>
      <c r="AB49" s="459" t="s">
        <v>35</v>
      </c>
      <c r="AC49" s="459" t="s">
        <v>35</v>
      </c>
      <c r="AD49" s="477" t="s">
        <v>35</v>
      </c>
      <c r="AE49" s="477" t="s">
        <v>71</v>
      </c>
      <c r="AF49" s="480" t="s">
        <v>71</v>
      </c>
      <c r="AG49" s="486">
        <v>7</v>
      </c>
      <c r="AH49" s="189"/>
      <c r="AI49" s="190"/>
    </row>
    <row r="50" spans="1:37" ht="22.15" customHeight="1" x14ac:dyDescent="0.2">
      <c r="A50" s="1249">
        <v>10</v>
      </c>
      <c r="B50" s="1202" t="s">
        <v>87</v>
      </c>
      <c r="C50" s="1259"/>
      <c r="D50" s="1259"/>
      <c r="E50" s="1259">
        <v>4</v>
      </c>
      <c r="F50" s="1199">
        <v>4</v>
      </c>
      <c r="G50" s="1193">
        <v>4</v>
      </c>
      <c r="H50" s="1193">
        <v>4</v>
      </c>
      <c r="I50" s="1193">
        <v>4</v>
      </c>
      <c r="J50" s="1193"/>
      <c r="K50" s="1193"/>
      <c r="L50" s="1193">
        <v>3</v>
      </c>
      <c r="M50" s="1193">
        <v>3</v>
      </c>
      <c r="N50" s="1193">
        <v>3</v>
      </c>
      <c r="O50" s="1193">
        <v>3</v>
      </c>
      <c r="P50" s="1193">
        <v>3</v>
      </c>
      <c r="Q50" s="1193"/>
      <c r="R50" s="1193"/>
      <c r="S50" s="1193">
        <v>11</v>
      </c>
      <c r="T50" s="1193">
        <v>11</v>
      </c>
      <c r="U50" s="1193">
        <v>11</v>
      </c>
      <c r="V50" s="1193">
        <v>11</v>
      </c>
      <c r="W50" s="1199">
        <v>11</v>
      </c>
      <c r="X50" s="1269" t="s">
        <v>73</v>
      </c>
      <c r="Y50" s="1258" t="s">
        <v>73</v>
      </c>
      <c r="Z50" s="1259" t="s">
        <v>35</v>
      </c>
      <c r="AA50" s="1259" t="s">
        <v>35</v>
      </c>
      <c r="AB50" s="1259" t="s">
        <v>35</v>
      </c>
      <c r="AC50" s="1259" t="s">
        <v>35</v>
      </c>
      <c r="AD50" s="1259" t="s">
        <v>35</v>
      </c>
      <c r="AE50" s="1259" t="s">
        <v>69</v>
      </c>
      <c r="AF50" s="1259" t="s">
        <v>69</v>
      </c>
      <c r="AG50" s="1946">
        <v>8</v>
      </c>
      <c r="AH50" s="189"/>
      <c r="AI50" s="190"/>
    </row>
    <row r="51" spans="1:37" ht="22.15" customHeight="1" thickBot="1" x14ac:dyDescent="0.25">
      <c r="A51" s="1936">
        <v>15</v>
      </c>
      <c r="B51" s="1253" t="s">
        <v>88</v>
      </c>
      <c r="C51" s="1255"/>
      <c r="D51" s="1255"/>
      <c r="E51" s="1255" t="s">
        <v>35</v>
      </c>
      <c r="F51" s="1263" t="s">
        <v>35</v>
      </c>
      <c r="G51" s="1263" t="s">
        <v>35</v>
      </c>
      <c r="H51" s="1263" t="s">
        <v>35</v>
      </c>
      <c r="I51" s="1263" t="s">
        <v>35</v>
      </c>
      <c r="J51" s="1263"/>
      <c r="K51" s="1254"/>
      <c r="L51" s="1255">
        <v>1</v>
      </c>
      <c r="M51" s="1255">
        <v>1</v>
      </c>
      <c r="N51" s="1255">
        <v>1</v>
      </c>
      <c r="O51" s="1255">
        <v>1</v>
      </c>
      <c r="P51" s="1255">
        <v>1</v>
      </c>
      <c r="Q51" s="1254"/>
      <c r="R51" s="1255"/>
      <c r="S51" s="1256">
        <v>9</v>
      </c>
      <c r="T51" s="1256">
        <v>9</v>
      </c>
      <c r="U51" s="1256">
        <v>9</v>
      </c>
      <c r="V51" s="1256">
        <v>9</v>
      </c>
      <c r="W51" s="1256">
        <v>9</v>
      </c>
      <c r="X51" s="1256" t="s">
        <v>66</v>
      </c>
      <c r="Y51" s="1256" t="s">
        <v>67</v>
      </c>
      <c r="Z51" s="1256" t="s">
        <v>35</v>
      </c>
      <c r="AA51" s="1256" t="s">
        <v>35</v>
      </c>
      <c r="AB51" s="1256" t="s">
        <v>35</v>
      </c>
      <c r="AC51" s="1256" t="s">
        <v>35</v>
      </c>
      <c r="AD51" s="1256" t="s">
        <v>35</v>
      </c>
      <c r="AE51" s="1256" t="s">
        <v>68</v>
      </c>
      <c r="AF51" s="1256" t="s">
        <v>69</v>
      </c>
      <c r="AG51" s="1944">
        <v>6</v>
      </c>
      <c r="AH51" s="189"/>
      <c r="AI51" s="190"/>
    </row>
    <row r="52" spans="1:37" ht="22.1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37" ht="22.15" customHeight="1" x14ac:dyDescent="0.2">
      <c r="A53" s="109"/>
      <c r="B53" s="64" t="s">
        <v>89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37" ht="22.15" customHeight="1" x14ac:dyDescent="0.2">
      <c r="A54" s="1274" t="s">
        <v>28</v>
      </c>
      <c r="B54" s="1274"/>
      <c r="C54" s="1275"/>
      <c r="D54" s="1274" t="s">
        <v>90</v>
      </c>
      <c r="E54" s="1276"/>
      <c r="F54" s="1275"/>
      <c r="G54" s="1274" t="s">
        <v>91</v>
      </c>
      <c r="H54" s="1276"/>
      <c r="I54" s="1275"/>
      <c r="J54" s="1274" t="s">
        <v>92</v>
      </c>
      <c r="K54" s="1276"/>
      <c r="L54" s="1275"/>
      <c r="M54" s="1274" t="s">
        <v>93</v>
      </c>
      <c r="N54" s="1276"/>
      <c r="O54" s="1275"/>
      <c r="P54" s="1274" t="s">
        <v>94</v>
      </c>
      <c r="Q54" s="1276"/>
      <c r="R54" s="1277"/>
      <c r="S54" s="1278" t="s">
        <v>95</v>
      </c>
      <c r="T54" s="1276"/>
      <c r="U54" s="1275"/>
      <c r="V54" s="1274" t="s">
        <v>96</v>
      </c>
      <c r="W54" s="1276"/>
      <c r="X54" s="1279" t="s">
        <v>97</v>
      </c>
      <c r="Y54" s="1276"/>
      <c r="Z54" s="1276"/>
      <c r="AA54" s="1280"/>
      <c r="AB54" s="1169"/>
      <c r="AC54" s="1169"/>
      <c r="AD54" s="1169"/>
      <c r="AE54" s="1169"/>
      <c r="AF54" s="1169"/>
      <c r="AG54" s="1170"/>
      <c r="AH54" s="1"/>
    </row>
    <row r="55" spans="1:37" ht="22.15" customHeight="1" x14ac:dyDescent="0.2">
      <c r="A55" s="1281">
        <v>8517</v>
      </c>
      <c r="B55" s="1282" t="s">
        <v>98</v>
      </c>
      <c r="C55" s="1283" t="s">
        <v>99</v>
      </c>
      <c r="D55" s="1284"/>
      <c r="E55" s="1168"/>
      <c r="F55" s="1283" t="s">
        <v>99</v>
      </c>
      <c r="G55" s="1284"/>
      <c r="H55" s="1168"/>
      <c r="I55" s="1283" t="s">
        <v>99</v>
      </c>
      <c r="J55" s="1284"/>
      <c r="K55" s="1168"/>
      <c r="L55" s="1283" t="s">
        <v>99</v>
      </c>
      <c r="M55" s="1284"/>
      <c r="N55" s="1168"/>
      <c r="O55" s="1283" t="s">
        <v>99</v>
      </c>
      <c r="P55" s="1284"/>
      <c r="Q55" s="1168"/>
      <c r="R55" s="1283" t="s">
        <v>99</v>
      </c>
      <c r="S55" s="1284"/>
      <c r="T55" s="1168"/>
      <c r="U55" s="1283" t="s">
        <v>99</v>
      </c>
      <c r="V55" s="1284"/>
      <c r="W55" s="1168"/>
      <c r="X55" s="1166"/>
      <c r="Y55" s="1169"/>
      <c r="Z55" s="1169"/>
      <c r="AA55" s="1169"/>
      <c r="AB55" s="1169"/>
      <c r="AC55" s="1169"/>
      <c r="AD55" s="1169"/>
      <c r="AE55" s="1169"/>
      <c r="AF55" s="1169"/>
      <c r="AG55" s="1170"/>
      <c r="AH55" s="1"/>
    </row>
    <row r="56" spans="1:37" ht="22.15" customHeight="1" x14ac:dyDescent="0.2">
      <c r="B56" s="1191" t="s">
        <v>101</v>
      </c>
      <c r="C56" s="1285" t="s">
        <v>102</v>
      </c>
      <c r="D56" s="1286"/>
      <c r="E56" s="1287"/>
      <c r="F56" s="1285" t="s">
        <v>102</v>
      </c>
      <c r="G56" s="1288"/>
      <c r="H56" s="1287"/>
      <c r="I56" s="1283" t="s">
        <v>102</v>
      </c>
      <c r="J56" s="1284"/>
      <c r="K56" s="1289"/>
      <c r="L56" s="1283" t="s">
        <v>102</v>
      </c>
      <c r="M56" s="1284"/>
      <c r="N56" s="1289"/>
      <c r="O56" s="1283" t="s">
        <v>103</v>
      </c>
      <c r="P56" s="1284"/>
      <c r="Q56" s="1168"/>
      <c r="R56" s="1290" t="s">
        <v>0</v>
      </c>
      <c r="S56" s="1284"/>
      <c r="T56" s="1289"/>
      <c r="U56" s="1284" t="s">
        <v>0</v>
      </c>
      <c r="V56" s="1284"/>
      <c r="W56" s="1168"/>
      <c r="X56" s="1947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37" ht="22.15" customHeight="1" x14ac:dyDescent="0.2">
      <c r="A57" s="1292"/>
      <c r="B57" s="1282" t="s">
        <v>104</v>
      </c>
      <c r="C57" s="1283" t="s">
        <v>105</v>
      </c>
      <c r="D57" s="1284"/>
      <c r="E57" s="1168"/>
      <c r="F57" s="1283" t="s">
        <v>105</v>
      </c>
      <c r="G57" s="1284"/>
      <c r="H57" s="1289"/>
      <c r="I57" s="1283" t="s">
        <v>105</v>
      </c>
      <c r="J57" s="1284"/>
      <c r="K57" s="1289"/>
      <c r="L57" s="1283" t="s">
        <v>105</v>
      </c>
      <c r="M57" s="1284"/>
      <c r="N57" s="1289"/>
      <c r="O57" s="1283" t="s">
        <v>106</v>
      </c>
      <c r="P57" s="1284"/>
      <c r="Q57" s="1168"/>
      <c r="R57" s="112"/>
      <c r="S57" s="113"/>
      <c r="T57" s="1289"/>
      <c r="U57" s="1284"/>
      <c r="V57" s="1284"/>
      <c r="W57" s="1168"/>
      <c r="X57" s="1166"/>
      <c r="Y57" s="1169"/>
      <c r="Z57" s="1169"/>
      <c r="AA57" s="1169"/>
      <c r="AB57" s="1169"/>
      <c r="AC57" s="1169"/>
      <c r="AD57" s="1169"/>
      <c r="AE57" s="1169"/>
      <c r="AF57" s="1169"/>
      <c r="AG57" s="1170"/>
      <c r="AH57" s="1"/>
    </row>
    <row r="58" spans="1:37" ht="22.15" customHeight="1" x14ac:dyDescent="0.2">
      <c r="A58" s="1274"/>
      <c r="B58" s="1191" t="s">
        <v>107</v>
      </c>
      <c r="C58" s="1293" t="s">
        <v>108</v>
      </c>
      <c r="D58" s="1293"/>
      <c r="E58" s="1294"/>
      <c r="F58" s="1293" t="s">
        <v>108</v>
      </c>
      <c r="G58" s="1293"/>
      <c r="H58" s="1294"/>
      <c r="I58" s="1293" t="s">
        <v>108</v>
      </c>
      <c r="J58" s="1293"/>
      <c r="K58" s="1294"/>
      <c r="L58" s="1293" t="s">
        <v>108</v>
      </c>
      <c r="M58" s="1293"/>
      <c r="N58" s="1294"/>
      <c r="O58" s="1293" t="s">
        <v>108</v>
      </c>
      <c r="P58" s="1293"/>
      <c r="Q58" s="1294"/>
      <c r="R58" s="1293" t="s">
        <v>108</v>
      </c>
      <c r="S58" s="1293"/>
      <c r="T58" s="1294"/>
      <c r="U58" s="1293" t="s">
        <v>108</v>
      </c>
      <c r="V58" s="1293"/>
      <c r="W58" s="1294"/>
      <c r="X58" s="1166"/>
      <c r="Y58" s="1169"/>
      <c r="Z58" s="1169"/>
      <c r="AA58" s="1169"/>
      <c r="AB58" s="1169"/>
      <c r="AC58" s="1169"/>
      <c r="AD58" s="1169"/>
      <c r="AE58" s="1169"/>
      <c r="AF58" s="1169"/>
      <c r="AG58" s="1170"/>
      <c r="AH58" s="1"/>
    </row>
    <row r="59" spans="1:37" ht="22.1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37" ht="22.15" customHeight="1" thickBot="1" x14ac:dyDescent="0.25">
      <c r="A60" s="1295"/>
      <c r="B60" s="1184" t="s">
        <v>29</v>
      </c>
      <c r="C60" s="1185">
        <v>1</v>
      </c>
      <c r="D60" s="1185">
        <v>2</v>
      </c>
      <c r="E60" s="1186">
        <v>3</v>
      </c>
      <c r="F60" s="1186">
        <v>4</v>
      </c>
      <c r="G60" s="1186">
        <v>5</v>
      </c>
      <c r="H60" s="1186">
        <v>6</v>
      </c>
      <c r="I60" s="1186">
        <v>7</v>
      </c>
      <c r="J60" s="1185">
        <v>8</v>
      </c>
      <c r="K60" s="1185">
        <v>9</v>
      </c>
      <c r="L60" s="1186">
        <v>10</v>
      </c>
      <c r="M60" s="1186">
        <v>11</v>
      </c>
      <c r="N60" s="1186">
        <v>12</v>
      </c>
      <c r="O60" s="1186">
        <v>13</v>
      </c>
      <c r="P60" s="1186">
        <v>14</v>
      </c>
      <c r="Q60" s="1185">
        <v>15</v>
      </c>
      <c r="R60" s="1185">
        <v>16</v>
      </c>
      <c r="S60" s="1186">
        <v>17</v>
      </c>
      <c r="T60" s="1186">
        <v>18</v>
      </c>
      <c r="U60" s="1186">
        <v>19</v>
      </c>
      <c r="V60" s="1186">
        <v>20</v>
      </c>
      <c r="W60" s="1186">
        <v>21</v>
      </c>
      <c r="X60" s="1185">
        <v>22</v>
      </c>
      <c r="Y60" s="1185">
        <v>23</v>
      </c>
      <c r="Z60" s="1186">
        <v>24</v>
      </c>
      <c r="AA60" s="1186">
        <v>25</v>
      </c>
      <c r="AB60" s="1186">
        <v>26</v>
      </c>
      <c r="AC60" s="1186">
        <v>27</v>
      </c>
      <c r="AD60" s="1186">
        <v>28</v>
      </c>
      <c r="AE60" s="1185">
        <v>29</v>
      </c>
      <c r="AF60" s="1185">
        <v>30</v>
      </c>
      <c r="AG60" s="1931">
        <v>31</v>
      </c>
      <c r="AH60" s="1"/>
    </row>
    <row r="61" spans="1:37" ht="22.15" customHeight="1" x14ac:dyDescent="0.2">
      <c r="A61" s="366"/>
      <c r="B61" s="367" t="s">
        <v>109</v>
      </c>
      <c r="C61" s="370">
        <v>26</v>
      </c>
      <c r="D61" s="370">
        <v>26</v>
      </c>
      <c r="E61" s="370" t="s">
        <v>35</v>
      </c>
      <c r="F61" s="370" t="s">
        <v>35</v>
      </c>
      <c r="G61" s="370" t="s">
        <v>35</v>
      </c>
      <c r="H61" s="383" t="s">
        <v>228</v>
      </c>
      <c r="I61" s="368" t="s">
        <v>35</v>
      </c>
      <c r="J61" s="370">
        <v>26</v>
      </c>
      <c r="K61" s="370"/>
      <c r="L61" s="370">
        <v>26</v>
      </c>
      <c r="M61" s="370">
        <v>26</v>
      </c>
      <c r="N61" s="370">
        <v>26</v>
      </c>
      <c r="O61" s="370">
        <v>26</v>
      </c>
      <c r="P61" s="370">
        <v>26</v>
      </c>
      <c r="Q61" s="370">
        <v>26</v>
      </c>
      <c r="R61" s="370">
        <v>26</v>
      </c>
      <c r="S61" s="394" t="s">
        <v>35</v>
      </c>
      <c r="T61" s="370" t="s">
        <v>35</v>
      </c>
      <c r="U61" s="370" t="s">
        <v>35</v>
      </c>
      <c r="V61" s="370" t="s">
        <v>35</v>
      </c>
      <c r="W61" s="370" t="s">
        <v>35</v>
      </c>
      <c r="X61" s="372" t="s">
        <v>68</v>
      </c>
      <c r="Y61" s="372" t="s">
        <v>69</v>
      </c>
      <c r="Z61" s="370">
        <v>6</v>
      </c>
      <c r="AA61" s="372">
        <v>6</v>
      </c>
      <c r="AB61" s="372">
        <v>6</v>
      </c>
      <c r="AC61" s="372">
        <v>6</v>
      </c>
      <c r="AD61" s="372">
        <v>6</v>
      </c>
      <c r="AE61" s="373"/>
      <c r="AF61" s="373"/>
      <c r="AG61" s="384">
        <v>25</v>
      </c>
      <c r="AH61" s="1"/>
      <c r="AK61" t="s">
        <v>0</v>
      </c>
    </row>
    <row r="62" spans="1:37" ht="22.15" customHeight="1" x14ac:dyDescent="0.2">
      <c r="A62" s="1709"/>
      <c r="B62" s="1665" t="s">
        <v>111</v>
      </c>
      <c r="C62" s="1712"/>
      <c r="D62" s="1712"/>
      <c r="E62" s="1712" t="s">
        <v>31</v>
      </c>
      <c r="F62" s="1712" t="s">
        <v>31</v>
      </c>
      <c r="G62" s="1712" t="s">
        <v>31</v>
      </c>
      <c r="H62" s="1712" t="s">
        <v>31</v>
      </c>
      <c r="I62" s="1712" t="s">
        <v>31</v>
      </c>
      <c r="J62" s="1712"/>
      <c r="K62" s="1712"/>
      <c r="L62" s="1712" t="s">
        <v>31</v>
      </c>
      <c r="M62" s="1712" t="s">
        <v>31</v>
      </c>
      <c r="N62" s="1712" t="s">
        <v>31</v>
      </c>
      <c r="O62" s="1712" t="s">
        <v>31</v>
      </c>
      <c r="P62" s="1712" t="s">
        <v>31</v>
      </c>
      <c r="Q62" s="1712"/>
      <c r="R62" s="1712"/>
      <c r="S62" s="1629">
        <v>26</v>
      </c>
      <c r="T62" s="1710">
        <v>26</v>
      </c>
      <c r="U62" s="1710">
        <v>26</v>
      </c>
      <c r="V62" s="1629">
        <v>26</v>
      </c>
      <c r="W62" s="1629">
        <v>26</v>
      </c>
      <c r="X62" s="1629">
        <v>26</v>
      </c>
      <c r="Y62" s="1629">
        <v>26</v>
      </c>
      <c r="Z62" s="1948">
        <v>26</v>
      </c>
      <c r="AA62" s="1948">
        <v>26</v>
      </c>
      <c r="AB62" s="1612" t="s">
        <v>35</v>
      </c>
      <c r="AC62" s="1612" t="s">
        <v>35</v>
      </c>
      <c r="AD62" s="1612" t="s">
        <v>35</v>
      </c>
      <c r="AE62" s="1628"/>
      <c r="AF62" s="1612"/>
      <c r="AG62" s="1634" t="s">
        <v>132</v>
      </c>
      <c r="AH62" s="1"/>
    </row>
    <row r="63" spans="1:37" ht="22.15" customHeight="1" thickBot="1" x14ac:dyDescent="0.25">
      <c r="A63" s="1630"/>
      <c r="B63" s="1665" t="s">
        <v>113</v>
      </c>
      <c r="C63" s="1628" t="s">
        <v>68</v>
      </c>
      <c r="D63" s="1628" t="s">
        <v>69</v>
      </c>
      <c r="E63" s="1625">
        <v>6</v>
      </c>
      <c r="F63" s="1949">
        <v>6</v>
      </c>
      <c r="G63" s="1625">
        <v>6</v>
      </c>
      <c r="H63" s="1625">
        <v>6</v>
      </c>
      <c r="I63" s="1625">
        <v>6</v>
      </c>
      <c r="J63" s="1629"/>
      <c r="K63" s="1629"/>
      <c r="L63" s="1950" t="s">
        <v>35</v>
      </c>
      <c r="M63" s="1714" t="s">
        <v>243</v>
      </c>
      <c r="N63" s="1950" t="s">
        <v>35</v>
      </c>
      <c r="O63" s="1710">
        <v>69</v>
      </c>
      <c r="P63" s="1710">
        <v>69</v>
      </c>
      <c r="Q63" s="1612" t="s">
        <v>204</v>
      </c>
      <c r="R63" s="1629"/>
      <c r="S63" s="1712" t="s">
        <v>205</v>
      </c>
      <c r="T63" s="1712" t="s">
        <v>205</v>
      </c>
      <c r="U63" s="1712" t="s">
        <v>205</v>
      </c>
      <c r="V63" s="1712" t="s">
        <v>205</v>
      </c>
      <c r="W63" s="1712" t="s">
        <v>35</v>
      </c>
      <c r="X63" s="1712"/>
      <c r="Y63" s="1712"/>
      <c r="Z63" s="1712" t="s">
        <v>207</v>
      </c>
      <c r="AA63" s="1712" t="s">
        <v>207</v>
      </c>
      <c r="AB63" s="1712" t="s">
        <v>207</v>
      </c>
      <c r="AC63" s="1712" t="s">
        <v>207</v>
      </c>
      <c r="AD63" s="1712" t="s">
        <v>207</v>
      </c>
      <c r="AE63" s="1712"/>
      <c r="AF63" s="1712"/>
      <c r="AG63" s="1713" t="s">
        <v>204</v>
      </c>
      <c r="AH63" s="1"/>
    </row>
    <row r="64" spans="1:37" ht="22.15" customHeight="1" x14ac:dyDescent="0.2">
      <c r="A64" s="1665"/>
      <c r="B64" s="1715" t="s">
        <v>114</v>
      </c>
      <c r="C64" s="1612" t="s">
        <v>67</v>
      </c>
      <c r="D64" s="1639" t="s">
        <v>67</v>
      </c>
      <c r="E64" s="1628" t="s">
        <v>35</v>
      </c>
      <c r="F64" s="1628" t="s">
        <v>35</v>
      </c>
      <c r="G64" s="1628" t="s">
        <v>35</v>
      </c>
      <c r="H64" s="1628" t="s">
        <v>35</v>
      </c>
      <c r="I64" s="1625" t="s">
        <v>35</v>
      </c>
      <c r="J64" s="1628" t="s">
        <v>68</v>
      </c>
      <c r="K64" s="1628" t="s">
        <v>69</v>
      </c>
      <c r="L64" s="1629">
        <v>6</v>
      </c>
      <c r="M64" s="1629">
        <v>6</v>
      </c>
      <c r="N64" s="1629">
        <v>6</v>
      </c>
      <c r="O64" s="1629">
        <v>6</v>
      </c>
      <c r="P64" s="1629">
        <v>6</v>
      </c>
      <c r="Q64" s="1625"/>
      <c r="R64" s="1625"/>
      <c r="S64" s="1639">
        <v>5</v>
      </c>
      <c r="T64" s="1951">
        <v>5</v>
      </c>
      <c r="U64" s="1639">
        <v>5</v>
      </c>
      <c r="V64" s="1639">
        <v>5</v>
      </c>
      <c r="W64" s="1639">
        <v>5</v>
      </c>
      <c r="X64" s="1629"/>
      <c r="Y64" s="1625" t="s">
        <v>69</v>
      </c>
      <c r="Z64" s="1714">
        <v>25</v>
      </c>
      <c r="AA64" s="1639">
        <v>25</v>
      </c>
      <c r="AB64" s="1639">
        <v>25</v>
      </c>
      <c r="AC64" s="1639" t="s">
        <v>35</v>
      </c>
      <c r="AD64" s="1639" t="s">
        <v>35</v>
      </c>
      <c r="AE64" s="459" t="s">
        <v>68</v>
      </c>
      <c r="AF64" s="459" t="s">
        <v>69</v>
      </c>
      <c r="AG64" s="458">
        <v>6</v>
      </c>
      <c r="AH64" s="1"/>
    </row>
    <row r="65" spans="1:34" ht="22.15" customHeight="1" x14ac:dyDescent="0.2">
      <c r="A65" s="1665"/>
      <c r="B65" s="1715" t="s">
        <v>115</v>
      </c>
      <c r="C65" s="1903" t="s">
        <v>369</v>
      </c>
      <c r="D65" s="1725" t="s">
        <v>67</v>
      </c>
      <c r="E65" s="1639" t="s">
        <v>35</v>
      </c>
      <c r="F65" s="1639" t="s">
        <v>35</v>
      </c>
      <c r="G65" s="1639" t="s">
        <v>35</v>
      </c>
      <c r="H65" s="1612" t="s">
        <v>233</v>
      </c>
      <c r="I65" s="1629" t="s">
        <v>233</v>
      </c>
      <c r="J65" s="1629"/>
      <c r="K65" s="1639"/>
      <c r="L65" s="1629" t="s">
        <v>233</v>
      </c>
      <c r="M65" s="1629" t="s">
        <v>233</v>
      </c>
      <c r="N65" s="1629" t="s">
        <v>233</v>
      </c>
      <c r="O65" s="1629" t="s">
        <v>233</v>
      </c>
      <c r="P65" s="1629" t="s">
        <v>233</v>
      </c>
      <c r="Q65" s="1629"/>
      <c r="R65" s="1629"/>
      <c r="S65" s="1723" t="s">
        <v>110</v>
      </c>
      <c r="T65" s="1723" t="s">
        <v>110</v>
      </c>
      <c r="U65" s="1723" t="s">
        <v>110</v>
      </c>
      <c r="V65" s="1723" t="s">
        <v>110</v>
      </c>
      <c r="W65" s="1723" t="s">
        <v>110</v>
      </c>
      <c r="X65" s="1723" t="s">
        <v>46</v>
      </c>
      <c r="Y65" s="1723" t="s">
        <v>46</v>
      </c>
      <c r="Z65" s="393"/>
      <c r="AA65" s="1612" t="s">
        <v>35</v>
      </c>
      <c r="AB65" s="1624">
        <v>26</v>
      </c>
      <c r="AC65" s="1624">
        <v>26</v>
      </c>
      <c r="AD65" s="1952" t="s">
        <v>223</v>
      </c>
      <c r="AE65" s="1953">
        <v>26</v>
      </c>
      <c r="AF65" s="1953">
        <v>26</v>
      </c>
      <c r="AG65" s="1634">
        <v>26</v>
      </c>
      <c r="AH65" s="1"/>
    </row>
    <row r="66" spans="1:34" ht="22.15" customHeight="1" x14ac:dyDescent="0.2">
      <c r="A66" s="1665"/>
      <c r="B66" s="1665" t="s">
        <v>117</v>
      </c>
      <c r="C66" s="1629"/>
      <c r="D66" s="1629"/>
      <c r="E66" s="1629">
        <v>25</v>
      </c>
      <c r="F66" s="1629">
        <v>25</v>
      </c>
      <c r="G66" s="1629">
        <v>25</v>
      </c>
      <c r="H66" s="1629">
        <v>25</v>
      </c>
      <c r="I66" s="1629">
        <v>25</v>
      </c>
      <c r="J66" s="1629"/>
      <c r="K66" s="1629"/>
      <c r="L66" s="1723">
        <v>23</v>
      </c>
      <c r="M66" s="1723">
        <v>23</v>
      </c>
      <c r="N66" s="1723">
        <v>23</v>
      </c>
      <c r="O66" s="1723">
        <v>23</v>
      </c>
      <c r="P66" s="1723">
        <v>23</v>
      </c>
      <c r="Q66" s="1723">
        <v>23</v>
      </c>
      <c r="R66" s="1723">
        <v>23</v>
      </c>
      <c r="S66" s="1629" t="s">
        <v>35</v>
      </c>
      <c r="T66" s="1629" t="s">
        <v>35</v>
      </c>
      <c r="U66" s="1629" t="s">
        <v>35</v>
      </c>
      <c r="V66" s="1629" t="s">
        <v>246</v>
      </c>
      <c r="W66" s="1629" t="s">
        <v>35</v>
      </c>
      <c r="X66" s="1639"/>
      <c r="Y66" s="1639"/>
      <c r="Z66" s="1639">
        <v>5</v>
      </c>
      <c r="AA66" s="1612">
        <v>5</v>
      </c>
      <c r="AB66" s="1725">
        <v>5</v>
      </c>
      <c r="AC66" s="1725">
        <v>5</v>
      </c>
      <c r="AD66" s="1725">
        <v>5</v>
      </c>
      <c r="AE66" s="1612"/>
      <c r="AF66" s="1629"/>
      <c r="AG66" s="1954">
        <v>23</v>
      </c>
      <c r="AH66" s="1"/>
    </row>
    <row r="67" spans="1:34" ht="22.15" customHeight="1" x14ac:dyDescent="0.2">
      <c r="A67" s="1665"/>
      <c r="B67" s="1715" t="s">
        <v>119</v>
      </c>
      <c r="C67" s="1712"/>
      <c r="D67" s="1712"/>
      <c r="E67" s="1712" t="s">
        <v>31</v>
      </c>
      <c r="F67" s="1712" t="s">
        <v>31</v>
      </c>
      <c r="G67" s="1712" t="s">
        <v>31</v>
      </c>
      <c r="H67" s="1712" t="s">
        <v>31</v>
      </c>
      <c r="I67" s="1712" t="s">
        <v>31</v>
      </c>
      <c r="J67" s="1712"/>
      <c r="K67" s="1712"/>
      <c r="L67" s="1712" t="s">
        <v>31</v>
      </c>
      <c r="M67" s="1712" t="s">
        <v>31</v>
      </c>
      <c r="N67" s="1712" t="s">
        <v>31</v>
      </c>
      <c r="O67" s="1712" t="s">
        <v>31</v>
      </c>
      <c r="P67" s="1712" t="s">
        <v>31</v>
      </c>
      <c r="Q67" s="1712"/>
      <c r="R67" s="1712"/>
      <c r="S67" s="1629" t="s">
        <v>236</v>
      </c>
      <c r="T67" s="1629" t="s">
        <v>236</v>
      </c>
      <c r="U67" s="1629" t="s">
        <v>236</v>
      </c>
      <c r="V67" s="1629" t="s">
        <v>236</v>
      </c>
      <c r="W67" s="1629" t="s">
        <v>236</v>
      </c>
      <c r="X67" s="1624" t="s">
        <v>73</v>
      </c>
      <c r="Y67" s="1629"/>
      <c r="Z67" s="1639" t="s">
        <v>31</v>
      </c>
      <c r="AA67" s="1639" t="s">
        <v>31</v>
      </c>
      <c r="AB67" s="1639" t="s">
        <v>31</v>
      </c>
      <c r="AC67" s="1639" t="s">
        <v>31</v>
      </c>
      <c r="AD67" s="1639" t="s">
        <v>31</v>
      </c>
      <c r="AE67" s="1629"/>
      <c r="AF67" s="1629"/>
      <c r="AG67" s="1955" t="s">
        <v>110</v>
      </c>
      <c r="AH67" s="1"/>
    </row>
    <row r="68" spans="1:34" ht="22.15" customHeight="1" x14ac:dyDescent="0.2">
      <c r="A68" s="1665"/>
      <c r="B68" s="1715" t="s">
        <v>120</v>
      </c>
      <c r="C68" s="1629"/>
      <c r="D68" s="1639"/>
      <c r="E68" s="1639" t="s">
        <v>175</v>
      </c>
      <c r="F68" s="1639" t="s">
        <v>35</v>
      </c>
      <c r="G68" s="1639">
        <v>89</v>
      </c>
      <c r="H68" s="1639" t="s">
        <v>35</v>
      </c>
      <c r="I68" s="1639">
        <v>89</v>
      </c>
      <c r="J68" s="1612"/>
      <c r="K68" s="1612"/>
      <c r="L68" s="1639" t="s">
        <v>31</v>
      </c>
      <c r="M68" s="1639" t="s">
        <v>35</v>
      </c>
      <c r="N68" s="1639">
        <v>69</v>
      </c>
      <c r="O68" s="1639" t="s">
        <v>35</v>
      </c>
      <c r="P68" s="1639">
        <v>89</v>
      </c>
      <c r="Q68" s="1639"/>
      <c r="R68" s="1639"/>
      <c r="S68" s="1712" t="s">
        <v>31</v>
      </c>
      <c r="T68" s="1712" t="s">
        <v>31</v>
      </c>
      <c r="U68" s="1712" t="s">
        <v>31</v>
      </c>
      <c r="V68" s="1712" t="s">
        <v>31</v>
      </c>
      <c r="W68" s="1712" t="s">
        <v>31</v>
      </c>
      <c r="X68" s="1712"/>
      <c r="Y68" s="1712"/>
      <c r="Z68" s="1712" t="s">
        <v>31</v>
      </c>
      <c r="AA68" s="1712" t="s">
        <v>31</v>
      </c>
      <c r="AB68" s="1712" t="s">
        <v>31</v>
      </c>
      <c r="AC68" s="1712" t="s">
        <v>31</v>
      </c>
      <c r="AD68" s="1712" t="s">
        <v>31</v>
      </c>
      <c r="AE68" s="1712"/>
      <c r="AF68" s="1712"/>
      <c r="AG68" s="1713" t="s">
        <v>31</v>
      </c>
      <c r="AH68" s="1"/>
    </row>
    <row r="69" spans="1:34" ht="22.15" customHeight="1" x14ac:dyDescent="0.2">
      <c r="A69" s="1715"/>
      <c r="B69" s="1630" t="s">
        <v>196</v>
      </c>
      <c r="C69" s="1949" t="s">
        <v>370</v>
      </c>
      <c r="D69" s="1625" t="s">
        <v>0</v>
      </c>
      <c r="E69" s="1734" t="s">
        <v>233</v>
      </c>
      <c r="F69" s="1625" t="s">
        <v>246</v>
      </c>
      <c r="G69" s="1625" t="s">
        <v>248</v>
      </c>
      <c r="H69" s="1625" t="s">
        <v>371</v>
      </c>
      <c r="I69" s="1625" t="s">
        <v>248</v>
      </c>
      <c r="J69" s="1949" t="s">
        <v>71</v>
      </c>
      <c r="K69" s="1949" t="s">
        <v>71</v>
      </c>
      <c r="L69" s="1723" t="s">
        <v>110</v>
      </c>
      <c r="M69" s="1723" t="s">
        <v>110</v>
      </c>
      <c r="N69" s="1723" t="s">
        <v>110</v>
      </c>
      <c r="O69" s="1723" t="s">
        <v>110</v>
      </c>
      <c r="P69" s="1956" t="s">
        <v>110</v>
      </c>
      <c r="Q69" s="1723" t="s">
        <v>46</v>
      </c>
      <c r="R69" s="1723" t="s">
        <v>46</v>
      </c>
      <c r="S69" s="1710" t="s">
        <v>35</v>
      </c>
      <c r="T69" s="1629" t="s">
        <v>35</v>
      </c>
      <c r="U69" s="1629" t="s">
        <v>35</v>
      </c>
      <c r="V69" s="1629" t="s">
        <v>35</v>
      </c>
      <c r="W69" s="1629" t="s">
        <v>35</v>
      </c>
      <c r="X69" s="1629" t="s">
        <v>0</v>
      </c>
      <c r="Y69" s="1629" t="s">
        <v>0</v>
      </c>
      <c r="Z69" s="1612">
        <v>10</v>
      </c>
      <c r="AA69" s="1629">
        <v>10</v>
      </c>
      <c r="AB69" s="1629">
        <v>10</v>
      </c>
      <c r="AC69" s="1629">
        <v>10</v>
      </c>
      <c r="AD69" s="1629">
        <v>10</v>
      </c>
      <c r="AE69" s="1629" t="s">
        <v>67</v>
      </c>
      <c r="AF69" s="1629" t="s">
        <v>67</v>
      </c>
      <c r="AG69" s="1629" t="s">
        <v>35</v>
      </c>
      <c r="AH69" s="1"/>
    </row>
    <row r="70" spans="1:34" ht="22.15" customHeight="1" x14ac:dyDescent="0.2">
      <c r="A70" s="1715"/>
      <c r="B70" s="1722" t="s">
        <v>344</v>
      </c>
      <c r="C70" s="1712"/>
      <c r="D70" s="1712"/>
      <c r="E70" s="1957" t="s">
        <v>31</v>
      </c>
      <c r="F70" s="1958" t="s">
        <v>31</v>
      </c>
      <c r="G70" s="1958" t="s">
        <v>31</v>
      </c>
      <c r="H70" s="1958" t="s">
        <v>31</v>
      </c>
      <c r="I70" s="1958" t="s">
        <v>31</v>
      </c>
      <c r="J70" s="1958"/>
      <c r="K70" s="1958"/>
      <c r="L70" s="1958" t="s">
        <v>31</v>
      </c>
      <c r="M70" s="1958" t="s">
        <v>31</v>
      </c>
      <c r="N70" s="1958" t="s">
        <v>31</v>
      </c>
      <c r="O70" s="1958" t="s">
        <v>31</v>
      </c>
      <c r="P70" s="1958" t="s">
        <v>31</v>
      </c>
      <c r="Q70" s="1712"/>
      <c r="R70" s="1712"/>
      <c r="S70" s="1625">
        <v>9</v>
      </c>
      <c r="T70" s="1625">
        <v>9</v>
      </c>
      <c r="U70" s="1625">
        <v>9</v>
      </c>
      <c r="V70" s="1629">
        <v>9</v>
      </c>
      <c r="W70" s="1625">
        <v>9</v>
      </c>
      <c r="X70" s="1628" t="s">
        <v>66</v>
      </c>
      <c r="Y70" s="1629" t="s">
        <v>67</v>
      </c>
      <c r="Z70" s="1629" t="s">
        <v>35</v>
      </c>
      <c r="AA70" s="1629" t="s">
        <v>35</v>
      </c>
      <c r="AB70" s="1629" t="s">
        <v>35</v>
      </c>
      <c r="AC70" s="1725">
        <v>25</v>
      </c>
      <c r="AD70" s="1629">
        <v>25</v>
      </c>
      <c r="AE70" s="1629" t="s">
        <v>112</v>
      </c>
      <c r="AF70" s="1612" t="s">
        <v>112</v>
      </c>
      <c r="AG70" s="1634">
        <v>11</v>
      </c>
      <c r="AH70" s="1"/>
    </row>
    <row r="71" spans="1:34" ht="22.15" customHeight="1" x14ac:dyDescent="0.2">
      <c r="A71" s="1725"/>
      <c r="B71" s="1627" t="s">
        <v>122</v>
      </c>
      <c r="C71" s="1612" t="s">
        <v>112</v>
      </c>
      <c r="D71" s="1612"/>
      <c r="E71" s="1625" t="s">
        <v>246</v>
      </c>
      <c r="F71" s="1863" t="s">
        <v>246</v>
      </c>
      <c r="G71" s="1625" t="s">
        <v>246</v>
      </c>
      <c r="H71" s="1625" t="s">
        <v>246</v>
      </c>
      <c r="I71" s="1625" t="s">
        <v>246</v>
      </c>
      <c r="J71" s="1612" t="s">
        <v>112</v>
      </c>
      <c r="K71" s="1612"/>
      <c r="L71" s="1625" t="s">
        <v>246</v>
      </c>
      <c r="M71" s="1625" t="s">
        <v>246</v>
      </c>
      <c r="N71" s="1625" t="s">
        <v>246</v>
      </c>
      <c r="O71" s="1625" t="s">
        <v>246</v>
      </c>
      <c r="P71" s="1625" t="s">
        <v>246</v>
      </c>
      <c r="Q71" s="1612"/>
      <c r="R71" s="1612"/>
      <c r="S71" s="1712" t="s">
        <v>31</v>
      </c>
      <c r="T71" s="1712" t="s">
        <v>31</v>
      </c>
      <c r="U71" s="1712" t="s">
        <v>31</v>
      </c>
      <c r="V71" s="1712" t="s">
        <v>31</v>
      </c>
      <c r="W71" s="1712" t="s">
        <v>31</v>
      </c>
      <c r="X71" s="1712"/>
      <c r="Y71" s="1712"/>
      <c r="Z71" s="1957" t="s">
        <v>31</v>
      </c>
      <c r="AA71" s="1957" t="s">
        <v>31</v>
      </c>
      <c r="AB71" s="1712" t="s">
        <v>31</v>
      </c>
      <c r="AC71" s="1712" t="s">
        <v>31</v>
      </c>
      <c r="AD71" s="1712" t="s">
        <v>31</v>
      </c>
      <c r="AE71" s="1712"/>
      <c r="AF71" s="1712"/>
      <c r="AG71" s="1713" t="s">
        <v>31</v>
      </c>
      <c r="AH71" s="1"/>
    </row>
    <row r="72" spans="1:34" ht="22.15" customHeight="1" x14ac:dyDescent="0.2">
      <c r="A72" s="1725"/>
      <c r="B72" s="1715" t="s">
        <v>123</v>
      </c>
      <c r="C72" s="1612">
        <v>22</v>
      </c>
      <c r="D72" s="1612">
        <v>22</v>
      </c>
      <c r="E72" s="1639" t="s">
        <v>35</v>
      </c>
      <c r="F72" s="1639" t="s">
        <v>35</v>
      </c>
      <c r="G72" s="1639" t="s">
        <v>35</v>
      </c>
      <c r="H72" s="1639" t="s">
        <v>35</v>
      </c>
      <c r="I72" s="1639" t="s">
        <v>35</v>
      </c>
      <c r="J72" s="1612" t="s">
        <v>112</v>
      </c>
      <c r="K72" s="1612" t="s">
        <v>112</v>
      </c>
      <c r="L72" s="1612" t="s">
        <v>228</v>
      </c>
      <c r="M72" s="1612" t="s">
        <v>228</v>
      </c>
      <c r="N72" s="1612" t="s">
        <v>228</v>
      </c>
      <c r="O72" s="1612" t="s">
        <v>228</v>
      </c>
      <c r="P72" s="1612" t="s">
        <v>228</v>
      </c>
      <c r="Q72" s="1612"/>
      <c r="R72" s="1612"/>
      <c r="S72" s="1629">
        <v>22</v>
      </c>
      <c r="T72" s="1629">
        <v>22</v>
      </c>
      <c r="U72" s="1628">
        <v>22</v>
      </c>
      <c r="V72" s="1629">
        <v>22</v>
      </c>
      <c r="W72" s="1625">
        <v>22</v>
      </c>
      <c r="X72" s="1628">
        <v>22</v>
      </c>
      <c r="Y72" s="1629">
        <v>22</v>
      </c>
      <c r="Z72" s="1612" t="s">
        <v>35</v>
      </c>
      <c r="AA72" s="1612" t="s">
        <v>35</v>
      </c>
      <c r="AB72" s="1612">
        <v>26</v>
      </c>
      <c r="AC72" s="1631">
        <v>26</v>
      </c>
      <c r="AD72" s="1612">
        <v>26</v>
      </c>
      <c r="AE72" s="1612"/>
      <c r="AF72" s="1612"/>
      <c r="AG72" s="1728">
        <v>9</v>
      </c>
      <c r="AH72" s="1"/>
    </row>
    <row r="73" spans="1:34" ht="22.15" customHeight="1" x14ac:dyDescent="0.2">
      <c r="A73" s="1725"/>
      <c r="B73" s="1729" t="s">
        <v>124</v>
      </c>
      <c r="C73" s="1612"/>
      <c r="D73" s="1612"/>
      <c r="E73" s="1624" t="s">
        <v>220</v>
      </c>
      <c r="F73" s="1612">
        <v>26</v>
      </c>
      <c r="G73" s="1612">
        <v>26</v>
      </c>
      <c r="H73" s="1612">
        <v>26</v>
      </c>
      <c r="I73" s="1612">
        <v>26</v>
      </c>
      <c r="J73" s="1612"/>
      <c r="K73" s="1612"/>
      <c r="L73" s="1612">
        <v>25</v>
      </c>
      <c r="M73" s="1612">
        <v>25</v>
      </c>
      <c r="N73" s="1612">
        <v>25</v>
      </c>
      <c r="O73" s="1612">
        <v>25</v>
      </c>
      <c r="P73" s="1612">
        <v>25</v>
      </c>
      <c r="Q73" s="1612"/>
      <c r="R73" s="1612"/>
      <c r="S73" s="1612" t="s">
        <v>156</v>
      </c>
      <c r="T73" s="1612" t="s">
        <v>156</v>
      </c>
      <c r="U73" s="1612" t="s">
        <v>156</v>
      </c>
      <c r="V73" s="1612" t="s">
        <v>156</v>
      </c>
      <c r="W73" s="1612" t="s">
        <v>156</v>
      </c>
      <c r="X73" s="1612"/>
      <c r="Y73" s="1612"/>
      <c r="Z73" s="1723" t="s">
        <v>110</v>
      </c>
      <c r="AA73" s="1723" t="s">
        <v>110</v>
      </c>
      <c r="AB73" s="1734" t="s">
        <v>110</v>
      </c>
      <c r="AC73" s="1723" t="s">
        <v>110</v>
      </c>
      <c r="AD73" s="1714" t="s">
        <v>110</v>
      </c>
      <c r="AE73" s="1723" t="s">
        <v>46</v>
      </c>
      <c r="AF73" s="1723" t="s">
        <v>46</v>
      </c>
      <c r="AG73" s="1634" t="s">
        <v>35</v>
      </c>
      <c r="AH73" s="1"/>
    </row>
    <row r="74" spans="1:34" ht="22.15" customHeight="1" thickBot="1" x14ac:dyDescent="0.25">
      <c r="A74" s="669"/>
      <c r="B74" s="668"/>
      <c r="C74" s="669"/>
      <c r="D74" s="669"/>
      <c r="E74" s="669"/>
      <c r="F74" s="669"/>
      <c r="G74" s="669"/>
      <c r="H74" s="669"/>
      <c r="I74" s="669"/>
      <c r="J74" s="669"/>
      <c r="K74" s="669"/>
      <c r="L74" s="669"/>
      <c r="M74" s="669"/>
      <c r="N74" s="669"/>
      <c r="O74" s="669"/>
      <c r="P74" s="669"/>
      <c r="Q74" s="669"/>
      <c r="R74" s="669"/>
      <c r="S74" s="669"/>
      <c r="T74" s="669"/>
      <c r="U74" s="669"/>
      <c r="V74" s="669"/>
      <c r="W74" s="669"/>
      <c r="X74" s="669"/>
      <c r="Y74" s="669"/>
      <c r="Z74" s="669"/>
      <c r="AA74" s="669"/>
      <c r="AB74" s="669"/>
      <c r="AC74" s="669"/>
      <c r="AD74" s="669"/>
      <c r="AE74" s="669"/>
      <c r="AF74" s="669"/>
      <c r="AG74" s="237"/>
      <c r="AH74" s="1"/>
    </row>
    <row r="75" spans="1:34" ht="22.15" customHeight="1" thickBot="1" x14ac:dyDescent="0.25">
      <c r="A75" s="1959"/>
      <c r="B75" s="1960"/>
      <c r="C75" s="245"/>
      <c r="D75" s="245"/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1961"/>
      <c r="AH75" s="1"/>
    </row>
    <row r="76" spans="1:34" ht="22.15" customHeight="1" thickBot="1" x14ac:dyDescent="0.25">
      <c r="A76" s="377"/>
      <c r="B76" s="378" t="s">
        <v>125</v>
      </c>
      <c r="C76" s="1962">
        <v>1</v>
      </c>
      <c r="D76" s="1962">
        <v>2</v>
      </c>
      <c r="E76" s="1277">
        <v>3</v>
      </c>
      <c r="F76" s="1277">
        <v>4</v>
      </c>
      <c r="G76" s="1277">
        <v>5</v>
      </c>
      <c r="H76" s="1277">
        <v>6</v>
      </c>
      <c r="I76" s="1277">
        <v>7</v>
      </c>
      <c r="J76" s="1962">
        <v>8</v>
      </c>
      <c r="K76" s="1962">
        <v>9</v>
      </c>
      <c r="L76" s="1277">
        <v>10</v>
      </c>
      <c r="M76" s="1277">
        <v>11</v>
      </c>
      <c r="N76" s="1277">
        <v>12</v>
      </c>
      <c r="O76" s="1277">
        <v>13</v>
      </c>
      <c r="P76" s="1277">
        <v>14</v>
      </c>
      <c r="Q76" s="1962">
        <v>15</v>
      </c>
      <c r="R76" s="1962">
        <v>16</v>
      </c>
      <c r="S76" s="1277">
        <v>17</v>
      </c>
      <c r="T76" s="1277">
        <v>18</v>
      </c>
      <c r="U76" s="1277">
        <v>19</v>
      </c>
      <c r="V76" s="1277">
        <v>20</v>
      </c>
      <c r="W76" s="1277">
        <v>21</v>
      </c>
      <c r="X76" s="1962">
        <v>22</v>
      </c>
      <c r="Y76" s="1962">
        <v>23</v>
      </c>
      <c r="Z76" s="1277">
        <v>24</v>
      </c>
      <c r="AA76" s="1277">
        <v>25</v>
      </c>
      <c r="AB76" s="1277">
        <v>26</v>
      </c>
      <c r="AC76" s="1277">
        <v>27</v>
      </c>
      <c r="AD76" s="1277">
        <v>28</v>
      </c>
      <c r="AE76" s="1962">
        <v>29</v>
      </c>
      <c r="AF76" s="1962">
        <v>30</v>
      </c>
      <c r="AG76" s="1963">
        <v>31</v>
      </c>
      <c r="AH76" s="1"/>
    </row>
    <row r="77" spans="1:34" ht="22.15" customHeight="1" x14ac:dyDescent="0.2">
      <c r="A77" s="388"/>
      <c r="B77" s="379" t="s">
        <v>372</v>
      </c>
      <c r="C77" s="380"/>
      <c r="D77" s="380"/>
      <c r="E77" s="380">
        <v>79</v>
      </c>
      <c r="F77" s="380">
        <v>79</v>
      </c>
      <c r="G77" s="380">
        <v>79</v>
      </c>
      <c r="H77" s="380">
        <v>79</v>
      </c>
      <c r="I77" s="380">
        <v>79</v>
      </c>
      <c r="J77" s="380"/>
      <c r="K77" s="380"/>
      <c r="L77" s="385">
        <v>22</v>
      </c>
      <c r="M77" s="385">
        <v>22</v>
      </c>
      <c r="N77" s="385">
        <v>22</v>
      </c>
      <c r="O77" s="385">
        <v>22</v>
      </c>
      <c r="P77" s="385">
        <v>22</v>
      </c>
      <c r="Q77" s="385">
        <v>22</v>
      </c>
      <c r="R77" s="385">
        <v>22</v>
      </c>
      <c r="S77" s="380" t="s">
        <v>35</v>
      </c>
      <c r="T77" s="380" t="s">
        <v>35</v>
      </c>
      <c r="U77" s="392">
        <v>79</v>
      </c>
      <c r="V77" s="380" t="s">
        <v>216</v>
      </c>
      <c r="W77" s="380" t="s">
        <v>216</v>
      </c>
      <c r="X77" s="390"/>
      <c r="Y77" s="385"/>
      <c r="Z77" s="380" t="s">
        <v>246</v>
      </c>
      <c r="AA77" s="380" t="s">
        <v>246</v>
      </c>
      <c r="AB77" s="380" t="s">
        <v>246</v>
      </c>
      <c r="AC77" s="380" t="s">
        <v>246</v>
      </c>
      <c r="AD77" s="380" t="s">
        <v>246</v>
      </c>
      <c r="AE77" s="386"/>
      <c r="AF77" s="386"/>
      <c r="AG77" s="1623" t="s">
        <v>31</v>
      </c>
      <c r="AH77" s="1"/>
    </row>
    <row r="78" spans="1:34" ht="22.15" customHeight="1" x14ac:dyDescent="0.2">
      <c r="A78" s="1964"/>
      <c r="B78" s="1715" t="s">
        <v>127</v>
      </c>
      <c r="C78" s="1629">
        <v>21</v>
      </c>
      <c r="D78" s="1629">
        <v>21</v>
      </c>
      <c r="E78" s="1629" t="s">
        <v>35</v>
      </c>
      <c r="F78" s="1629" t="s">
        <v>35</v>
      </c>
      <c r="G78" s="1629" t="s">
        <v>35</v>
      </c>
      <c r="H78" s="1629" t="s">
        <v>35</v>
      </c>
      <c r="I78" s="1734">
        <v>11</v>
      </c>
      <c r="J78" s="1734" t="s">
        <v>73</v>
      </c>
      <c r="K78" s="1734" t="s">
        <v>73</v>
      </c>
      <c r="L78" s="1629" t="s">
        <v>35</v>
      </c>
      <c r="M78" s="1629" t="s">
        <v>35</v>
      </c>
      <c r="N78" s="1629" t="s">
        <v>35</v>
      </c>
      <c r="O78" s="1629" t="s">
        <v>35</v>
      </c>
      <c r="P78" s="1629" t="s">
        <v>35</v>
      </c>
      <c r="Q78" s="1639">
        <v>89</v>
      </c>
      <c r="R78" s="1639"/>
      <c r="S78" s="1629">
        <v>99</v>
      </c>
      <c r="T78" s="1629">
        <v>99</v>
      </c>
      <c r="U78" s="1629">
        <v>99</v>
      </c>
      <c r="V78" s="1629">
        <v>99</v>
      </c>
      <c r="W78" s="1629">
        <v>79</v>
      </c>
      <c r="X78" s="1629"/>
      <c r="Y78" s="1639"/>
      <c r="Z78" s="1633">
        <v>21</v>
      </c>
      <c r="AA78" s="1633">
        <v>21</v>
      </c>
      <c r="AB78" s="1633">
        <v>21</v>
      </c>
      <c r="AC78" s="1633">
        <v>21</v>
      </c>
      <c r="AD78" s="1633">
        <v>21</v>
      </c>
      <c r="AE78" s="1629"/>
      <c r="AF78" s="1639"/>
      <c r="AG78" s="1965" t="s">
        <v>32</v>
      </c>
      <c r="AH78" s="1"/>
    </row>
    <row r="79" spans="1:34" ht="22.15" customHeight="1" x14ac:dyDescent="0.2">
      <c r="A79" s="1966"/>
      <c r="B79" s="1715" t="s">
        <v>129</v>
      </c>
      <c r="C79" s="1735"/>
      <c r="D79" s="1735"/>
      <c r="E79" s="1735">
        <v>25</v>
      </c>
      <c r="F79" s="1735">
        <v>25</v>
      </c>
      <c r="G79" s="1735">
        <v>25</v>
      </c>
      <c r="H79" s="1735">
        <v>25</v>
      </c>
      <c r="I79" s="1735">
        <v>25</v>
      </c>
      <c r="J79" s="1735">
        <v>26</v>
      </c>
      <c r="K79" s="1735" t="s">
        <v>373</v>
      </c>
      <c r="L79" s="1629">
        <v>89</v>
      </c>
      <c r="M79" s="1629" t="s">
        <v>35</v>
      </c>
      <c r="N79" s="1629">
        <v>89</v>
      </c>
      <c r="O79" s="1629">
        <v>89</v>
      </c>
      <c r="P79" s="1629" t="s">
        <v>35</v>
      </c>
      <c r="Q79" s="1629"/>
      <c r="R79" s="1629"/>
      <c r="S79" s="1629">
        <v>25</v>
      </c>
      <c r="T79" s="1710">
        <v>25</v>
      </c>
      <c r="U79" s="1629">
        <v>25</v>
      </c>
      <c r="V79" s="1629">
        <v>25</v>
      </c>
      <c r="W79" s="1629">
        <v>25</v>
      </c>
      <c r="X79" s="1628" t="s">
        <v>0</v>
      </c>
      <c r="Y79" s="1629" t="s">
        <v>0</v>
      </c>
      <c r="Z79" s="1629" t="s">
        <v>243</v>
      </c>
      <c r="AA79" s="1629" t="s">
        <v>243</v>
      </c>
      <c r="AB79" s="1629" t="s">
        <v>243</v>
      </c>
      <c r="AC79" s="1629" t="s">
        <v>243</v>
      </c>
      <c r="AD79" s="1629" t="s">
        <v>243</v>
      </c>
      <c r="AE79" s="1628">
        <v>21</v>
      </c>
      <c r="AF79" s="1629">
        <v>21</v>
      </c>
      <c r="AG79" s="1634" t="s">
        <v>35</v>
      </c>
      <c r="AH79" s="1"/>
    </row>
    <row r="80" spans="1:34" ht="22.15" customHeight="1" thickBot="1" x14ac:dyDescent="0.25">
      <c r="A80" s="707"/>
      <c r="B80" s="1715" t="s">
        <v>208</v>
      </c>
      <c r="C80" s="1734"/>
      <c r="D80" s="1734"/>
      <c r="E80" s="1629" t="s">
        <v>31</v>
      </c>
      <c r="F80" s="1629" t="s">
        <v>31</v>
      </c>
      <c r="G80" s="1629" t="s">
        <v>31</v>
      </c>
      <c r="H80" s="1629" t="s">
        <v>31</v>
      </c>
      <c r="I80" s="1629" t="s">
        <v>31</v>
      </c>
      <c r="J80" s="1629"/>
      <c r="K80" s="1629"/>
      <c r="L80" s="1629"/>
      <c r="M80" s="1629"/>
      <c r="N80" s="1629"/>
      <c r="O80" s="1629"/>
      <c r="P80" s="1629"/>
      <c r="Q80" s="1629"/>
      <c r="R80" s="1629"/>
      <c r="S80" s="1629"/>
      <c r="T80" s="1629"/>
      <c r="U80" s="1629"/>
      <c r="V80" s="1629"/>
      <c r="W80" s="1629"/>
      <c r="X80" s="1628"/>
      <c r="Y80" s="1625"/>
      <c r="Z80" s="1629"/>
      <c r="AA80" s="1629"/>
      <c r="AB80" s="1629"/>
      <c r="AC80" s="1629"/>
      <c r="AD80" s="1629"/>
      <c r="AE80" s="1639"/>
      <c r="AF80" s="1639"/>
      <c r="AG80" s="1634"/>
      <c r="AH80" s="1"/>
    </row>
    <row r="81" spans="1:35" ht="22.15" customHeight="1" thickBot="1" x14ac:dyDescent="0.25">
      <c r="A81" s="388"/>
      <c r="B81" s="1715" t="s">
        <v>374</v>
      </c>
      <c r="C81" s="1739"/>
      <c r="D81" s="1967"/>
      <c r="E81" s="1967" t="s">
        <v>31</v>
      </c>
      <c r="F81" s="1967" t="s">
        <v>31</v>
      </c>
      <c r="G81" s="1967" t="s">
        <v>31</v>
      </c>
      <c r="H81" s="1967" t="s">
        <v>31</v>
      </c>
      <c r="I81" s="1739" t="s">
        <v>31</v>
      </c>
      <c r="J81" s="1739"/>
      <c r="K81" s="1967"/>
      <c r="L81" s="1636">
        <v>7</v>
      </c>
      <c r="M81" s="1636">
        <v>7</v>
      </c>
      <c r="N81" s="1628">
        <v>7</v>
      </c>
      <c r="O81" s="1625">
        <v>7</v>
      </c>
      <c r="P81" s="1625">
        <v>7</v>
      </c>
      <c r="Q81" s="1625"/>
      <c r="R81" s="1625"/>
      <c r="S81" s="1625">
        <v>4</v>
      </c>
      <c r="T81" s="1625">
        <v>4</v>
      </c>
      <c r="U81" s="1625">
        <v>4</v>
      </c>
      <c r="V81" s="1625">
        <v>4</v>
      </c>
      <c r="W81" s="1625">
        <v>4</v>
      </c>
      <c r="X81" s="1629"/>
      <c r="Y81" s="1625"/>
      <c r="Z81" s="1625">
        <v>3</v>
      </c>
      <c r="AA81" s="1625">
        <v>3</v>
      </c>
      <c r="AB81" s="1625">
        <v>3</v>
      </c>
      <c r="AC81" s="1625">
        <v>3</v>
      </c>
      <c r="AD81" s="1628">
        <v>3</v>
      </c>
      <c r="AE81" s="1628">
        <v>23</v>
      </c>
      <c r="AF81" s="1637">
        <v>23</v>
      </c>
      <c r="AG81" s="1842" t="s">
        <v>35</v>
      </c>
      <c r="AH81" s="1"/>
    </row>
    <row r="82" spans="1:35" ht="22.15" customHeight="1" thickBot="1" x14ac:dyDescent="0.25">
      <c r="A82" s="388"/>
      <c r="B82" s="1715" t="s">
        <v>364</v>
      </c>
      <c r="C82" s="1629" t="s">
        <v>0</v>
      </c>
      <c r="D82" s="1629" t="s">
        <v>0</v>
      </c>
      <c r="E82" s="1735">
        <v>89</v>
      </c>
      <c r="F82" s="1735">
        <v>89</v>
      </c>
      <c r="G82" s="1735">
        <v>89</v>
      </c>
      <c r="H82" s="1735">
        <v>89</v>
      </c>
      <c r="I82" s="1735" t="s">
        <v>361</v>
      </c>
      <c r="J82" s="1639">
        <v>89</v>
      </c>
      <c r="K82" s="1639"/>
      <c r="L82" s="1629">
        <v>99</v>
      </c>
      <c r="M82" s="1629">
        <v>99</v>
      </c>
      <c r="N82" s="1629">
        <v>99</v>
      </c>
      <c r="O82" s="1629">
        <v>99</v>
      </c>
      <c r="P82" s="1629" t="s">
        <v>35</v>
      </c>
      <c r="Q82" s="1629" t="s">
        <v>0</v>
      </c>
      <c r="R82" s="1629" t="s">
        <v>0</v>
      </c>
      <c r="S82" s="1629">
        <v>89</v>
      </c>
      <c r="T82" s="1629" t="s">
        <v>35</v>
      </c>
      <c r="U82" s="1629">
        <v>89</v>
      </c>
      <c r="V82" s="1629">
        <v>89</v>
      </c>
      <c r="W82" s="1629">
        <v>89</v>
      </c>
      <c r="X82" s="1629">
        <v>89</v>
      </c>
      <c r="Y82" s="1629"/>
      <c r="Z82" s="1628">
        <v>1</v>
      </c>
      <c r="AA82" s="1628">
        <v>1</v>
      </c>
      <c r="AB82" s="1639">
        <v>1</v>
      </c>
      <c r="AC82" s="1639">
        <v>1</v>
      </c>
      <c r="AD82" s="1639">
        <v>1</v>
      </c>
      <c r="AE82" s="1628" t="s">
        <v>0</v>
      </c>
      <c r="AF82" s="1629" t="s">
        <v>0</v>
      </c>
      <c r="AG82" s="1634">
        <v>69</v>
      </c>
      <c r="AH82" s="1"/>
    </row>
    <row r="83" spans="1:35" ht="22.15" customHeight="1" x14ac:dyDescent="0.2">
      <c r="A83" s="388"/>
      <c r="B83" s="1715" t="s">
        <v>131</v>
      </c>
      <c r="C83" s="1629"/>
      <c r="D83" s="1629"/>
      <c r="E83" s="1629" t="s">
        <v>132</v>
      </c>
      <c r="F83" s="1629" t="s">
        <v>132</v>
      </c>
      <c r="G83" s="1629" t="s">
        <v>132</v>
      </c>
      <c r="H83" s="1629" t="s">
        <v>132</v>
      </c>
      <c r="I83" s="1629" t="s">
        <v>132</v>
      </c>
      <c r="J83" s="1629"/>
      <c r="K83" s="1629"/>
      <c r="L83" s="1629" t="s">
        <v>132</v>
      </c>
      <c r="M83" s="1629" t="s">
        <v>132</v>
      </c>
      <c r="N83" s="1629" t="s">
        <v>132</v>
      </c>
      <c r="O83" s="1629" t="s">
        <v>132</v>
      </c>
      <c r="P83" s="1629" t="s">
        <v>132</v>
      </c>
      <c r="Q83" s="1629"/>
      <c r="R83" s="1629"/>
      <c r="S83" s="1629" t="s">
        <v>132</v>
      </c>
      <c r="T83" s="1629" t="s">
        <v>132</v>
      </c>
      <c r="U83" s="1629" t="s">
        <v>132</v>
      </c>
      <c r="V83" s="1629" t="s">
        <v>132</v>
      </c>
      <c r="W83" s="1629" t="s">
        <v>132</v>
      </c>
      <c r="X83" s="1628"/>
      <c r="Y83" s="1625"/>
      <c r="Z83" s="1629" t="s">
        <v>132</v>
      </c>
      <c r="AA83" s="1629" t="s">
        <v>132</v>
      </c>
      <c r="AB83" s="1629" t="s">
        <v>132</v>
      </c>
      <c r="AC83" s="1629" t="s">
        <v>132</v>
      </c>
      <c r="AD83" s="1629" t="s">
        <v>132</v>
      </c>
      <c r="AE83" s="1639"/>
      <c r="AF83" s="1639"/>
      <c r="AG83" s="1968" t="s">
        <v>132</v>
      </c>
      <c r="AH83" s="375"/>
    </row>
    <row r="84" spans="1:35" ht="22.15" customHeight="1" x14ac:dyDescent="0.2">
      <c r="A84" s="1969"/>
      <c r="B84" s="1301" t="s">
        <v>375</v>
      </c>
      <c r="C84" s="1636"/>
      <c r="D84" s="1636"/>
      <c r="E84" s="1636">
        <v>5</v>
      </c>
      <c r="F84" s="1636">
        <v>5</v>
      </c>
      <c r="G84" s="1636">
        <v>5</v>
      </c>
      <c r="H84" s="1636">
        <v>5</v>
      </c>
      <c r="I84" s="1636">
        <v>5</v>
      </c>
      <c r="J84" s="1636"/>
      <c r="K84" s="1636"/>
      <c r="L84" s="1636">
        <v>10</v>
      </c>
      <c r="M84" s="1636">
        <v>10</v>
      </c>
      <c r="N84" s="1636">
        <v>10</v>
      </c>
      <c r="O84" s="1636">
        <v>10</v>
      </c>
      <c r="P84" s="1636">
        <v>10</v>
      </c>
      <c r="Q84" s="1636" t="s">
        <v>67</v>
      </c>
      <c r="R84" s="1636" t="s">
        <v>67</v>
      </c>
      <c r="S84" s="1636" t="s">
        <v>35</v>
      </c>
      <c r="T84" s="1636" t="s">
        <v>35</v>
      </c>
      <c r="U84" s="1636" t="s">
        <v>35</v>
      </c>
      <c r="V84" s="1636" t="s">
        <v>35</v>
      </c>
      <c r="W84" s="1636" t="s">
        <v>35</v>
      </c>
      <c r="X84" s="1636" t="s">
        <v>71</v>
      </c>
      <c r="Y84" s="1636" t="s">
        <v>71</v>
      </c>
      <c r="Z84" s="1636">
        <v>7</v>
      </c>
      <c r="AA84" s="1636">
        <v>7</v>
      </c>
      <c r="AB84" s="1636">
        <v>7</v>
      </c>
      <c r="AC84" s="1636">
        <v>7</v>
      </c>
      <c r="AD84" s="1636">
        <v>7</v>
      </c>
      <c r="AE84" s="1636"/>
      <c r="AF84" s="1636"/>
      <c r="AG84" s="1970">
        <v>4</v>
      </c>
      <c r="AH84" s="391" t="s">
        <v>0</v>
      </c>
    </row>
    <row r="85" spans="1:35" ht="22.15" customHeight="1" thickBot="1" x14ac:dyDescent="0.25">
      <c r="B85" s="1971"/>
      <c r="C85" s="222" t="s">
        <v>0</v>
      </c>
      <c r="D85" s="249"/>
      <c r="E85" s="249"/>
      <c r="F85" s="249" t="s">
        <v>31</v>
      </c>
      <c r="G85" s="249" t="s">
        <v>31</v>
      </c>
      <c r="H85" s="249" t="s">
        <v>31</v>
      </c>
      <c r="I85" s="249" t="s">
        <v>31</v>
      </c>
      <c r="J85" s="249" t="s">
        <v>31</v>
      </c>
      <c r="K85" s="249"/>
      <c r="L85" s="249"/>
      <c r="M85" s="249" t="s">
        <v>31</v>
      </c>
      <c r="N85" s="249" t="s">
        <v>31</v>
      </c>
      <c r="O85" s="249" t="s">
        <v>31</v>
      </c>
      <c r="P85" s="249" t="s">
        <v>31</v>
      </c>
      <c r="Q85" s="249" t="s">
        <v>31</v>
      </c>
      <c r="R85" s="249"/>
      <c r="S85" s="249"/>
      <c r="T85" s="249" t="s">
        <v>31</v>
      </c>
      <c r="U85" s="249" t="s">
        <v>31</v>
      </c>
      <c r="V85" s="249" t="s">
        <v>31</v>
      </c>
      <c r="W85" s="249" t="s">
        <v>31</v>
      </c>
      <c r="X85" s="249" t="s">
        <v>31</v>
      </c>
      <c r="Y85" s="249"/>
      <c r="Z85" s="249"/>
      <c r="AA85" s="249" t="s">
        <v>31</v>
      </c>
      <c r="AB85" s="389" t="s">
        <v>31</v>
      </c>
      <c r="AC85" s="389" t="s">
        <v>31</v>
      </c>
      <c r="AD85" s="389" t="s">
        <v>31</v>
      </c>
      <c r="AE85" s="389" t="s">
        <v>31</v>
      </c>
      <c r="AF85" s="389"/>
      <c r="AG85" s="1972"/>
      <c r="AH85" s="391" t="s">
        <v>0</v>
      </c>
    </row>
    <row r="86" spans="1:35" ht="22.15" customHeight="1" thickBot="1" x14ac:dyDescent="0.25">
      <c r="A86" s="561" t="s">
        <v>29</v>
      </c>
      <c r="B86" s="562"/>
      <c r="C86" s="1973">
        <v>1</v>
      </c>
      <c r="D86" s="1185">
        <v>2</v>
      </c>
      <c r="E86" s="1186">
        <v>3</v>
      </c>
      <c r="F86" s="1186">
        <v>4</v>
      </c>
      <c r="G86" s="1186">
        <v>5</v>
      </c>
      <c r="H86" s="1186">
        <v>6</v>
      </c>
      <c r="I86" s="1186">
        <v>7</v>
      </c>
      <c r="J86" s="1185">
        <v>8</v>
      </c>
      <c r="K86" s="1185">
        <v>9</v>
      </c>
      <c r="L86" s="1186">
        <v>10</v>
      </c>
      <c r="M86" s="1186">
        <v>11</v>
      </c>
      <c r="N86" s="1186">
        <v>12</v>
      </c>
      <c r="O86" s="1186">
        <v>13</v>
      </c>
      <c r="P86" s="1186">
        <v>14</v>
      </c>
      <c r="Q86" s="1185">
        <v>15</v>
      </c>
      <c r="R86" s="1185">
        <v>16</v>
      </c>
      <c r="S86" s="1186">
        <v>17</v>
      </c>
      <c r="T86" s="1186">
        <v>18</v>
      </c>
      <c r="U86" s="1186">
        <v>19</v>
      </c>
      <c r="V86" s="1186">
        <v>20</v>
      </c>
      <c r="W86" s="1186">
        <v>21</v>
      </c>
      <c r="X86" s="1185">
        <v>22</v>
      </c>
      <c r="Y86" s="1185">
        <v>23</v>
      </c>
      <c r="Z86" s="1186">
        <v>24</v>
      </c>
      <c r="AA86" s="1186">
        <v>25</v>
      </c>
      <c r="AB86" s="1186">
        <v>26</v>
      </c>
      <c r="AC86" s="1186">
        <v>27</v>
      </c>
      <c r="AD86" s="1186">
        <v>28</v>
      </c>
      <c r="AE86" s="1185">
        <v>29</v>
      </c>
      <c r="AF86" s="1185">
        <v>30</v>
      </c>
      <c r="AG86" s="1931">
        <v>31</v>
      </c>
      <c r="AH86" s="1"/>
    </row>
    <row r="87" spans="1:35" ht="22.15" customHeight="1" x14ac:dyDescent="0.2">
      <c r="A87" s="1974" t="s">
        <v>135</v>
      </c>
      <c r="B87" s="1975"/>
      <c r="C87" s="563"/>
      <c r="D87" s="482"/>
      <c r="E87" s="458"/>
      <c r="F87" s="458"/>
      <c r="G87" s="458"/>
      <c r="H87" s="458"/>
      <c r="I87" s="458"/>
      <c r="J87" s="458"/>
      <c r="K87" s="458"/>
      <c r="L87" s="458"/>
      <c r="M87" s="458"/>
      <c r="N87" s="458"/>
      <c r="O87" s="458"/>
      <c r="P87" s="458"/>
      <c r="Q87" s="458"/>
      <c r="R87" s="458"/>
      <c r="S87" s="458"/>
      <c r="T87" s="458"/>
      <c r="U87" s="458"/>
      <c r="V87" s="458"/>
      <c r="W87" s="458"/>
      <c r="X87" s="458"/>
      <c r="Y87" s="458"/>
      <c r="Z87" s="458"/>
      <c r="AA87" s="458"/>
      <c r="AB87" s="458"/>
      <c r="AC87" s="458"/>
      <c r="AD87" s="458"/>
      <c r="AE87" s="458"/>
      <c r="AF87" s="458"/>
      <c r="AG87" s="464"/>
      <c r="AH87" s="1"/>
    </row>
    <row r="88" spans="1:35" ht="22.15" customHeight="1" x14ac:dyDescent="0.2">
      <c r="A88" s="1330"/>
      <c r="B88" s="1975"/>
      <c r="C88" s="1976"/>
      <c r="D88" s="1337"/>
      <c r="E88" s="1337"/>
      <c r="F88" s="1338"/>
      <c r="G88" s="1338"/>
      <c r="H88" s="1338"/>
      <c r="I88" s="1338"/>
      <c r="J88" s="1338"/>
      <c r="K88" s="1338"/>
      <c r="L88" s="1338"/>
      <c r="M88" s="1338"/>
      <c r="N88" s="1338"/>
      <c r="O88" s="1338"/>
      <c r="P88" s="1338"/>
      <c r="Q88" s="1338"/>
      <c r="R88" s="1341"/>
      <c r="S88" s="1341"/>
      <c r="T88" s="1341"/>
      <c r="U88" s="1341"/>
      <c r="V88" s="1341"/>
      <c r="W88" s="1337"/>
      <c r="X88" s="1337"/>
      <c r="Y88" s="1341"/>
      <c r="Z88" s="1341"/>
      <c r="AA88" s="1341"/>
      <c r="AB88" s="1341"/>
      <c r="AC88" s="1341"/>
      <c r="AD88" s="1337"/>
      <c r="AE88" s="1337"/>
      <c r="AF88" s="1344"/>
      <c r="AG88" s="1340"/>
      <c r="AH88" s="1"/>
    </row>
    <row r="89" spans="1:35" ht="22.15" customHeight="1" x14ac:dyDescent="0.2">
      <c r="A89" s="1330"/>
      <c r="B89" s="1975"/>
      <c r="C89" s="1977"/>
      <c r="D89" s="1754"/>
      <c r="E89" s="1754"/>
      <c r="F89" s="1754"/>
      <c r="G89" s="1754"/>
      <c r="H89" s="1754"/>
      <c r="I89" s="1754"/>
      <c r="J89" s="1754"/>
      <c r="K89" s="1754"/>
      <c r="L89" s="1754"/>
      <c r="M89" s="1754"/>
      <c r="N89" s="1754"/>
      <c r="O89" s="1754"/>
      <c r="P89" s="1754"/>
      <c r="Q89" s="1754"/>
      <c r="R89" s="1754"/>
      <c r="S89" s="1754"/>
      <c r="T89" s="1754"/>
      <c r="U89" s="1754"/>
      <c r="V89" s="1754"/>
      <c r="W89" s="1754"/>
      <c r="X89" s="1754"/>
      <c r="Y89" s="1754"/>
      <c r="Z89" s="1754"/>
      <c r="AA89" s="1754"/>
      <c r="AB89" s="1754"/>
      <c r="AC89" s="1754"/>
      <c r="AD89" s="1754"/>
      <c r="AE89" s="1754"/>
      <c r="AF89" s="1347"/>
      <c r="AG89" s="1251"/>
      <c r="AH89" s="1"/>
    </row>
    <row r="90" spans="1:35" ht="22.15" customHeight="1" thickBot="1" x14ac:dyDescent="0.25">
      <c r="A90" s="1253"/>
      <c r="B90" s="1931"/>
      <c r="C90" s="1978"/>
      <c r="D90" s="1348"/>
      <c r="E90" s="1348"/>
      <c r="F90" s="1348"/>
      <c r="G90" s="1348"/>
      <c r="H90" s="1348"/>
      <c r="I90" s="1348"/>
      <c r="J90" s="1348"/>
      <c r="K90" s="1348"/>
      <c r="L90" s="1348"/>
      <c r="M90" s="1348"/>
      <c r="N90" s="1348"/>
      <c r="O90" s="1348"/>
      <c r="P90" s="1348"/>
      <c r="Q90" s="1348"/>
      <c r="R90" s="1349"/>
      <c r="S90" s="1349"/>
      <c r="T90" s="1349"/>
      <c r="U90" s="1348"/>
      <c r="V90" s="1348"/>
      <c r="W90" s="1348"/>
      <c r="X90" s="1348"/>
      <c r="Y90" s="1348"/>
      <c r="Z90" s="1348"/>
      <c r="AA90" s="1348"/>
      <c r="AB90" s="1348"/>
      <c r="AC90" s="1348"/>
      <c r="AD90" s="1348"/>
      <c r="AE90" s="1348"/>
      <c r="AF90" s="1254"/>
      <c r="AG90" s="1945"/>
      <c r="AH90" s="1"/>
    </row>
    <row r="91" spans="1:35" ht="22.15" customHeight="1" thickBot="1" x14ac:dyDescent="0.25">
      <c r="A91" s="176" t="s">
        <v>136</v>
      </c>
      <c r="B91" s="177"/>
      <c r="C91" s="177"/>
      <c r="D91" s="177"/>
      <c r="E91" s="177"/>
      <c r="F91" s="177"/>
      <c r="G91" s="178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</row>
    <row r="92" spans="1:35" ht="22.15" customHeight="1" thickBot="1" x14ac:dyDescent="0.25">
      <c r="A92" s="179"/>
      <c r="B92" s="303" t="s">
        <v>137</v>
      </c>
      <c r="C92" s="281"/>
      <c r="D92" s="282" t="s">
        <v>90</v>
      </c>
      <c r="E92" s="283"/>
      <c r="F92" s="284"/>
      <c r="G92" s="281"/>
      <c r="H92" s="282" t="s">
        <v>91</v>
      </c>
      <c r="I92" s="283"/>
      <c r="J92" s="284"/>
      <c r="K92" s="281"/>
      <c r="L92" s="282" t="s">
        <v>92</v>
      </c>
      <c r="M92" s="283"/>
      <c r="N92" s="284"/>
      <c r="O92" s="281"/>
      <c r="P92" s="282" t="s">
        <v>93</v>
      </c>
      <c r="Q92" s="283"/>
      <c r="R92" s="284"/>
      <c r="S92" s="285"/>
      <c r="T92" s="282" t="s">
        <v>94</v>
      </c>
      <c r="U92" s="283"/>
      <c r="V92" s="284"/>
      <c r="W92" s="281"/>
      <c r="X92" s="282" t="s">
        <v>95</v>
      </c>
      <c r="Y92" s="283"/>
      <c r="Z92" s="284"/>
      <c r="AA92" s="281"/>
      <c r="AB92" s="282" t="s">
        <v>96</v>
      </c>
      <c r="AC92" s="283"/>
      <c r="AD92" s="283"/>
      <c r="AE92" s="286" t="s">
        <v>138</v>
      </c>
      <c r="AF92" s="283"/>
      <c r="AG92" s="283"/>
      <c r="AH92" s="283"/>
      <c r="AI92" s="287"/>
    </row>
    <row r="93" spans="1:35" ht="22.15" customHeight="1" x14ac:dyDescent="0.2">
      <c r="A93" s="179"/>
      <c r="B93" s="489" t="s">
        <v>139</v>
      </c>
      <c r="C93" s="490" t="s">
        <v>140</v>
      </c>
      <c r="D93" s="283"/>
      <c r="E93" s="491"/>
      <c r="F93" s="492"/>
      <c r="G93" s="490" t="s">
        <v>140</v>
      </c>
      <c r="H93" s="491"/>
      <c r="I93" s="491"/>
      <c r="J93" s="492"/>
      <c r="K93" s="288" t="s">
        <v>140</v>
      </c>
      <c r="L93" s="283"/>
      <c r="M93" s="283"/>
      <c r="N93" s="289"/>
      <c r="O93" s="288" t="s">
        <v>141</v>
      </c>
      <c r="P93" s="283"/>
      <c r="Q93" s="491"/>
      <c r="R93" s="492"/>
      <c r="S93" s="490" t="s">
        <v>142</v>
      </c>
      <c r="T93" s="491"/>
      <c r="U93" s="491"/>
      <c r="V93" s="493"/>
      <c r="W93" s="494"/>
      <c r="X93" s="495"/>
      <c r="Y93" s="495"/>
      <c r="Z93" s="496"/>
      <c r="AA93" s="493"/>
      <c r="AB93" s="491"/>
      <c r="AC93" s="491"/>
      <c r="AD93" s="493"/>
      <c r="AE93" s="497">
        <v>37</v>
      </c>
      <c r="AF93" s="283"/>
      <c r="AG93" s="491"/>
      <c r="AH93" s="493"/>
      <c r="AI93" s="498"/>
    </row>
    <row r="94" spans="1:35" ht="22.15" customHeight="1" x14ac:dyDescent="0.2">
      <c r="A94" s="179"/>
      <c r="B94" s="1350" t="s">
        <v>143</v>
      </c>
      <c r="C94" s="1351" t="s">
        <v>144</v>
      </c>
      <c r="D94" s="1352"/>
      <c r="E94" s="1352"/>
      <c r="F94" s="1353"/>
      <c r="G94" s="1351" t="s">
        <v>145</v>
      </c>
      <c r="H94" s="1352"/>
      <c r="I94" s="1352"/>
      <c r="J94" s="1353"/>
      <c r="K94" s="1351" t="s">
        <v>146</v>
      </c>
      <c r="L94" s="1354" t="s">
        <v>147</v>
      </c>
      <c r="M94" s="1352"/>
      <c r="N94" s="1353"/>
      <c r="O94" s="1351" t="s">
        <v>146</v>
      </c>
      <c r="P94" s="1354" t="s">
        <v>147</v>
      </c>
      <c r="Q94" s="1352"/>
      <c r="R94" s="1353"/>
      <c r="S94" s="1351" t="s">
        <v>145</v>
      </c>
      <c r="T94" s="1354" t="s">
        <v>148</v>
      </c>
      <c r="U94" s="1352"/>
      <c r="V94" s="1353"/>
      <c r="W94" s="180" t="s">
        <v>46</v>
      </c>
      <c r="X94" s="254" t="s">
        <v>152</v>
      </c>
      <c r="Y94" s="181"/>
      <c r="Z94" s="181"/>
      <c r="AA94" s="1351" t="s">
        <v>46</v>
      </c>
      <c r="AB94" s="1354" t="s">
        <v>152</v>
      </c>
      <c r="AC94" s="1351"/>
      <c r="AD94" s="1351"/>
      <c r="AE94" s="1356">
        <v>68</v>
      </c>
      <c r="AF94" s="1352"/>
      <c r="AG94" s="1357"/>
      <c r="AH94" s="1358"/>
      <c r="AI94" s="1359"/>
    </row>
    <row r="95" spans="1:35" ht="22.15" customHeight="1" x14ac:dyDescent="0.2">
      <c r="A95" s="179"/>
      <c r="B95" s="1350" t="s">
        <v>153</v>
      </c>
      <c r="C95" s="1360" t="s">
        <v>154</v>
      </c>
      <c r="D95" s="1352"/>
      <c r="E95" s="1352"/>
      <c r="F95" s="1353"/>
      <c r="G95" s="1352" t="s">
        <v>154</v>
      </c>
      <c r="H95" s="1352"/>
      <c r="I95" s="1352"/>
      <c r="J95" s="1353"/>
      <c r="K95" s="1352" t="s">
        <v>154</v>
      </c>
      <c r="L95" s="1352"/>
      <c r="M95" s="1352"/>
      <c r="N95" s="1353"/>
      <c r="O95" s="1352" t="s">
        <v>154</v>
      </c>
      <c r="P95" s="1352"/>
      <c r="Q95" s="1352"/>
      <c r="R95" s="1353"/>
      <c r="S95" s="1352" t="s">
        <v>154</v>
      </c>
      <c r="T95" s="1352"/>
      <c r="U95" s="1352"/>
      <c r="V95" s="1353"/>
      <c r="W95" s="1351"/>
      <c r="X95" s="1352"/>
      <c r="Y95" s="1352"/>
      <c r="Z95" s="1353"/>
      <c r="AA95" s="1351"/>
      <c r="AB95" s="1352"/>
      <c r="AC95" s="1352"/>
      <c r="AD95" s="1354"/>
      <c r="AE95" s="1356">
        <v>0</v>
      </c>
      <c r="AF95" s="1357"/>
      <c r="AG95" s="1352"/>
      <c r="AH95" s="1354"/>
      <c r="AI95" s="1361"/>
    </row>
    <row r="96" spans="1:35" ht="22.15" customHeight="1" thickBot="1" x14ac:dyDescent="0.25">
      <c r="A96" s="179"/>
      <c r="B96" s="1979" t="s">
        <v>155</v>
      </c>
      <c r="C96" s="1363" t="s">
        <v>140</v>
      </c>
      <c r="D96" s="1364"/>
      <c r="E96" s="1365"/>
      <c r="F96" s="1366"/>
      <c r="G96" s="1363" t="s">
        <v>140</v>
      </c>
      <c r="H96" s="1364"/>
      <c r="I96" s="1365"/>
      <c r="J96" s="1366"/>
      <c r="K96" s="1363" t="s">
        <v>140</v>
      </c>
      <c r="L96" s="1364"/>
      <c r="M96" s="1365"/>
      <c r="N96" s="1366"/>
      <c r="O96" s="1363" t="s">
        <v>141</v>
      </c>
      <c r="P96" s="1365"/>
      <c r="Q96" s="1365"/>
      <c r="R96" s="1366"/>
      <c r="S96" s="1363" t="s">
        <v>142</v>
      </c>
      <c r="T96" s="1365"/>
      <c r="U96" s="1365"/>
      <c r="V96" s="1367"/>
      <c r="W96" s="1980"/>
      <c r="X96" s="1365"/>
      <c r="Y96" s="1365"/>
      <c r="Z96" s="1369"/>
      <c r="AA96" s="1367"/>
      <c r="AB96" s="1365"/>
      <c r="AC96" s="1365"/>
      <c r="AD96" s="1367"/>
      <c r="AE96" s="1370">
        <v>37</v>
      </c>
      <c r="AF96" s="1365"/>
      <c r="AG96" s="1365"/>
      <c r="AH96" s="1367"/>
      <c r="AI96" s="1371"/>
    </row>
    <row r="97" spans="1:35" ht="22.15" customHeight="1" x14ac:dyDescent="0.2">
      <c r="A97" s="182"/>
      <c r="B97" s="179"/>
      <c r="C97" s="177"/>
      <c r="D97" s="181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</row>
    <row r="98" spans="1:35" ht="22.15" customHeight="1" thickBot="1" x14ac:dyDescent="0.25">
      <c r="A98" s="1372"/>
      <c r="B98" s="1373" t="s">
        <v>29</v>
      </c>
      <c r="C98" s="1185">
        <v>1</v>
      </c>
      <c r="D98" s="1185">
        <v>2</v>
      </c>
      <c r="E98" s="1186">
        <v>3</v>
      </c>
      <c r="F98" s="1186">
        <v>4</v>
      </c>
      <c r="G98" s="1186">
        <v>5</v>
      </c>
      <c r="H98" s="1186">
        <v>6</v>
      </c>
      <c r="I98" s="1186">
        <v>7</v>
      </c>
      <c r="J98" s="1185">
        <v>8</v>
      </c>
      <c r="K98" s="1185">
        <v>9</v>
      </c>
      <c r="L98" s="1186">
        <v>10</v>
      </c>
      <c r="M98" s="1186">
        <v>11</v>
      </c>
      <c r="N98" s="1186">
        <v>12</v>
      </c>
      <c r="O98" s="1186">
        <v>13</v>
      </c>
      <c r="P98" s="1186">
        <v>14</v>
      </c>
      <c r="Q98" s="1185">
        <v>15</v>
      </c>
      <c r="R98" s="1185">
        <v>16</v>
      </c>
      <c r="S98" s="1186">
        <v>17</v>
      </c>
      <c r="T98" s="1186">
        <v>18</v>
      </c>
      <c r="U98" s="1186">
        <v>19</v>
      </c>
      <c r="V98" s="1186">
        <v>20</v>
      </c>
      <c r="W98" s="1186">
        <v>21</v>
      </c>
      <c r="X98" s="1185">
        <v>22</v>
      </c>
      <c r="Y98" s="1185">
        <v>23</v>
      </c>
      <c r="Z98" s="1186">
        <v>24</v>
      </c>
      <c r="AA98" s="1186">
        <v>25</v>
      </c>
      <c r="AB98" s="1186">
        <v>26</v>
      </c>
      <c r="AC98" s="1186">
        <v>27</v>
      </c>
      <c r="AD98" s="1186">
        <v>28</v>
      </c>
      <c r="AE98" s="1185">
        <v>29</v>
      </c>
      <c r="AF98" s="1185">
        <v>30</v>
      </c>
      <c r="AG98" s="1931">
        <v>31</v>
      </c>
      <c r="AH98" s="191"/>
      <c r="AI98" s="192"/>
    </row>
    <row r="99" spans="1:35" ht="22.15" customHeight="1" x14ac:dyDescent="0.2">
      <c r="A99" s="499">
        <v>1</v>
      </c>
      <c r="B99" s="476"/>
      <c r="C99" s="541"/>
      <c r="D99" s="541"/>
      <c r="E99" s="541" t="s">
        <v>156</v>
      </c>
      <c r="F99" s="541" t="s">
        <v>156</v>
      </c>
      <c r="G99" s="541" t="s">
        <v>156</v>
      </c>
      <c r="H99" s="541" t="s">
        <v>156</v>
      </c>
      <c r="I99" s="541" t="s">
        <v>156</v>
      </c>
      <c r="J99" s="541"/>
      <c r="K99" s="541"/>
      <c r="L99" s="541" t="s">
        <v>156</v>
      </c>
      <c r="M99" s="541" t="s">
        <v>156</v>
      </c>
      <c r="N99" s="541" t="s">
        <v>156</v>
      </c>
      <c r="O99" s="541" t="s">
        <v>156</v>
      </c>
      <c r="P99" s="544" t="s">
        <v>156</v>
      </c>
      <c r="Q99" s="541"/>
      <c r="R99" s="541"/>
      <c r="S99" s="541" t="s">
        <v>110</v>
      </c>
      <c r="T99" s="541" t="s">
        <v>110</v>
      </c>
      <c r="U99" s="541" t="s">
        <v>110</v>
      </c>
      <c r="V99" s="541" t="s">
        <v>110</v>
      </c>
      <c r="W99" s="541" t="s">
        <v>110</v>
      </c>
      <c r="X99" s="540" t="s">
        <v>46</v>
      </c>
      <c r="Y99" s="540" t="s">
        <v>46</v>
      </c>
      <c r="Z99" s="540" t="s">
        <v>35</v>
      </c>
      <c r="AA99" s="540" t="s">
        <v>35</v>
      </c>
      <c r="AB99" s="541" t="s">
        <v>35</v>
      </c>
      <c r="AC99" s="541" t="s">
        <v>35</v>
      </c>
      <c r="AD99" s="541" t="s">
        <v>35</v>
      </c>
      <c r="AE99" s="541"/>
      <c r="AF99" s="541"/>
      <c r="AG99" s="545" t="s">
        <v>156</v>
      </c>
      <c r="AH99" s="193"/>
      <c r="AI99" s="194"/>
    </row>
    <row r="100" spans="1:35" ht="22.15" customHeight="1" thickBot="1" x14ac:dyDescent="0.25">
      <c r="A100" s="1374">
        <v>2</v>
      </c>
      <c r="B100" s="1202" t="s">
        <v>157</v>
      </c>
      <c r="C100" s="1275" t="s">
        <v>46</v>
      </c>
      <c r="D100" s="1375" t="s">
        <v>46</v>
      </c>
      <c r="E100" s="1375" t="s">
        <v>35</v>
      </c>
      <c r="F100" s="1375" t="s">
        <v>35</v>
      </c>
      <c r="G100" s="1375" t="s">
        <v>35</v>
      </c>
      <c r="H100" s="1375" t="s">
        <v>35</v>
      </c>
      <c r="I100" s="1375" t="s">
        <v>35</v>
      </c>
      <c r="J100" s="1375"/>
      <c r="K100" s="1199"/>
      <c r="L100" s="1981" t="s">
        <v>156</v>
      </c>
      <c r="M100" s="1981" t="s">
        <v>156</v>
      </c>
      <c r="N100" s="1981" t="s">
        <v>156</v>
      </c>
      <c r="O100" s="1981" t="s">
        <v>156</v>
      </c>
      <c r="P100" s="1981" t="s">
        <v>156</v>
      </c>
      <c r="Q100" s="1981"/>
      <c r="R100" s="1981"/>
      <c r="S100" s="1981" t="s">
        <v>156</v>
      </c>
      <c r="T100" s="1981" t="s">
        <v>156</v>
      </c>
      <c r="U100" s="1982" t="s">
        <v>156</v>
      </c>
      <c r="V100" s="1981" t="s">
        <v>156</v>
      </c>
      <c r="W100" s="1983" t="s">
        <v>156</v>
      </c>
      <c r="X100" s="1981"/>
      <c r="Y100" s="1981"/>
      <c r="Z100" s="1981" t="s">
        <v>110</v>
      </c>
      <c r="AA100" s="1982" t="s">
        <v>110</v>
      </c>
      <c r="AB100" s="1982" t="s">
        <v>110</v>
      </c>
      <c r="AC100" s="1982" t="s">
        <v>110</v>
      </c>
      <c r="AD100" s="1982" t="s">
        <v>110</v>
      </c>
      <c r="AE100" s="1982" t="s">
        <v>46</v>
      </c>
      <c r="AF100" s="1982" t="s">
        <v>46</v>
      </c>
      <c r="AG100" s="1378" t="s">
        <v>35</v>
      </c>
      <c r="AH100" s="193"/>
      <c r="AI100" s="194"/>
    </row>
    <row r="101" spans="1:35" ht="22.15" customHeight="1" x14ac:dyDescent="0.2">
      <c r="A101" s="1374">
        <v>3</v>
      </c>
      <c r="B101" s="1379" t="s">
        <v>159</v>
      </c>
      <c r="C101" s="1215"/>
      <c r="D101" s="1984"/>
      <c r="E101" s="1267" t="s">
        <v>110</v>
      </c>
      <c r="F101" s="1260" t="s">
        <v>110</v>
      </c>
      <c r="G101" s="1260" t="s">
        <v>110</v>
      </c>
      <c r="H101" s="1260" t="s">
        <v>110</v>
      </c>
      <c r="I101" s="1260" t="s">
        <v>110</v>
      </c>
      <c r="J101" s="1375" t="s">
        <v>46</v>
      </c>
      <c r="K101" s="1375" t="s">
        <v>46</v>
      </c>
      <c r="L101" s="1311" t="s">
        <v>35</v>
      </c>
      <c r="M101" s="1985">
        <v>69</v>
      </c>
      <c r="N101" s="1311" t="s">
        <v>35</v>
      </c>
      <c r="O101" s="1376" t="s">
        <v>243</v>
      </c>
      <c r="P101" s="1311" t="s">
        <v>35</v>
      </c>
      <c r="Q101" s="559"/>
      <c r="R101" s="559"/>
      <c r="S101" s="1982" t="s">
        <v>156</v>
      </c>
      <c r="T101" s="1982" t="s">
        <v>156</v>
      </c>
      <c r="U101" s="1982" t="s">
        <v>156</v>
      </c>
      <c r="V101" s="1982" t="s">
        <v>156</v>
      </c>
      <c r="W101" s="1982" t="s">
        <v>156</v>
      </c>
      <c r="X101" s="1981"/>
      <c r="Y101" s="1986"/>
      <c r="Z101" s="1982" t="s">
        <v>156</v>
      </c>
      <c r="AA101" s="1982" t="s">
        <v>243</v>
      </c>
      <c r="AB101" s="1982" t="s">
        <v>156</v>
      </c>
      <c r="AC101" s="1982" t="s">
        <v>156</v>
      </c>
      <c r="AD101" s="1983" t="s">
        <v>156</v>
      </c>
      <c r="AE101" s="1981"/>
      <c r="AF101" s="1981"/>
      <c r="AG101" s="1987" t="s">
        <v>110</v>
      </c>
      <c r="AH101" s="193"/>
      <c r="AI101" s="194"/>
    </row>
    <row r="102" spans="1:35" ht="22.15" customHeight="1" thickBot="1" x14ac:dyDescent="0.25">
      <c r="A102" s="1382">
        <v>4</v>
      </c>
      <c r="B102" s="1383"/>
      <c r="C102" s="1384"/>
      <c r="D102" s="1384"/>
      <c r="E102" s="1384" t="s">
        <v>156</v>
      </c>
      <c r="F102" s="1384" t="s">
        <v>156</v>
      </c>
      <c r="G102" s="1384" t="s">
        <v>156</v>
      </c>
      <c r="H102" s="1384" t="s">
        <v>156</v>
      </c>
      <c r="I102" s="1384" t="s">
        <v>156</v>
      </c>
      <c r="J102" s="1384" t="s">
        <v>0</v>
      </c>
      <c r="K102" s="1384" t="s">
        <v>0</v>
      </c>
      <c r="L102" s="1384" t="s">
        <v>110</v>
      </c>
      <c r="M102" s="1384" t="s">
        <v>110</v>
      </c>
      <c r="N102" s="1384" t="s">
        <v>110</v>
      </c>
      <c r="O102" s="1384" t="s">
        <v>110</v>
      </c>
      <c r="P102" s="1384" t="s">
        <v>110</v>
      </c>
      <c r="Q102" s="1384" t="s">
        <v>46</v>
      </c>
      <c r="R102" s="1384" t="s">
        <v>46</v>
      </c>
      <c r="S102" s="1384" t="s">
        <v>35</v>
      </c>
      <c r="T102" s="1384" t="s">
        <v>35</v>
      </c>
      <c r="U102" s="1384" t="s">
        <v>35</v>
      </c>
      <c r="V102" s="1384" t="s">
        <v>35</v>
      </c>
      <c r="W102" s="1384" t="s">
        <v>35</v>
      </c>
      <c r="X102" s="1384"/>
      <c r="Y102" s="1384"/>
      <c r="Z102" s="1384" t="s">
        <v>156</v>
      </c>
      <c r="AA102" s="1381" t="s">
        <v>156</v>
      </c>
      <c r="AB102" s="1381" t="s">
        <v>156</v>
      </c>
      <c r="AC102" s="1381" t="s">
        <v>156</v>
      </c>
      <c r="AD102" s="1381" t="s">
        <v>156</v>
      </c>
      <c r="AE102" s="1381"/>
      <c r="AF102" s="1384"/>
      <c r="AG102" s="1988" t="s">
        <v>156</v>
      </c>
      <c r="AH102" s="193"/>
      <c r="AI102" s="194"/>
    </row>
    <row r="103" spans="1:35" ht="22.15" customHeight="1" thickBot="1" x14ac:dyDescent="0.25">
      <c r="A103" s="231"/>
      <c r="B103" s="232"/>
      <c r="C103" s="233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3"/>
      <c r="U103" s="233"/>
      <c r="V103" s="233"/>
      <c r="W103" s="233"/>
      <c r="X103" s="233"/>
      <c r="Y103" s="233"/>
      <c r="Z103" s="233"/>
      <c r="AA103" s="233"/>
      <c r="AB103" s="233"/>
      <c r="AC103" s="233"/>
      <c r="AD103" s="233"/>
      <c r="AE103" s="233"/>
      <c r="AF103" s="233"/>
      <c r="AG103" s="234"/>
      <c r="AH103" s="235"/>
      <c r="AI103" s="194"/>
    </row>
    <row r="104" spans="1:35" ht="22.15" customHeight="1" x14ac:dyDescent="0.2">
      <c r="A104" s="72"/>
      <c r="B104" s="304" t="s">
        <v>160</v>
      </c>
      <c r="C104" s="500"/>
      <c r="D104" s="501" t="s">
        <v>90</v>
      </c>
      <c r="E104" s="502"/>
      <c r="F104" s="500"/>
      <c r="G104" s="503" t="s">
        <v>91</v>
      </c>
      <c r="H104" s="504"/>
      <c r="I104" s="505"/>
      <c r="J104" s="503" t="s">
        <v>92</v>
      </c>
      <c r="K104" s="506"/>
      <c r="L104" s="505"/>
      <c r="M104" s="507" t="s">
        <v>93</v>
      </c>
      <c r="N104" s="506"/>
      <c r="O104" s="505"/>
      <c r="P104" s="503" t="s">
        <v>94</v>
      </c>
      <c r="Q104" s="508"/>
      <c r="R104" s="505"/>
      <c r="S104" s="503" t="s">
        <v>95</v>
      </c>
      <c r="T104" s="509"/>
      <c r="U104" s="505"/>
      <c r="V104" s="503" t="s">
        <v>96</v>
      </c>
      <c r="W104" s="508"/>
      <c r="X104" s="510" t="s">
        <v>138</v>
      </c>
      <c r="Y104" s="511"/>
      <c r="Z104" s="511"/>
      <c r="AA104" s="512"/>
      <c r="AB104" s="290" t="s">
        <v>97</v>
      </c>
      <c r="AC104" s="291"/>
      <c r="AD104" s="291"/>
      <c r="AE104" s="292"/>
      <c r="AF104" s="292"/>
      <c r="AG104" s="293"/>
      <c r="AH104" s="235"/>
      <c r="AI104" s="194"/>
    </row>
    <row r="105" spans="1:35" ht="22.15" customHeight="1" x14ac:dyDescent="0.2">
      <c r="A105" s="72"/>
      <c r="B105" s="1386" t="s">
        <v>161</v>
      </c>
      <c r="C105" s="1387" t="s">
        <v>162</v>
      </c>
      <c r="D105" s="1169"/>
      <c r="E105" s="1170"/>
      <c r="F105" s="1387" t="s">
        <v>162</v>
      </c>
      <c r="G105" s="1169"/>
      <c r="H105" s="1170"/>
      <c r="I105" s="1387" t="s">
        <v>162</v>
      </c>
      <c r="J105" s="1169"/>
      <c r="K105" s="1170"/>
      <c r="L105" s="1387" t="s">
        <v>162</v>
      </c>
      <c r="M105" s="1169"/>
      <c r="N105" s="1170"/>
      <c r="O105" s="1387" t="s">
        <v>163</v>
      </c>
      <c r="P105" s="1169"/>
      <c r="Q105" s="1170"/>
      <c r="R105" s="1387"/>
      <c r="S105" s="1169"/>
      <c r="T105" s="1170"/>
      <c r="U105" s="1387"/>
      <c r="V105" s="1169"/>
      <c r="W105" s="1170"/>
      <c r="X105" s="1387"/>
      <c r="Y105" s="1388"/>
      <c r="Z105" s="1388"/>
      <c r="AA105" s="1388"/>
      <c r="AB105" s="1166"/>
      <c r="AC105" s="1388"/>
      <c r="AD105" s="1388"/>
      <c r="AE105" s="1388"/>
      <c r="AF105" s="1388"/>
      <c r="AG105" s="1389"/>
      <c r="AH105" s="235"/>
      <c r="AI105" s="194"/>
    </row>
    <row r="106" spans="1:35" ht="22.15" customHeight="1" x14ac:dyDescent="0.2">
      <c r="A106" s="72"/>
      <c r="B106" s="17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235"/>
      <c r="AI106" s="194"/>
    </row>
    <row r="107" spans="1:35" ht="22.15" customHeight="1" thickBot="1" x14ac:dyDescent="0.25">
      <c r="A107" s="1343" t="s">
        <v>28</v>
      </c>
      <c r="B107" s="1247" t="s">
        <v>29</v>
      </c>
      <c r="C107" s="1185">
        <v>1</v>
      </c>
      <c r="D107" s="1185">
        <v>2</v>
      </c>
      <c r="E107" s="1186">
        <v>3</v>
      </c>
      <c r="F107" s="1186">
        <v>4</v>
      </c>
      <c r="G107" s="1186">
        <v>5</v>
      </c>
      <c r="H107" s="1186">
        <v>6</v>
      </c>
      <c r="I107" s="1186">
        <v>7</v>
      </c>
      <c r="J107" s="1185">
        <v>8</v>
      </c>
      <c r="K107" s="1185">
        <v>9</v>
      </c>
      <c r="L107" s="1186">
        <v>10</v>
      </c>
      <c r="M107" s="1186">
        <v>11</v>
      </c>
      <c r="N107" s="1186">
        <v>12</v>
      </c>
      <c r="O107" s="1186">
        <v>13</v>
      </c>
      <c r="P107" s="1186">
        <v>14</v>
      </c>
      <c r="Q107" s="1185">
        <v>15</v>
      </c>
      <c r="R107" s="1185">
        <v>16</v>
      </c>
      <c r="S107" s="1186">
        <v>17</v>
      </c>
      <c r="T107" s="1186">
        <v>18</v>
      </c>
      <c r="U107" s="1186">
        <v>19</v>
      </c>
      <c r="V107" s="1186">
        <v>20</v>
      </c>
      <c r="W107" s="1186">
        <v>21</v>
      </c>
      <c r="X107" s="1185">
        <v>22</v>
      </c>
      <c r="Y107" s="1185">
        <v>23</v>
      </c>
      <c r="Z107" s="1186">
        <v>24</v>
      </c>
      <c r="AA107" s="1186">
        <v>25</v>
      </c>
      <c r="AB107" s="1186">
        <v>26</v>
      </c>
      <c r="AC107" s="1186">
        <v>27</v>
      </c>
      <c r="AD107" s="1186">
        <v>28</v>
      </c>
      <c r="AE107" s="1185">
        <v>29</v>
      </c>
      <c r="AF107" s="1185">
        <v>30</v>
      </c>
      <c r="AG107" s="1931">
        <v>31</v>
      </c>
      <c r="AH107" s="235"/>
      <c r="AI107" s="194"/>
    </row>
    <row r="108" spans="1:35" ht="22.15" customHeight="1" x14ac:dyDescent="0.2">
      <c r="A108" s="513">
        <v>8520</v>
      </c>
      <c r="B108" s="514" t="s">
        <v>164</v>
      </c>
      <c r="C108" s="458"/>
      <c r="D108" s="458"/>
      <c r="E108" s="458" t="s">
        <v>165</v>
      </c>
      <c r="F108" s="458" t="s">
        <v>165</v>
      </c>
      <c r="G108" s="458" t="s">
        <v>165</v>
      </c>
      <c r="H108" s="458" t="s">
        <v>165</v>
      </c>
      <c r="I108" s="458" t="s">
        <v>165</v>
      </c>
      <c r="J108" s="458"/>
      <c r="K108" s="458"/>
      <c r="L108" s="458" t="s">
        <v>165</v>
      </c>
      <c r="M108" s="458" t="s">
        <v>165</v>
      </c>
      <c r="N108" s="458" t="s">
        <v>165</v>
      </c>
      <c r="O108" s="458" t="s">
        <v>165</v>
      </c>
      <c r="P108" s="458" t="s">
        <v>165</v>
      </c>
      <c r="Q108" s="458"/>
      <c r="R108" s="458"/>
      <c r="S108" s="564" t="s">
        <v>376</v>
      </c>
      <c r="T108" s="565" t="s">
        <v>165</v>
      </c>
      <c r="U108" s="565" t="s">
        <v>165</v>
      </c>
      <c r="V108" s="565" t="s">
        <v>165</v>
      </c>
      <c r="W108" s="565" t="s">
        <v>165</v>
      </c>
      <c r="X108" s="458"/>
      <c r="Y108" s="458"/>
      <c r="Z108" s="458" t="s">
        <v>165</v>
      </c>
      <c r="AA108" s="458" t="s">
        <v>165</v>
      </c>
      <c r="AB108" s="458" t="s">
        <v>165</v>
      </c>
      <c r="AC108" s="458" t="s">
        <v>165</v>
      </c>
      <c r="AD108" s="458" t="s">
        <v>165</v>
      </c>
      <c r="AE108" s="458"/>
      <c r="AF108" s="458"/>
      <c r="AG108" s="458" t="s">
        <v>165</v>
      </c>
      <c r="AH108" s="235"/>
      <c r="AI108" s="194"/>
    </row>
    <row r="109" spans="1:35" ht="22.15" customHeight="1" x14ac:dyDescent="0.2">
      <c r="A109" s="243"/>
      <c r="B109" s="242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35"/>
      <c r="AI109" s="194"/>
    </row>
    <row r="110" spans="1:35" ht="22.15" customHeight="1" x14ac:dyDescent="0.2">
      <c r="AH110" s="107"/>
      <c r="AI110" s="107"/>
    </row>
    <row r="111" spans="1:35" ht="22.15" customHeight="1" thickBot="1" x14ac:dyDescent="0.25">
      <c r="A111" s="173" t="s">
        <v>166</v>
      </c>
      <c r="B111" s="174"/>
      <c r="C111" s="174"/>
      <c r="D111" s="175"/>
      <c r="E111" s="175"/>
      <c r="F111" s="175"/>
      <c r="G111" s="10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4"/>
      <c r="AI111" s="174"/>
    </row>
    <row r="112" spans="1:35" ht="22.15" customHeight="1" x14ac:dyDescent="0.2">
      <c r="A112" s="173"/>
      <c r="B112" s="304" t="s">
        <v>167</v>
      </c>
      <c r="C112" s="515"/>
      <c r="D112" s="516" t="s">
        <v>90</v>
      </c>
      <c r="E112" s="517"/>
      <c r="F112" s="518"/>
      <c r="G112" s="515"/>
      <c r="H112" s="516" t="s">
        <v>91</v>
      </c>
      <c r="I112" s="517"/>
      <c r="J112" s="518"/>
      <c r="K112" s="515"/>
      <c r="L112" s="516" t="s">
        <v>92</v>
      </c>
      <c r="M112" s="517"/>
      <c r="N112" s="518"/>
      <c r="O112" s="515"/>
      <c r="P112" s="516" t="s">
        <v>93</v>
      </c>
      <c r="Q112" s="517"/>
      <c r="R112" s="518"/>
      <c r="S112" s="515"/>
      <c r="T112" s="516" t="s">
        <v>94</v>
      </c>
      <c r="U112" s="517"/>
      <c r="V112" s="518"/>
      <c r="W112" s="515"/>
      <c r="X112" s="516" t="s">
        <v>95</v>
      </c>
      <c r="Y112" s="517"/>
      <c r="Z112" s="518"/>
      <c r="AA112" s="515"/>
      <c r="AB112" s="516" t="s">
        <v>96</v>
      </c>
      <c r="AC112" s="517"/>
      <c r="AD112" s="517"/>
      <c r="AE112" s="519" t="s">
        <v>97</v>
      </c>
      <c r="AF112" s="517"/>
      <c r="AG112" s="517"/>
      <c r="AH112" s="517"/>
      <c r="AI112" s="520"/>
    </row>
    <row r="113" spans="1:38" ht="22.15" customHeight="1" x14ac:dyDescent="0.2">
      <c r="A113" s="173"/>
      <c r="B113" s="1390" t="s">
        <v>139</v>
      </c>
      <c r="C113" s="1391">
        <v>69</v>
      </c>
      <c r="D113" s="1392" t="s">
        <v>168</v>
      </c>
      <c r="E113" s="1392"/>
      <c r="F113" s="1393"/>
      <c r="G113" s="1391">
        <v>69</v>
      </c>
      <c r="H113" s="1392" t="s">
        <v>168</v>
      </c>
      <c r="I113" s="1392"/>
      <c r="J113" s="1393"/>
      <c r="K113" s="1391">
        <v>69</v>
      </c>
      <c r="L113" s="1392" t="s">
        <v>168</v>
      </c>
      <c r="M113" s="1392"/>
      <c r="N113" s="1393"/>
      <c r="O113" s="1391">
        <v>69</v>
      </c>
      <c r="P113" s="1392" t="s">
        <v>168</v>
      </c>
      <c r="Q113" s="1392"/>
      <c r="R113" s="1393"/>
      <c r="S113" s="1391">
        <v>69</v>
      </c>
      <c r="T113" s="1392" t="s">
        <v>168</v>
      </c>
      <c r="U113" s="1392"/>
      <c r="V113" s="1393"/>
      <c r="W113" s="1391"/>
      <c r="X113" s="1394"/>
      <c r="Y113" s="1394"/>
      <c r="Z113" s="1395"/>
      <c r="AA113" s="1391"/>
      <c r="AB113" s="1392"/>
      <c r="AC113" s="1392"/>
      <c r="AD113" s="1284"/>
      <c r="AE113" s="1396">
        <v>35</v>
      </c>
      <c r="AF113" s="1392"/>
      <c r="AG113" s="1392"/>
      <c r="AH113" s="1284"/>
      <c r="AI113" s="1397"/>
    </row>
    <row r="114" spans="1:38" ht="22.15" customHeight="1" x14ac:dyDescent="0.2">
      <c r="A114" s="173"/>
      <c r="B114" s="1390" t="s">
        <v>143</v>
      </c>
      <c r="C114" s="1391">
        <v>79</v>
      </c>
      <c r="D114" s="1392" t="s">
        <v>169</v>
      </c>
      <c r="E114" s="1392"/>
      <c r="F114" s="1393"/>
      <c r="G114" s="1391">
        <v>79</v>
      </c>
      <c r="H114" s="1392" t="s">
        <v>169</v>
      </c>
      <c r="I114" s="1392"/>
      <c r="J114" s="1393"/>
      <c r="K114" s="1391">
        <v>79</v>
      </c>
      <c r="L114" s="1392" t="s">
        <v>169</v>
      </c>
      <c r="M114" s="1392"/>
      <c r="N114" s="1393"/>
      <c r="O114" s="1391">
        <v>79</v>
      </c>
      <c r="P114" s="1392" t="s">
        <v>169</v>
      </c>
      <c r="Q114" s="1392"/>
      <c r="R114" s="1393"/>
      <c r="S114" s="1391">
        <v>79</v>
      </c>
      <c r="T114" s="1392" t="s">
        <v>169</v>
      </c>
      <c r="U114" s="1392"/>
      <c r="V114" s="1393"/>
      <c r="W114" s="1391"/>
      <c r="X114" s="1392"/>
      <c r="Y114" s="1392"/>
      <c r="Z114" s="1393"/>
      <c r="AA114" s="1392"/>
      <c r="AB114" s="1392"/>
      <c r="AC114" s="1392"/>
      <c r="AD114" s="1284"/>
      <c r="AE114" s="1396">
        <v>40</v>
      </c>
      <c r="AF114" s="1392"/>
      <c r="AG114" s="1392"/>
      <c r="AH114" s="1284"/>
      <c r="AI114" s="1397"/>
      <c r="AL114" t="s">
        <v>0</v>
      </c>
    </row>
    <row r="115" spans="1:38" ht="22.15" customHeight="1" x14ac:dyDescent="0.2">
      <c r="A115" s="173"/>
      <c r="B115" s="1390" t="s">
        <v>153</v>
      </c>
      <c r="C115" s="1391">
        <v>89</v>
      </c>
      <c r="D115" s="1392" t="s">
        <v>170</v>
      </c>
      <c r="E115" s="1392"/>
      <c r="F115" s="1393"/>
      <c r="G115" s="1391">
        <v>89</v>
      </c>
      <c r="H115" s="1392" t="s">
        <v>170</v>
      </c>
      <c r="I115" s="1392"/>
      <c r="J115" s="1393"/>
      <c r="K115" s="1391">
        <v>89</v>
      </c>
      <c r="L115" s="1392" t="s">
        <v>170</v>
      </c>
      <c r="M115" s="1392"/>
      <c r="N115" s="1393"/>
      <c r="O115" s="1391">
        <v>89</v>
      </c>
      <c r="P115" s="1392" t="s">
        <v>170</v>
      </c>
      <c r="Q115" s="1392"/>
      <c r="R115" s="1393"/>
      <c r="S115" s="1391">
        <v>89</v>
      </c>
      <c r="T115" s="1392" t="s">
        <v>171</v>
      </c>
      <c r="U115" s="1392"/>
      <c r="V115" s="1393"/>
      <c r="W115" s="1398"/>
      <c r="X115" s="1399" t="s">
        <v>172</v>
      </c>
      <c r="Y115" s="1399"/>
      <c r="Z115" s="1400"/>
      <c r="AA115" s="1398"/>
      <c r="AB115" s="1399"/>
      <c r="AC115" s="1399"/>
      <c r="AD115" s="1286"/>
      <c r="AE115" s="1396">
        <v>44</v>
      </c>
      <c r="AF115" s="1392"/>
      <c r="AG115" s="1392"/>
      <c r="AH115" s="1284"/>
      <c r="AI115" s="1397"/>
    </row>
    <row r="116" spans="1:38" ht="22.15" customHeight="1" x14ac:dyDescent="0.2">
      <c r="A116" s="173"/>
      <c r="B116" s="38" t="s">
        <v>155</v>
      </c>
      <c r="C116" s="1398">
        <v>99</v>
      </c>
      <c r="D116" s="1399" t="s">
        <v>173</v>
      </c>
      <c r="E116" s="1399"/>
      <c r="F116" s="1400"/>
      <c r="G116" s="1398">
        <v>99</v>
      </c>
      <c r="H116" s="1399" t="s">
        <v>173</v>
      </c>
      <c r="I116" s="1399"/>
      <c r="J116" s="1400"/>
      <c r="K116" s="1398">
        <v>99</v>
      </c>
      <c r="L116" s="1399" t="s">
        <v>173</v>
      </c>
      <c r="M116" s="1399"/>
      <c r="N116" s="1400"/>
      <c r="O116" s="1398">
        <v>99</v>
      </c>
      <c r="P116" s="1399" t="s">
        <v>173</v>
      </c>
      <c r="Q116" s="1399"/>
      <c r="R116" s="1400"/>
      <c r="S116" s="1398">
        <v>99</v>
      </c>
      <c r="T116" s="1399" t="s">
        <v>154</v>
      </c>
      <c r="U116" s="1399"/>
      <c r="V116" s="1286"/>
      <c r="W116" s="1285"/>
      <c r="X116" s="1286"/>
      <c r="Y116" s="1399"/>
      <c r="Z116" s="1400"/>
      <c r="AA116" s="1285"/>
      <c r="AB116" s="1286"/>
      <c r="AC116" s="1399"/>
      <c r="AD116" s="1400"/>
      <c r="AE116" s="1401">
        <v>28</v>
      </c>
      <c r="AF116" s="1399"/>
      <c r="AG116" s="1399"/>
      <c r="AH116" s="1286"/>
      <c r="AI116" s="1402"/>
    </row>
    <row r="117" spans="1:38" ht="22.15" customHeight="1" thickBot="1" x14ac:dyDescent="0.25">
      <c r="A117" s="173"/>
      <c r="B117" s="1989" t="s">
        <v>174</v>
      </c>
      <c r="C117" s="1404" t="s">
        <v>175</v>
      </c>
      <c r="D117" s="1405" t="s">
        <v>176</v>
      </c>
      <c r="E117" s="1406"/>
      <c r="F117" s="1240"/>
      <c r="G117" s="1404" t="s">
        <v>175</v>
      </c>
      <c r="H117" s="1405" t="s">
        <v>176</v>
      </c>
      <c r="I117" s="1238"/>
      <c r="J117" s="1406"/>
      <c r="K117" s="1404" t="s">
        <v>175</v>
      </c>
      <c r="L117" s="1405" t="s">
        <v>176</v>
      </c>
      <c r="M117" s="1406"/>
      <c r="N117" s="1407"/>
      <c r="O117" s="1404" t="s">
        <v>175</v>
      </c>
      <c r="P117" s="1405" t="s">
        <v>176</v>
      </c>
      <c r="Q117" s="1406"/>
      <c r="R117" s="1405"/>
      <c r="S117" s="1404" t="s">
        <v>175</v>
      </c>
      <c r="T117" s="1242" t="s">
        <v>177</v>
      </c>
      <c r="U117" s="1405"/>
      <c r="V117" s="1407"/>
      <c r="W117" s="1406"/>
      <c r="X117" s="1405"/>
      <c r="Y117" s="1405"/>
      <c r="Z117" s="1405"/>
      <c r="AA117" s="1408"/>
      <c r="AB117" s="1409"/>
      <c r="AC117" s="1405"/>
      <c r="AD117" s="1410"/>
      <c r="AE117" s="1405"/>
      <c r="AF117" s="1405"/>
      <c r="AG117" s="1405"/>
      <c r="AH117" s="1411"/>
      <c r="AI117" s="1412"/>
    </row>
    <row r="118" spans="1:38" ht="22.15" customHeight="1" x14ac:dyDescent="0.2">
      <c r="A118" s="108"/>
      <c r="B118" s="173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4"/>
      <c r="AI118" s="174"/>
    </row>
    <row r="119" spans="1:38" ht="22.15" customHeight="1" thickBot="1" x14ac:dyDescent="0.25">
      <c r="A119" s="1343"/>
      <c r="B119" s="1247" t="s">
        <v>29</v>
      </c>
      <c r="C119" s="1185">
        <v>1</v>
      </c>
      <c r="D119" s="1185">
        <v>2</v>
      </c>
      <c r="E119" s="1186">
        <v>3</v>
      </c>
      <c r="F119" s="1186">
        <v>4</v>
      </c>
      <c r="G119" s="1186">
        <v>5</v>
      </c>
      <c r="H119" s="1186">
        <v>6</v>
      </c>
      <c r="I119" s="1186">
        <v>7</v>
      </c>
      <c r="J119" s="1185">
        <v>8</v>
      </c>
      <c r="K119" s="1185">
        <v>9</v>
      </c>
      <c r="L119" s="1186">
        <v>10</v>
      </c>
      <c r="M119" s="1186">
        <v>11</v>
      </c>
      <c r="N119" s="1186">
        <v>12</v>
      </c>
      <c r="O119" s="1186">
        <v>13</v>
      </c>
      <c r="P119" s="1186">
        <v>14</v>
      </c>
      <c r="Q119" s="1185">
        <v>15</v>
      </c>
      <c r="R119" s="1185">
        <v>16</v>
      </c>
      <c r="S119" s="1186">
        <v>17</v>
      </c>
      <c r="T119" s="1186">
        <v>18</v>
      </c>
      <c r="U119" s="1186">
        <v>19</v>
      </c>
      <c r="V119" s="1186">
        <v>20</v>
      </c>
      <c r="W119" s="1186">
        <v>21</v>
      </c>
      <c r="X119" s="1185">
        <v>22</v>
      </c>
      <c r="Y119" s="1185">
        <v>23</v>
      </c>
      <c r="Z119" s="1186">
        <v>24</v>
      </c>
      <c r="AA119" s="1186">
        <v>25</v>
      </c>
      <c r="AB119" s="1186">
        <v>26</v>
      </c>
      <c r="AC119" s="1186">
        <v>27</v>
      </c>
      <c r="AD119" s="1186">
        <v>28</v>
      </c>
      <c r="AE119" s="1185">
        <v>29</v>
      </c>
      <c r="AF119" s="1185">
        <v>30</v>
      </c>
      <c r="AG119" s="1931">
        <v>31</v>
      </c>
      <c r="AH119" s="184"/>
      <c r="AI119" s="185"/>
    </row>
    <row r="120" spans="1:38" ht="22.15" customHeight="1" x14ac:dyDescent="0.2">
      <c r="A120" s="521">
        <v>1</v>
      </c>
      <c r="B120" s="522" t="s">
        <v>178</v>
      </c>
      <c r="C120" s="477">
        <v>89</v>
      </c>
      <c r="D120" s="477"/>
      <c r="E120" s="458">
        <v>99</v>
      </c>
      <c r="F120" s="458">
        <v>99</v>
      </c>
      <c r="G120" s="459">
        <v>99</v>
      </c>
      <c r="H120" s="477">
        <v>99</v>
      </c>
      <c r="I120" s="459" t="s">
        <v>35</v>
      </c>
      <c r="J120" s="459"/>
      <c r="K120" s="477"/>
      <c r="L120" s="459" t="s">
        <v>175</v>
      </c>
      <c r="M120" s="458" t="s">
        <v>175</v>
      </c>
      <c r="N120" s="477" t="s">
        <v>175</v>
      </c>
      <c r="O120" s="477" t="s">
        <v>175</v>
      </c>
      <c r="P120" s="477" t="s">
        <v>175</v>
      </c>
      <c r="Q120" s="477"/>
      <c r="R120" s="477"/>
      <c r="S120" s="458">
        <v>69</v>
      </c>
      <c r="T120" s="458">
        <v>69</v>
      </c>
      <c r="U120" s="477">
        <v>69</v>
      </c>
      <c r="V120" s="477">
        <v>69</v>
      </c>
      <c r="W120" s="477">
        <v>69</v>
      </c>
      <c r="X120" s="477"/>
      <c r="Y120" s="477"/>
      <c r="Z120" s="477">
        <v>79</v>
      </c>
      <c r="AA120" s="459">
        <v>79</v>
      </c>
      <c r="AB120" s="477">
        <v>79</v>
      </c>
      <c r="AC120" s="477">
        <v>79</v>
      </c>
      <c r="AD120" s="477">
        <v>79</v>
      </c>
      <c r="AE120" s="459"/>
      <c r="AF120" s="459"/>
      <c r="AG120" s="478">
        <v>89</v>
      </c>
      <c r="AH120" s="215"/>
      <c r="AI120" s="107"/>
    </row>
    <row r="121" spans="1:38" ht="22.15" customHeight="1" x14ac:dyDescent="0.2">
      <c r="A121" s="1415">
        <v>2</v>
      </c>
      <c r="B121" s="1330" t="s">
        <v>179</v>
      </c>
      <c r="C121" s="1990"/>
      <c r="D121" s="1990"/>
      <c r="E121" s="1990" t="s">
        <v>175</v>
      </c>
      <c r="F121" s="1990" t="s">
        <v>175</v>
      </c>
      <c r="G121" s="1990" t="s">
        <v>175</v>
      </c>
      <c r="H121" s="1990" t="s">
        <v>175</v>
      </c>
      <c r="I121" s="1990" t="s">
        <v>175</v>
      </c>
      <c r="J121" s="1990"/>
      <c r="K121" s="1990"/>
      <c r="L121" s="1991">
        <v>69</v>
      </c>
      <c r="M121" s="1991">
        <v>69</v>
      </c>
      <c r="N121" s="1992">
        <v>69</v>
      </c>
      <c r="O121" s="1992">
        <v>69</v>
      </c>
      <c r="P121" s="1992">
        <v>69</v>
      </c>
      <c r="Q121" s="1259"/>
      <c r="R121" s="1199"/>
      <c r="S121" s="1993">
        <v>79</v>
      </c>
      <c r="T121" s="1994">
        <v>79</v>
      </c>
      <c r="U121" s="1993">
        <v>79</v>
      </c>
      <c r="V121" s="1993">
        <v>79</v>
      </c>
      <c r="W121" s="1993" t="s">
        <v>377</v>
      </c>
      <c r="X121" s="1259"/>
      <c r="Y121" s="1259"/>
      <c r="Z121" s="1258">
        <v>89</v>
      </c>
      <c r="AA121" s="1258">
        <v>89</v>
      </c>
      <c r="AB121" s="1199">
        <v>89</v>
      </c>
      <c r="AC121" s="1259">
        <v>89</v>
      </c>
      <c r="AD121" s="1199">
        <v>89</v>
      </c>
      <c r="AE121" s="1199">
        <v>89</v>
      </c>
      <c r="AF121" s="1259"/>
      <c r="AG121" s="1416">
        <v>99</v>
      </c>
      <c r="AH121" s="216"/>
      <c r="AI121" s="172"/>
    </row>
    <row r="122" spans="1:38" ht="22.15" customHeight="1" x14ac:dyDescent="0.2">
      <c r="A122" s="1415">
        <v>3</v>
      </c>
      <c r="B122" s="1330" t="s">
        <v>180</v>
      </c>
      <c r="C122" s="1413"/>
      <c r="D122" s="1413"/>
      <c r="E122" s="1413">
        <v>69</v>
      </c>
      <c r="F122" s="1413">
        <v>69</v>
      </c>
      <c r="G122" s="1413">
        <v>69</v>
      </c>
      <c r="H122" s="1413">
        <v>69</v>
      </c>
      <c r="I122" s="1413">
        <v>69</v>
      </c>
      <c r="J122" s="1413"/>
      <c r="K122" s="1413"/>
      <c r="L122" s="1413">
        <v>79</v>
      </c>
      <c r="M122" s="1413">
        <v>79</v>
      </c>
      <c r="N122" s="1413">
        <v>79</v>
      </c>
      <c r="O122" s="1413">
        <v>79</v>
      </c>
      <c r="P122" s="1413">
        <v>79</v>
      </c>
      <c r="Q122" s="1413"/>
      <c r="R122" s="1413"/>
      <c r="S122" s="1995">
        <v>89</v>
      </c>
      <c r="T122" s="1995">
        <v>89</v>
      </c>
      <c r="U122" s="1995">
        <v>89</v>
      </c>
      <c r="V122" s="1995">
        <v>89</v>
      </c>
      <c r="W122" s="1995">
        <v>89</v>
      </c>
      <c r="X122" s="1996" t="s">
        <v>361</v>
      </c>
      <c r="Y122" s="1413"/>
      <c r="Z122" s="1413">
        <v>99</v>
      </c>
      <c r="AA122" s="1413">
        <v>99</v>
      </c>
      <c r="AB122" s="1413">
        <v>99</v>
      </c>
      <c r="AC122" s="1413">
        <v>99</v>
      </c>
      <c r="AD122" s="1413" t="s">
        <v>35</v>
      </c>
      <c r="AE122" s="1413"/>
      <c r="AF122" s="1413"/>
      <c r="AG122" s="1376" t="s">
        <v>175</v>
      </c>
      <c r="AH122" s="215"/>
      <c r="AI122" s="107"/>
    </row>
    <row r="123" spans="1:38" ht="22.15" customHeight="1" x14ac:dyDescent="0.2">
      <c r="A123" s="1415">
        <v>4</v>
      </c>
      <c r="B123" s="1330"/>
      <c r="C123" s="1344"/>
      <c r="D123" s="1344"/>
      <c r="E123" s="1344">
        <v>79</v>
      </c>
      <c r="F123" s="1258">
        <v>79</v>
      </c>
      <c r="G123" s="1258">
        <v>79</v>
      </c>
      <c r="H123" s="1258">
        <v>79</v>
      </c>
      <c r="I123" s="1258">
        <v>79</v>
      </c>
      <c r="J123" s="1258"/>
      <c r="K123" s="1259"/>
      <c r="L123" s="1258">
        <v>89</v>
      </c>
      <c r="M123" s="1258">
        <v>89</v>
      </c>
      <c r="N123" s="1258">
        <v>89</v>
      </c>
      <c r="O123" s="1258">
        <v>89</v>
      </c>
      <c r="P123" s="1258">
        <v>89</v>
      </c>
      <c r="Q123" s="1344">
        <v>89</v>
      </c>
      <c r="R123" s="1344"/>
      <c r="S123" s="1258">
        <v>99</v>
      </c>
      <c r="T123" s="1258">
        <v>99</v>
      </c>
      <c r="U123" s="1258">
        <v>99</v>
      </c>
      <c r="V123" s="1258">
        <v>99</v>
      </c>
      <c r="W123" s="1258" t="s">
        <v>35</v>
      </c>
      <c r="X123" s="1258"/>
      <c r="Y123" s="1344"/>
      <c r="Z123" s="1311" t="s">
        <v>175</v>
      </c>
      <c r="AA123" s="1258" t="s">
        <v>175</v>
      </c>
      <c r="AB123" s="1258" t="s">
        <v>175</v>
      </c>
      <c r="AC123" s="1258" t="s">
        <v>181</v>
      </c>
      <c r="AD123" s="1258" t="s">
        <v>181</v>
      </c>
      <c r="AE123" s="1258"/>
      <c r="AF123" s="1344"/>
      <c r="AG123" s="1418">
        <v>69</v>
      </c>
      <c r="AH123" s="215"/>
      <c r="AI123" s="107"/>
    </row>
    <row r="124" spans="1:38" ht="22.15" customHeight="1" thickBot="1" x14ac:dyDescent="0.25">
      <c r="A124" s="1419">
        <v>5</v>
      </c>
      <c r="B124" s="1420" t="s">
        <v>182</v>
      </c>
      <c r="C124" s="1256"/>
      <c r="D124" s="1256"/>
      <c r="E124" s="1256">
        <v>89</v>
      </c>
      <c r="F124" s="1256">
        <v>89</v>
      </c>
      <c r="G124" s="1256">
        <v>89</v>
      </c>
      <c r="H124" s="1256">
        <v>89</v>
      </c>
      <c r="I124" s="1256">
        <v>89</v>
      </c>
      <c r="J124" s="1256">
        <v>89</v>
      </c>
      <c r="K124" s="1256"/>
      <c r="L124" s="1256">
        <v>99</v>
      </c>
      <c r="M124" s="1256">
        <v>99</v>
      </c>
      <c r="N124" s="1256">
        <v>99</v>
      </c>
      <c r="O124" s="1256">
        <v>99</v>
      </c>
      <c r="P124" s="1256" t="s">
        <v>35</v>
      </c>
      <c r="Q124" s="1256"/>
      <c r="R124" s="1256"/>
      <c r="S124" s="1254" t="s">
        <v>175</v>
      </c>
      <c r="T124" s="1997" t="s">
        <v>175</v>
      </c>
      <c r="U124" s="1421" t="s">
        <v>175</v>
      </c>
      <c r="V124" s="1421" t="s">
        <v>175</v>
      </c>
      <c r="W124" s="1421" t="s">
        <v>175</v>
      </c>
      <c r="X124" s="1421"/>
      <c r="Y124" s="1421"/>
      <c r="Z124" s="1998">
        <v>69</v>
      </c>
      <c r="AA124" s="1998">
        <v>69</v>
      </c>
      <c r="AB124" s="1421">
        <v>69</v>
      </c>
      <c r="AC124" s="1421">
        <v>69</v>
      </c>
      <c r="AD124" s="1421">
        <v>69</v>
      </c>
      <c r="AE124" s="1421"/>
      <c r="AF124" s="1421"/>
      <c r="AG124" s="1999">
        <v>79</v>
      </c>
      <c r="AH124" s="215"/>
      <c r="AI124" s="107"/>
    </row>
    <row r="125" spans="1:38" ht="22.15" customHeight="1" x14ac:dyDescent="0.2">
      <c r="A125" s="256"/>
      <c r="B125" s="257"/>
      <c r="C125" s="258"/>
      <c r="D125" s="258"/>
      <c r="E125" s="258"/>
      <c r="F125" s="229"/>
      <c r="G125" s="255"/>
      <c r="H125" s="255"/>
      <c r="I125" s="255"/>
      <c r="J125" s="255"/>
      <c r="K125" s="255"/>
      <c r="L125" s="229"/>
      <c r="M125" s="229"/>
      <c r="N125" s="258"/>
      <c r="O125" s="258"/>
      <c r="P125" s="258"/>
      <c r="Q125" s="258"/>
      <c r="R125" s="258"/>
      <c r="S125" s="229"/>
      <c r="T125" s="259"/>
      <c r="U125" s="258"/>
      <c r="V125" s="258"/>
      <c r="W125" s="258"/>
      <c r="X125" s="258"/>
      <c r="Y125" s="258"/>
      <c r="Z125" s="260"/>
      <c r="AA125" s="260"/>
      <c r="AB125" s="258"/>
      <c r="AC125" s="258"/>
      <c r="AD125" s="258"/>
      <c r="AE125" s="258"/>
      <c r="AF125" s="258"/>
      <c r="AG125" s="260"/>
      <c r="AH125" s="215"/>
      <c r="AI125" s="107"/>
    </row>
    <row r="126" spans="1:38" ht="22.15" customHeight="1" x14ac:dyDescent="0.2">
      <c r="A126" s="109"/>
      <c r="B126" s="110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7"/>
      <c r="AI126" s="107"/>
    </row>
    <row r="127" spans="1:38" ht="22.15" customHeight="1" thickBot="1" x14ac:dyDescent="0.25">
      <c r="A127" s="173" t="s">
        <v>183</v>
      </c>
      <c r="B127" s="174"/>
      <c r="C127" s="174"/>
      <c r="D127" s="175"/>
      <c r="E127" s="175"/>
      <c r="F127" s="175"/>
      <c r="G127" s="10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4"/>
      <c r="AI127" s="174"/>
    </row>
    <row r="128" spans="1:38" ht="22.15" customHeight="1" x14ac:dyDescent="0.2">
      <c r="A128" s="173"/>
      <c r="B128" s="304" t="s">
        <v>167</v>
      </c>
      <c r="C128" s="515"/>
      <c r="D128" s="516" t="s">
        <v>90</v>
      </c>
      <c r="E128" s="517"/>
      <c r="F128" s="518"/>
      <c r="G128" s="515"/>
      <c r="H128" s="516" t="s">
        <v>91</v>
      </c>
      <c r="I128" s="517"/>
      <c r="J128" s="518"/>
      <c r="K128" s="515"/>
      <c r="L128" s="516" t="s">
        <v>92</v>
      </c>
      <c r="M128" s="517"/>
      <c r="N128" s="518"/>
      <c r="O128" s="515"/>
      <c r="P128" s="516" t="s">
        <v>93</v>
      </c>
      <c r="Q128" s="517"/>
      <c r="R128" s="518"/>
      <c r="S128" s="515"/>
      <c r="T128" s="516" t="s">
        <v>94</v>
      </c>
      <c r="U128" s="517"/>
      <c r="V128" s="518"/>
      <c r="W128" s="515"/>
      <c r="X128" s="516" t="s">
        <v>95</v>
      </c>
      <c r="Y128" s="517"/>
      <c r="Z128" s="518"/>
      <c r="AA128" s="515"/>
      <c r="AB128" s="516" t="s">
        <v>96</v>
      </c>
      <c r="AC128" s="517"/>
      <c r="AD128" s="517"/>
      <c r="AE128" s="519" t="s">
        <v>97</v>
      </c>
      <c r="AF128" s="517"/>
      <c r="AG128" s="517"/>
      <c r="AH128" s="517"/>
      <c r="AI128" s="520"/>
    </row>
    <row r="129" spans="1:35" ht="22.15" customHeight="1" x14ac:dyDescent="0.2">
      <c r="A129" s="173"/>
      <c r="B129" s="1390" t="s">
        <v>184</v>
      </c>
      <c r="C129" s="1283" t="s">
        <v>185</v>
      </c>
      <c r="D129" s="1392"/>
      <c r="E129" s="1392"/>
      <c r="F129" s="1393"/>
      <c r="G129" s="1283" t="s">
        <v>185</v>
      </c>
      <c r="H129" s="1392"/>
      <c r="I129" s="1392"/>
      <c r="J129" s="1393"/>
      <c r="K129" s="1283" t="s">
        <v>185</v>
      </c>
      <c r="L129" s="1392"/>
      <c r="M129" s="1392"/>
      <c r="N129" s="1393"/>
      <c r="O129" s="1283" t="s">
        <v>185</v>
      </c>
      <c r="P129" s="1392"/>
      <c r="Q129" s="1392"/>
      <c r="R129" s="1393"/>
      <c r="S129" s="1283" t="s">
        <v>185</v>
      </c>
      <c r="T129" s="1392"/>
      <c r="U129" s="1392"/>
      <c r="V129" s="1393"/>
      <c r="W129" s="1283" t="s">
        <v>186</v>
      </c>
      <c r="X129" s="1394"/>
      <c r="Y129" s="1394"/>
      <c r="Z129" s="1395"/>
      <c r="AA129" s="1283" t="s">
        <v>186</v>
      </c>
      <c r="AB129" s="1392"/>
      <c r="AC129" s="1392"/>
      <c r="AD129" s="1284"/>
      <c r="AE129" s="1396">
        <v>68</v>
      </c>
      <c r="AF129" s="208"/>
      <c r="AG129" s="208"/>
      <c r="AH129" s="208"/>
      <c r="AI129" s="209"/>
    </row>
    <row r="130" spans="1:35" ht="22.15" customHeight="1" x14ac:dyDescent="0.2">
      <c r="A130" s="173"/>
      <c r="B130" s="1390" t="s">
        <v>143</v>
      </c>
      <c r="C130" s="1283" t="s">
        <v>154</v>
      </c>
      <c r="D130" s="1392"/>
      <c r="E130" s="1392"/>
      <c r="F130" s="1393"/>
      <c r="G130" s="1283" t="s">
        <v>154</v>
      </c>
      <c r="H130" s="1392"/>
      <c r="I130" s="1392"/>
      <c r="J130" s="1393"/>
      <c r="K130" s="1283" t="s">
        <v>154</v>
      </c>
      <c r="L130" s="1392"/>
      <c r="M130" s="1392"/>
      <c r="N130" s="1393"/>
      <c r="O130" s="1283" t="s">
        <v>154</v>
      </c>
      <c r="P130" s="1392"/>
      <c r="Q130" s="1392"/>
      <c r="R130" s="1393"/>
      <c r="S130" s="1283" t="s">
        <v>154</v>
      </c>
      <c r="T130" s="1392"/>
      <c r="U130" s="1392"/>
      <c r="V130" s="1393"/>
      <c r="W130" s="1283" t="s">
        <v>154</v>
      </c>
      <c r="X130" s="1392"/>
      <c r="Y130" s="1392"/>
      <c r="Z130" s="1393"/>
      <c r="AA130" s="1392" t="s">
        <v>154</v>
      </c>
      <c r="AB130" s="1392"/>
      <c r="AC130" s="1392"/>
      <c r="AD130" s="1284"/>
      <c r="AE130" s="1396">
        <v>0</v>
      </c>
      <c r="AF130" s="208"/>
      <c r="AG130" s="208"/>
      <c r="AH130" s="208"/>
      <c r="AI130" s="209"/>
    </row>
    <row r="131" spans="1:35" ht="22.15" customHeight="1" x14ac:dyDescent="0.2">
      <c r="A131" s="173"/>
      <c r="B131" s="1390" t="s">
        <v>187</v>
      </c>
      <c r="C131" s="1283" t="s">
        <v>185</v>
      </c>
      <c r="D131" s="1392"/>
      <c r="E131" s="1392"/>
      <c r="F131" s="1393"/>
      <c r="G131" s="1283" t="s">
        <v>185</v>
      </c>
      <c r="H131" s="1392"/>
      <c r="I131" s="1392"/>
      <c r="J131" s="1393"/>
      <c r="K131" s="1283" t="s">
        <v>185</v>
      </c>
      <c r="L131" s="1392"/>
      <c r="M131" s="1392"/>
      <c r="N131" s="1393"/>
      <c r="O131" s="1283" t="s">
        <v>185</v>
      </c>
      <c r="P131" s="1392"/>
      <c r="Q131" s="1392"/>
      <c r="R131" s="1393"/>
      <c r="S131" s="1283" t="s">
        <v>185</v>
      </c>
      <c r="T131" s="1392"/>
      <c r="U131" s="1392"/>
      <c r="V131" s="1393"/>
      <c r="W131" s="1283" t="s">
        <v>186</v>
      </c>
      <c r="X131" s="1394"/>
      <c r="Y131" s="1394"/>
      <c r="Z131" s="1395"/>
      <c r="AA131" s="1283" t="s">
        <v>186</v>
      </c>
      <c r="AB131" s="1392"/>
      <c r="AC131" s="1392"/>
      <c r="AD131" s="1284"/>
      <c r="AE131" s="1396">
        <v>68</v>
      </c>
      <c r="AF131" s="1392"/>
      <c r="AG131" s="1392" t="s">
        <v>0</v>
      </c>
      <c r="AH131" s="1284"/>
      <c r="AI131" s="1397"/>
    </row>
    <row r="132" spans="1:35" ht="22.15" customHeight="1" x14ac:dyDescent="0.2">
      <c r="A132" s="173"/>
      <c r="B132" s="1390" t="s">
        <v>155</v>
      </c>
      <c r="C132" s="1283" t="s">
        <v>154</v>
      </c>
      <c r="D132" s="1392"/>
      <c r="E132" s="1392"/>
      <c r="F132" s="1393"/>
      <c r="G132" s="1283" t="s">
        <v>154</v>
      </c>
      <c r="H132" s="1392"/>
      <c r="I132" s="1392"/>
      <c r="J132" s="1393"/>
      <c r="K132" s="1283" t="s">
        <v>154</v>
      </c>
      <c r="L132" s="1392"/>
      <c r="M132" s="1392"/>
      <c r="N132" s="1393"/>
      <c r="O132" s="1283" t="s">
        <v>154</v>
      </c>
      <c r="P132" s="1392"/>
      <c r="Q132" s="1392"/>
      <c r="R132" s="1393"/>
      <c r="S132" s="1283" t="s">
        <v>154</v>
      </c>
      <c r="T132" s="1392"/>
      <c r="U132" s="1392"/>
      <c r="V132" s="1393"/>
      <c r="W132" s="1283" t="s">
        <v>154</v>
      </c>
      <c r="X132" s="1392"/>
      <c r="Y132" s="1392"/>
      <c r="Z132" s="1393"/>
      <c r="AA132" s="1392" t="s">
        <v>154</v>
      </c>
      <c r="AB132" s="1392"/>
      <c r="AC132" s="1392"/>
      <c r="AD132" s="1284"/>
      <c r="AE132" s="1396">
        <v>0</v>
      </c>
      <c r="AF132" s="1392"/>
      <c r="AG132" s="1392"/>
      <c r="AH132" s="1284"/>
      <c r="AI132" s="1397"/>
    </row>
    <row r="133" spans="1:35" ht="22.15" customHeight="1" x14ac:dyDescent="0.2">
      <c r="A133" s="173"/>
      <c r="B133" s="1390" t="s">
        <v>188</v>
      </c>
      <c r="C133" s="1283" t="s">
        <v>185</v>
      </c>
      <c r="D133" s="1392"/>
      <c r="E133" s="1392"/>
      <c r="F133" s="1393"/>
      <c r="G133" s="1283" t="s">
        <v>185</v>
      </c>
      <c r="H133" s="1392"/>
      <c r="I133" s="1392"/>
      <c r="J133" s="1393"/>
      <c r="K133" s="1283" t="s">
        <v>185</v>
      </c>
      <c r="L133" s="1392"/>
      <c r="M133" s="1392"/>
      <c r="N133" s="1393"/>
      <c r="O133" s="1283" t="s">
        <v>185</v>
      </c>
      <c r="P133" s="1392"/>
      <c r="Q133" s="1392"/>
      <c r="R133" s="1393"/>
      <c r="S133" s="1283" t="s">
        <v>185</v>
      </c>
      <c r="T133" s="1392"/>
      <c r="U133" s="1392"/>
      <c r="V133" s="1393"/>
      <c r="W133" s="1283" t="s">
        <v>189</v>
      </c>
      <c r="X133" s="1399"/>
      <c r="Y133" s="1399"/>
      <c r="Z133" s="1400"/>
      <c r="AA133" s="1283" t="s">
        <v>189</v>
      </c>
      <c r="AB133" s="1399"/>
      <c r="AC133" s="1399"/>
      <c r="AD133" s="1286"/>
      <c r="AE133" s="1396">
        <v>68</v>
      </c>
      <c r="AF133" s="1392"/>
      <c r="AG133" s="1392"/>
      <c r="AH133" s="1284"/>
      <c r="AI133" s="1397"/>
    </row>
    <row r="134" spans="1:35" ht="22.15" customHeight="1" thickBot="1" x14ac:dyDescent="0.25">
      <c r="A134" s="173"/>
      <c r="B134" s="1390" t="s">
        <v>190</v>
      </c>
      <c r="C134" s="1423" t="s">
        <v>154</v>
      </c>
      <c r="D134" s="1424"/>
      <c r="E134" s="1424"/>
      <c r="F134" s="1425"/>
      <c r="G134" s="1423" t="s">
        <v>154</v>
      </c>
      <c r="H134" s="1424"/>
      <c r="I134" s="1424"/>
      <c r="J134" s="1425"/>
      <c r="K134" s="1423" t="s">
        <v>154</v>
      </c>
      <c r="L134" s="1424"/>
      <c r="M134" s="1424"/>
      <c r="N134" s="1425"/>
      <c r="O134" s="1423" t="s">
        <v>154</v>
      </c>
      <c r="P134" s="1424"/>
      <c r="Q134" s="1424"/>
      <c r="R134" s="1425"/>
      <c r="S134" s="1423" t="s">
        <v>154</v>
      </c>
      <c r="T134" s="1424"/>
      <c r="U134" s="1424"/>
      <c r="V134" s="1411"/>
      <c r="W134" s="1423" t="s">
        <v>154</v>
      </c>
      <c r="X134" s="1411"/>
      <c r="Y134" s="1424"/>
      <c r="Z134" s="1425"/>
      <c r="AA134" s="1423" t="s">
        <v>154</v>
      </c>
      <c r="AB134" s="1411"/>
      <c r="AC134" s="1424"/>
      <c r="AD134" s="1425"/>
      <c r="AE134" s="1426" t="s">
        <v>191</v>
      </c>
      <c r="AF134" s="1424"/>
      <c r="AG134" s="1424"/>
      <c r="AH134" s="1411"/>
      <c r="AI134" s="1412"/>
    </row>
    <row r="135" spans="1:35" ht="22.15" customHeight="1" x14ac:dyDescent="0.2">
      <c r="A135" s="108"/>
      <c r="B135" s="173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4"/>
      <c r="AI135" s="174"/>
    </row>
    <row r="136" spans="1:35" ht="22.15" customHeight="1" thickBot="1" x14ac:dyDescent="0.25">
      <c r="A136" s="1343"/>
      <c r="B136" s="1184" t="s">
        <v>29</v>
      </c>
      <c r="C136" s="1185">
        <v>1</v>
      </c>
      <c r="D136" s="1185">
        <v>2</v>
      </c>
      <c r="E136" s="1186">
        <v>3</v>
      </c>
      <c r="F136" s="1186">
        <v>4</v>
      </c>
      <c r="G136" s="1186">
        <v>5</v>
      </c>
      <c r="H136" s="1186">
        <v>6</v>
      </c>
      <c r="I136" s="1186">
        <v>7</v>
      </c>
      <c r="J136" s="1185">
        <v>8</v>
      </c>
      <c r="K136" s="1185">
        <v>9</v>
      </c>
      <c r="L136" s="1186">
        <v>10</v>
      </c>
      <c r="M136" s="1186">
        <v>11</v>
      </c>
      <c r="N136" s="1186">
        <v>12</v>
      </c>
      <c r="O136" s="1186">
        <v>13</v>
      </c>
      <c r="P136" s="1186">
        <v>14</v>
      </c>
      <c r="Q136" s="1185">
        <v>15</v>
      </c>
      <c r="R136" s="1185">
        <v>16</v>
      </c>
      <c r="S136" s="1186">
        <v>17</v>
      </c>
      <c r="T136" s="1186">
        <v>18</v>
      </c>
      <c r="U136" s="1186">
        <v>19</v>
      </c>
      <c r="V136" s="1186">
        <v>20</v>
      </c>
      <c r="W136" s="1186">
        <v>21</v>
      </c>
      <c r="X136" s="1185">
        <v>22</v>
      </c>
      <c r="Y136" s="1185">
        <v>23</v>
      </c>
      <c r="Z136" s="1186">
        <v>24</v>
      </c>
      <c r="AA136" s="1186">
        <v>25</v>
      </c>
      <c r="AB136" s="1186">
        <v>26</v>
      </c>
      <c r="AC136" s="1186">
        <v>27</v>
      </c>
      <c r="AD136" s="1186">
        <v>28</v>
      </c>
      <c r="AE136" s="1185">
        <v>29</v>
      </c>
      <c r="AF136" s="1185">
        <v>30</v>
      </c>
      <c r="AG136" s="1931">
        <v>31</v>
      </c>
      <c r="AH136" s="184"/>
      <c r="AI136" s="185"/>
    </row>
    <row r="137" spans="1:35" ht="22.15" customHeight="1" x14ac:dyDescent="0.2">
      <c r="A137" s="408">
        <v>1</v>
      </c>
      <c r="B137" s="252" t="s">
        <v>192</v>
      </c>
      <c r="C137" s="380"/>
      <c r="D137" s="392"/>
      <c r="E137" s="380">
        <v>22</v>
      </c>
      <c r="F137" s="380">
        <v>22</v>
      </c>
      <c r="G137" s="390">
        <v>22</v>
      </c>
      <c r="H137" s="380">
        <v>22</v>
      </c>
      <c r="I137" s="385">
        <v>22</v>
      </c>
      <c r="J137" s="390">
        <v>22</v>
      </c>
      <c r="K137" s="380">
        <v>22</v>
      </c>
      <c r="L137" s="385" t="s">
        <v>35</v>
      </c>
      <c r="M137" s="390" t="s">
        <v>35</v>
      </c>
      <c r="N137" s="390" t="s">
        <v>35</v>
      </c>
      <c r="O137" s="380" t="s">
        <v>35</v>
      </c>
      <c r="P137" s="380" t="s">
        <v>35</v>
      </c>
      <c r="Q137" s="380"/>
      <c r="R137" s="380"/>
      <c r="S137" s="380">
        <v>23</v>
      </c>
      <c r="T137" s="380">
        <v>23</v>
      </c>
      <c r="U137" s="380">
        <v>23</v>
      </c>
      <c r="V137" s="380">
        <v>23</v>
      </c>
      <c r="W137" s="385">
        <v>23</v>
      </c>
      <c r="X137" s="380">
        <v>23</v>
      </c>
      <c r="Y137" s="380">
        <v>23</v>
      </c>
      <c r="Z137" s="385" t="s">
        <v>35</v>
      </c>
      <c r="AA137" s="380" t="s">
        <v>35</v>
      </c>
      <c r="AB137" s="380" t="s">
        <v>35</v>
      </c>
      <c r="AC137" s="380" t="s">
        <v>35</v>
      </c>
      <c r="AD137" s="380" t="s">
        <v>35</v>
      </c>
      <c r="AE137" s="380"/>
      <c r="AF137" s="380"/>
      <c r="AG137" s="387">
        <v>21</v>
      </c>
      <c r="AH137" s="107"/>
      <c r="AI137" s="107"/>
    </row>
    <row r="138" spans="1:35" ht="22.15" customHeight="1" x14ac:dyDescent="0.2">
      <c r="A138" s="1840">
        <v>2</v>
      </c>
      <c r="B138" s="1301" t="s">
        <v>193</v>
      </c>
      <c r="C138" s="1629"/>
      <c r="D138" s="1629"/>
      <c r="E138" s="1629">
        <v>23</v>
      </c>
      <c r="F138" s="1629">
        <v>23</v>
      </c>
      <c r="G138" s="1629">
        <v>23</v>
      </c>
      <c r="H138" s="1629">
        <v>23</v>
      </c>
      <c r="I138" s="1625">
        <v>23</v>
      </c>
      <c r="J138" s="1629">
        <v>23</v>
      </c>
      <c r="K138" s="1629">
        <v>23</v>
      </c>
      <c r="L138" s="1625" t="s">
        <v>35</v>
      </c>
      <c r="M138" s="1628" t="s">
        <v>35</v>
      </c>
      <c r="N138" s="1628" t="s">
        <v>35</v>
      </c>
      <c r="O138" s="1628" t="s">
        <v>35</v>
      </c>
      <c r="P138" s="1628" t="s">
        <v>35</v>
      </c>
      <c r="Q138" s="1628"/>
      <c r="R138" s="1628"/>
      <c r="S138" s="1628">
        <v>21</v>
      </c>
      <c r="T138" s="1628">
        <v>21</v>
      </c>
      <c r="U138" s="1628">
        <v>21</v>
      </c>
      <c r="V138" s="1628">
        <v>21</v>
      </c>
      <c r="W138" s="1625">
        <v>21</v>
      </c>
      <c r="X138" s="1629">
        <v>21</v>
      </c>
      <c r="Y138" s="1629">
        <v>21</v>
      </c>
      <c r="Z138" s="1625" t="s">
        <v>35</v>
      </c>
      <c r="AA138" s="1628" t="s">
        <v>35</v>
      </c>
      <c r="AB138" s="1628" t="s">
        <v>35</v>
      </c>
      <c r="AC138" s="1628" t="s">
        <v>35</v>
      </c>
      <c r="AD138" s="1628" t="s">
        <v>35</v>
      </c>
      <c r="AE138" s="1628"/>
      <c r="AF138" s="1628"/>
      <c r="AG138" s="1634">
        <v>22</v>
      </c>
      <c r="AH138" s="107"/>
      <c r="AI138" s="107"/>
    </row>
    <row r="139" spans="1:35" ht="22.15" customHeight="1" x14ac:dyDescent="0.2">
      <c r="A139" s="1840">
        <v>3</v>
      </c>
      <c r="B139" s="1301" t="s">
        <v>194</v>
      </c>
      <c r="C139" s="1629"/>
      <c r="D139" s="1629"/>
      <c r="E139" s="1629">
        <v>21</v>
      </c>
      <c r="F139" s="1629">
        <v>21</v>
      </c>
      <c r="G139" s="1628">
        <v>21</v>
      </c>
      <c r="H139" s="1628">
        <v>21</v>
      </c>
      <c r="I139" s="1625">
        <v>21</v>
      </c>
      <c r="J139" s="1629">
        <v>21</v>
      </c>
      <c r="K139" s="1629">
        <v>21</v>
      </c>
      <c r="L139" s="1625" t="s">
        <v>35</v>
      </c>
      <c r="M139" s="1629" t="s">
        <v>35</v>
      </c>
      <c r="N139" s="1629" t="s">
        <v>35</v>
      </c>
      <c r="O139" s="1629" t="s">
        <v>35</v>
      </c>
      <c r="P139" s="1629" t="s">
        <v>35</v>
      </c>
      <c r="Q139" s="1629"/>
      <c r="R139" s="1637"/>
      <c r="S139" s="1712">
        <v>22</v>
      </c>
      <c r="T139" s="1712">
        <v>22</v>
      </c>
      <c r="U139" s="1712">
        <v>22</v>
      </c>
      <c r="V139" s="1712">
        <v>22</v>
      </c>
      <c r="W139" s="1712">
        <v>22</v>
      </c>
      <c r="X139" s="1712">
        <v>22</v>
      </c>
      <c r="Y139" s="1712">
        <v>22</v>
      </c>
      <c r="Z139" s="1712" t="s">
        <v>35</v>
      </c>
      <c r="AA139" s="1712" t="s">
        <v>35</v>
      </c>
      <c r="AB139" s="1712" t="s">
        <v>35</v>
      </c>
      <c r="AC139" s="1712" t="s">
        <v>35</v>
      </c>
      <c r="AD139" s="1712" t="s">
        <v>35</v>
      </c>
      <c r="AE139" s="1712"/>
      <c r="AF139" s="1712"/>
      <c r="AG139" s="1713">
        <v>23</v>
      </c>
      <c r="AH139" s="107"/>
      <c r="AI139" s="107"/>
    </row>
    <row r="140" spans="1:35" ht="22.15" customHeight="1" x14ac:dyDescent="0.2">
      <c r="A140" s="1840">
        <v>4</v>
      </c>
      <c r="B140" s="1301" t="s">
        <v>195</v>
      </c>
      <c r="C140" s="1739">
        <v>21</v>
      </c>
      <c r="D140" s="1739">
        <v>21</v>
      </c>
      <c r="E140" s="1465" t="s">
        <v>35</v>
      </c>
      <c r="F140" s="1739" t="s">
        <v>35</v>
      </c>
      <c r="G140" s="1739" t="s">
        <v>35</v>
      </c>
      <c r="H140" s="1739" t="s">
        <v>35</v>
      </c>
      <c r="I140" s="1739" t="s">
        <v>35</v>
      </c>
      <c r="J140" s="1739"/>
      <c r="K140" s="1739"/>
      <c r="L140" s="1739">
        <v>22</v>
      </c>
      <c r="M140" s="1739">
        <v>22</v>
      </c>
      <c r="N140" s="1739">
        <v>22</v>
      </c>
      <c r="O140" s="2000">
        <v>22</v>
      </c>
      <c r="P140" s="1465">
        <v>22</v>
      </c>
      <c r="Q140" s="1739">
        <v>22</v>
      </c>
      <c r="R140" s="1739">
        <v>22</v>
      </c>
      <c r="S140" s="1625" t="s">
        <v>35</v>
      </c>
      <c r="T140" s="1629" t="s">
        <v>35</v>
      </c>
      <c r="U140" s="1629" t="s">
        <v>35</v>
      </c>
      <c r="V140" s="1629" t="s">
        <v>35</v>
      </c>
      <c r="W140" s="1629" t="s">
        <v>35</v>
      </c>
      <c r="X140" s="1629"/>
      <c r="Y140" s="1629"/>
      <c r="Z140" s="1629">
        <v>23</v>
      </c>
      <c r="AA140" s="1629">
        <v>23</v>
      </c>
      <c r="AB140" s="1629">
        <v>23</v>
      </c>
      <c r="AC140" s="1629">
        <v>23</v>
      </c>
      <c r="AD140" s="1625">
        <v>23</v>
      </c>
      <c r="AE140" s="1958">
        <v>23</v>
      </c>
      <c r="AF140" s="1958">
        <v>23</v>
      </c>
      <c r="AG140" s="1842" t="s">
        <v>35</v>
      </c>
      <c r="AH140" s="107"/>
      <c r="AI140" s="107"/>
    </row>
    <row r="141" spans="1:35" ht="22.15" customHeight="1" x14ac:dyDescent="0.2">
      <c r="A141" s="1840">
        <v>5</v>
      </c>
      <c r="B141" s="1301"/>
      <c r="C141" s="1629">
        <v>22</v>
      </c>
      <c r="D141" s="1629">
        <v>22</v>
      </c>
      <c r="E141" s="1625" t="s">
        <v>35</v>
      </c>
      <c r="F141" s="1628" t="s">
        <v>35</v>
      </c>
      <c r="G141" s="1629" t="s">
        <v>35</v>
      </c>
      <c r="H141" s="1612" t="s">
        <v>35</v>
      </c>
      <c r="I141" s="1629" t="s">
        <v>35</v>
      </c>
      <c r="J141" s="1629"/>
      <c r="K141" s="1629"/>
      <c r="L141" s="1629">
        <v>23</v>
      </c>
      <c r="M141" s="1629">
        <v>23</v>
      </c>
      <c r="N141" s="1629">
        <v>23</v>
      </c>
      <c r="O141" s="1629">
        <v>23</v>
      </c>
      <c r="P141" s="1625">
        <v>23</v>
      </c>
      <c r="Q141" s="1629">
        <v>23</v>
      </c>
      <c r="R141" s="1629">
        <v>23</v>
      </c>
      <c r="S141" s="1625" t="s">
        <v>35</v>
      </c>
      <c r="T141" s="1629" t="s">
        <v>35</v>
      </c>
      <c r="U141" s="1629" t="s">
        <v>35</v>
      </c>
      <c r="V141" s="1629" t="s">
        <v>35</v>
      </c>
      <c r="W141" s="1629" t="s">
        <v>35</v>
      </c>
      <c r="X141" s="1629"/>
      <c r="Y141" s="1629"/>
      <c r="Z141" s="1629">
        <v>21</v>
      </c>
      <c r="AA141" s="1629">
        <v>21</v>
      </c>
      <c r="AB141" s="1629">
        <v>21</v>
      </c>
      <c r="AC141" s="1628">
        <v>21</v>
      </c>
      <c r="AD141" s="1628">
        <v>21</v>
      </c>
      <c r="AE141" s="1628">
        <v>21</v>
      </c>
      <c r="AF141" s="1629">
        <v>21</v>
      </c>
      <c r="AG141" s="1842" t="s">
        <v>35</v>
      </c>
      <c r="AH141" s="107"/>
      <c r="AI141" s="107"/>
    </row>
    <row r="142" spans="1:35" ht="22.15" customHeight="1" thickBot="1" x14ac:dyDescent="0.25">
      <c r="A142" s="670">
        <v>6</v>
      </c>
      <c r="B142" s="671" t="s">
        <v>197</v>
      </c>
      <c r="C142" s="701">
        <v>23</v>
      </c>
      <c r="D142" s="701">
        <v>23</v>
      </c>
      <c r="E142" s="694" t="s">
        <v>81</v>
      </c>
      <c r="F142" s="708" t="s">
        <v>35</v>
      </c>
      <c r="G142" s="708" t="s">
        <v>35</v>
      </c>
      <c r="H142" s="700" t="s">
        <v>35</v>
      </c>
      <c r="I142" s="700" t="s">
        <v>35</v>
      </c>
      <c r="J142" s="700"/>
      <c r="K142" s="700"/>
      <c r="L142" s="700">
        <v>21</v>
      </c>
      <c r="M142" s="700">
        <v>21</v>
      </c>
      <c r="N142" s="700">
        <v>21</v>
      </c>
      <c r="O142" s="700">
        <v>21</v>
      </c>
      <c r="P142" s="700">
        <v>21</v>
      </c>
      <c r="Q142" s="700">
        <v>21</v>
      </c>
      <c r="R142" s="700">
        <v>21</v>
      </c>
      <c r="S142" s="696" t="s">
        <v>35</v>
      </c>
      <c r="T142" s="690" t="s">
        <v>35</v>
      </c>
      <c r="U142" s="690" t="s">
        <v>35</v>
      </c>
      <c r="V142" s="690" t="s">
        <v>35</v>
      </c>
      <c r="W142" s="690" t="s">
        <v>35</v>
      </c>
      <c r="X142" s="690"/>
      <c r="Y142" s="690"/>
      <c r="Z142" s="690">
        <v>22</v>
      </c>
      <c r="AA142" s="690">
        <v>22</v>
      </c>
      <c r="AB142" s="676">
        <v>22</v>
      </c>
      <c r="AC142" s="676">
        <v>22</v>
      </c>
      <c r="AD142" s="696">
        <v>22</v>
      </c>
      <c r="AE142" s="690">
        <v>22</v>
      </c>
      <c r="AF142" s="690">
        <v>22</v>
      </c>
      <c r="AG142" s="217" t="s">
        <v>35</v>
      </c>
      <c r="AH142" s="107"/>
      <c r="AI142" s="107"/>
    </row>
    <row r="143" spans="1:35" ht="22.15" customHeight="1" x14ac:dyDescent="0.2">
      <c r="A143" s="256"/>
      <c r="B143" s="228"/>
      <c r="C143" s="229"/>
      <c r="D143" s="229"/>
      <c r="E143" s="255"/>
      <c r="F143" s="229"/>
      <c r="G143" s="229"/>
      <c r="H143" s="261"/>
      <c r="I143" s="261"/>
      <c r="J143" s="261"/>
      <c r="K143" s="261"/>
      <c r="L143" s="261"/>
      <c r="M143" s="261"/>
      <c r="N143" s="216"/>
      <c r="O143" s="216"/>
      <c r="P143" s="255"/>
      <c r="Q143" s="229"/>
      <c r="R143" s="229"/>
      <c r="S143" s="255"/>
      <c r="T143" s="229"/>
      <c r="U143" s="229"/>
      <c r="V143" s="229"/>
      <c r="W143" s="229"/>
      <c r="X143" s="229"/>
      <c r="Y143" s="229"/>
      <c r="Z143" s="229"/>
      <c r="AA143" s="229"/>
      <c r="AB143" s="216"/>
      <c r="AC143" s="216"/>
      <c r="AD143" s="255"/>
      <c r="AE143" s="229"/>
      <c r="AF143" s="229"/>
      <c r="AG143" s="255"/>
      <c r="AH143" s="107"/>
      <c r="AI143" s="107"/>
    </row>
    <row r="144" spans="1:35" ht="22.15" customHeight="1" x14ac:dyDescent="0.2">
      <c r="A144" s="109"/>
      <c r="B144" s="110"/>
      <c r="C144" s="206"/>
      <c r="D144" s="206"/>
      <c r="E144" s="172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172"/>
      <c r="Q144" s="206"/>
      <c r="R144" s="206"/>
      <c r="S144" s="172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7"/>
      <c r="AD144" s="207"/>
      <c r="AE144" s="207"/>
      <c r="AF144" s="206"/>
      <c r="AG144" s="172"/>
      <c r="AH144" s="107"/>
      <c r="AI144" s="107"/>
    </row>
    <row r="145" spans="1:35" ht="22.15" customHeight="1" thickBot="1" x14ac:dyDescent="0.25">
      <c r="A145" s="162" t="s">
        <v>198</v>
      </c>
      <c r="D145" s="72"/>
      <c r="E145" s="72"/>
      <c r="F145" s="72"/>
      <c r="G145" s="105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</row>
    <row r="146" spans="1:35" ht="22.15" customHeight="1" x14ac:dyDescent="0.2">
      <c r="A146" s="1"/>
      <c r="B146" s="304" t="s">
        <v>167</v>
      </c>
      <c r="C146" s="500"/>
      <c r="D146" s="516" t="s">
        <v>90</v>
      </c>
      <c r="E146" s="473"/>
      <c r="F146" s="504"/>
      <c r="G146" s="500"/>
      <c r="H146" s="516" t="s">
        <v>91</v>
      </c>
      <c r="I146" s="473"/>
      <c r="J146" s="504"/>
      <c r="K146" s="500"/>
      <c r="L146" s="516" t="s">
        <v>92</v>
      </c>
      <c r="M146" s="473"/>
      <c r="N146" s="504"/>
      <c r="O146" s="500"/>
      <c r="P146" s="516" t="s">
        <v>93</v>
      </c>
      <c r="Q146" s="473"/>
      <c r="R146" s="504"/>
      <c r="S146" s="500"/>
      <c r="T146" s="516" t="s">
        <v>94</v>
      </c>
      <c r="U146" s="473"/>
      <c r="V146" s="504"/>
      <c r="W146" s="500"/>
      <c r="X146" s="516" t="s">
        <v>95</v>
      </c>
      <c r="Y146" s="473"/>
      <c r="Z146" s="504"/>
      <c r="AA146" s="500"/>
      <c r="AB146" s="516" t="s">
        <v>96</v>
      </c>
      <c r="AC146" s="473"/>
      <c r="AD146" s="473"/>
      <c r="AE146" s="519" t="s">
        <v>97</v>
      </c>
      <c r="AF146" s="473"/>
      <c r="AG146" s="473"/>
      <c r="AH146" s="473"/>
      <c r="AI146" s="474"/>
    </row>
    <row r="147" spans="1:35" ht="22.15" customHeight="1" x14ac:dyDescent="0.2">
      <c r="A147" s="1"/>
      <c r="B147" s="1390" t="s">
        <v>139</v>
      </c>
      <c r="C147" s="1283" t="s">
        <v>168</v>
      </c>
      <c r="D147" s="1167"/>
      <c r="E147" s="1167"/>
      <c r="F147" s="1393"/>
      <c r="G147" s="1283" t="s">
        <v>168</v>
      </c>
      <c r="H147" s="1167"/>
      <c r="I147" s="1167"/>
      <c r="J147" s="1393"/>
      <c r="K147" s="1283" t="s">
        <v>168</v>
      </c>
      <c r="L147" s="1167"/>
      <c r="M147" s="1167"/>
      <c r="N147" s="1393"/>
      <c r="O147" s="1283" t="s">
        <v>199</v>
      </c>
      <c r="P147" s="1167"/>
      <c r="Q147" s="1167"/>
      <c r="R147" s="1393"/>
      <c r="S147" s="1283" t="s">
        <v>154</v>
      </c>
      <c r="T147" s="1167"/>
      <c r="U147" s="1167"/>
      <c r="V147" s="1393"/>
      <c r="W147" s="1431"/>
      <c r="X147" s="1432"/>
      <c r="Y147" s="1432"/>
      <c r="Z147" s="1395"/>
      <c r="AA147" s="1391"/>
      <c r="AB147" s="1167"/>
      <c r="AC147" s="1167"/>
      <c r="AD147" s="1284"/>
      <c r="AE147" s="1396">
        <v>27</v>
      </c>
      <c r="AF147" s="1167"/>
      <c r="AG147" s="1167"/>
      <c r="AH147" s="1284"/>
      <c r="AI147" s="1176"/>
    </row>
    <row r="148" spans="1:35" ht="22.15" customHeight="1" x14ac:dyDescent="0.2">
      <c r="A148" s="1"/>
      <c r="B148" s="1390" t="s">
        <v>143</v>
      </c>
      <c r="C148" s="1283" t="s">
        <v>200</v>
      </c>
      <c r="D148" s="1167"/>
      <c r="E148" s="1167"/>
      <c r="F148" s="1393"/>
      <c r="G148" s="1283" t="s">
        <v>200</v>
      </c>
      <c r="H148" s="1167"/>
      <c r="I148" s="1167"/>
      <c r="J148" s="1393"/>
      <c r="K148" s="1283" t="s">
        <v>200</v>
      </c>
      <c r="L148" s="1167"/>
      <c r="M148" s="1167"/>
      <c r="N148" s="1393"/>
      <c r="O148" s="1283" t="s">
        <v>200</v>
      </c>
      <c r="P148" s="1167"/>
      <c r="Q148" s="1167"/>
      <c r="R148" s="1393"/>
      <c r="S148" s="1283" t="s">
        <v>168</v>
      </c>
      <c r="T148" s="1167"/>
      <c r="U148" s="1167"/>
      <c r="V148" s="1393"/>
      <c r="W148" s="1283"/>
      <c r="X148" s="1167"/>
      <c r="Y148" s="1167"/>
      <c r="Z148" s="1393"/>
      <c r="AA148" s="1167"/>
      <c r="AB148" s="1167"/>
      <c r="AC148" s="1167"/>
      <c r="AD148" s="1284"/>
      <c r="AE148" s="1396">
        <v>39</v>
      </c>
      <c r="AF148" s="1167"/>
      <c r="AG148" s="1167"/>
      <c r="AH148" s="1284"/>
      <c r="AI148" s="1176"/>
    </row>
    <row r="149" spans="1:35" ht="22.15" customHeight="1" x14ac:dyDescent="0.2">
      <c r="A149" s="1"/>
      <c r="B149" s="1390" t="s">
        <v>153</v>
      </c>
      <c r="C149" s="1283" t="s">
        <v>200</v>
      </c>
      <c r="D149" s="1167"/>
      <c r="E149" s="1167"/>
      <c r="F149" s="1393"/>
      <c r="G149" s="1283" t="s">
        <v>200</v>
      </c>
      <c r="H149" s="1167"/>
      <c r="I149" s="1167"/>
      <c r="J149" s="1393"/>
      <c r="K149" s="1283" t="s">
        <v>200</v>
      </c>
      <c r="L149" s="1167"/>
      <c r="M149" s="1167"/>
      <c r="N149" s="1393"/>
      <c r="O149" s="1283" t="s">
        <v>200</v>
      </c>
      <c r="P149" s="1167"/>
      <c r="Q149" s="1167"/>
      <c r="R149" s="1393"/>
      <c r="S149" s="1283" t="s">
        <v>200</v>
      </c>
      <c r="T149" s="1167"/>
      <c r="U149" s="1167"/>
      <c r="V149" s="1393"/>
      <c r="W149" s="1285" t="s">
        <v>201</v>
      </c>
      <c r="X149" s="1180"/>
      <c r="Y149" s="1180"/>
      <c r="Z149" s="1400"/>
      <c r="AA149" s="1398"/>
      <c r="AB149" s="1180"/>
      <c r="AC149" s="1180"/>
      <c r="AD149" s="1286"/>
      <c r="AE149" s="1396">
        <v>45</v>
      </c>
      <c r="AF149" s="1167"/>
      <c r="AG149" s="1167"/>
      <c r="AH149" s="1284"/>
      <c r="AI149" s="1176"/>
    </row>
    <row r="150" spans="1:35" ht="22.15" customHeight="1" thickBot="1" x14ac:dyDescent="0.25">
      <c r="A150" s="1"/>
      <c r="B150" s="1032" t="s">
        <v>155</v>
      </c>
      <c r="C150" s="1423"/>
      <c r="D150" s="1238"/>
      <c r="E150" s="1238"/>
      <c r="F150" s="1425"/>
      <c r="G150" s="1423"/>
      <c r="H150" s="1238"/>
      <c r="I150" s="1238"/>
      <c r="J150" s="1425"/>
      <c r="K150" s="1423"/>
      <c r="L150" s="1238"/>
      <c r="M150" s="1238"/>
      <c r="N150" s="1425"/>
      <c r="O150" s="1423"/>
      <c r="P150" s="1238"/>
      <c r="Q150" s="1238"/>
      <c r="R150" s="1425"/>
      <c r="S150" s="1423"/>
      <c r="T150" s="1238"/>
      <c r="U150" s="1238"/>
      <c r="V150" s="1411"/>
      <c r="W150" s="1423"/>
      <c r="X150" s="1411"/>
      <c r="Y150" s="1238"/>
      <c r="Z150" s="1425"/>
      <c r="AA150" s="1423"/>
      <c r="AB150" s="1411"/>
      <c r="AC150" s="1238"/>
      <c r="AD150" s="1425"/>
      <c r="AE150" s="1433"/>
      <c r="AF150" s="1238"/>
      <c r="AG150" s="1238"/>
      <c r="AH150" s="1411"/>
      <c r="AI150" s="1245"/>
    </row>
    <row r="151" spans="1:35" ht="22.15" customHeight="1" x14ac:dyDescent="0.2">
      <c r="A151" s="108"/>
      <c r="B151" s="1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</row>
    <row r="152" spans="1:35" ht="22.15" customHeight="1" thickBot="1" x14ac:dyDescent="0.25">
      <c r="A152" s="1343"/>
      <c r="B152" s="1247" t="s">
        <v>29</v>
      </c>
      <c r="C152" s="1185">
        <v>1</v>
      </c>
      <c r="D152" s="1185">
        <v>2</v>
      </c>
      <c r="E152" s="1186">
        <v>3</v>
      </c>
      <c r="F152" s="1186">
        <v>4</v>
      </c>
      <c r="G152" s="1186">
        <v>5</v>
      </c>
      <c r="H152" s="1186">
        <v>6</v>
      </c>
      <c r="I152" s="1186">
        <v>7</v>
      </c>
      <c r="J152" s="1185">
        <v>8</v>
      </c>
      <c r="K152" s="1185">
        <v>9</v>
      </c>
      <c r="L152" s="1186">
        <v>10</v>
      </c>
      <c r="M152" s="1186">
        <v>11</v>
      </c>
      <c r="N152" s="1186">
        <v>12</v>
      </c>
      <c r="O152" s="1186">
        <v>13</v>
      </c>
      <c r="P152" s="1186">
        <v>14</v>
      </c>
      <c r="Q152" s="1185">
        <v>15</v>
      </c>
      <c r="R152" s="1185">
        <v>16</v>
      </c>
      <c r="S152" s="1186">
        <v>17</v>
      </c>
      <c r="T152" s="1186">
        <v>18</v>
      </c>
      <c r="U152" s="1186">
        <v>19</v>
      </c>
      <c r="V152" s="1186">
        <v>20</v>
      </c>
      <c r="W152" s="1186">
        <v>21</v>
      </c>
      <c r="X152" s="1185">
        <v>22</v>
      </c>
      <c r="Y152" s="1185">
        <v>23</v>
      </c>
      <c r="Z152" s="1186">
        <v>24</v>
      </c>
      <c r="AA152" s="1186">
        <v>25</v>
      </c>
      <c r="AB152" s="1186">
        <v>26</v>
      </c>
      <c r="AC152" s="1186">
        <v>27</v>
      </c>
      <c r="AD152" s="1186">
        <v>28</v>
      </c>
      <c r="AE152" s="1185">
        <v>29</v>
      </c>
      <c r="AF152" s="1185">
        <v>30</v>
      </c>
      <c r="AG152" s="1931">
        <v>31</v>
      </c>
      <c r="AH152" s="184"/>
      <c r="AI152" s="185"/>
    </row>
    <row r="153" spans="1:35" ht="22.15" customHeight="1" x14ac:dyDescent="0.2">
      <c r="A153" s="521">
        <v>1</v>
      </c>
      <c r="B153" s="523" t="s">
        <v>202</v>
      </c>
      <c r="C153" s="532"/>
      <c r="D153" s="532"/>
      <c r="E153" s="532" t="s">
        <v>31</v>
      </c>
      <c r="F153" s="532" t="s">
        <v>31</v>
      </c>
      <c r="G153" s="532" t="s">
        <v>31</v>
      </c>
      <c r="H153" s="532" t="s">
        <v>31</v>
      </c>
      <c r="I153" s="532" t="s">
        <v>31</v>
      </c>
      <c r="J153" s="532"/>
      <c r="K153" s="532"/>
      <c r="L153" s="532" t="s">
        <v>31</v>
      </c>
      <c r="M153" s="532" t="s">
        <v>31</v>
      </c>
      <c r="N153" s="532" t="s">
        <v>31</v>
      </c>
      <c r="O153" s="532" t="s">
        <v>31</v>
      </c>
      <c r="P153" s="532" t="s">
        <v>31</v>
      </c>
      <c r="Q153" s="532"/>
      <c r="R153" s="532"/>
      <c r="S153" s="532" t="s">
        <v>31</v>
      </c>
      <c r="T153" s="532" t="s">
        <v>31</v>
      </c>
      <c r="U153" s="458" t="s">
        <v>31</v>
      </c>
      <c r="V153" s="458" t="s">
        <v>31</v>
      </c>
      <c r="W153" s="458" t="s">
        <v>31</v>
      </c>
      <c r="X153" s="459"/>
      <c r="Y153" s="458"/>
      <c r="Z153" s="458" t="s">
        <v>31</v>
      </c>
      <c r="AA153" s="460" t="s">
        <v>31</v>
      </c>
      <c r="AB153" s="459" t="s">
        <v>31</v>
      </c>
      <c r="AC153" s="458" t="s">
        <v>31</v>
      </c>
      <c r="AD153" s="458" t="s">
        <v>31</v>
      </c>
      <c r="AE153" s="458"/>
      <c r="AF153" s="458"/>
      <c r="AG153" s="464" t="s">
        <v>31</v>
      </c>
      <c r="AH153" s="250"/>
      <c r="AI153" s="190"/>
    </row>
    <row r="154" spans="1:35" ht="22.15" customHeight="1" x14ac:dyDescent="0.2">
      <c r="A154" s="1415">
        <v>2</v>
      </c>
      <c r="B154" s="1434" t="s">
        <v>203</v>
      </c>
      <c r="C154" s="1200" t="s">
        <v>204</v>
      </c>
      <c r="D154" s="1200"/>
      <c r="E154" s="1200" t="s">
        <v>205</v>
      </c>
      <c r="F154" s="1200" t="s">
        <v>205</v>
      </c>
      <c r="G154" s="1200" t="s">
        <v>205</v>
      </c>
      <c r="H154" s="1200" t="s">
        <v>205</v>
      </c>
      <c r="I154" s="1200" t="s">
        <v>35</v>
      </c>
      <c r="J154" s="1200"/>
      <c r="K154" s="1200"/>
      <c r="L154" s="1258" t="s">
        <v>207</v>
      </c>
      <c r="M154" s="1258" t="s">
        <v>207</v>
      </c>
      <c r="N154" s="1258" t="s">
        <v>207</v>
      </c>
      <c r="O154" s="1258" t="s">
        <v>207</v>
      </c>
      <c r="P154" s="1258" t="s">
        <v>207</v>
      </c>
      <c r="Q154" s="1258"/>
      <c r="R154" s="1258"/>
      <c r="S154" s="1258" t="s">
        <v>204</v>
      </c>
      <c r="T154" s="1258" t="s">
        <v>204</v>
      </c>
      <c r="U154" s="1258" t="s">
        <v>204</v>
      </c>
      <c r="V154" s="1258" t="s">
        <v>204</v>
      </c>
      <c r="W154" s="1258" t="s">
        <v>204</v>
      </c>
      <c r="X154" s="1258" t="s">
        <v>204</v>
      </c>
      <c r="Y154" s="1259"/>
      <c r="Z154" s="1258" t="s">
        <v>205</v>
      </c>
      <c r="AA154" s="1258" t="s">
        <v>205</v>
      </c>
      <c r="AB154" s="1258" t="s">
        <v>205</v>
      </c>
      <c r="AC154" s="1258" t="s">
        <v>205</v>
      </c>
      <c r="AD154" s="1258" t="s">
        <v>35</v>
      </c>
      <c r="AE154" s="1258"/>
      <c r="AF154" s="1258"/>
      <c r="AG154" s="1251" t="s">
        <v>207</v>
      </c>
      <c r="AH154" s="250"/>
      <c r="AI154" s="190"/>
    </row>
    <row r="155" spans="1:35" ht="22.15" customHeight="1" x14ac:dyDescent="0.2">
      <c r="A155" s="1415">
        <v>3</v>
      </c>
      <c r="B155" s="1435" t="s">
        <v>208</v>
      </c>
      <c r="C155" s="1258"/>
      <c r="D155" s="1258"/>
      <c r="E155" s="1258" t="s">
        <v>207</v>
      </c>
      <c r="F155" s="1380" t="s">
        <v>207</v>
      </c>
      <c r="G155" s="1380" t="s">
        <v>207</v>
      </c>
      <c r="H155" s="1380" t="s">
        <v>207</v>
      </c>
      <c r="I155" s="1380" t="s">
        <v>207</v>
      </c>
      <c r="J155" s="1380"/>
      <c r="K155" s="1380"/>
      <c r="L155" s="1380" t="s">
        <v>204</v>
      </c>
      <c r="M155" s="1380" t="s">
        <v>204</v>
      </c>
      <c r="N155" s="1380" t="s">
        <v>204</v>
      </c>
      <c r="O155" s="1380" t="s">
        <v>204</v>
      </c>
      <c r="P155" s="1380" t="s">
        <v>204</v>
      </c>
      <c r="Q155" s="1380" t="s">
        <v>204</v>
      </c>
      <c r="R155" s="1380"/>
      <c r="S155" s="1380" t="s">
        <v>205</v>
      </c>
      <c r="T155" s="1380" t="s">
        <v>205</v>
      </c>
      <c r="U155" s="1258" t="s">
        <v>205</v>
      </c>
      <c r="V155" s="1258" t="s">
        <v>205</v>
      </c>
      <c r="W155" s="1258" t="s">
        <v>35</v>
      </c>
      <c r="X155" s="1258"/>
      <c r="Y155" s="1258"/>
      <c r="Z155" s="1258" t="s">
        <v>207</v>
      </c>
      <c r="AA155" s="1311" t="s">
        <v>207</v>
      </c>
      <c r="AB155" s="1311" t="s">
        <v>207</v>
      </c>
      <c r="AC155" s="1311" t="s">
        <v>207</v>
      </c>
      <c r="AD155" s="1311" t="s">
        <v>207</v>
      </c>
      <c r="AE155" s="1258"/>
      <c r="AF155" s="1311"/>
      <c r="AG155" s="1251" t="s">
        <v>204</v>
      </c>
      <c r="AH155" s="250"/>
      <c r="AI155" s="190"/>
    </row>
    <row r="156" spans="1:35" ht="22.15" customHeight="1" x14ac:dyDescent="0.2">
      <c r="A156" s="1415">
        <v>4</v>
      </c>
      <c r="B156" s="1435" t="s">
        <v>209</v>
      </c>
      <c r="C156" s="1258"/>
      <c r="D156" s="1258"/>
      <c r="E156" s="1258"/>
      <c r="F156" s="1258" t="s">
        <v>32</v>
      </c>
      <c r="G156" s="1258"/>
      <c r="H156" s="1258"/>
      <c r="I156" s="1258" t="s">
        <v>31</v>
      </c>
      <c r="J156" s="1258" t="s">
        <v>204</v>
      </c>
      <c r="K156" s="1258"/>
      <c r="L156" s="1258"/>
      <c r="M156" s="1258" t="s">
        <v>32</v>
      </c>
      <c r="N156" s="1258" t="s">
        <v>32</v>
      </c>
      <c r="O156" s="1258"/>
      <c r="P156" s="1258" t="s">
        <v>32</v>
      </c>
      <c r="Q156" s="1193"/>
      <c r="R156" s="1193"/>
      <c r="S156" s="1193"/>
      <c r="T156" s="1193" t="s">
        <v>32</v>
      </c>
      <c r="U156" s="1193" t="s">
        <v>32</v>
      </c>
      <c r="V156" s="1258"/>
      <c r="W156" s="1258" t="s">
        <v>32</v>
      </c>
      <c r="X156" s="1258"/>
      <c r="Y156" s="1258"/>
      <c r="Z156" s="1258"/>
      <c r="AA156" s="1258" t="s">
        <v>32</v>
      </c>
      <c r="AB156" s="1258"/>
      <c r="AC156" s="1258"/>
      <c r="AD156" s="1258" t="s">
        <v>32</v>
      </c>
      <c r="AE156" s="1258" t="s">
        <v>204</v>
      </c>
      <c r="AF156" s="1258"/>
      <c r="AG156" s="1251"/>
      <c r="AH156" s="250"/>
      <c r="AI156" s="190"/>
    </row>
    <row r="157" spans="1:35" ht="22.15" customHeight="1" x14ac:dyDescent="0.2">
      <c r="A157" s="1415">
        <v>5</v>
      </c>
      <c r="B157" s="1435" t="s">
        <v>210</v>
      </c>
      <c r="C157" s="1258"/>
      <c r="D157" s="1258"/>
      <c r="E157" s="1258" t="s">
        <v>32</v>
      </c>
      <c r="F157" s="1258"/>
      <c r="G157" s="1258"/>
      <c r="H157" s="1258" t="s">
        <v>31</v>
      </c>
      <c r="I157" s="1258"/>
      <c r="J157" s="1258"/>
      <c r="K157" s="1258"/>
      <c r="L157" s="1258" t="s">
        <v>32</v>
      </c>
      <c r="M157" s="1258"/>
      <c r="N157" s="1258"/>
      <c r="O157" s="1258" t="s">
        <v>31</v>
      </c>
      <c r="P157" s="1258"/>
      <c r="Q157" s="1258"/>
      <c r="R157" s="1258"/>
      <c r="S157" s="1258" t="s">
        <v>32</v>
      </c>
      <c r="T157" s="1258"/>
      <c r="U157" s="1258"/>
      <c r="V157" s="1258" t="s">
        <v>31</v>
      </c>
      <c r="W157" s="1258"/>
      <c r="X157" s="1258"/>
      <c r="Y157" s="1258"/>
      <c r="Z157" s="1258" t="s">
        <v>32</v>
      </c>
      <c r="AA157" s="1258"/>
      <c r="AB157" s="1258"/>
      <c r="AC157" s="1258" t="s">
        <v>31</v>
      </c>
      <c r="AD157" s="1258"/>
      <c r="AE157" s="1258"/>
      <c r="AF157" s="1258"/>
      <c r="AG157" s="1251" t="s">
        <v>32</v>
      </c>
      <c r="AH157" s="250"/>
      <c r="AI157" s="190"/>
    </row>
    <row r="158" spans="1:35" ht="22.15" customHeight="1" x14ac:dyDescent="0.2">
      <c r="A158" s="1415">
        <v>6</v>
      </c>
      <c r="B158" s="1202" t="s">
        <v>211</v>
      </c>
      <c r="C158" s="1200"/>
      <c r="D158" s="1200"/>
      <c r="E158" s="1200" t="s">
        <v>31</v>
      </c>
      <c r="F158" s="1200" t="s">
        <v>31</v>
      </c>
      <c r="G158" s="1200" t="s">
        <v>31</v>
      </c>
      <c r="H158" s="1258" t="s">
        <v>31</v>
      </c>
      <c r="I158" s="1258" t="s">
        <v>31</v>
      </c>
      <c r="J158" s="1199"/>
      <c r="K158" s="1258"/>
      <c r="L158" s="1258" t="s">
        <v>31</v>
      </c>
      <c r="M158" s="1258" t="s">
        <v>31</v>
      </c>
      <c r="N158" s="1258" t="s">
        <v>31</v>
      </c>
      <c r="O158" s="1258" t="s">
        <v>31</v>
      </c>
      <c r="P158" s="1258" t="s">
        <v>31</v>
      </c>
      <c r="Q158" s="1258"/>
      <c r="R158" s="1258"/>
      <c r="S158" s="1258" t="s">
        <v>31</v>
      </c>
      <c r="T158" s="1193" t="s">
        <v>31</v>
      </c>
      <c r="U158" s="1193" t="s">
        <v>31</v>
      </c>
      <c r="V158" s="1193" t="s">
        <v>31</v>
      </c>
      <c r="W158" s="1193" t="s">
        <v>31</v>
      </c>
      <c r="X158" s="1193"/>
      <c r="Y158" s="1258"/>
      <c r="Z158" s="1258" t="s">
        <v>31</v>
      </c>
      <c r="AA158" s="1258" t="s">
        <v>31</v>
      </c>
      <c r="AB158" s="1258" t="s">
        <v>31</v>
      </c>
      <c r="AC158" s="1258" t="s">
        <v>31</v>
      </c>
      <c r="AD158" s="1258" t="s">
        <v>31</v>
      </c>
      <c r="AE158" s="1258"/>
      <c r="AF158" s="1258"/>
      <c r="AG158" s="1251" t="s">
        <v>31</v>
      </c>
      <c r="AH158" s="215"/>
      <c r="AI158" s="107"/>
    </row>
    <row r="159" spans="1:35" ht="22.15" customHeight="1" thickBot="1" x14ac:dyDescent="0.25">
      <c r="A159" s="1419"/>
      <c r="B159" s="1253" t="s">
        <v>212</v>
      </c>
      <c r="C159" s="1254"/>
      <c r="D159" s="1254"/>
      <c r="E159" s="1254"/>
      <c r="F159" s="1254"/>
      <c r="G159" s="1254"/>
      <c r="H159" s="1254"/>
      <c r="I159" s="1254"/>
      <c r="J159" s="1254"/>
      <c r="K159" s="1254"/>
      <c r="L159" s="1254"/>
      <c r="M159" s="1254"/>
      <c r="N159" s="1254"/>
      <c r="O159" s="1254"/>
      <c r="P159" s="1254"/>
      <c r="Q159" s="1254"/>
      <c r="R159" s="1254"/>
      <c r="S159" s="1254"/>
      <c r="T159" s="1254"/>
      <c r="U159" s="1254"/>
      <c r="V159" s="1254"/>
      <c r="W159" s="1254"/>
      <c r="X159" s="1254"/>
      <c r="Y159" s="1254"/>
      <c r="Z159" s="1254"/>
      <c r="AA159" s="1254"/>
      <c r="AB159" s="1254"/>
      <c r="AC159" s="1254"/>
      <c r="AD159" s="1254"/>
      <c r="AE159" s="1254"/>
      <c r="AF159" s="1254"/>
      <c r="AG159" s="1945"/>
      <c r="AH159" s="107"/>
      <c r="AI159" s="107"/>
    </row>
    <row r="160" spans="1:35" ht="22.15" customHeight="1" x14ac:dyDescent="0.2">
      <c r="A160" s="256"/>
      <c r="B160" s="228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107"/>
      <c r="AI160" s="107"/>
    </row>
    <row r="161" spans="1:36" ht="22.15" customHeight="1" x14ac:dyDescent="0.2">
      <c r="A161" s="256"/>
      <c r="B161" s="228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107"/>
      <c r="AI161" s="107"/>
    </row>
    <row r="162" spans="1:36" ht="22.15" customHeight="1" thickBot="1" x14ac:dyDescent="0.25">
      <c r="A162" s="150" t="s">
        <v>213</v>
      </c>
      <c r="B162" s="72"/>
      <c r="C162" s="106" t="s">
        <v>99</v>
      </c>
      <c r="D162" s="72"/>
      <c r="E162" s="72"/>
      <c r="F162" s="106" t="s">
        <v>99</v>
      </c>
      <c r="G162" s="72"/>
      <c r="H162" s="72"/>
      <c r="I162" s="106" t="s">
        <v>99</v>
      </c>
      <c r="J162" s="106"/>
      <c r="K162" s="72"/>
      <c r="L162" s="106" t="s">
        <v>99</v>
      </c>
      <c r="M162" s="72"/>
      <c r="N162" s="72"/>
      <c r="O162" s="106" t="s">
        <v>99</v>
      </c>
      <c r="P162" s="72"/>
      <c r="Q162" s="106"/>
      <c r="R162" s="106" t="s">
        <v>99</v>
      </c>
      <c r="S162" s="72"/>
      <c r="T162" s="72"/>
      <c r="U162" s="106" t="s">
        <v>99</v>
      </c>
      <c r="V162" s="72"/>
      <c r="W162" s="106"/>
      <c r="X162" s="106"/>
      <c r="Y162" s="72"/>
      <c r="Z162" s="72"/>
      <c r="AA162" s="72"/>
      <c r="AB162" s="72"/>
      <c r="AC162" s="72"/>
      <c r="AD162" s="72"/>
      <c r="AE162" s="106"/>
      <c r="AF162" s="72"/>
      <c r="AG162" s="72"/>
      <c r="AH162" s="107"/>
      <c r="AI162" s="107"/>
    </row>
    <row r="163" spans="1:36" ht="22.15" customHeight="1" x14ac:dyDescent="0.2">
      <c r="A163" s="109"/>
      <c r="B163" s="294" t="s">
        <v>214</v>
      </c>
      <c r="C163" s="295"/>
      <c r="D163" s="296" t="s">
        <v>90</v>
      </c>
      <c r="E163" s="297"/>
      <c r="F163" s="298"/>
      <c r="G163" s="299"/>
      <c r="H163" s="296" t="s">
        <v>91</v>
      </c>
      <c r="I163" s="297"/>
      <c r="J163" s="298"/>
      <c r="K163" s="299"/>
      <c r="L163" s="296" t="s">
        <v>92</v>
      </c>
      <c r="M163" s="297"/>
      <c r="N163" s="298"/>
      <c r="O163" s="299"/>
      <c r="P163" s="296" t="s">
        <v>93</v>
      </c>
      <c r="Q163" s="297"/>
      <c r="R163" s="298"/>
      <c r="S163" s="299"/>
      <c r="T163" s="296" t="s">
        <v>94</v>
      </c>
      <c r="U163" s="297"/>
      <c r="V163" s="298"/>
      <c r="W163" s="299"/>
      <c r="X163" s="296" t="s">
        <v>95</v>
      </c>
      <c r="Y163" s="297"/>
      <c r="Z163" s="298"/>
      <c r="AA163" s="299"/>
      <c r="AB163" s="296" t="s">
        <v>96</v>
      </c>
      <c r="AC163" s="297"/>
      <c r="AD163" s="297"/>
      <c r="AE163" s="300" t="s">
        <v>97</v>
      </c>
      <c r="AF163" s="297"/>
      <c r="AG163" s="297"/>
      <c r="AH163" s="297"/>
      <c r="AI163" s="301"/>
    </row>
    <row r="164" spans="1:36" ht="22.15" customHeight="1" x14ac:dyDescent="0.2">
      <c r="A164" s="109"/>
      <c r="B164" s="1851" t="s">
        <v>215</v>
      </c>
      <c r="C164" s="1852" t="s">
        <v>216</v>
      </c>
      <c r="D164" s="1438" t="s">
        <v>217</v>
      </c>
      <c r="E164" s="1439"/>
      <c r="F164" s="2001"/>
      <c r="G164" s="1853"/>
      <c r="H164" s="1438" t="s">
        <v>217</v>
      </c>
      <c r="I164" s="1439"/>
      <c r="J164" s="2001"/>
      <c r="K164" s="1853"/>
      <c r="L164" s="1438" t="s">
        <v>217</v>
      </c>
      <c r="M164" s="1439"/>
      <c r="N164" s="2001"/>
      <c r="O164" s="1853"/>
      <c r="P164" s="1438" t="s">
        <v>218</v>
      </c>
      <c r="Q164" s="1439"/>
      <c r="R164" s="2001"/>
      <c r="S164" s="1853"/>
      <c r="T164" s="1438" t="s">
        <v>219</v>
      </c>
      <c r="U164" s="2001"/>
      <c r="V164" s="2002"/>
      <c r="W164" s="1854"/>
      <c r="X164" s="1444"/>
      <c r="Y164" s="1444"/>
      <c r="Z164" s="2002"/>
      <c r="AA164" s="1854"/>
      <c r="AB164" s="1444"/>
      <c r="AC164" s="1444"/>
      <c r="AD164" s="1444"/>
      <c r="AE164" s="1854"/>
      <c r="AF164" s="1444"/>
      <c r="AG164" s="1444"/>
      <c r="AH164" s="1445"/>
      <c r="AI164" s="1855"/>
    </row>
    <row r="165" spans="1:36" ht="22.15" customHeight="1" x14ac:dyDescent="0.2">
      <c r="A165" s="109"/>
      <c r="B165" s="1851" t="s">
        <v>215</v>
      </c>
      <c r="C165" s="1852" t="s">
        <v>220</v>
      </c>
      <c r="D165" s="1438" t="s">
        <v>217</v>
      </c>
      <c r="E165" s="1439"/>
      <c r="F165" s="2001"/>
      <c r="G165" s="1853"/>
      <c r="H165" s="1438" t="s">
        <v>217</v>
      </c>
      <c r="I165" s="1439"/>
      <c r="J165" s="2001"/>
      <c r="K165" s="1853"/>
      <c r="L165" s="1438" t="s">
        <v>217</v>
      </c>
      <c r="M165" s="1439"/>
      <c r="N165" s="2001"/>
      <c r="O165" s="1853"/>
      <c r="P165" s="1438" t="s">
        <v>218</v>
      </c>
      <c r="Q165" s="1439"/>
      <c r="R165" s="2001"/>
      <c r="S165" s="1853"/>
      <c r="T165" s="1438" t="s">
        <v>219</v>
      </c>
      <c r="U165" s="2001"/>
      <c r="V165" s="2002"/>
      <c r="W165" s="1854"/>
      <c r="X165" s="1444"/>
      <c r="Y165" s="1444"/>
      <c r="Z165" s="2002"/>
      <c r="AA165" s="1854"/>
      <c r="AB165" s="1444"/>
      <c r="AC165" s="1444"/>
      <c r="AD165" s="1444"/>
      <c r="AE165" s="1854"/>
      <c r="AF165" s="1444"/>
      <c r="AG165" s="1444"/>
      <c r="AH165" s="1445"/>
      <c r="AI165" s="1855"/>
    </row>
    <row r="166" spans="1:36" ht="22.15" customHeight="1" x14ac:dyDescent="0.2">
      <c r="A166" s="109"/>
      <c r="B166" s="1851" t="s">
        <v>221</v>
      </c>
      <c r="C166" s="1852" t="s">
        <v>158</v>
      </c>
      <c r="D166" s="1438" t="s">
        <v>217</v>
      </c>
      <c r="E166" s="1439"/>
      <c r="F166" s="2001"/>
      <c r="G166" s="1853"/>
      <c r="H166" s="1438" t="s">
        <v>217</v>
      </c>
      <c r="I166" s="1439"/>
      <c r="J166" s="2001"/>
      <c r="K166" s="1853"/>
      <c r="L166" s="1438" t="s">
        <v>217</v>
      </c>
      <c r="M166" s="1439"/>
      <c r="N166" s="2001"/>
      <c r="O166" s="1853"/>
      <c r="P166" s="1438" t="s">
        <v>218</v>
      </c>
      <c r="Q166" s="1439"/>
      <c r="R166" s="2001"/>
      <c r="S166" s="1853"/>
      <c r="T166" s="1438" t="s">
        <v>219</v>
      </c>
      <c r="U166" s="2001"/>
      <c r="V166" s="2002"/>
      <c r="W166" s="1854"/>
      <c r="X166" s="1444"/>
      <c r="Y166" s="1444"/>
      <c r="Z166" s="2002"/>
      <c r="AA166" s="1854"/>
      <c r="AB166" s="1444"/>
      <c r="AC166" s="1444"/>
      <c r="AD166" s="1444"/>
      <c r="AE166" s="1854"/>
      <c r="AF166" s="1444"/>
      <c r="AG166" s="1444"/>
      <c r="AH166" s="1445"/>
      <c r="AI166" s="1855"/>
    </row>
    <row r="167" spans="1:36" ht="22.15" customHeight="1" x14ac:dyDescent="0.2">
      <c r="A167" s="109"/>
      <c r="B167" s="1851" t="s">
        <v>222</v>
      </c>
      <c r="C167" s="1852" t="s">
        <v>223</v>
      </c>
      <c r="D167" s="1438" t="s">
        <v>224</v>
      </c>
      <c r="E167" s="1439"/>
      <c r="F167" s="2001"/>
      <c r="G167" s="1853"/>
      <c r="H167" s="1438" t="s">
        <v>224</v>
      </c>
      <c r="I167" s="1439"/>
      <c r="J167" s="2001"/>
      <c r="K167" s="1853"/>
      <c r="L167" s="1438" t="s">
        <v>224</v>
      </c>
      <c r="M167" s="1439"/>
      <c r="N167" s="2001"/>
      <c r="O167" s="1853"/>
      <c r="P167" s="1438" t="s">
        <v>225</v>
      </c>
      <c r="Q167" s="1439"/>
      <c r="R167" s="2001"/>
      <c r="S167" s="1853"/>
      <c r="T167" s="1438" t="s">
        <v>226</v>
      </c>
      <c r="U167" s="2001"/>
      <c r="V167" s="2002"/>
      <c r="W167" s="1854"/>
      <c r="X167" s="1444"/>
      <c r="Y167" s="1444"/>
      <c r="Z167" s="2002"/>
      <c r="AA167" s="1854"/>
      <c r="AB167" s="1444"/>
      <c r="AC167" s="1444"/>
      <c r="AD167" s="1444"/>
      <c r="AE167" s="1854"/>
      <c r="AF167" s="1444"/>
      <c r="AG167" s="1444"/>
      <c r="AH167" s="1445"/>
      <c r="AI167" s="1855"/>
    </row>
    <row r="168" spans="1:36" ht="22.15" customHeight="1" x14ac:dyDescent="0.2">
      <c r="A168" s="109"/>
      <c r="B168" s="1851" t="s">
        <v>227</v>
      </c>
      <c r="C168" s="1852" t="s">
        <v>228</v>
      </c>
      <c r="D168" s="1438" t="s">
        <v>229</v>
      </c>
      <c r="E168" s="1439"/>
      <c r="F168" s="2001"/>
      <c r="G168" s="1853"/>
      <c r="H168" s="1438" t="s">
        <v>229</v>
      </c>
      <c r="I168" s="1439"/>
      <c r="J168" s="2001"/>
      <c r="K168" s="1853"/>
      <c r="L168" s="1438" t="s">
        <v>230</v>
      </c>
      <c r="M168" s="1439"/>
      <c r="N168" s="2001"/>
      <c r="O168" s="1853"/>
      <c r="P168" s="1438" t="s">
        <v>231</v>
      </c>
      <c r="Q168" s="1439"/>
      <c r="R168" s="2001"/>
      <c r="S168" s="1853"/>
      <c r="T168" s="1438" t="s">
        <v>226</v>
      </c>
      <c r="U168" s="2001"/>
      <c r="V168" s="2002"/>
      <c r="W168" s="1854"/>
      <c r="X168" s="1444"/>
      <c r="Y168" s="1444"/>
      <c r="Z168" s="2002"/>
      <c r="AA168" s="1854"/>
      <c r="AB168" s="1444"/>
      <c r="AC168" s="1444"/>
      <c r="AD168" s="1444"/>
      <c r="AE168" s="1854"/>
      <c r="AF168" s="1444"/>
      <c r="AG168" s="1444"/>
      <c r="AH168" s="1445"/>
      <c r="AI168" s="1855"/>
    </row>
    <row r="169" spans="1:36" ht="22.15" customHeight="1" x14ac:dyDescent="0.2">
      <c r="A169" s="109"/>
      <c r="B169" s="1851" t="s">
        <v>232</v>
      </c>
      <c r="C169" s="1852" t="s">
        <v>233</v>
      </c>
      <c r="D169" s="1438" t="s">
        <v>217</v>
      </c>
      <c r="E169" s="1439"/>
      <c r="F169" s="2001"/>
      <c r="G169" s="1853"/>
      <c r="H169" s="1438" t="s">
        <v>217</v>
      </c>
      <c r="I169" s="1439"/>
      <c r="J169" s="2001"/>
      <c r="K169" s="1853"/>
      <c r="L169" s="1438" t="s">
        <v>217</v>
      </c>
      <c r="M169" s="1439"/>
      <c r="N169" s="2001"/>
      <c r="O169" s="1853"/>
      <c r="P169" s="1438" t="s">
        <v>217</v>
      </c>
      <c r="Q169" s="1439"/>
      <c r="R169" s="2001"/>
      <c r="S169" s="1853"/>
      <c r="T169" s="1438" t="s">
        <v>229</v>
      </c>
      <c r="U169" s="2001"/>
      <c r="V169" s="2002"/>
      <c r="W169" s="1854"/>
      <c r="X169" s="1444"/>
      <c r="Y169" s="1444"/>
      <c r="Z169" s="2002"/>
      <c r="AA169" s="1854"/>
      <c r="AB169" s="1444"/>
      <c r="AC169" s="1444"/>
      <c r="AD169" s="1444"/>
      <c r="AE169" s="1854"/>
      <c r="AF169" s="1444"/>
      <c r="AG169" s="1444"/>
      <c r="AH169" s="1445"/>
      <c r="AI169" s="1855"/>
    </row>
    <row r="170" spans="1:36" ht="22.15" customHeight="1" x14ac:dyDescent="0.2">
      <c r="A170" s="109"/>
      <c r="B170" s="1851" t="s">
        <v>234</v>
      </c>
      <c r="C170" s="1852" t="s">
        <v>235</v>
      </c>
      <c r="D170" s="1438" t="s">
        <v>217</v>
      </c>
      <c r="E170" s="1439"/>
      <c r="F170" s="2001"/>
      <c r="G170" s="1853"/>
      <c r="H170" s="1438" t="s">
        <v>217</v>
      </c>
      <c r="I170" s="1439"/>
      <c r="J170" s="2001"/>
      <c r="K170" s="1853"/>
      <c r="L170" s="1438" t="s">
        <v>217</v>
      </c>
      <c r="M170" s="1439"/>
      <c r="N170" s="2001"/>
      <c r="O170" s="1853"/>
      <c r="P170" s="1438" t="s">
        <v>218</v>
      </c>
      <c r="Q170" s="1439"/>
      <c r="R170" s="2001"/>
      <c r="S170" s="1853"/>
      <c r="T170" s="1438" t="s">
        <v>219</v>
      </c>
      <c r="U170" s="2001"/>
      <c r="V170" s="2002"/>
      <c r="W170" s="1854"/>
      <c r="X170" s="1444"/>
      <c r="Y170" s="1444"/>
      <c r="Z170" s="2002"/>
      <c r="AA170" s="1854"/>
      <c r="AB170" s="1444"/>
      <c r="AC170" s="1444"/>
      <c r="AD170" s="1444"/>
      <c r="AE170" s="1854"/>
      <c r="AF170" s="1444"/>
      <c r="AG170" s="1444"/>
      <c r="AH170" s="1445"/>
      <c r="AI170" s="1855"/>
    </row>
    <row r="171" spans="1:36" ht="22.15" customHeight="1" x14ac:dyDescent="0.2">
      <c r="A171" s="109"/>
      <c r="B171" s="1851" t="s">
        <v>234</v>
      </c>
      <c r="C171" s="1852" t="s">
        <v>236</v>
      </c>
      <c r="D171" s="1438" t="s">
        <v>217</v>
      </c>
      <c r="E171" s="1439"/>
      <c r="F171" s="2001"/>
      <c r="G171" s="1853"/>
      <c r="H171" s="1438" t="s">
        <v>217</v>
      </c>
      <c r="I171" s="1439"/>
      <c r="J171" s="2001"/>
      <c r="K171" s="1853"/>
      <c r="L171" s="1438" t="s">
        <v>217</v>
      </c>
      <c r="M171" s="1439"/>
      <c r="N171" s="2001"/>
      <c r="O171" s="1853"/>
      <c r="P171" s="1438" t="s">
        <v>218</v>
      </c>
      <c r="Q171" s="1439"/>
      <c r="R171" s="2001"/>
      <c r="S171" s="1853"/>
      <c r="T171" s="1438" t="s">
        <v>219</v>
      </c>
      <c r="U171" s="2001"/>
      <c r="V171" s="2002"/>
      <c r="W171" s="1854"/>
      <c r="X171" s="1444"/>
      <c r="Y171" s="1444"/>
      <c r="Z171" s="2002"/>
      <c r="AA171" s="1854"/>
      <c r="AB171" s="1444"/>
      <c r="AC171" s="1444"/>
      <c r="AD171" s="1444"/>
      <c r="AE171" s="1854"/>
      <c r="AF171" s="1444"/>
      <c r="AG171" s="1444"/>
      <c r="AH171" s="1445"/>
      <c r="AI171" s="1855"/>
    </row>
    <row r="172" spans="1:36" ht="22.15" customHeight="1" x14ac:dyDescent="0.2">
      <c r="A172" s="109"/>
      <c r="B172" s="1851" t="s">
        <v>237</v>
      </c>
      <c r="C172" s="1852" t="s">
        <v>238</v>
      </c>
      <c r="D172" s="1438" t="s">
        <v>217</v>
      </c>
      <c r="E172" s="1439"/>
      <c r="F172" s="2001"/>
      <c r="G172" s="1853"/>
      <c r="H172" s="1438" t="s">
        <v>217</v>
      </c>
      <c r="I172" s="1439"/>
      <c r="J172" s="2001"/>
      <c r="K172" s="1853"/>
      <c r="L172" s="1438" t="s">
        <v>217</v>
      </c>
      <c r="M172" s="1439"/>
      <c r="N172" s="2001"/>
      <c r="O172" s="1853"/>
      <c r="P172" s="1438" t="s">
        <v>239</v>
      </c>
      <c r="Q172" s="1439"/>
      <c r="R172" s="2001"/>
      <c r="S172" s="1853"/>
      <c r="T172" s="1438" t="s">
        <v>226</v>
      </c>
      <c r="U172" s="2001"/>
      <c r="V172" s="2002"/>
      <c r="W172" s="1854"/>
      <c r="X172" s="1444"/>
      <c r="Y172" s="1444"/>
      <c r="Z172" s="2002"/>
      <c r="AA172" s="1854"/>
      <c r="AB172" s="1444"/>
      <c r="AC172" s="1444"/>
      <c r="AD172" s="1444"/>
      <c r="AE172" s="1854"/>
      <c r="AF172" s="1444"/>
      <c r="AG172" s="1444"/>
      <c r="AH172" s="1445"/>
      <c r="AI172" s="1855"/>
    </row>
    <row r="173" spans="1:36" ht="22.15" customHeight="1" x14ac:dyDescent="0.2">
      <c r="A173" s="109"/>
      <c r="B173" s="1447" t="s">
        <v>240</v>
      </c>
      <c r="C173" s="1852" t="s">
        <v>80</v>
      </c>
      <c r="D173" s="1438" t="s">
        <v>217</v>
      </c>
      <c r="E173" s="1439"/>
      <c r="F173" s="2001"/>
      <c r="G173" s="1853"/>
      <c r="H173" s="1438" t="s">
        <v>217</v>
      </c>
      <c r="I173" s="1439"/>
      <c r="J173" s="2001"/>
      <c r="K173" s="1853"/>
      <c r="L173" s="1438" t="s">
        <v>217</v>
      </c>
      <c r="M173" s="1439"/>
      <c r="N173" s="2001"/>
      <c r="O173" s="1853"/>
      <c r="P173" s="1438" t="s">
        <v>218</v>
      </c>
      <c r="Q173" s="1439"/>
      <c r="R173" s="2001"/>
      <c r="S173" s="1853"/>
      <c r="T173" s="1438" t="s">
        <v>219</v>
      </c>
      <c r="U173" s="2001"/>
      <c r="V173" s="212"/>
      <c r="W173" s="1448"/>
      <c r="X173" s="211"/>
      <c r="Y173" s="211"/>
      <c r="Z173" s="212"/>
      <c r="AA173" s="1448"/>
      <c r="AB173" s="211"/>
      <c r="AC173" s="211"/>
      <c r="AD173" s="211"/>
      <c r="AE173" s="1448"/>
      <c r="AF173" s="211"/>
      <c r="AG173" s="211"/>
      <c r="AH173" s="213"/>
      <c r="AI173" s="1449"/>
      <c r="AJ173" s="214"/>
    </row>
    <row r="174" spans="1:36" ht="22.15" customHeight="1" x14ac:dyDescent="0.2">
      <c r="A174" s="109"/>
      <c r="B174" s="1851" t="s">
        <v>241</v>
      </c>
      <c r="C174" s="1852" t="s">
        <v>132</v>
      </c>
      <c r="D174" s="1438" t="s">
        <v>217</v>
      </c>
      <c r="E174" s="1439"/>
      <c r="F174" s="2001"/>
      <c r="G174" s="1853"/>
      <c r="H174" s="1438" t="s">
        <v>217</v>
      </c>
      <c r="I174" s="1439"/>
      <c r="J174" s="2001"/>
      <c r="K174" s="1853"/>
      <c r="L174" s="1438" t="s">
        <v>217</v>
      </c>
      <c r="M174" s="1439"/>
      <c r="N174" s="2001"/>
      <c r="O174" s="1853"/>
      <c r="P174" s="1438" t="s">
        <v>218</v>
      </c>
      <c r="Q174" s="1439"/>
      <c r="R174" s="2001"/>
      <c r="S174" s="1853"/>
      <c r="T174" s="1438" t="s">
        <v>219</v>
      </c>
      <c r="U174" s="2001"/>
      <c r="V174" s="1444"/>
      <c r="W174" s="1854"/>
      <c r="X174" s="1444"/>
      <c r="Y174" s="1444"/>
      <c r="Z174" s="1444"/>
      <c r="AA174" s="1854"/>
      <c r="AB174" s="1444"/>
      <c r="AC174" s="1444"/>
      <c r="AD174" s="1444"/>
      <c r="AE174" s="1854"/>
      <c r="AF174" s="1444"/>
      <c r="AG174" s="1444"/>
      <c r="AH174" s="1445"/>
      <c r="AI174" s="1855"/>
      <c r="AJ174" s="214"/>
    </row>
    <row r="175" spans="1:36" ht="22.15" customHeight="1" x14ac:dyDescent="0.2">
      <c r="A175" s="109"/>
      <c r="B175" s="1851" t="s">
        <v>242</v>
      </c>
      <c r="C175" s="1856" t="s">
        <v>243</v>
      </c>
      <c r="D175" s="1438" t="s">
        <v>244</v>
      </c>
      <c r="E175" s="1439"/>
      <c r="F175" s="2001"/>
      <c r="G175" s="1853"/>
      <c r="H175" s="1438" t="s">
        <v>244</v>
      </c>
      <c r="I175" s="1439"/>
      <c r="J175" s="2001"/>
      <c r="K175" s="1853"/>
      <c r="L175" s="1438" t="s">
        <v>244</v>
      </c>
      <c r="M175" s="1439"/>
      <c r="N175" s="1439"/>
      <c r="O175" s="1853"/>
      <c r="P175" s="1438" t="s">
        <v>244</v>
      </c>
      <c r="Q175" s="1439"/>
      <c r="R175" s="1439"/>
      <c r="S175" s="1853"/>
      <c r="T175" s="1438" t="s">
        <v>226</v>
      </c>
      <c r="U175" s="2001"/>
      <c r="V175" s="1444"/>
      <c r="W175" s="1857"/>
      <c r="X175" s="1444"/>
      <c r="Y175" s="1444"/>
      <c r="Z175" s="1444"/>
      <c r="AA175" s="1854"/>
      <c r="AB175" s="1444"/>
      <c r="AC175" s="1444"/>
      <c r="AD175" s="1444"/>
      <c r="AE175" s="1854"/>
      <c r="AF175" s="1444"/>
      <c r="AG175" s="1444"/>
      <c r="AH175" s="1445"/>
      <c r="AI175" s="1855"/>
      <c r="AJ175" s="214"/>
    </row>
    <row r="176" spans="1:36" ht="22.15" customHeight="1" x14ac:dyDescent="0.2">
      <c r="A176" s="109"/>
      <c r="B176" s="1851" t="s">
        <v>245</v>
      </c>
      <c r="C176" s="1856" t="s">
        <v>246</v>
      </c>
      <c r="D176" s="1438" t="s">
        <v>244</v>
      </c>
      <c r="E176" s="1439"/>
      <c r="F176" s="2001"/>
      <c r="G176" s="1853"/>
      <c r="H176" s="1438" t="s">
        <v>244</v>
      </c>
      <c r="I176" s="1439"/>
      <c r="J176" s="2001"/>
      <c r="K176" s="1853"/>
      <c r="L176" s="1438" t="s">
        <v>244</v>
      </c>
      <c r="M176" s="1439"/>
      <c r="N176" s="1439"/>
      <c r="O176" s="1853"/>
      <c r="P176" s="1438" t="s">
        <v>244</v>
      </c>
      <c r="Q176" s="1439"/>
      <c r="R176" s="1439"/>
      <c r="S176" s="1853"/>
      <c r="T176" s="1438" t="s">
        <v>226</v>
      </c>
      <c r="U176" s="2001"/>
      <c r="V176" s="1444"/>
      <c r="W176" s="1857"/>
      <c r="X176" s="1444"/>
      <c r="Y176" s="1444"/>
      <c r="Z176" s="2002"/>
      <c r="AA176" s="1452"/>
      <c r="AB176" s="1444"/>
      <c r="AC176" s="1444"/>
      <c r="AD176" s="1444"/>
      <c r="AE176" s="1854"/>
      <c r="AF176" s="1444"/>
      <c r="AG176" s="1444"/>
      <c r="AH176" s="1445"/>
      <c r="AI176" s="1855"/>
      <c r="AJ176" s="214"/>
    </row>
    <row r="177" spans="1:39" ht="22.15" customHeight="1" thickBot="1" x14ac:dyDescent="0.25">
      <c r="A177" s="109"/>
      <c r="B177" s="1851" t="s">
        <v>247</v>
      </c>
      <c r="C177" s="1856" t="s">
        <v>248</v>
      </c>
      <c r="D177" s="1438" t="s">
        <v>244</v>
      </c>
      <c r="E177" s="1439"/>
      <c r="F177" s="2001"/>
      <c r="G177" s="1853"/>
      <c r="H177" s="1438" t="s">
        <v>244</v>
      </c>
      <c r="I177" s="1439"/>
      <c r="J177" s="2001"/>
      <c r="K177" s="1853"/>
      <c r="L177" s="1438" t="s">
        <v>244</v>
      </c>
      <c r="M177" s="1439"/>
      <c r="N177" s="1439"/>
      <c r="O177" s="1853"/>
      <c r="P177" s="1438" t="s">
        <v>244</v>
      </c>
      <c r="Q177" s="1439"/>
      <c r="R177" s="1439"/>
      <c r="S177" s="1853"/>
      <c r="T177" s="1438" t="s">
        <v>226</v>
      </c>
      <c r="U177" s="2001"/>
      <c r="V177" s="1858"/>
      <c r="W177" s="677"/>
      <c r="X177" s="1858"/>
      <c r="Y177" s="1858"/>
      <c r="Z177" s="1859"/>
      <c r="AA177" s="1860"/>
      <c r="AB177" s="1858"/>
      <c r="AC177" s="1858"/>
      <c r="AD177" s="1858"/>
      <c r="AE177" s="678"/>
      <c r="AF177" s="1858"/>
      <c r="AG177" s="1858"/>
      <c r="AH177" s="1861"/>
      <c r="AI177" s="679"/>
      <c r="AJ177" s="214"/>
    </row>
    <row r="178" spans="1:39" ht="22.15" customHeight="1" x14ac:dyDescent="0.2">
      <c r="A178" s="109"/>
      <c r="B178" s="240"/>
      <c r="C178" s="241"/>
      <c r="D178" s="242"/>
      <c r="E178" s="243"/>
      <c r="F178" s="243"/>
      <c r="G178" s="244"/>
      <c r="H178" s="242"/>
      <c r="I178" s="243"/>
      <c r="J178" s="243"/>
      <c r="K178" s="244"/>
      <c r="L178" s="242"/>
      <c r="M178" s="243"/>
      <c r="N178" s="243"/>
      <c r="O178" s="244"/>
      <c r="P178" s="228"/>
      <c r="Q178" s="243"/>
      <c r="R178" s="243"/>
      <c r="S178" s="244"/>
      <c r="T178" s="228"/>
      <c r="U178" s="243"/>
      <c r="V178" s="243"/>
      <c r="W178" s="243"/>
      <c r="X178" s="243"/>
      <c r="Y178" s="243"/>
      <c r="Z178" s="243"/>
      <c r="AA178" s="244"/>
      <c r="AB178" s="243"/>
      <c r="AC178" s="243"/>
      <c r="AD178" s="243"/>
      <c r="AE178" s="244"/>
      <c r="AF178" s="243"/>
      <c r="AG178" s="243"/>
      <c r="AH178" s="215"/>
      <c r="AI178" s="215"/>
      <c r="AJ178" s="214"/>
    </row>
    <row r="179" spans="1:39" ht="22.15" customHeight="1" thickBot="1" x14ac:dyDescent="0.25">
      <c r="A179" s="148"/>
      <c r="B179" s="1457" t="s">
        <v>29</v>
      </c>
      <c r="C179" s="1185">
        <v>1</v>
      </c>
      <c r="D179" s="1185">
        <v>2</v>
      </c>
      <c r="E179" s="1186">
        <v>3</v>
      </c>
      <c r="F179" s="1186">
        <v>4</v>
      </c>
      <c r="G179" s="1186">
        <v>5</v>
      </c>
      <c r="H179" s="1186">
        <v>6</v>
      </c>
      <c r="I179" s="1186">
        <v>7</v>
      </c>
      <c r="J179" s="1185">
        <v>8</v>
      </c>
      <c r="K179" s="1185">
        <v>9</v>
      </c>
      <c r="L179" s="1186">
        <v>10</v>
      </c>
      <c r="M179" s="1186">
        <v>11</v>
      </c>
      <c r="N179" s="1186">
        <v>12</v>
      </c>
      <c r="O179" s="1186">
        <v>13</v>
      </c>
      <c r="P179" s="1186">
        <v>14</v>
      </c>
      <c r="Q179" s="1185">
        <v>15</v>
      </c>
      <c r="R179" s="1185">
        <v>16</v>
      </c>
      <c r="S179" s="1186">
        <v>17</v>
      </c>
      <c r="T179" s="1186">
        <v>18</v>
      </c>
      <c r="U179" s="1186">
        <v>19</v>
      </c>
      <c r="V179" s="1186">
        <v>20</v>
      </c>
      <c r="W179" s="1186">
        <v>21</v>
      </c>
      <c r="X179" s="1185">
        <v>22</v>
      </c>
      <c r="Y179" s="1185">
        <v>23</v>
      </c>
      <c r="Z179" s="1186">
        <v>24</v>
      </c>
      <c r="AA179" s="1186">
        <v>25</v>
      </c>
      <c r="AB179" s="1186">
        <v>26</v>
      </c>
      <c r="AC179" s="1186">
        <v>27</v>
      </c>
      <c r="AD179" s="1186">
        <v>28</v>
      </c>
      <c r="AE179" s="1185">
        <v>29</v>
      </c>
      <c r="AF179" s="1185">
        <v>30</v>
      </c>
      <c r="AG179" s="1931">
        <v>31</v>
      </c>
      <c r="AH179" s="195"/>
      <c r="AI179" s="185"/>
      <c r="AM179" t="s">
        <v>0</v>
      </c>
    </row>
    <row r="180" spans="1:39" ht="22.15" customHeight="1" x14ac:dyDescent="0.2">
      <c r="A180" s="109"/>
      <c r="B180" s="411" t="s">
        <v>249</v>
      </c>
      <c r="C180" s="385"/>
      <c r="D180" s="385"/>
      <c r="E180" s="418" t="s">
        <v>216</v>
      </c>
      <c r="F180" s="418" t="s">
        <v>216</v>
      </c>
      <c r="G180" s="418" t="s">
        <v>216</v>
      </c>
      <c r="H180" s="418" t="s">
        <v>216</v>
      </c>
      <c r="I180" s="418" t="s">
        <v>216</v>
      </c>
      <c r="J180" s="418"/>
      <c r="K180" s="418"/>
      <c r="L180" s="418" t="s">
        <v>216</v>
      </c>
      <c r="M180" s="418" t="s">
        <v>216</v>
      </c>
      <c r="N180" s="418" t="s">
        <v>216</v>
      </c>
      <c r="O180" s="418" t="s">
        <v>216</v>
      </c>
      <c r="P180" s="418" t="s">
        <v>216</v>
      </c>
      <c r="Q180" s="418"/>
      <c r="R180" s="418"/>
      <c r="S180" s="418" t="s">
        <v>216</v>
      </c>
      <c r="T180" s="419" t="s">
        <v>216</v>
      </c>
      <c r="U180" s="419" t="s">
        <v>216</v>
      </c>
      <c r="V180" s="419" t="s">
        <v>216</v>
      </c>
      <c r="W180" s="419" t="s">
        <v>378</v>
      </c>
      <c r="X180" s="420"/>
      <c r="Y180" s="420" t="s">
        <v>0</v>
      </c>
      <c r="Z180" s="421" t="s">
        <v>216</v>
      </c>
      <c r="AA180" s="421" t="s">
        <v>216</v>
      </c>
      <c r="AB180" s="421" t="s">
        <v>378</v>
      </c>
      <c r="AC180" s="420" t="s">
        <v>216</v>
      </c>
      <c r="AD180" s="420" t="s">
        <v>216</v>
      </c>
      <c r="AE180" s="385"/>
      <c r="AF180" s="385"/>
      <c r="AG180" s="412" t="s">
        <v>216</v>
      </c>
      <c r="AH180" s="190"/>
      <c r="AI180" s="190"/>
    </row>
    <row r="181" spans="1:39" ht="22.15" customHeight="1" x14ac:dyDescent="0.2">
      <c r="A181" s="109"/>
      <c r="B181" s="1459" t="s">
        <v>250</v>
      </c>
      <c r="C181" s="1625"/>
      <c r="D181" s="1625"/>
      <c r="E181" s="1465" t="s">
        <v>216</v>
      </c>
      <c r="F181" s="1465" t="s">
        <v>216</v>
      </c>
      <c r="G181" s="1465" t="s">
        <v>216</v>
      </c>
      <c r="H181" s="1465" t="s">
        <v>216</v>
      </c>
      <c r="I181" s="2003" t="s">
        <v>216</v>
      </c>
      <c r="J181" s="2003"/>
      <c r="K181" s="1465"/>
      <c r="L181" s="1465" t="s">
        <v>216</v>
      </c>
      <c r="M181" s="2004" t="s">
        <v>216</v>
      </c>
      <c r="N181" s="2004" t="s">
        <v>216</v>
      </c>
      <c r="O181" s="2004" t="s">
        <v>216</v>
      </c>
      <c r="P181" s="2004" t="s">
        <v>216</v>
      </c>
      <c r="Q181" s="2004"/>
      <c r="R181" s="2004"/>
      <c r="S181" s="2004" t="s">
        <v>216</v>
      </c>
      <c r="T181" s="2004" t="s">
        <v>216</v>
      </c>
      <c r="U181" s="2004" t="s">
        <v>216</v>
      </c>
      <c r="V181" s="2004" t="s">
        <v>216</v>
      </c>
      <c r="W181" s="2004" t="s">
        <v>216</v>
      </c>
      <c r="X181" s="1712"/>
      <c r="Y181" s="1712"/>
      <c r="Z181" s="1625" t="s">
        <v>216</v>
      </c>
      <c r="AA181" s="1625" t="s">
        <v>216</v>
      </c>
      <c r="AB181" s="1625" t="s">
        <v>216</v>
      </c>
      <c r="AC181" s="1625" t="s">
        <v>216</v>
      </c>
      <c r="AD181" s="1625" t="s">
        <v>216</v>
      </c>
      <c r="AE181" s="1625"/>
      <c r="AF181" s="1625"/>
      <c r="AG181" s="1842" t="s">
        <v>216</v>
      </c>
      <c r="AH181" s="190"/>
      <c r="AI181" s="190"/>
    </row>
    <row r="182" spans="1:39" ht="22.15" customHeight="1" x14ac:dyDescent="0.2">
      <c r="A182" s="109"/>
      <c r="B182" s="1459" t="s">
        <v>251</v>
      </c>
      <c r="C182" s="1625"/>
      <c r="D182" s="1625"/>
      <c r="E182" s="1465" t="s">
        <v>220</v>
      </c>
      <c r="F182" s="1633" t="s">
        <v>220</v>
      </c>
      <c r="G182" s="1625" t="s">
        <v>220</v>
      </c>
      <c r="H182" s="1625" t="s">
        <v>220</v>
      </c>
      <c r="I182" s="1625" t="s">
        <v>220</v>
      </c>
      <c r="J182" s="1625"/>
      <c r="K182" s="1625"/>
      <c r="L182" s="1625" t="s">
        <v>220</v>
      </c>
      <c r="M182" s="1625" t="s">
        <v>220</v>
      </c>
      <c r="N182" s="1625" t="s">
        <v>220</v>
      </c>
      <c r="O182" s="1625" t="s">
        <v>220</v>
      </c>
      <c r="P182" s="1625" t="s">
        <v>220</v>
      </c>
      <c r="Q182" s="1625"/>
      <c r="R182" s="1625"/>
      <c r="S182" s="1625" t="s">
        <v>220</v>
      </c>
      <c r="T182" s="1625" t="s">
        <v>220</v>
      </c>
      <c r="U182" s="1625" t="s">
        <v>220</v>
      </c>
      <c r="V182" s="1625" t="s">
        <v>220</v>
      </c>
      <c r="W182" s="1625" t="s">
        <v>220</v>
      </c>
      <c r="X182" s="1625"/>
      <c r="Y182" s="1625"/>
      <c r="Z182" s="1625" t="s">
        <v>220</v>
      </c>
      <c r="AA182" s="1625" t="s">
        <v>220</v>
      </c>
      <c r="AB182" s="1625" t="s">
        <v>220</v>
      </c>
      <c r="AC182" s="1625" t="s">
        <v>220</v>
      </c>
      <c r="AD182" s="1625" t="s">
        <v>220</v>
      </c>
      <c r="AE182" s="1625"/>
      <c r="AF182" s="1625"/>
      <c r="AG182" s="1842" t="s">
        <v>220</v>
      </c>
      <c r="AH182" s="190"/>
      <c r="AI182" s="190"/>
    </row>
    <row r="183" spans="1:39" ht="22.15" customHeight="1" x14ac:dyDescent="0.2">
      <c r="A183" s="109"/>
      <c r="B183" s="1459" t="s">
        <v>252</v>
      </c>
      <c r="C183" s="1625"/>
      <c r="D183" s="1636"/>
      <c r="E183" s="1636" t="s">
        <v>158</v>
      </c>
      <c r="F183" s="1633" t="s">
        <v>158</v>
      </c>
      <c r="G183" s="1636" t="s">
        <v>158</v>
      </c>
      <c r="H183" s="1636" t="s">
        <v>158</v>
      </c>
      <c r="I183" s="1625" t="s">
        <v>158</v>
      </c>
      <c r="J183" s="1625"/>
      <c r="K183" s="1501"/>
      <c r="L183" s="1625" t="s">
        <v>158</v>
      </c>
      <c r="M183" s="1625" t="s">
        <v>158</v>
      </c>
      <c r="N183" s="1625" t="s">
        <v>158</v>
      </c>
      <c r="O183" s="1625" t="s">
        <v>158</v>
      </c>
      <c r="P183" s="1625" t="s">
        <v>158</v>
      </c>
      <c r="Q183" s="1625"/>
      <c r="R183" s="1625"/>
      <c r="S183" s="1625" t="s">
        <v>158</v>
      </c>
      <c r="T183" s="1625" t="s">
        <v>158</v>
      </c>
      <c r="U183" s="1625" t="s">
        <v>158</v>
      </c>
      <c r="V183" s="1625" t="s">
        <v>158</v>
      </c>
      <c r="W183" s="1625" t="s">
        <v>158</v>
      </c>
      <c r="X183" s="1625"/>
      <c r="Y183" s="1625"/>
      <c r="Z183" s="1625" t="s">
        <v>158</v>
      </c>
      <c r="AA183" s="1625" t="s">
        <v>158</v>
      </c>
      <c r="AB183" s="1625" t="s">
        <v>158</v>
      </c>
      <c r="AC183" s="1625" t="s">
        <v>158</v>
      </c>
      <c r="AD183" s="1625" t="s">
        <v>158</v>
      </c>
      <c r="AE183" s="1625"/>
      <c r="AF183" s="1625"/>
      <c r="AG183" s="1842" t="s">
        <v>158</v>
      </c>
      <c r="AH183" s="190"/>
      <c r="AI183" s="190"/>
    </row>
    <row r="184" spans="1:39" ht="22.15" customHeight="1" x14ac:dyDescent="0.2">
      <c r="A184" s="109"/>
      <c r="B184" s="1665" t="s">
        <v>253</v>
      </c>
      <c r="C184" s="1625"/>
      <c r="D184" s="1625"/>
      <c r="E184" s="1625" t="s">
        <v>223</v>
      </c>
      <c r="F184" s="1639" t="s">
        <v>223</v>
      </c>
      <c r="G184" s="1625" t="s">
        <v>223</v>
      </c>
      <c r="H184" s="1625" t="s">
        <v>223</v>
      </c>
      <c r="I184" s="1625" t="s">
        <v>223</v>
      </c>
      <c r="J184" s="1625"/>
      <c r="K184" s="1625"/>
      <c r="L184" s="1639" t="s">
        <v>223</v>
      </c>
      <c r="M184" s="1639" t="s">
        <v>223</v>
      </c>
      <c r="N184" s="1625" t="s">
        <v>223</v>
      </c>
      <c r="O184" s="1625" t="s">
        <v>223</v>
      </c>
      <c r="P184" s="1625" t="s">
        <v>223</v>
      </c>
      <c r="Q184" s="1625"/>
      <c r="R184" s="1625"/>
      <c r="S184" s="1625" t="s">
        <v>223</v>
      </c>
      <c r="T184" s="1625" t="s">
        <v>223</v>
      </c>
      <c r="U184" s="1625" t="s">
        <v>223</v>
      </c>
      <c r="V184" s="1625" t="s">
        <v>223</v>
      </c>
      <c r="W184" s="1625" t="s">
        <v>223</v>
      </c>
      <c r="X184" s="1625"/>
      <c r="Y184" s="1625"/>
      <c r="Z184" s="1625" t="s">
        <v>223</v>
      </c>
      <c r="AA184" s="1625" t="s">
        <v>223</v>
      </c>
      <c r="AB184" s="1625" t="s">
        <v>223</v>
      </c>
      <c r="AC184" s="1625" t="s">
        <v>223</v>
      </c>
      <c r="AD184" s="1863" t="s">
        <v>223</v>
      </c>
      <c r="AE184" s="1625"/>
      <c r="AF184" s="1625"/>
      <c r="AG184" s="2005" t="s">
        <v>223</v>
      </c>
      <c r="AH184" s="190"/>
      <c r="AI184" s="190"/>
    </row>
    <row r="185" spans="1:39" ht="22.15" customHeight="1" x14ac:dyDescent="0.2">
      <c r="A185" s="109"/>
      <c r="B185" s="1330" t="s">
        <v>254</v>
      </c>
      <c r="C185" s="1625"/>
      <c r="D185" s="1625"/>
      <c r="E185" s="1625" t="s">
        <v>238</v>
      </c>
      <c r="F185" s="1625" t="s">
        <v>238</v>
      </c>
      <c r="G185" s="1625" t="s">
        <v>238</v>
      </c>
      <c r="H185" s="1625" t="s">
        <v>238</v>
      </c>
      <c r="I185" s="1625" t="s">
        <v>238</v>
      </c>
      <c r="J185" s="1625"/>
      <c r="K185" s="1625"/>
      <c r="L185" s="1625" t="s">
        <v>238</v>
      </c>
      <c r="M185" s="1625" t="s">
        <v>238</v>
      </c>
      <c r="N185" s="1625" t="s">
        <v>238</v>
      </c>
      <c r="O185" s="1625" t="s">
        <v>238</v>
      </c>
      <c r="P185" s="1625" t="s">
        <v>238</v>
      </c>
      <c r="Q185" s="1625"/>
      <c r="R185" s="1625"/>
      <c r="S185" s="1625" t="s">
        <v>228</v>
      </c>
      <c r="T185" s="1625" t="s">
        <v>228</v>
      </c>
      <c r="U185" s="1625" t="s">
        <v>228</v>
      </c>
      <c r="V185" s="1625" t="s">
        <v>228</v>
      </c>
      <c r="W185" s="1625" t="s">
        <v>228</v>
      </c>
      <c r="X185" s="1625"/>
      <c r="Y185" s="1625"/>
      <c r="Z185" s="1625" t="s">
        <v>228</v>
      </c>
      <c r="AA185" s="1625" t="s">
        <v>228</v>
      </c>
      <c r="AB185" s="1625" t="s">
        <v>228</v>
      </c>
      <c r="AC185" s="1625" t="s">
        <v>228</v>
      </c>
      <c r="AD185" s="1625" t="s">
        <v>228</v>
      </c>
      <c r="AE185" s="1625"/>
      <c r="AF185" s="1625"/>
      <c r="AG185" s="1842" t="s">
        <v>228</v>
      </c>
      <c r="AH185" s="190"/>
      <c r="AI185" s="190"/>
    </row>
    <row r="186" spans="1:39" ht="22.15" customHeight="1" x14ac:dyDescent="0.2">
      <c r="A186" s="109"/>
      <c r="B186" s="1459" t="s">
        <v>255</v>
      </c>
      <c r="C186" s="1712"/>
      <c r="D186" s="1712"/>
      <c r="E186" s="1712" t="s">
        <v>233</v>
      </c>
      <c r="F186" s="1712" t="s">
        <v>233</v>
      </c>
      <c r="G186" s="1712" t="s">
        <v>233</v>
      </c>
      <c r="H186" s="1712" t="s">
        <v>233</v>
      </c>
      <c r="I186" s="1712" t="s">
        <v>233</v>
      </c>
      <c r="J186" s="1712"/>
      <c r="K186" s="1712"/>
      <c r="L186" s="1712" t="s">
        <v>233</v>
      </c>
      <c r="M186" s="1712" t="s">
        <v>233</v>
      </c>
      <c r="N186" s="1712" t="s">
        <v>233</v>
      </c>
      <c r="O186" s="1712" t="s">
        <v>233</v>
      </c>
      <c r="P186" s="1712" t="s">
        <v>233</v>
      </c>
      <c r="Q186" s="1712"/>
      <c r="R186" s="1712"/>
      <c r="S186" s="1625" t="s">
        <v>233</v>
      </c>
      <c r="T186" s="1625" t="s">
        <v>233</v>
      </c>
      <c r="U186" s="1625" t="s">
        <v>233</v>
      </c>
      <c r="V186" s="1625" t="s">
        <v>233</v>
      </c>
      <c r="W186" s="1625" t="s">
        <v>233</v>
      </c>
      <c r="X186" s="1625"/>
      <c r="Y186" s="1625"/>
      <c r="Z186" s="1625" t="s">
        <v>233</v>
      </c>
      <c r="AA186" s="1625" t="s">
        <v>233</v>
      </c>
      <c r="AB186" s="1625" t="s">
        <v>233</v>
      </c>
      <c r="AC186" s="1625" t="s">
        <v>233</v>
      </c>
      <c r="AD186" s="1625" t="s">
        <v>233</v>
      </c>
      <c r="AE186" s="1625"/>
      <c r="AF186" s="1637"/>
      <c r="AG186" s="1842" t="s">
        <v>233</v>
      </c>
      <c r="AH186" s="190"/>
      <c r="AI186" s="190"/>
    </row>
    <row r="187" spans="1:39" ht="22.15" customHeight="1" x14ac:dyDescent="0.2">
      <c r="A187" s="109"/>
      <c r="B187" s="1715" t="s">
        <v>256</v>
      </c>
      <c r="C187" s="1625"/>
      <c r="D187" s="1625"/>
      <c r="E187" s="1625" t="s">
        <v>235</v>
      </c>
      <c r="F187" s="1625" t="s">
        <v>235</v>
      </c>
      <c r="G187" s="1625" t="s">
        <v>235</v>
      </c>
      <c r="H187" s="1625" t="s">
        <v>235</v>
      </c>
      <c r="I187" s="1625" t="s">
        <v>235</v>
      </c>
      <c r="J187" s="1625"/>
      <c r="K187" s="1625"/>
      <c r="L187" s="1625" t="s">
        <v>235</v>
      </c>
      <c r="M187" s="1625" t="s">
        <v>235</v>
      </c>
      <c r="N187" s="1625" t="s">
        <v>235</v>
      </c>
      <c r="O187" s="1625" t="s">
        <v>235</v>
      </c>
      <c r="P187" s="1625" t="s">
        <v>235</v>
      </c>
      <c r="Q187" s="1625"/>
      <c r="R187" s="1625"/>
      <c r="S187" s="1625" t="s">
        <v>235</v>
      </c>
      <c r="T187" s="1625" t="s">
        <v>235</v>
      </c>
      <c r="U187" s="1625" t="s">
        <v>235</v>
      </c>
      <c r="V187" s="1625" t="s">
        <v>235</v>
      </c>
      <c r="W187" s="1625" t="s">
        <v>235</v>
      </c>
      <c r="X187" s="1625"/>
      <c r="Y187" s="1625"/>
      <c r="Z187" s="1625" t="s">
        <v>235</v>
      </c>
      <c r="AA187" s="1625" t="s">
        <v>235</v>
      </c>
      <c r="AB187" s="1625" t="s">
        <v>235</v>
      </c>
      <c r="AC187" s="1625" t="s">
        <v>235</v>
      </c>
      <c r="AD187" s="1625" t="s">
        <v>235</v>
      </c>
      <c r="AE187" s="1625"/>
      <c r="AF187" s="1625"/>
      <c r="AG187" s="1842" t="s">
        <v>235</v>
      </c>
      <c r="AH187" s="190"/>
      <c r="AI187" s="190"/>
    </row>
    <row r="188" spans="1:39" ht="22.15" customHeight="1" x14ac:dyDescent="0.2">
      <c r="A188" s="109"/>
      <c r="B188" s="1459" t="s">
        <v>257</v>
      </c>
      <c r="C188" s="1625"/>
      <c r="D188" s="1625"/>
      <c r="E188" s="1625" t="s">
        <v>236</v>
      </c>
      <c r="F188" s="1625" t="s">
        <v>236</v>
      </c>
      <c r="G188" s="1625" t="s">
        <v>236</v>
      </c>
      <c r="H188" s="1625" t="s">
        <v>236</v>
      </c>
      <c r="I188" s="1625" t="s">
        <v>236</v>
      </c>
      <c r="J188" s="1625"/>
      <c r="K188" s="1625"/>
      <c r="L188" s="1625" t="s">
        <v>236</v>
      </c>
      <c r="M188" s="1625" t="s">
        <v>236</v>
      </c>
      <c r="N188" s="1862" t="s">
        <v>236</v>
      </c>
      <c r="O188" s="1625" t="s">
        <v>236</v>
      </c>
      <c r="P188" s="1625" t="s">
        <v>236</v>
      </c>
      <c r="Q188" s="1625"/>
      <c r="R188" s="1625"/>
      <c r="S188" s="1465" t="s">
        <v>236</v>
      </c>
      <c r="T188" s="2006" t="s">
        <v>236</v>
      </c>
      <c r="U188" s="2006" t="s">
        <v>236</v>
      </c>
      <c r="V188" s="2006" t="s">
        <v>236</v>
      </c>
      <c r="W188" s="2006" t="s">
        <v>236</v>
      </c>
      <c r="X188" s="2006"/>
      <c r="Y188" s="1465"/>
      <c r="Z188" s="1625" t="s">
        <v>236</v>
      </c>
      <c r="AA188" s="1625" t="s">
        <v>236</v>
      </c>
      <c r="AB188" s="1625" t="s">
        <v>236</v>
      </c>
      <c r="AC188" s="1625" t="s">
        <v>236</v>
      </c>
      <c r="AD188" s="1625" t="s">
        <v>236</v>
      </c>
      <c r="AE188" s="1625"/>
      <c r="AF188" s="1625"/>
      <c r="AG188" s="1842" t="s">
        <v>236</v>
      </c>
      <c r="AH188" s="190"/>
      <c r="AI188" s="190"/>
    </row>
    <row r="189" spans="1:39" ht="22.15" customHeight="1" x14ac:dyDescent="0.2">
      <c r="A189" s="109"/>
      <c r="B189" s="1459" t="s">
        <v>258</v>
      </c>
      <c r="C189" s="1712"/>
      <c r="D189" s="1712"/>
      <c r="E189" s="1712" t="s">
        <v>238</v>
      </c>
      <c r="F189" s="1712" t="s">
        <v>238</v>
      </c>
      <c r="G189" s="1712" t="s">
        <v>238</v>
      </c>
      <c r="H189" s="1712" t="s">
        <v>238</v>
      </c>
      <c r="I189" s="1712" t="s">
        <v>238</v>
      </c>
      <c r="J189" s="1712"/>
      <c r="K189" s="1712"/>
      <c r="L189" s="1712" t="s">
        <v>238</v>
      </c>
      <c r="M189" s="1712" t="s">
        <v>238</v>
      </c>
      <c r="N189" s="1712" t="s">
        <v>238</v>
      </c>
      <c r="O189" s="1712" t="s">
        <v>238</v>
      </c>
      <c r="P189" s="1712" t="s">
        <v>238</v>
      </c>
      <c r="Q189" s="1712"/>
      <c r="R189" s="1712"/>
      <c r="S189" s="1625" t="s">
        <v>238</v>
      </c>
      <c r="T189" s="1625" t="s">
        <v>238</v>
      </c>
      <c r="U189" s="1625" t="s">
        <v>238</v>
      </c>
      <c r="V189" s="1625" t="s">
        <v>238</v>
      </c>
      <c r="W189" s="1625" t="s">
        <v>238</v>
      </c>
      <c r="X189" s="1625"/>
      <c r="Y189" s="1625"/>
      <c r="Z189" s="1625" t="s">
        <v>238</v>
      </c>
      <c r="AA189" s="1625" t="s">
        <v>238</v>
      </c>
      <c r="AB189" s="1625" t="s">
        <v>238</v>
      </c>
      <c r="AC189" s="1625" t="s">
        <v>238</v>
      </c>
      <c r="AD189" s="1625" t="s">
        <v>238</v>
      </c>
      <c r="AE189" s="1625"/>
      <c r="AF189" s="1625"/>
      <c r="AG189" s="1842" t="s">
        <v>238</v>
      </c>
      <c r="AH189" s="190"/>
      <c r="AI189" s="190"/>
    </row>
    <row r="190" spans="1:39" ht="22.15" customHeight="1" x14ac:dyDescent="0.2">
      <c r="A190" s="109"/>
      <c r="B190" s="1715" t="s">
        <v>260</v>
      </c>
      <c r="C190" s="1625"/>
      <c r="D190" s="1625"/>
      <c r="E190" s="1625" t="s">
        <v>80</v>
      </c>
      <c r="F190" s="1625" t="s">
        <v>80</v>
      </c>
      <c r="G190" s="1625" t="s">
        <v>80</v>
      </c>
      <c r="H190" s="1625" t="s">
        <v>80</v>
      </c>
      <c r="I190" s="2007" t="s">
        <v>80</v>
      </c>
      <c r="J190" s="1625"/>
      <c r="K190" s="1625"/>
      <c r="L190" s="1625" t="s">
        <v>80</v>
      </c>
      <c r="M190" s="1625" t="s">
        <v>80</v>
      </c>
      <c r="N190" s="1625" t="s">
        <v>80</v>
      </c>
      <c r="O190" s="1625" t="s">
        <v>80</v>
      </c>
      <c r="P190" s="1625" t="s">
        <v>80</v>
      </c>
      <c r="Q190" s="1625"/>
      <c r="R190" s="1625"/>
      <c r="S190" s="1636" t="s">
        <v>80</v>
      </c>
      <c r="T190" s="1612" t="s">
        <v>80</v>
      </c>
      <c r="U190" s="1612" t="s">
        <v>80</v>
      </c>
      <c r="V190" s="1612" t="s">
        <v>80</v>
      </c>
      <c r="W190" s="1625" t="s">
        <v>80</v>
      </c>
      <c r="X190" s="1625"/>
      <c r="Y190" s="1625"/>
      <c r="Z190" s="1625" t="s">
        <v>80</v>
      </c>
      <c r="AA190" s="1625" t="s">
        <v>80</v>
      </c>
      <c r="AB190" s="1625" t="s">
        <v>80</v>
      </c>
      <c r="AC190" s="1625" t="s">
        <v>80</v>
      </c>
      <c r="AD190" s="1625" t="s">
        <v>80</v>
      </c>
      <c r="AE190" s="1628"/>
      <c r="AF190" s="1625"/>
      <c r="AG190" s="1842" t="s">
        <v>80</v>
      </c>
      <c r="AH190" s="190"/>
      <c r="AI190" s="190"/>
    </row>
    <row r="191" spans="1:39" ht="22.15" customHeight="1" x14ac:dyDescent="0.2">
      <c r="A191" s="109"/>
      <c r="B191" s="1459" t="s">
        <v>261</v>
      </c>
      <c r="C191" s="1625"/>
      <c r="D191" s="1625"/>
      <c r="E191" s="1625" t="s">
        <v>132</v>
      </c>
      <c r="F191" s="1625" t="s">
        <v>132</v>
      </c>
      <c r="G191" s="1625" t="s">
        <v>132</v>
      </c>
      <c r="H191" s="1625" t="s">
        <v>132</v>
      </c>
      <c r="I191" s="1625" t="s">
        <v>132</v>
      </c>
      <c r="J191" s="1625"/>
      <c r="K191" s="1625"/>
      <c r="L191" s="1625" t="s">
        <v>132</v>
      </c>
      <c r="M191" s="1625" t="s">
        <v>132</v>
      </c>
      <c r="N191" s="1625" t="s">
        <v>132</v>
      </c>
      <c r="O191" s="1625" t="s">
        <v>132</v>
      </c>
      <c r="P191" s="1625" t="s">
        <v>132</v>
      </c>
      <c r="Q191" s="1625"/>
      <c r="R191" s="1625"/>
      <c r="S191" s="1712" t="s">
        <v>132</v>
      </c>
      <c r="T191" s="1712" t="s">
        <v>132</v>
      </c>
      <c r="U191" s="1712" t="s">
        <v>132</v>
      </c>
      <c r="V191" s="1712" t="s">
        <v>132</v>
      </c>
      <c r="W191" s="1712" t="s">
        <v>132</v>
      </c>
      <c r="X191" s="1712"/>
      <c r="Y191" s="1712"/>
      <c r="Z191" s="1712" t="s">
        <v>132</v>
      </c>
      <c r="AA191" s="1712" t="s">
        <v>132</v>
      </c>
      <c r="AB191" s="1712" t="s">
        <v>132</v>
      </c>
      <c r="AC191" s="1712" t="s">
        <v>132</v>
      </c>
      <c r="AD191" s="1712" t="s">
        <v>132</v>
      </c>
      <c r="AE191" s="1712"/>
      <c r="AF191" s="1712"/>
      <c r="AG191" s="1713" t="s">
        <v>132</v>
      </c>
      <c r="AH191" s="190"/>
      <c r="AI191" s="190"/>
    </row>
    <row r="192" spans="1:39" ht="22.15" customHeight="1" x14ac:dyDescent="0.2">
      <c r="A192" s="109"/>
      <c r="B192" s="1715" t="s">
        <v>355</v>
      </c>
      <c r="C192" s="1625"/>
      <c r="D192" s="1625"/>
      <c r="E192" s="1625" t="s">
        <v>243</v>
      </c>
      <c r="F192" s="1625" t="s">
        <v>243</v>
      </c>
      <c r="G192" s="1625" t="s">
        <v>243</v>
      </c>
      <c r="H192" s="1625" t="s">
        <v>243</v>
      </c>
      <c r="I192" s="1625" t="s">
        <v>243</v>
      </c>
      <c r="J192" s="1625"/>
      <c r="K192" s="1625"/>
      <c r="L192" s="1625" t="s">
        <v>243</v>
      </c>
      <c r="M192" s="1712" t="s">
        <v>243</v>
      </c>
      <c r="N192" s="1625" t="s">
        <v>243</v>
      </c>
      <c r="O192" s="1623" t="s">
        <v>243</v>
      </c>
      <c r="P192" s="1623" t="s">
        <v>243</v>
      </c>
      <c r="S192" s="1460" t="s">
        <v>243</v>
      </c>
      <c r="T192" s="1460" t="s">
        <v>379</v>
      </c>
      <c r="U192" s="1625" t="s">
        <v>243</v>
      </c>
      <c r="V192" s="1625" t="s">
        <v>243</v>
      </c>
      <c r="W192" s="1625" t="s">
        <v>243</v>
      </c>
      <c r="X192" s="1625"/>
      <c r="Y192" s="1625"/>
      <c r="Z192" s="1465" t="s">
        <v>243</v>
      </c>
      <c r="AA192" s="1465" t="s">
        <v>243</v>
      </c>
      <c r="AB192" s="1460" t="s">
        <v>243</v>
      </c>
      <c r="AC192" s="1460" t="s">
        <v>243</v>
      </c>
      <c r="AD192" s="1460" t="s">
        <v>243</v>
      </c>
      <c r="AE192" s="1625"/>
      <c r="AF192" s="1625"/>
      <c r="AG192" s="2008" t="s">
        <v>243</v>
      </c>
      <c r="AH192" s="190"/>
      <c r="AI192" s="190"/>
    </row>
    <row r="193" spans="1:35" ht="22.15" customHeight="1" x14ac:dyDescent="0.2">
      <c r="A193" s="109"/>
      <c r="B193" s="1715" t="s">
        <v>263</v>
      </c>
      <c r="C193" s="1625"/>
      <c r="D193" s="1625"/>
      <c r="E193" s="1465" t="s">
        <v>246</v>
      </c>
      <c r="F193" s="1465" t="s">
        <v>246</v>
      </c>
      <c r="G193" s="1465" t="s">
        <v>246</v>
      </c>
      <c r="H193" s="1465" t="s">
        <v>246</v>
      </c>
      <c r="I193" s="1465" t="s">
        <v>246</v>
      </c>
      <c r="J193" s="1465"/>
      <c r="K193" s="1465"/>
      <c r="L193" s="1465" t="s">
        <v>246</v>
      </c>
      <c r="M193" s="1465" t="s">
        <v>246</v>
      </c>
      <c r="N193" s="1465" t="s">
        <v>246</v>
      </c>
      <c r="O193" s="1465" t="s">
        <v>246</v>
      </c>
      <c r="P193" s="1465" t="s">
        <v>246</v>
      </c>
      <c r="Q193" s="1465"/>
      <c r="R193" s="1465"/>
      <c r="S193" s="1625" t="s">
        <v>246</v>
      </c>
      <c r="T193" s="1625" t="s">
        <v>246</v>
      </c>
      <c r="U193" s="1625" t="s">
        <v>246</v>
      </c>
      <c r="V193" s="1460" t="s">
        <v>366</v>
      </c>
      <c r="W193" s="1734" t="s">
        <v>246</v>
      </c>
      <c r="X193" s="1625"/>
      <c r="Y193" s="1625"/>
      <c r="Z193" s="1465" t="s">
        <v>246</v>
      </c>
      <c r="AA193" s="1957" t="s">
        <v>246</v>
      </c>
      <c r="AB193" s="1957" t="s">
        <v>246</v>
      </c>
      <c r="AC193" s="1465" t="s">
        <v>246</v>
      </c>
      <c r="AD193" s="1465" t="s">
        <v>246</v>
      </c>
      <c r="AE193" s="1465"/>
      <c r="AF193" s="1465"/>
      <c r="AG193" s="1842" t="s">
        <v>246</v>
      </c>
      <c r="AH193" s="107"/>
      <c r="AI193" s="107"/>
    </row>
    <row r="194" spans="1:35" ht="21" customHeight="1" thickBot="1" x14ac:dyDescent="0.25">
      <c r="A194" s="148"/>
      <c r="B194" s="692" t="s">
        <v>264</v>
      </c>
      <c r="C194" s="706"/>
      <c r="D194" s="706"/>
      <c r="E194" s="706" t="s">
        <v>248</v>
      </c>
      <c r="F194" s="706" t="s">
        <v>248</v>
      </c>
      <c r="G194" s="706" t="s">
        <v>248</v>
      </c>
      <c r="H194" s="706" t="s">
        <v>248</v>
      </c>
      <c r="I194" s="706" t="s">
        <v>248</v>
      </c>
      <c r="J194" s="706"/>
      <c r="K194" s="706"/>
      <c r="L194" s="706" t="s">
        <v>248</v>
      </c>
      <c r="M194" s="706" t="s">
        <v>248</v>
      </c>
      <c r="N194" s="706" t="s">
        <v>248</v>
      </c>
      <c r="O194" s="706" t="s">
        <v>248</v>
      </c>
      <c r="P194" s="706" t="s">
        <v>248</v>
      </c>
      <c r="Q194" s="706"/>
      <c r="R194" s="706"/>
      <c r="S194" s="696" t="s">
        <v>248</v>
      </c>
      <c r="T194" s="696" t="s">
        <v>248</v>
      </c>
      <c r="U194" s="696" t="s">
        <v>248</v>
      </c>
      <c r="V194" s="696" t="s">
        <v>248</v>
      </c>
      <c r="W194" s="696" t="s">
        <v>248</v>
      </c>
      <c r="X194" s="696"/>
      <c r="Y194" s="696"/>
      <c r="Z194" s="696" t="s">
        <v>248</v>
      </c>
      <c r="AA194" s="696" t="s">
        <v>248</v>
      </c>
      <c r="AB194" s="696" t="s">
        <v>248</v>
      </c>
      <c r="AC194" s="696" t="s">
        <v>248</v>
      </c>
      <c r="AD194" s="696" t="s">
        <v>248</v>
      </c>
      <c r="AE194" s="696"/>
      <c r="AF194" s="696"/>
      <c r="AG194" s="217" t="s">
        <v>248</v>
      </c>
      <c r="AH194" s="115"/>
    </row>
    <row r="195" spans="1:35" ht="21" customHeight="1" x14ac:dyDescent="0.2">
      <c r="A195" s="148"/>
      <c r="B195" s="257"/>
      <c r="C195" s="255"/>
      <c r="D195" s="255"/>
      <c r="E195" s="255"/>
      <c r="F195" s="255"/>
      <c r="G195" s="255"/>
      <c r="H195" s="255"/>
      <c r="I195" s="261"/>
      <c r="J195" s="261"/>
      <c r="K195" s="255"/>
      <c r="L195" s="255"/>
      <c r="M195" s="261"/>
      <c r="N195" s="229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255"/>
      <c r="AC195" s="255"/>
      <c r="AD195" s="255"/>
      <c r="AE195" s="255"/>
      <c r="AF195" s="255"/>
      <c r="AG195" s="255"/>
      <c r="AH195" s="115"/>
    </row>
    <row r="196" spans="1:35" ht="22.15" customHeight="1" x14ac:dyDescent="0.2"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</row>
    <row r="197" spans="1:35" ht="22.15" customHeight="1" thickBot="1" x14ac:dyDescent="0.25">
      <c r="A197" s="1" t="s">
        <v>266</v>
      </c>
      <c r="B197" s="59"/>
    </row>
    <row r="198" spans="1:35" ht="22.15" customHeight="1" x14ac:dyDescent="0.2">
      <c r="A198" s="1"/>
      <c r="B198" s="1466" t="s">
        <v>267</v>
      </c>
      <c r="C198" s="525" t="s">
        <v>90</v>
      </c>
      <c r="D198" s="525"/>
      <c r="E198" s="525"/>
      <c r="F198" s="525"/>
      <c r="G198" s="526" t="s">
        <v>91</v>
      </c>
      <c r="H198" s="525"/>
      <c r="I198" s="525"/>
      <c r="J198" s="525"/>
      <c r="K198" s="526" t="s">
        <v>92</v>
      </c>
      <c r="L198" s="525"/>
      <c r="M198" s="525"/>
      <c r="N198" s="525"/>
      <c r="O198" s="526" t="s">
        <v>93</v>
      </c>
      <c r="P198" s="525"/>
      <c r="Q198" s="525"/>
      <c r="R198" s="525"/>
      <c r="S198" s="526" t="s">
        <v>94</v>
      </c>
      <c r="T198" s="525"/>
      <c r="U198" s="525"/>
      <c r="V198" s="525"/>
      <c r="W198" s="527" t="s">
        <v>95</v>
      </c>
      <c r="X198" s="473"/>
      <c r="Y198" s="525"/>
      <c r="Z198" s="528"/>
      <c r="AA198" s="527" t="s">
        <v>96</v>
      </c>
      <c r="AB198" s="473"/>
      <c r="AC198" s="525"/>
      <c r="AD198" s="528"/>
      <c r="AE198" s="529" t="s">
        <v>97</v>
      </c>
      <c r="AF198" s="525"/>
      <c r="AG198" s="525"/>
      <c r="AH198" s="525"/>
      <c r="AI198" s="474"/>
    </row>
    <row r="199" spans="1:35" ht="22.15" customHeight="1" x14ac:dyDescent="0.2">
      <c r="A199" s="1"/>
      <c r="B199" s="1467">
        <v>3701</v>
      </c>
      <c r="C199" s="110" t="s">
        <v>268</v>
      </c>
      <c r="D199" s="110"/>
      <c r="E199" s="110"/>
      <c r="F199" s="110"/>
      <c r="G199" s="2009" t="s">
        <v>269</v>
      </c>
      <c r="H199" s="110"/>
      <c r="I199" s="110"/>
      <c r="J199" s="110"/>
      <c r="K199" s="2009" t="s">
        <v>269</v>
      </c>
      <c r="L199" s="110"/>
      <c r="M199" s="110"/>
      <c r="N199" s="110"/>
      <c r="O199" s="2009" t="s">
        <v>269</v>
      </c>
      <c r="P199" s="110"/>
      <c r="Q199" s="110"/>
      <c r="R199" s="110"/>
      <c r="S199" s="2009" t="s">
        <v>270</v>
      </c>
      <c r="T199" s="110"/>
      <c r="U199" s="110"/>
      <c r="V199" s="110"/>
      <c r="W199" s="1865"/>
      <c r="X199" s="1866"/>
      <c r="Y199" s="1235"/>
      <c r="Z199" s="1867"/>
      <c r="AA199" s="1865"/>
      <c r="AB199" s="1866"/>
      <c r="AC199" s="1235"/>
      <c r="AD199" s="1867"/>
      <c r="AE199" s="1391"/>
      <c r="AF199" s="1235"/>
      <c r="AG199" s="1235"/>
      <c r="AH199" s="1235"/>
      <c r="AI199" s="1176"/>
    </row>
    <row r="200" spans="1:35" ht="22.15" customHeight="1" x14ac:dyDescent="0.2">
      <c r="A200" s="2010"/>
      <c r="B200" s="1466"/>
      <c r="C200" s="2011"/>
      <c r="D200" s="1474"/>
      <c r="E200" s="1474"/>
      <c r="F200" s="1868"/>
      <c r="G200" s="2011"/>
      <c r="H200" s="1474"/>
      <c r="I200" s="1474"/>
      <c r="J200" s="1868"/>
      <c r="K200" s="2011"/>
      <c r="L200" s="1474"/>
      <c r="M200" s="1474"/>
      <c r="N200" s="1868"/>
      <c r="O200" s="2011"/>
      <c r="P200" s="1474"/>
      <c r="Q200" s="1474"/>
      <c r="R200" s="1868"/>
      <c r="S200" s="2011"/>
      <c r="T200" s="1474"/>
      <c r="U200" s="1474"/>
      <c r="V200" s="1474"/>
      <c r="W200" s="1865"/>
      <c r="X200" s="1866"/>
      <c r="Y200" s="1235"/>
      <c r="Z200" s="1867"/>
      <c r="AA200" s="1865"/>
      <c r="AB200" s="1866"/>
      <c r="AC200" s="1235"/>
      <c r="AD200" s="1867"/>
      <c r="AE200" s="1391"/>
      <c r="AF200" s="1235"/>
      <c r="AG200" s="1235"/>
      <c r="AH200" s="1235"/>
      <c r="AI200" s="1176"/>
    </row>
    <row r="201" spans="1:35" ht="22.15" customHeight="1" x14ac:dyDescent="0.2">
      <c r="A201" s="2010"/>
      <c r="B201" s="1466"/>
      <c r="C201" s="2011"/>
      <c r="D201" s="1474"/>
      <c r="E201" s="1474"/>
      <c r="F201" s="1868"/>
      <c r="G201" s="2011"/>
      <c r="H201" s="1474"/>
      <c r="I201" s="1474"/>
      <c r="J201" s="1868"/>
      <c r="K201" s="2011"/>
      <c r="L201" s="1474"/>
      <c r="M201" s="1474"/>
      <c r="N201" s="1868"/>
      <c r="O201" s="2011"/>
      <c r="P201" s="1474"/>
      <c r="Q201" s="1474"/>
      <c r="R201" s="1868"/>
      <c r="S201" s="2011"/>
      <c r="T201" s="1474"/>
      <c r="U201" s="1474"/>
      <c r="V201" s="1474"/>
      <c r="W201" s="1865"/>
      <c r="X201" s="1866"/>
      <c r="Y201" s="1235"/>
      <c r="Z201" s="1867"/>
      <c r="AA201" s="1865"/>
      <c r="AB201" s="1866"/>
      <c r="AC201" s="1235"/>
      <c r="AD201" s="1867"/>
      <c r="AE201" s="1391"/>
      <c r="AF201" s="1235"/>
      <c r="AG201" s="1235"/>
      <c r="AH201" s="1235"/>
      <c r="AI201" s="1176"/>
    </row>
    <row r="202" spans="1:35" ht="22.15" customHeight="1" thickBot="1" x14ac:dyDescent="0.25">
      <c r="A202" s="2012"/>
      <c r="B202" s="2013"/>
      <c r="C202" s="1869"/>
      <c r="D202" s="1870"/>
      <c r="E202" s="1870"/>
      <c r="F202" s="1871"/>
      <c r="G202" s="1869"/>
      <c r="H202" s="1870"/>
      <c r="I202" s="1870"/>
      <c r="J202" s="1871"/>
      <c r="K202" s="1869"/>
      <c r="L202" s="1870"/>
      <c r="M202" s="1870"/>
      <c r="N202" s="1871"/>
      <c r="O202" s="1869"/>
      <c r="P202" s="1870"/>
      <c r="Q202" s="1870"/>
      <c r="R202" s="1871"/>
      <c r="S202" s="1869"/>
      <c r="T202" s="1870"/>
      <c r="U202" s="1870"/>
      <c r="V202" s="1870"/>
      <c r="W202" s="1872"/>
      <c r="X202" s="1873"/>
      <c r="Y202" s="1874"/>
      <c r="Z202" s="1875"/>
      <c r="AA202" s="1872"/>
      <c r="AB202" s="1873"/>
      <c r="AC202" s="1874"/>
      <c r="AD202" s="1875"/>
      <c r="AE202" s="1404"/>
      <c r="AF202" s="1242"/>
      <c r="AG202" s="1242"/>
      <c r="AH202" s="1242"/>
      <c r="AI202" s="1245"/>
    </row>
    <row r="203" spans="1:35" ht="22.15" customHeight="1" x14ac:dyDescent="0.2">
      <c r="AG203" s="110"/>
      <c r="AH203" s="110"/>
    </row>
    <row r="204" spans="1:35" ht="22.15" customHeight="1" x14ac:dyDescent="0.2">
      <c r="B204" s="1466">
        <v>3700</v>
      </c>
      <c r="C204" s="1235" t="s">
        <v>162</v>
      </c>
      <c r="D204" s="1235"/>
      <c r="E204" s="1235"/>
      <c r="F204" s="1235"/>
      <c r="G204" s="1876" t="s">
        <v>162</v>
      </c>
      <c r="H204" s="1235"/>
      <c r="I204" s="1235"/>
      <c r="J204" s="1235"/>
      <c r="K204" s="1876" t="s">
        <v>162</v>
      </c>
      <c r="L204" s="1235"/>
      <c r="M204" s="1235"/>
      <c r="N204" s="1235"/>
      <c r="O204" s="1876" t="s">
        <v>162</v>
      </c>
      <c r="P204" s="1235"/>
      <c r="Q204" s="1235"/>
      <c r="R204" s="1235"/>
      <c r="S204" s="1876" t="s">
        <v>163</v>
      </c>
      <c r="T204" s="1235"/>
      <c r="U204" s="1235"/>
      <c r="V204" s="1235"/>
      <c r="W204" s="1235"/>
      <c r="X204" s="1876"/>
      <c r="Y204" s="1235"/>
      <c r="Z204" s="1393"/>
      <c r="AA204" s="1391"/>
      <c r="AB204" s="1235"/>
      <c r="AC204" s="1235"/>
      <c r="AD204" s="1284"/>
      <c r="AE204" s="1877"/>
      <c r="AF204" s="1235"/>
      <c r="AG204" s="1235"/>
      <c r="AH204" s="1284"/>
      <c r="AI204" s="1176"/>
    </row>
    <row r="205" spans="1:35" ht="22.15" customHeight="1" x14ac:dyDescent="0.2">
      <c r="A205" s="1"/>
      <c r="B205" s="1466">
        <v>8514</v>
      </c>
      <c r="C205" s="1235" t="s">
        <v>269</v>
      </c>
      <c r="D205" s="1235"/>
      <c r="E205" s="1235"/>
      <c r="F205" s="1235"/>
      <c r="G205" s="1876" t="s">
        <v>269</v>
      </c>
      <c r="H205" s="1235"/>
      <c r="I205" s="1235"/>
      <c r="J205" s="1235"/>
      <c r="K205" s="1876" t="s">
        <v>269</v>
      </c>
      <c r="L205" s="1235"/>
      <c r="M205" s="1235"/>
      <c r="N205" s="1235"/>
      <c r="O205" s="1876" t="s">
        <v>269</v>
      </c>
      <c r="P205" s="1235"/>
      <c r="Q205" s="1235"/>
      <c r="R205" s="1235"/>
      <c r="S205" s="1876" t="s">
        <v>271</v>
      </c>
      <c r="T205" s="1235"/>
      <c r="U205" s="1235"/>
      <c r="V205" s="1235"/>
      <c r="W205" s="1235"/>
      <c r="X205" s="1876"/>
      <c r="Y205" s="1235"/>
      <c r="Z205" s="1393"/>
      <c r="AA205" s="1283"/>
      <c r="AB205" s="1235"/>
      <c r="AC205" s="1235"/>
      <c r="AD205" s="1284"/>
      <c r="AE205" s="1283"/>
      <c r="AF205" s="1235"/>
      <c r="AG205" s="1235"/>
      <c r="AH205" s="1284"/>
      <c r="AI205" s="1176"/>
    </row>
    <row r="206" spans="1:35" ht="22.15" customHeight="1" x14ac:dyDescent="0.2">
      <c r="A206" s="1"/>
      <c r="B206" s="1466">
        <v>8500</v>
      </c>
      <c r="C206" s="166" t="s">
        <v>272</v>
      </c>
      <c r="D206" s="166"/>
      <c r="E206" s="166"/>
      <c r="F206" s="166"/>
      <c r="G206" s="167" t="s">
        <v>272</v>
      </c>
      <c r="H206" s="166"/>
      <c r="I206" s="166"/>
      <c r="J206" s="166"/>
      <c r="K206" s="167" t="s">
        <v>272</v>
      </c>
      <c r="L206" s="166"/>
      <c r="M206" s="166"/>
      <c r="N206" s="166"/>
      <c r="O206" s="167" t="s">
        <v>272</v>
      </c>
      <c r="P206" s="166"/>
      <c r="Q206" s="166"/>
      <c r="R206" s="166"/>
      <c r="S206" s="167" t="s">
        <v>273</v>
      </c>
      <c r="T206" s="166"/>
      <c r="U206" s="166"/>
      <c r="V206" s="166"/>
      <c r="W206" s="166"/>
      <c r="X206" s="167"/>
      <c r="Y206" s="166"/>
      <c r="Z206" s="121"/>
      <c r="AA206" s="120"/>
      <c r="AB206" s="166"/>
      <c r="AC206" s="166"/>
      <c r="AD206" s="121"/>
      <c r="AE206" s="120"/>
      <c r="AF206" s="166"/>
      <c r="AG206" s="166"/>
      <c r="AH206" s="113"/>
      <c r="AI206" s="119"/>
    </row>
    <row r="207" spans="1:35" ht="22.15" customHeight="1" x14ac:dyDescent="0.2">
      <c r="A207" s="1"/>
      <c r="B207" s="1466">
        <v>8514</v>
      </c>
      <c r="C207" s="169" t="s">
        <v>269</v>
      </c>
      <c r="D207" s="169"/>
      <c r="E207" s="169"/>
      <c r="F207" s="169"/>
      <c r="G207" s="170" t="s">
        <v>269</v>
      </c>
      <c r="H207" s="169"/>
      <c r="I207" s="169"/>
      <c r="J207" s="169"/>
      <c r="K207" s="170" t="s">
        <v>269</v>
      </c>
      <c r="L207" s="169"/>
      <c r="M207" s="169"/>
      <c r="N207" s="169"/>
      <c r="O207" s="170" t="s">
        <v>269</v>
      </c>
      <c r="P207" s="169"/>
      <c r="Q207" s="169"/>
      <c r="R207" s="169"/>
      <c r="S207" s="170" t="s">
        <v>271</v>
      </c>
      <c r="T207" s="169"/>
      <c r="U207" s="169"/>
      <c r="V207" s="169"/>
      <c r="W207" s="169"/>
      <c r="X207" s="149"/>
      <c r="Y207" s="166"/>
      <c r="Z207" s="168"/>
      <c r="AA207" s="156"/>
      <c r="AB207" s="117"/>
      <c r="AC207" s="166"/>
      <c r="AD207" s="166"/>
      <c r="AE207" s="118"/>
      <c r="AF207" s="166"/>
      <c r="AG207" s="166"/>
      <c r="AH207" s="166"/>
      <c r="AI207" s="119"/>
    </row>
    <row r="208" spans="1:35" ht="22.15" customHeight="1" thickBot="1" x14ac:dyDescent="0.25">
      <c r="A208" s="1"/>
      <c r="B208" s="2014" t="s">
        <v>274</v>
      </c>
      <c r="C208" s="1242" t="s">
        <v>275</v>
      </c>
      <c r="D208" s="1242"/>
      <c r="E208" s="1242"/>
      <c r="F208" s="1242"/>
      <c r="G208" s="1067" t="s">
        <v>275</v>
      </c>
      <c r="H208" s="1242"/>
      <c r="I208" s="1242"/>
      <c r="J208" s="1242"/>
      <c r="K208" s="1879" t="s">
        <v>275</v>
      </c>
      <c r="L208" s="1242"/>
      <c r="M208" s="1242"/>
      <c r="N208" s="1242"/>
      <c r="O208" s="1067" t="s">
        <v>275</v>
      </c>
      <c r="P208" s="1242"/>
      <c r="Q208" s="1242"/>
      <c r="R208" s="1242"/>
      <c r="S208" s="1067" t="s">
        <v>276</v>
      </c>
      <c r="T208" s="1242"/>
      <c r="U208" s="1242"/>
      <c r="V208" s="1242"/>
      <c r="W208" s="1242"/>
      <c r="X208" s="1067"/>
      <c r="Y208" s="1242"/>
      <c r="Z208" s="1425"/>
      <c r="AA208" s="1404"/>
      <c r="AB208" s="1242"/>
      <c r="AC208" s="1242"/>
      <c r="AD208" s="1411"/>
      <c r="AE208" s="1880"/>
      <c r="AF208" s="1242"/>
      <c r="AG208" s="1242"/>
      <c r="AH208" s="1411"/>
      <c r="AI208" s="1245"/>
    </row>
    <row r="209" spans="1:35" ht="22.1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15" customHeight="1" x14ac:dyDescent="0.2">
      <c r="A210" s="1" t="s">
        <v>277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15" customHeight="1" thickBot="1" x14ac:dyDescent="0.25">
      <c r="A211" s="1343"/>
      <c r="B211" s="1247" t="s">
        <v>29</v>
      </c>
      <c r="C211" s="1185">
        <v>1</v>
      </c>
      <c r="D211" s="1185">
        <v>2</v>
      </c>
      <c r="E211" s="1186">
        <v>3</v>
      </c>
      <c r="F211" s="1186">
        <v>4</v>
      </c>
      <c r="G211" s="1186">
        <v>5</v>
      </c>
      <c r="H211" s="1186">
        <v>6</v>
      </c>
      <c r="I211" s="1186">
        <v>7</v>
      </c>
      <c r="J211" s="1185">
        <v>8</v>
      </c>
      <c r="K211" s="1185">
        <v>9</v>
      </c>
      <c r="L211" s="1186">
        <v>10</v>
      </c>
      <c r="M211" s="1186">
        <v>11</v>
      </c>
      <c r="N211" s="1186">
        <v>12</v>
      </c>
      <c r="O211" s="1186">
        <v>13</v>
      </c>
      <c r="P211" s="1186">
        <v>14</v>
      </c>
      <c r="Q211" s="1185">
        <v>15</v>
      </c>
      <c r="R211" s="1185">
        <v>16</v>
      </c>
      <c r="S211" s="1186">
        <v>17</v>
      </c>
      <c r="T211" s="1186">
        <v>18</v>
      </c>
      <c r="U211" s="1186">
        <v>19</v>
      </c>
      <c r="V211" s="1186">
        <v>20</v>
      </c>
      <c r="W211" s="1186">
        <v>21</v>
      </c>
      <c r="X211" s="1185">
        <v>22</v>
      </c>
      <c r="Y211" s="1185">
        <v>23</v>
      </c>
      <c r="Z211" s="1186">
        <v>24</v>
      </c>
      <c r="AA211" s="1186">
        <v>25</v>
      </c>
      <c r="AB211" s="1186">
        <v>26</v>
      </c>
      <c r="AC211" s="1186">
        <v>27</v>
      </c>
      <c r="AD211" s="1186">
        <v>28</v>
      </c>
      <c r="AE211" s="1185">
        <v>29</v>
      </c>
      <c r="AF211" s="1185">
        <v>30</v>
      </c>
      <c r="AG211" s="1931">
        <v>31</v>
      </c>
      <c r="AH211" s="184"/>
      <c r="AI211" s="185"/>
    </row>
    <row r="212" spans="1:35" ht="22.15" customHeight="1" x14ac:dyDescent="0.2">
      <c r="A212" s="305"/>
      <c r="B212" s="306" t="s">
        <v>278</v>
      </c>
      <c r="C212" s="1712"/>
      <c r="D212" s="1712"/>
      <c r="E212" s="1712" t="s">
        <v>31</v>
      </c>
      <c r="F212" s="1712" t="s">
        <v>31</v>
      </c>
      <c r="G212" s="1712" t="s">
        <v>31</v>
      </c>
      <c r="H212" s="1712" t="s">
        <v>31</v>
      </c>
      <c r="I212" s="1712" t="s">
        <v>31</v>
      </c>
      <c r="J212" s="1712"/>
      <c r="K212" s="1712"/>
      <c r="L212" s="1712" t="s">
        <v>31</v>
      </c>
      <c r="M212" s="1712" t="s">
        <v>31</v>
      </c>
      <c r="N212" s="1712" t="s">
        <v>31</v>
      </c>
      <c r="O212" s="1712" t="s">
        <v>31</v>
      </c>
      <c r="P212" s="1712" t="s">
        <v>31</v>
      </c>
      <c r="Q212" s="1712"/>
      <c r="R212" s="1712"/>
      <c r="S212" s="1629" t="s">
        <v>31</v>
      </c>
      <c r="T212" s="1629" t="s">
        <v>31</v>
      </c>
      <c r="U212" s="1629" t="s">
        <v>31</v>
      </c>
      <c r="V212" s="1629" t="s">
        <v>31</v>
      </c>
      <c r="W212" s="1629" t="s">
        <v>31</v>
      </c>
      <c r="X212" s="1629"/>
      <c r="Y212" s="1628"/>
      <c r="Z212" s="1628" t="s">
        <v>31</v>
      </c>
      <c r="AA212" s="1628" t="s">
        <v>31</v>
      </c>
      <c r="AB212" s="1629" t="s">
        <v>31</v>
      </c>
      <c r="AC212" s="1629" t="s">
        <v>31</v>
      </c>
      <c r="AD212" s="1629" t="s">
        <v>31</v>
      </c>
      <c r="AE212" s="1629"/>
      <c r="AF212" s="1629"/>
      <c r="AG212" s="274" t="s">
        <v>31</v>
      </c>
      <c r="AH212" s="184"/>
      <c r="AI212" s="185"/>
    </row>
    <row r="213" spans="1:35" ht="22.15" customHeight="1" x14ac:dyDescent="0.2">
      <c r="A213" s="1488"/>
      <c r="B213" s="1489" t="s">
        <v>279</v>
      </c>
      <c r="C213" s="1629"/>
      <c r="D213" s="1629"/>
      <c r="E213" s="1629" t="s">
        <v>31</v>
      </c>
      <c r="F213" s="1636" t="s">
        <v>31</v>
      </c>
      <c r="G213" s="1636" t="s">
        <v>31</v>
      </c>
      <c r="H213" s="1629" t="s">
        <v>31</v>
      </c>
      <c r="I213" s="1629" t="s">
        <v>31</v>
      </c>
      <c r="J213" s="1629"/>
      <c r="K213" s="1629"/>
      <c r="L213" s="1629" t="s">
        <v>31</v>
      </c>
      <c r="M213" s="1629" t="s">
        <v>31</v>
      </c>
      <c r="N213" s="1612" t="s">
        <v>31</v>
      </c>
      <c r="O213" s="1629" t="s">
        <v>31</v>
      </c>
      <c r="P213" s="1629" t="s">
        <v>31</v>
      </c>
      <c r="Q213" s="1629"/>
      <c r="R213" s="1629"/>
      <c r="S213" s="1629" t="s">
        <v>31</v>
      </c>
      <c r="T213" s="1629" t="s">
        <v>31</v>
      </c>
      <c r="U213" s="1629" t="s">
        <v>31</v>
      </c>
      <c r="V213" s="1629" t="s">
        <v>31</v>
      </c>
      <c r="W213" s="1629" t="s">
        <v>31</v>
      </c>
      <c r="X213" s="1629"/>
      <c r="Y213" s="1628"/>
      <c r="Z213" s="1628" t="s">
        <v>31</v>
      </c>
      <c r="AA213" s="1628" t="s">
        <v>31</v>
      </c>
      <c r="AB213" s="1629" t="s">
        <v>31</v>
      </c>
      <c r="AC213" s="1629" t="s">
        <v>31</v>
      </c>
      <c r="AD213" s="1629" t="s">
        <v>31</v>
      </c>
      <c r="AE213" s="1629"/>
      <c r="AF213" s="1629"/>
      <c r="AG213" s="1490" t="s">
        <v>31</v>
      </c>
      <c r="AH213" s="184"/>
      <c r="AI213" s="185"/>
    </row>
    <row r="214" spans="1:35" ht="22.15" customHeight="1" x14ac:dyDescent="0.2">
      <c r="A214" s="1491">
        <v>8514</v>
      </c>
      <c r="B214" s="1665" t="s">
        <v>280</v>
      </c>
      <c r="C214" s="1629"/>
      <c r="D214" s="1629"/>
      <c r="E214" s="1629" t="s">
        <v>31</v>
      </c>
      <c r="F214" s="1636" t="s">
        <v>31</v>
      </c>
      <c r="G214" s="1636" t="s">
        <v>31</v>
      </c>
      <c r="H214" s="1629" t="s">
        <v>31</v>
      </c>
      <c r="I214" s="1629" t="s">
        <v>31</v>
      </c>
      <c r="J214" s="1629"/>
      <c r="K214" s="1629"/>
      <c r="L214" s="1629" t="s">
        <v>31</v>
      </c>
      <c r="M214" s="1629" t="s">
        <v>31</v>
      </c>
      <c r="N214" s="1612" t="s">
        <v>31</v>
      </c>
      <c r="O214" s="1629" t="s">
        <v>31</v>
      </c>
      <c r="P214" s="1629" t="s">
        <v>31</v>
      </c>
      <c r="Q214" s="1629"/>
      <c r="R214" s="1629"/>
      <c r="S214" s="1629" t="s">
        <v>31</v>
      </c>
      <c r="T214" s="1629" t="s">
        <v>31</v>
      </c>
      <c r="U214" s="1629" t="s">
        <v>31</v>
      </c>
      <c r="V214" s="1629" t="s">
        <v>31</v>
      </c>
      <c r="W214" s="1629" t="s">
        <v>31</v>
      </c>
      <c r="X214" s="1629"/>
      <c r="Y214" s="1628"/>
      <c r="Z214" s="1628" t="s">
        <v>31</v>
      </c>
      <c r="AA214" s="1628" t="s">
        <v>31</v>
      </c>
      <c r="AB214" s="1629" t="s">
        <v>31</v>
      </c>
      <c r="AC214" s="1629" t="s">
        <v>31</v>
      </c>
      <c r="AD214" s="1629" t="s">
        <v>31</v>
      </c>
      <c r="AE214" s="1629"/>
      <c r="AF214" s="1629"/>
      <c r="AG214" s="1490" t="s">
        <v>31</v>
      </c>
      <c r="AH214" s="189"/>
      <c r="AI214" s="190"/>
    </row>
    <row r="215" spans="1:35" ht="21" customHeight="1" x14ac:dyDescent="0.2">
      <c r="A215" s="1491">
        <v>3701</v>
      </c>
      <c r="B215" s="1665" t="s">
        <v>281</v>
      </c>
      <c r="C215" s="1629"/>
      <c r="D215" s="1629"/>
      <c r="E215" s="1629" t="s">
        <v>31</v>
      </c>
      <c r="F215" s="1636" t="s">
        <v>31</v>
      </c>
      <c r="G215" s="1636" t="s">
        <v>31</v>
      </c>
      <c r="H215" s="1629" t="s">
        <v>31</v>
      </c>
      <c r="I215" s="1629" t="s">
        <v>31</v>
      </c>
      <c r="J215" s="1629"/>
      <c r="K215" s="1629"/>
      <c r="L215" s="1629" t="s">
        <v>31</v>
      </c>
      <c r="M215" s="1629" t="s">
        <v>31</v>
      </c>
      <c r="N215" s="1612" t="s">
        <v>31</v>
      </c>
      <c r="O215" s="1629" t="s">
        <v>31</v>
      </c>
      <c r="P215" s="1629" t="s">
        <v>31</v>
      </c>
      <c r="Q215" s="1629"/>
      <c r="R215" s="1629"/>
      <c r="S215" s="1629" t="s">
        <v>31</v>
      </c>
      <c r="T215" s="1629" t="s">
        <v>31</v>
      </c>
      <c r="U215" s="1629" t="s">
        <v>31</v>
      </c>
      <c r="V215" s="1629" t="s">
        <v>31</v>
      </c>
      <c r="W215" s="1629" t="s">
        <v>31</v>
      </c>
      <c r="X215" s="1629"/>
      <c r="Y215" s="1628"/>
      <c r="Z215" s="1628" t="s">
        <v>31</v>
      </c>
      <c r="AA215" s="1628" t="s">
        <v>31</v>
      </c>
      <c r="AB215" s="1629" t="s">
        <v>31</v>
      </c>
      <c r="AC215" s="1629" t="s">
        <v>31</v>
      </c>
      <c r="AD215" s="1629" t="s">
        <v>31</v>
      </c>
      <c r="AE215" s="1629"/>
      <c r="AF215" s="1629"/>
      <c r="AG215" s="1490" t="s">
        <v>31</v>
      </c>
      <c r="AH215" s="189"/>
      <c r="AI215" s="190"/>
    </row>
    <row r="216" spans="1:35" ht="21" customHeight="1" x14ac:dyDescent="0.2">
      <c r="A216" s="1491">
        <v>3701</v>
      </c>
      <c r="B216" s="1665" t="s">
        <v>282</v>
      </c>
      <c r="C216" s="1623"/>
      <c r="D216" s="1623"/>
      <c r="E216" s="1623" t="s">
        <v>31</v>
      </c>
      <c r="F216" s="1623" t="s">
        <v>31</v>
      </c>
      <c r="G216" s="1623" t="s">
        <v>31</v>
      </c>
      <c r="H216" s="1623" t="s">
        <v>31</v>
      </c>
      <c r="I216" s="1623" t="s">
        <v>31</v>
      </c>
      <c r="J216" s="1623"/>
      <c r="K216" s="1623"/>
      <c r="L216" s="1623" t="s">
        <v>31</v>
      </c>
      <c r="M216" s="1623" t="s">
        <v>31</v>
      </c>
      <c r="N216" s="1623" t="s">
        <v>31</v>
      </c>
      <c r="O216" s="1623" t="s">
        <v>31</v>
      </c>
      <c r="P216" s="1623" t="s">
        <v>31</v>
      </c>
      <c r="Q216" s="1623"/>
      <c r="R216" s="1623"/>
      <c r="S216" s="1623" t="s">
        <v>31</v>
      </c>
      <c r="T216" s="1623" t="s">
        <v>31</v>
      </c>
      <c r="U216" s="1623" t="s">
        <v>31</v>
      </c>
      <c r="V216" s="1623" t="s">
        <v>31</v>
      </c>
      <c r="W216" s="1623" t="s">
        <v>31</v>
      </c>
      <c r="X216" s="1623"/>
      <c r="Y216" s="1623"/>
      <c r="Z216" s="1623" t="s">
        <v>31</v>
      </c>
      <c r="AA216" s="1623" t="s">
        <v>31</v>
      </c>
      <c r="AB216" s="1623" t="s">
        <v>31</v>
      </c>
      <c r="AC216" s="1623" t="s">
        <v>31</v>
      </c>
      <c r="AD216" s="1623" t="s">
        <v>31</v>
      </c>
      <c r="AE216" s="1623"/>
      <c r="AF216" s="1623"/>
      <c r="AG216" s="1497" t="s">
        <v>31</v>
      </c>
      <c r="AH216" s="189"/>
      <c r="AI216" s="190"/>
    </row>
    <row r="217" spans="1:35" ht="21" customHeight="1" x14ac:dyDescent="0.2">
      <c r="A217" s="1491">
        <v>3701</v>
      </c>
      <c r="B217" s="1665" t="s">
        <v>283</v>
      </c>
      <c r="C217" s="1629"/>
      <c r="D217" s="1629"/>
      <c r="E217" s="1629">
        <v>1</v>
      </c>
      <c r="F217" s="1636">
        <v>1</v>
      </c>
      <c r="G217" s="1636">
        <v>1</v>
      </c>
      <c r="H217" s="1629">
        <v>1</v>
      </c>
      <c r="I217" s="1629">
        <v>1</v>
      </c>
      <c r="J217" s="1629"/>
      <c r="K217" s="1629"/>
      <c r="L217" s="1629" t="s">
        <v>31</v>
      </c>
      <c r="M217" s="1629" t="s">
        <v>31</v>
      </c>
      <c r="N217" s="1612" t="s">
        <v>31</v>
      </c>
      <c r="O217" s="1629" t="s">
        <v>31</v>
      </c>
      <c r="P217" s="1629" t="s">
        <v>31</v>
      </c>
      <c r="Q217" s="1629"/>
      <c r="R217" s="1629"/>
      <c r="S217" s="1629" t="s">
        <v>31</v>
      </c>
      <c r="T217" s="1629" t="s">
        <v>31</v>
      </c>
      <c r="U217" s="1629" t="s">
        <v>31</v>
      </c>
      <c r="V217" s="1629" t="s">
        <v>31</v>
      </c>
      <c r="W217" s="1629" t="s">
        <v>31</v>
      </c>
      <c r="X217" s="1629"/>
      <c r="Y217" s="1628"/>
      <c r="Z217" s="1628" t="s">
        <v>31</v>
      </c>
      <c r="AA217" s="1628" t="s">
        <v>31</v>
      </c>
      <c r="AB217" s="1629" t="s">
        <v>31</v>
      </c>
      <c r="AC217" s="1629" t="s">
        <v>31</v>
      </c>
      <c r="AD217" s="1629" t="s">
        <v>31</v>
      </c>
      <c r="AE217" s="1629"/>
      <c r="AF217" s="1629"/>
      <c r="AG217" s="1490" t="s">
        <v>31</v>
      </c>
      <c r="AH217" s="189"/>
      <c r="AI217" s="190"/>
    </row>
    <row r="218" spans="1:35" ht="21" customHeight="1" x14ac:dyDescent="0.2">
      <c r="A218" s="1491">
        <v>3701</v>
      </c>
      <c r="B218" s="1665" t="s">
        <v>284</v>
      </c>
      <c r="C218" s="1629"/>
      <c r="D218" s="1629"/>
      <c r="E218" s="1629" t="s">
        <v>31</v>
      </c>
      <c r="F218" s="1636" t="s">
        <v>31</v>
      </c>
      <c r="G218" s="1636" t="s">
        <v>31</v>
      </c>
      <c r="H218" s="1629" t="s">
        <v>31</v>
      </c>
      <c r="I218" s="1629" t="s">
        <v>31</v>
      </c>
      <c r="J218" s="1629"/>
      <c r="K218" s="1629"/>
      <c r="L218" s="1629" t="s">
        <v>31</v>
      </c>
      <c r="M218" s="1629" t="s">
        <v>31</v>
      </c>
      <c r="N218" s="1612" t="s">
        <v>31</v>
      </c>
      <c r="O218" s="1629" t="s">
        <v>31</v>
      </c>
      <c r="P218" s="1629" t="s">
        <v>31</v>
      </c>
      <c r="Q218" s="1629"/>
      <c r="R218" s="1629"/>
      <c r="S218" s="1542" t="s">
        <v>31</v>
      </c>
      <c r="T218" s="1542" t="s">
        <v>31</v>
      </c>
      <c r="U218" s="1542" t="s">
        <v>31</v>
      </c>
      <c r="V218" s="1712" t="s">
        <v>31</v>
      </c>
      <c r="W218" s="1712" t="s">
        <v>31</v>
      </c>
      <c r="X218" s="1629"/>
      <c r="Y218" s="1628"/>
      <c r="Z218" s="1628" t="s">
        <v>31</v>
      </c>
      <c r="AA218" s="1628" t="s">
        <v>31</v>
      </c>
      <c r="AB218" s="1629" t="s">
        <v>31</v>
      </c>
      <c r="AC218" s="1629" t="s">
        <v>31</v>
      </c>
      <c r="AD218" s="1629" t="s">
        <v>31</v>
      </c>
      <c r="AE218" s="1629"/>
      <c r="AF218" s="1629"/>
      <c r="AG218" s="2015" t="s">
        <v>31</v>
      </c>
      <c r="AH218" s="189"/>
      <c r="AI218" s="190"/>
    </row>
    <row r="219" spans="1:35" ht="22.15" customHeight="1" x14ac:dyDescent="0.2">
      <c r="A219" s="1491">
        <v>3701</v>
      </c>
      <c r="B219" s="1665" t="s">
        <v>285</v>
      </c>
      <c r="C219" s="1629"/>
      <c r="D219" s="1629"/>
      <c r="E219" s="1629" t="s">
        <v>31</v>
      </c>
      <c r="F219" s="1636" t="s">
        <v>31</v>
      </c>
      <c r="G219" s="1636" t="s">
        <v>31</v>
      </c>
      <c r="H219" s="1629" t="s">
        <v>31</v>
      </c>
      <c r="I219" s="1629" t="s">
        <v>31</v>
      </c>
      <c r="J219" s="1629"/>
      <c r="K219" s="1629"/>
      <c r="L219" s="1629" t="s">
        <v>31</v>
      </c>
      <c r="M219" s="1629" t="s">
        <v>31</v>
      </c>
      <c r="N219" s="1612" t="s">
        <v>31</v>
      </c>
      <c r="O219" s="1629" t="s">
        <v>31</v>
      </c>
      <c r="P219" s="1629" t="s">
        <v>31</v>
      </c>
      <c r="Q219" s="1629"/>
      <c r="R219" s="1629"/>
      <c r="S219" s="1629" t="s">
        <v>31</v>
      </c>
      <c r="T219" s="1629" t="s">
        <v>31</v>
      </c>
      <c r="U219" s="1629" t="s">
        <v>31</v>
      </c>
      <c r="V219" s="1629" t="s">
        <v>31</v>
      </c>
      <c r="W219" s="1629" t="s">
        <v>31</v>
      </c>
      <c r="X219" s="1629"/>
      <c r="Y219" s="1628"/>
      <c r="Z219" s="1628" t="s">
        <v>31</v>
      </c>
      <c r="AA219" s="1628" t="s">
        <v>31</v>
      </c>
      <c r="AB219" s="1629" t="s">
        <v>31</v>
      </c>
      <c r="AC219" s="1629" t="s">
        <v>31</v>
      </c>
      <c r="AD219" s="1629" t="s">
        <v>31</v>
      </c>
      <c r="AE219" s="1629"/>
      <c r="AF219" s="1629"/>
      <c r="AG219" s="1490" t="s">
        <v>31</v>
      </c>
      <c r="AH219" s="189"/>
      <c r="AI219" s="190"/>
    </row>
    <row r="220" spans="1:35" ht="22.15" customHeight="1" x14ac:dyDescent="0.2">
      <c r="A220" s="1491">
        <v>3701</v>
      </c>
      <c r="B220" s="1665" t="s">
        <v>286</v>
      </c>
      <c r="C220" s="1629"/>
      <c r="D220" s="1629"/>
      <c r="E220" s="1629" t="s">
        <v>31</v>
      </c>
      <c r="F220" s="1636" t="s">
        <v>31</v>
      </c>
      <c r="G220" s="1636" t="s">
        <v>31</v>
      </c>
      <c r="H220" s="1629" t="s">
        <v>31</v>
      </c>
      <c r="I220" s="1629" t="s">
        <v>31</v>
      </c>
      <c r="J220" s="1629"/>
      <c r="K220" s="1629"/>
      <c r="L220" s="1712" t="s">
        <v>31</v>
      </c>
      <c r="M220" s="1712" t="s">
        <v>31</v>
      </c>
      <c r="N220" s="1712" t="s">
        <v>31</v>
      </c>
      <c r="O220" s="1712" t="s">
        <v>31</v>
      </c>
      <c r="P220" s="1712" t="s">
        <v>31</v>
      </c>
      <c r="Q220" s="1629"/>
      <c r="R220" s="1629"/>
      <c r="S220" s="1629" t="s">
        <v>31</v>
      </c>
      <c r="T220" s="1629" t="s">
        <v>31</v>
      </c>
      <c r="U220" s="1629" t="s">
        <v>31</v>
      </c>
      <c r="V220" s="1629" t="s">
        <v>31</v>
      </c>
      <c r="W220" s="1629" t="s">
        <v>31</v>
      </c>
      <c r="X220" s="1629"/>
      <c r="Y220" s="1628"/>
      <c r="Z220" s="1628" t="s">
        <v>31</v>
      </c>
      <c r="AA220" s="1628" t="s">
        <v>31</v>
      </c>
      <c r="AB220" s="1629" t="s">
        <v>31</v>
      </c>
      <c r="AC220" s="1629" t="s">
        <v>31</v>
      </c>
      <c r="AD220" s="1629" t="s">
        <v>31</v>
      </c>
      <c r="AE220" s="1629"/>
      <c r="AF220" s="1629"/>
      <c r="AG220" s="1490" t="s">
        <v>31</v>
      </c>
      <c r="AH220" s="189"/>
      <c r="AI220" s="190"/>
    </row>
    <row r="221" spans="1:35" ht="22.15" customHeight="1" x14ac:dyDescent="0.2">
      <c r="A221" s="1491">
        <v>3701</v>
      </c>
      <c r="B221" s="1665" t="s">
        <v>287</v>
      </c>
      <c r="C221" s="1629"/>
      <c r="D221" s="1629"/>
      <c r="E221" s="1629" t="s">
        <v>181</v>
      </c>
      <c r="F221" s="1636" t="s">
        <v>175</v>
      </c>
      <c r="G221" s="1636" t="s">
        <v>175</v>
      </c>
      <c r="H221" s="1629" t="s">
        <v>175</v>
      </c>
      <c r="I221" s="1629" t="s">
        <v>175</v>
      </c>
      <c r="J221" s="1629"/>
      <c r="K221" s="1629"/>
      <c r="L221" s="1629" t="s">
        <v>31</v>
      </c>
      <c r="M221" s="1629">
        <v>89</v>
      </c>
      <c r="N221" s="1629" t="s">
        <v>31</v>
      </c>
      <c r="O221" s="1629" t="s">
        <v>31</v>
      </c>
      <c r="P221" s="1629" t="s">
        <v>31</v>
      </c>
      <c r="Q221" s="1629"/>
      <c r="R221" s="1629"/>
      <c r="S221" s="1629" t="s">
        <v>31</v>
      </c>
      <c r="T221" s="1629" t="s">
        <v>31</v>
      </c>
      <c r="U221" s="1629" t="s">
        <v>31</v>
      </c>
      <c r="V221" s="1629" t="s">
        <v>31</v>
      </c>
      <c r="W221" s="1629" t="s">
        <v>31</v>
      </c>
      <c r="X221" s="1629"/>
      <c r="Y221" s="1628"/>
      <c r="Z221" s="1628" t="s">
        <v>31</v>
      </c>
      <c r="AA221" s="1628" t="s">
        <v>31</v>
      </c>
      <c r="AB221" s="1629" t="s">
        <v>31</v>
      </c>
      <c r="AC221" s="1629" t="s">
        <v>31</v>
      </c>
      <c r="AD221" s="1629" t="s">
        <v>31</v>
      </c>
      <c r="AE221" s="1629"/>
      <c r="AF221" s="1629"/>
      <c r="AG221" s="1490" t="s">
        <v>31</v>
      </c>
      <c r="AH221" s="189"/>
      <c r="AI221" s="190"/>
    </row>
    <row r="222" spans="1:35" ht="22.15" customHeight="1" x14ac:dyDescent="0.2">
      <c r="A222" s="1493">
        <v>3701</v>
      </c>
      <c r="B222" s="1665" t="s">
        <v>290</v>
      </c>
      <c r="C222" s="1629"/>
      <c r="D222" s="1629"/>
      <c r="E222" s="1629" t="s">
        <v>31</v>
      </c>
      <c r="F222" s="1636" t="s">
        <v>31</v>
      </c>
      <c r="G222" s="1636" t="s">
        <v>31</v>
      </c>
      <c r="H222" s="1629" t="s">
        <v>31</v>
      </c>
      <c r="I222" s="1629" t="s">
        <v>31</v>
      </c>
      <c r="J222" s="1629"/>
      <c r="K222" s="1629"/>
      <c r="L222" s="1629" t="s">
        <v>31</v>
      </c>
      <c r="M222" s="1629" t="s">
        <v>31</v>
      </c>
      <c r="N222" s="1612" t="s">
        <v>31</v>
      </c>
      <c r="O222" s="1629" t="s">
        <v>31</v>
      </c>
      <c r="P222" s="1629" t="s">
        <v>31</v>
      </c>
      <c r="Q222" s="1629"/>
      <c r="R222" s="1629"/>
      <c r="S222" s="1629" t="s">
        <v>31</v>
      </c>
      <c r="T222" s="1629" t="s">
        <v>31</v>
      </c>
      <c r="U222" s="1629" t="s">
        <v>31</v>
      </c>
      <c r="V222" s="1629" t="s">
        <v>31</v>
      </c>
      <c r="W222" s="1629" t="s">
        <v>31</v>
      </c>
      <c r="X222" s="1629"/>
      <c r="Y222" s="1628"/>
      <c r="Z222" s="1628" t="s">
        <v>31</v>
      </c>
      <c r="AA222" s="1628" t="s">
        <v>31</v>
      </c>
      <c r="AB222" s="1629" t="s">
        <v>31</v>
      </c>
      <c r="AC222" s="1629" t="s">
        <v>31</v>
      </c>
      <c r="AD222" s="1629" t="s">
        <v>31</v>
      </c>
      <c r="AE222" s="1629"/>
      <c r="AF222" s="1629"/>
      <c r="AG222" s="1490" t="s">
        <v>31</v>
      </c>
      <c r="AH222" s="189"/>
      <c r="AI222" s="190"/>
    </row>
    <row r="223" spans="1:35" ht="22.15" customHeight="1" x14ac:dyDescent="0.2">
      <c r="A223" s="1491">
        <v>3701</v>
      </c>
      <c r="B223" s="1665" t="s">
        <v>291</v>
      </c>
      <c r="C223" s="1629"/>
      <c r="D223" s="1629"/>
      <c r="E223" s="1629" t="s">
        <v>31</v>
      </c>
      <c r="F223" s="1636" t="s">
        <v>31</v>
      </c>
      <c r="G223" s="1636" t="s">
        <v>31</v>
      </c>
      <c r="H223" s="1629" t="s">
        <v>31</v>
      </c>
      <c r="I223" s="1629" t="s">
        <v>31</v>
      </c>
      <c r="J223" s="1629"/>
      <c r="K223" s="1629"/>
      <c r="L223" s="1629" t="s">
        <v>31</v>
      </c>
      <c r="M223" s="1629" t="s">
        <v>31</v>
      </c>
      <c r="N223" s="1612" t="s">
        <v>31</v>
      </c>
      <c r="O223" s="1629" t="s">
        <v>31</v>
      </c>
      <c r="P223" s="1629" t="s">
        <v>31</v>
      </c>
      <c r="Q223" s="1629"/>
      <c r="R223" s="1629"/>
      <c r="S223" s="1629" t="s">
        <v>31</v>
      </c>
      <c r="T223" s="1629" t="s">
        <v>31</v>
      </c>
      <c r="U223" s="1629" t="s">
        <v>31</v>
      </c>
      <c r="V223" s="1629" t="s">
        <v>31</v>
      </c>
      <c r="W223" s="1629" t="s">
        <v>31</v>
      </c>
      <c r="X223" s="1629"/>
      <c r="Y223" s="1628"/>
      <c r="Z223" s="1628" t="s">
        <v>31</v>
      </c>
      <c r="AA223" s="1628" t="s">
        <v>31</v>
      </c>
      <c r="AB223" s="1623" t="s">
        <v>31</v>
      </c>
      <c r="AC223" s="1623" t="s">
        <v>31</v>
      </c>
      <c r="AD223" s="1623" t="s">
        <v>289</v>
      </c>
      <c r="AE223" s="1629"/>
      <c r="AF223" s="1629"/>
      <c r="AG223" s="1494" t="s">
        <v>31</v>
      </c>
      <c r="AH223" s="189"/>
      <c r="AI223" s="190"/>
    </row>
    <row r="224" spans="1:35" ht="22.15" customHeight="1" x14ac:dyDescent="0.2">
      <c r="A224" s="1491">
        <v>3701</v>
      </c>
      <c r="B224" s="1665" t="s">
        <v>292</v>
      </c>
      <c r="C224" s="1629"/>
      <c r="D224" s="1629"/>
      <c r="E224" s="1629" t="s">
        <v>31</v>
      </c>
      <c r="F224" s="1636" t="s">
        <v>31</v>
      </c>
      <c r="G224" s="1636" t="s">
        <v>31</v>
      </c>
      <c r="H224" s="1629" t="s">
        <v>31</v>
      </c>
      <c r="I224" s="1629" t="s">
        <v>31</v>
      </c>
      <c r="J224" s="1629"/>
      <c r="K224" s="1629"/>
      <c r="L224" s="1623" t="s">
        <v>31</v>
      </c>
      <c r="M224" s="1623" t="s">
        <v>31</v>
      </c>
      <c r="N224" s="1623" t="s">
        <v>289</v>
      </c>
      <c r="O224" s="1629" t="s">
        <v>31</v>
      </c>
      <c r="P224" s="1629" t="s">
        <v>31</v>
      </c>
      <c r="Q224" s="1629"/>
      <c r="R224" s="1629"/>
      <c r="S224" s="1629" t="s">
        <v>31</v>
      </c>
      <c r="T224" s="1629" t="s">
        <v>31</v>
      </c>
      <c r="U224" s="1712" t="s">
        <v>31</v>
      </c>
      <c r="V224" s="1712" t="s">
        <v>31</v>
      </c>
      <c r="W224" s="1712" t="s">
        <v>31</v>
      </c>
      <c r="X224" s="1629"/>
      <c r="Y224" s="1628"/>
      <c r="Z224" s="1628" t="s">
        <v>31</v>
      </c>
      <c r="AA224" s="1628" t="s">
        <v>31</v>
      </c>
      <c r="AB224" s="1629" t="s">
        <v>31</v>
      </c>
      <c r="AC224" s="1629" t="s">
        <v>31</v>
      </c>
      <c r="AD224" s="1629" t="s">
        <v>31</v>
      </c>
      <c r="AE224" s="1629"/>
      <c r="AF224" s="1629"/>
      <c r="AG224" s="1495" t="s">
        <v>31</v>
      </c>
      <c r="AH224" s="189"/>
      <c r="AI224" s="190"/>
    </row>
    <row r="225" spans="1:35" ht="22.15" customHeight="1" x14ac:dyDescent="0.2">
      <c r="A225" s="1491"/>
      <c r="B225" s="1496"/>
      <c r="C225" s="1629"/>
      <c r="D225" s="1629"/>
      <c r="E225" s="1629" t="s">
        <v>31</v>
      </c>
      <c r="F225" s="1636" t="s">
        <v>31</v>
      </c>
      <c r="G225" s="1636" t="s">
        <v>31</v>
      </c>
      <c r="H225" s="1629" t="s">
        <v>31</v>
      </c>
      <c r="I225" s="1629" t="s">
        <v>31</v>
      </c>
      <c r="J225" s="1629"/>
      <c r="K225" s="1629"/>
      <c r="L225" s="1629" t="s">
        <v>31</v>
      </c>
      <c r="M225" s="1629" t="s">
        <v>31</v>
      </c>
      <c r="N225" s="1612" t="s">
        <v>31</v>
      </c>
      <c r="O225" s="1629" t="s">
        <v>31</v>
      </c>
      <c r="P225" s="1629" t="s">
        <v>31</v>
      </c>
      <c r="Q225" s="1629"/>
      <c r="R225" s="1629"/>
      <c r="S225" s="1629" t="s">
        <v>31</v>
      </c>
      <c r="T225" s="1629" t="s">
        <v>31</v>
      </c>
      <c r="U225" s="1629" t="s">
        <v>31</v>
      </c>
      <c r="V225" s="1629" t="s">
        <v>31</v>
      </c>
      <c r="W225" s="1629" t="s">
        <v>31</v>
      </c>
      <c r="X225" s="1629"/>
      <c r="Y225" s="1628"/>
      <c r="Z225" s="1628" t="s">
        <v>31</v>
      </c>
      <c r="AA225" s="1628" t="s">
        <v>31</v>
      </c>
      <c r="AB225" s="1629" t="s">
        <v>31</v>
      </c>
      <c r="AC225" s="1629" t="s">
        <v>31</v>
      </c>
      <c r="AD225" s="1629" t="s">
        <v>31</v>
      </c>
      <c r="AE225" s="1629"/>
      <c r="AF225" s="1629"/>
      <c r="AG225" s="1490" t="s">
        <v>31</v>
      </c>
      <c r="AH225" s="189"/>
      <c r="AI225" s="190"/>
    </row>
    <row r="226" spans="1:35" ht="22.15" customHeight="1" x14ac:dyDescent="0.2">
      <c r="A226" s="1491"/>
      <c r="B226" s="1665" t="s">
        <v>293</v>
      </c>
      <c r="C226" s="1629"/>
      <c r="D226" s="1629"/>
      <c r="E226" s="1712" t="s">
        <v>31</v>
      </c>
      <c r="F226" s="1712" t="s">
        <v>31</v>
      </c>
      <c r="G226" s="1712" t="s">
        <v>31</v>
      </c>
      <c r="H226" s="1712" t="s">
        <v>31</v>
      </c>
      <c r="I226" s="1712" t="s">
        <v>31</v>
      </c>
      <c r="J226" s="1712"/>
      <c r="K226" s="1712"/>
      <c r="L226" s="1734" t="s">
        <v>31</v>
      </c>
      <c r="M226" s="1734" t="s">
        <v>31</v>
      </c>
      <c r="N226" s="1734" t="s">
        <v>31</v>
      </c>
      <c r="O226" s="1734" t="s">
        <v>31</v>
      </c>
      <c r="P226" s="1734" t="s">
        <v>31</v>
      </c>
      <c r="Q226" s="1629"/>
      <c r="R226" s="1629"/>
      <c r="S226" s="1629" t="s">
        <v>31</v>
      </c>
      <c r="T226" s="1629" t="s">
        <v>31</v>
      </c>
      <c r="U226" s="1629" t="s">
        <v>31</v>
      </c>
      <c r="V226" s="1629" t="s">
        <v>31</v>
      </c>
      <c r="W226" s="1629" t="s">
        <v>31</v>
      </c>
      <c r="X226" s="1629"/>
      <c r="Y226" s="1628"/>
      <c r="Z226" s="1628" t="s">
        <v>31</v>
      </c>
      <c r="AA226" s="1628" t="s">
        <v>31</v>
      </c>
      <c r="AB226" s="1629" t="s">
        <v>31</v>
      </c>
      <c r="AC226" s="1629" t="s">
        <v>31</v>
      </c>
      <c r="AD226" s="1629" t="s">
        <v>31</v>
      </c>
      <c r="AE226" s="1629"/>
      <c r="AF226" s="1629"/>
      <c r="AG226" s="1490" t="s">
        <v>31</v>
      </c>
      <c r="AH226" s="189"/>
      <c r="AI226" s="190"/>
    </row>
    <row r="227" spans="1:35" ht="22.15" customHeight="1" x14ac:dyDescent="0.2">
      <c r="A227" s="1491"/>
      <c r="B227" s="1665" t="s">
        <v>294</v>
      </c>
      <c r="C227" s="1623"/>
      <c r="D227" s="1623"/>
      <c r="E227" s="1623" t="s">
        <v>31</v>
      </c>
      <c r="F227" s="1623" t="s">
        <v>31</v>
      </c>
      <c r="G227" s="1623" t="s">
        <v>31</v>
      </c>
      <c r="H227" s="1623" t="s">
        <v>31</v>
      </c>
      <c r="I227" s="1623" t="s">
        <v>31</v>
      </c>
      <c r="J227" s="1623"/>
      <c r="K227" s="1623"/>
      <c r="L227" s="1623" t="s">
        <v>31</v>
      </c>
      <c r="M227" s="1623" t="s">
        <v>31</v>
      </c>
      <c r="N227" s="1623" t="s">
        <v>31</v>
      </c>
      <c r="O227" s="1623" t="s">
        <v>31</v>
      </c>
      <c r="P227" s="1623" t="s">
        <v>31</v>
      </c>
      <c r="Q227" s="1623"/>
      <c r="R227" s="1623"/>
      <c r="S227" s="1623" t="s">
        <v>31</v>
      </c>
      <c r="T227" s="1623" t="s">
        <v>31</v>
      </c>
      <c r="U227" s="1623" t="s">
        <v>31</v>
      </c>
      <c r="V227" s="1623" t="s">
        <v>31</v>
      </c>
      <c r="W227" s="1623" t="s">
        <v>31</v>
      </c>
      <c r="X227" s="1623"/>
      <c r="Y227" s="1623"/>
      <c r="Z227" s="1623" t="s">
        <v>31</v>
      </c>
      <c r="AA227" s="1623" t="s">
        <v>31</v>
      </c>
      <c r="AB227" s="1623" t="s">
        <v>31</v>
      </c>
      <c r="AC227" s="1623" t="s">
        <v>31</v>
      </c>
      <c r="AD227" s="1623" t="s">
        <v>31</v>
      </c>
      <c r="AE227" s="1623"/>
      <c r="AF227" s="1623"/>
      <c r="AG227" s="1497" t="s">
        <v>31</v>
      </c>
      <c r="AH227" s="189"/>
      <c r="AI227" s="190"/>
    </row>
    <row r="228" spans="1:35" ht="22.15" customHeight="1" x14ac:dyDescent="0.2">
      <c r="A228" s="1491"/>
      <c r="B228" s="1665" t="s">
        <v>295</v>
      </c>
      <c r="C228" s="1629"/>
      <c r="D228" s="1629"/>
      <c r="E228" s="1712" t="s">
        <v>31</v>
      </c>
      <c r="F228" s="1712" t="s">
        <v>31</v>
      </c>
      <c r="G228" s="1712" t="s">
        <v>31</v>
      </c>
      <c r="H228" s="1712" t="s">
        <v>31</v>
      </c>
      <c r="I228" s="1712" t="s">
        <v>31</v>
      </c>
      <c r="J228" s="1712"/>
      <c r="K228" s="1712"/>
      <c r="L228" s="1712" t="s">
        <v>31</v>
      </c>
      <c r="M228" s="1712" t="s">
        <v>31</v>
      </c>
      <c r="N228" s="1712" t="s">
        <v>31</v>
      </c>
      <c r="O228" s="1712" t="s">
        <v>31</v>
      </c>
      <c r="P228" s="1712" t="s">
        <v>31</v>
      </c>
      <c r="Q228" s="1712"/>
      <c r="R228" s="1712"/>
      <c r="S228" s="1712" t="s">
        <v>31</v>
      </c>
      <c r="T228" s="1712" t="s">
        <v>31</v>
      </c>
      <c r="U228" s="1712" t="s">
        <v>31</v>
      </c>
      <c r="V228" s="1712" t="s">
        <v>31</v>
      </c>
      <c r="W228" s="1712" t="s">
        <v>31</v>
      </c>
      <c r="X228" s="1629"/>
      <c r="Y228" s="1628"/>
      <c r="Z228" s="1628" t="s">
        <v>31</v>
      </c>
      <c r="AA228" s="1628" t="s">
        <v>31</v>
      </c>
      <c r="AB228" s="1629" t="s">
        <v>31</v>
      </c>
      <c r="AC228" s="1629" t="s">
        <v>31</v>
      </c>
      <c r="AD228" s="1629" t="s">
        <v>31</v>
      </c>
      <c r="AE228" s="1629"/>
      <c r="AF228" s="1629"/>
      <c r="AG228" s="1490" t="s">
        <v>31</v>
      </c>
      <c r="AH228" s="189"/>
      <c r="AI228" s="190"/>
    </row>
    <row r="229" spans="1:35" ht="22.15" customHeight="1" x14ac:dyDescent="0.2">
      <c r="A229" s="1491"/>
      <c r="B229" s="1665" t="s">
        <v>296</v>
      </c>
      <c r="C229" s="1629"/>
      <c r="D229" s="1629"/>
      <c r="E229" s="1712" t="s">
        <v>31</v>
      </c>
      <c r="F229" s="1712" t="s">
        <v>31</v>
      </c>
      <c r="G229" s="1712" t="s">
        <v>31</v>
      </c>
      <c r="H229" s="1712" t="s">
        <v>31</v>
      </c>
      <c r="I229" s="1712" t="s">
        <v>31</v>
      </c>
      <c r="J229" s="1629"/>
      <c r="K229" s="1629"/>
      <c r="L229" s="1629" t="s">
        <v>31</v>
      </c>
      <c r="M229" s="1629" t="s">
        <v>31</v>
      </c>
      <c r="N229" s="1612" t="s">
        <v>31</v>
      </c>
      <c r="O229" s="1629" t="s">
        <v>31</v>
      </c>
      <c r="P229" s="1629" t="s">
        <v>31</v>
      </c>
      <c r="Q229" s="1629"/>
      <c r="R229" s="1629"/>
      <c r="S229" s="1629" t="s">
        <v>31</v>
      </c>
      <c r="T229" s="1629" t="s">
        <v>31</v>
      </c>
      <c r="U229" s="1629" t="s">
        <v>31</v>
      </c>
      <c r="V229" s="1629" t="s">
        <v>31</v>
      </c>
      <c r="W229" s="1629" t="s">
        <v>31</v>
      </c>
      <c r="X229" s="1629"/>
      <c r="Y229" s="1628"/>
      <c r="Z229" s="1628" t="s">
        <v>31</v>
      </c>
      <c r="AA229" s="1628" t="s">
        <v>31</v>
      </c>
      <c r="AB229" s="1629" t="s">
        <v>31</v>
      </c>
      <c r="AC229" s="1629" t="s">
        <v>31</v>
      </c>
      <c r="AD229" s="1629" t="s">
        <v>31</v>
      </c>
      <c r="AE229" s="1629"/>
      <c r="AF229" s="1629"/>
      <c r="AG229" s="1494" t="s">
        <v>31</v>
      </c>
      <c r="AH229" s="189"/>
      <c r="AI229" s="190"/>
    </row>
    <row r="230" spans="1:35" ht="22.15" customHeight="1" x14ac:dyDescent="0.2">
      <c r="A230" s="1491"/>
      <c r="B230" s="1498" t="s">
        <v>297</v>
      </c>
      <c r="C230" s="1629"/>
      <c r="D230" s="1629"/>
      <c r="E230" s="1629"/>
      <c r="F230" s="1625"/>
      <c r="G230" s="1633"/>
      <c r="H230" s="1633"/>
      <c r="I230" s="1629"/>
      <c r="J230" s="1629"/>
      <c r="K230" s="1629"/>
      <c r="L230" s="1629"/>
      <c r="M230" s="1629"/>
      <c r="N230" s="1612"/>
      <c r="O230" s="1629"/>
      <c r="P230" s="1629"/>
      <c r="Q230" s="1629"/>
      <c r="R230" s="1629"/>
      <c r="S230" s="1629"/>
      <c r="T230" s="1629"/>
      <c r="U230" s="1629"/>
      <c r="V230" s="1629"/>
      <c r="W230" s="1629"/>
      <c r="X230" s="1629"/>
      <c r="Y230" s="1628"/>
      <c r="Z230" s="1628"/>
      <c r="AA230" s="1628"/>
      <c r="AB230" s="1629"/>
      <c r="AC230" s="1629"/>
      <c r="AD230" s="1629"/>
      <c r="AE230" s="1629"/>
      <c r="AF230" s="1612"/>
      <c r="AG230" s="1490"/>
      <c r="AH230" s="186"/>
      <c r="AI230" s="107"/>
    </row>
    <row r="231" spans="1:35" ht="22.15" customHeight="1" x14ac:dyDescent="0.2">
      <c r="A231" s="1491"/>
      <c r="B231" s="1665"/>
      <c r="C231" s="1629"/>
      <c r="D231" s="1629"/>
      <c r="E231" s="1629"/>
      <c r="F231" s="1625"/>
      <c r="G231" s="1633"/>
      <c r="H231" s="1633"/>
      <c r="I231" s="1629"/>
      <c r="J231" s="1629"/>
      <c r="K231" s="1629"/>
      <c r="L231" s="1629"/>
      <c r="M231" s="1629"/>
      <c r="N231" s="1612"/>
      <c r="O231" s="1629"/>
      <c r="P231" s="1629"/>
      <c r="Q231" s="1629"/>
      <c r="R231" s="1629"/>
      <c r="S231" s="1629"/>
      <c r="T231" s="1629"/>
      <c r="U231" s="1629"/>
      <c r="V231" s="1629"/>
      <c r="W231" s="1629"/>
      <c r="X231" s="1629"/>
      <c r="Y231" s="1628"/>
      <c r="Z231" s="1628"/>
      <c r="AA231" s="1628"/>
      <c r="AB231" s="1629"/>
      <c r="AC231" s="1629"/>
      <c r="AD231" s="1629"/>
      <c r="AE231" s="1629"/>
      <c r="AF231" s="1612"/>
      <c r="AG231" s="1499"/>
      <c r="AH231" s="186"/>
      <c r="AI231" s="107"/>
    </row>
    <row r="232" spans="1:35" ht="22.15" customHeight="1" x14ac:dyDescent="0.2">
      <c r="A232" s="1734"/>
      <c r="B232" s="1889" t="s">
        <v>298</v>
      </c>
      <c r="C232" s="1629"/>
      <c r="D232" s="1629"/>
      <c r="E232" s="1629"/>
      <c r="F232" s="1629"/>
      <c r="G232" s="1629"/>
      <c r="H232" s="1629"/>
      <c r="I232" s="1629"/>
      <c r="J232" s="1629"/>
      <c r="K232" s="1629"/>
      <c r="L232" s="1629"/>
      <c r="M232" s="1629"/>
      <c r="N232" s="1629"/>
      <c r="O232" s="1629"/>
      <c r="P232" s="1629"/>
      <c r="Q232" s="1629"/>
      <c r="R232" s="1629"/>
      <c r="S232" s="1629"/>
      <c r="T232" s="1629"/>
      <c r="U232" s="1629"/>
      <c r="V232" s="1629"/>
      <c r="W232" s="1629"/>
      <c r="X232" s="1629"/>
      <c r="Y232" s="1629"/>
      <c r="Z232" s="1629"/>
      <c r="AA232" s="1629"/>
      <c r="AB232" s="1629"/>
      <c r="AC232" s="1629"/>
      <c r="AD232" s="1629"/>
      <c r="AE232" s="1629"/>
      <c r="AF232" s="1629"/>
      <c r="AG232" s="1490"/>
      <c r="AH232" s="186"/>
      <c r="AI232" s="107"/>
    </row>
    <row r="233" spans="1:35" ht="22.15" customHeight="1" x14ac:dyDescent="0.2">
      <c r="A233" s="1734"/>
      <c r="B233" s="1665" t="s">
        <v>299</v>
      </c>
      <c r="C233" s="1629"/>
      <c r="D233" s="1629"/>
      <c r="E233" s="1629" t="s">
        <v>31</v>
      </c>
      <c r="F233" s="1636" t="s">
        <v>31</v>
      </c>
      <c r="G233" s="1636" t="s">
        <v>31</v>
      </c>
      <c r="H233" s="1629" t="s">
        <v>31</v>
      </c>
      <c r="I233" s="1629" t="s">
        <v>31</v>
      </c>
      <c r="J233" s="1629"/>
      <c r="K233" s="1629"/>
      <c r="L233" s="1629" t="s">
        <v>31</v>
      </c>
      <c r="M233" s="1629" t="s">
        <v>31</v>
      </c>
      <c r="N233" s="1612" t="s">
        <v>31</v>
      </c>
      <c r="O233" s="1629" t="s">
        <v>31</v>
      </c>
      <c r="P233" s="1629" t="s">
        <v>31</v>
      </c>
      <c r="Q233" s="1629"/>
      <c r="R233" s="1629"/>
      <c r="S233" s="1629" t="s">
        <v>31</v>
      </c>
      <c r="T233" s="1629" t="s">
        <v>31</v>
      </c>
      <c r="U233" s="1629" t="s">
        <v>31</v>
      </c>
      <c r="V233" s="1629" t="s">
        <v>31</v>
      </c>
      <c r="W233" s="1629" t="s">
        <v>31</v>
      </c>
      <c r="X233" s="1629"/>
      <c r="Y233" s="1628"/>
      <c r="Z233" s="1628" t="s">
        <v>31</v>
      </c>
      <c r="AA233" s="1628" t="s">
        <v>31</v>
      </c>
      <c r="AB233" s="1629" t="s">
        <v>31</v>
      </c>
      <c r="AC233" s="1629" t="s">
        <v>31</v>
      </c>
      <c r="AD233" s="1629" t="s">
        <v>31</v>
      </c>
      <c r="AE233" s="1629"/>
      <c r="AF233" s="1629"/>
      <c r="AG233" s="1494" t="s">
        <v>31</v>
      </c>
      <c r="AH233" s="186"/>
      <c r="AI233" s="107"/>
    </row>
    <row r="234" spans="1:35" ht="22.15" customHeight="1" x14ac:dyDescent="0.2">
      <c r="A234" s="1734"/>
      <c r="B234" s="1734"/>
      <c r="C234" s="1629"/>
      <c r="D234" s="1629"/>
      <c r="E234" s="1629"/>
      <c r="F234" s="1629"/>
      <c r="G234" s="1629"/>
      <c r="H234" s="1629"/>
      <c r="I234" s="1629"/>
      <c r="J234" s="1629"/>
      <c r="K234" s="1629"/>
      <c r="L234" s="1629"/>
      <c r="M234" s="1629"/>
      <c r="N234" s="1629"/>
      <c r="O234" s="1629"/>
      <c r="P234" s="1629"/>
      <c r="Q234" s="1629"/>
      <c r="R234" s="1629"/>
      <c r="S234" s="1629"/>
      <c r="T234" s="1629"/>
      <c r="U234" s="1629"/>
      <c r="V234" s="1629"/>
      <c r="W234" s="1629"/>
      <c r="X234" s="1629"/>
      <c r="Y234" s="1629"/>
      <c r="Z234" s="1629"/>
      <c r="AA234" s="1629"/>
      <c r="AB234" s="1629"/>
      <c r="AC234" s="1629"/>
      <c r="AD234" s="1629"/>
      <c r="AE234" s="1629"/>
      <c r="AF234" s="1629"/>
      <c r="AG234" s="1490"/>
      <c r="AH234" s="186"/>
      <c r="AI234" s="107"/>
    </row>
    <row r="235" spans="1:35" ht="22.15" customHeight="1" x14ac:dyDescent="0.2">
      <c r="A235" s="1734"/>
      <c r="B235" s="1734"/>
      <c r="C235" s="1629"/>
      <c r="D235" s="1629"/>
      <c r="E235" s="1629"/>
      <c r="F235" s="1629"/>
      <c r="G235" s="1629"/>
      <c r="H235" s="1501"/>
      <c r="I235" s="1629"/>
      <c r="J235" s="1629"/>
      <c r="K235" s="1629"/>
      <c r="L235" s="1629"/>
      <c r="M235" s="1629"/>
      <c r="N235" s="1629"/>
      <c r="O235" s="1629"/>
      <c r="P235" s="1629"/>
      <c r="Q235" s="1629"/>
      <c r="R235" s="1629"/>
      <c r="S235" s="1629"/>
      <c r="T235" s="1629"/>
      <c r="U235" s="1629"/>
      <c r="V235" s="1629"/>
      <c r="W235" s="1629"/>
      <c r="X235" s="1629"/>
      <c r="Y235" s="1629"/>
      <c r="Z235" s="1629"/>
      <c r="AA235" s="1629"/>
      <c r="AB235" s="1629"/>
      <c r="AC235" s="1629"/>
      <c r="AD235" s="1629"/>
      <c r="AE235" s="1629"/>
      <c r="AF235" s="1629"/>
      <c r="AG235" s="1499"/>
      <c r="AH235" s="186"/>
      <c r="AI235" s="107"/>
    </row>
    <row r="236" spans="1:35" ht="22.15" customHeight="1" x14ac:dyDescent="0.2">
      <c r="A236" s="1491"/>
      <c r="B236" s="1496"/>
      <c r="C236" s="1629"/>
      <c r="D236" s="1629"/>
      <c r="E236" s="1629"/>
      <c r="F236" s="1629"/>
      <c r="G236" s="1629"/>
      <c r="H236" s="1629"/>
      <c r="I236" s="1629"/>
      <c r="J236" s="1629"/>
      <c r="K236" s="1629"/>
      <c r="L236" s="1629"/>
      <c r="M236" s="1629"/>
      <c r="N236" s="1629"/>
      <c r="O236" s="1629"/>
      <c r="P236" s="1629"/>
      <c r="Q236" s="1629"/>
      <c r="R236" s="1629"/>
      <c r="S236" s="1629"/>
      <c r="T236" s="1629"/>
      <c r="U236" s="1629"/>
      <c r="V236" s="1629"/>
      <c r="W236" s="1629"/>
      <c r="X236" s="1629"/>
      <c r="Y236" s="1629"/>
      <c r="Z236" s="1629"/>
      <c r="AA236" s="1629"/>
      <c r="AB236" s="1629"/>
      <c r="AC236" s="1629"/>
      <c r="AD236" s="1629"/>
      <c r="AE236" s="1629"/>
      <c r="AF236" s="1629"/>
      <c r="AG236" s="1499"/>
      <c r="AH236" s="186"/>
      <c r="AI236" s="107"/>
    </row>
    <row r="237" spans="1:35" ht="22.15" customHeight="1" x14ac:dyDescent="0.2">
      <c r="A237" s="1491"/>
      <c r="B237" s="1502"/>
      <c r="C237" s="1629"/>
      <c r="D237" s="1629"/>
      <c r="E237" s="1629"/>
      <c r="F237" s="1629"/>
      <c r="G237" s="1629"/>
      <c r="H237" s="1629"/>
      <c r="I237" s="1629"/>
      <c r="J237" s="1629"/>
      <c r="K237" s="1629"/>
      <c r="L237" s="1629"/>
      <c r="M237" s="1629"/>
      <c r="N237" s="1629"/>
      <c r="O237" s="1629"/>
      <c r="P237" s="1629"/>
      <c r="Q237" s="1629"/>
      <c r="R237" s="1629"/>
      <c r="S237" s="1629"/>
      <c r="T237" s="1629"/>
      <c r="U237" s="1629"/>
      <c r="V237" s="1629"/>
      <c r="W237" s="1629"/>
      <c r="X237" s="1629"/>
      <c r="Y237" s="1629"/>
      <c r="Z237" s="1629"/>
      <c r="AA237" s="1629"/>
      <c r="AB237" s="1629"/>
      <c r="AC237" s="1629"/>
      <c r="AD237" s="1629"/>
      <c r="AE237" s="1629"/>
      <c r="AF237" s="1629"/>
      <c r="AG237" s="1499"/>
      <c r="AH237" s="186"/>
      <c r="AI237" s="107"/>
    </row>
    <row r="238" spans="1:35" ht="22.15" customHeight="1" x14ac:dyDescent="0.2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2" spans="1:35" ht="21" customHeight="1" thickBot="1" x14ac:dyDescent="0.25">
      <c r="A242" s="162" t="s">
        <v>300</v>
      </c>
    </row>
    <row r="243" spans="1:35" ht="21" customHeight="1" x14ac:dyDescent="0.2">
      <c r="B243" s="530" t="s">
        <v>267</v>
      </c>
      <c r="C243" s="500"/>
      <c r="D243" s="516" t="s">
        <v>90</v>
      </c>
      <c r="E243" s="473"/>
      <c r="F243" s="504"/>
      <c r="G243" s="500"/>
      <c r="H243" s="516" t="s">
        <v>91</v>
      </c>
      <c r="I243" s="473"/>
      <c r="J243" s="504"/>
      <c r="K243" s="500"/>
      <c r="L243" s="516" t="s">
        <v>92</v>
      </c>
      <c r="M243" s="473"/>
      <c r="N243" s="504"/>
      <c r="O243" s="500"/>
      <c r="P243" s="516" t="s">
        <v>93</v>
      </c>
      <c r="Q243" s="473"/>
      <c r="R243" s="504"/>
      <c r="S243" s="500"/>
      <c r="T243" s="516" t="s">
        <v>94</v>
      </c>
      <c r="U243" s="473"/>
      <c r="V243" s="504"/>
      <c r="W243" s="500"/>
      <c r="X243" s="516" t="s">
        <v>95</v>
      </c>
      <c r="Y243" s="473"/>
      <c r="Z243" s="504"/>
      <c r="AA243" s="500"/>
      <c r="AB243" s="516" t="s">
        <v>96</v>
      </c>
      <c r="AC243" s="473"/>
      <c r="AD243" s="473"/>
      <c r="AE243" s="519" t="s">
        <v>97</v>
      </c>
      <c r="AF243" s="473"/>
      <c r="AG243" s="473"/>
      <c r="AH243" s="473"/>
      <c r="AI243" s="474"/>
    </row>
    <row r="244" spans="1:35" ht="21" customHeight="1" x14ac:dyDescent="0.2">
      <c r="B244" s="3"/>
      <c r="C244" s="156"/>
      <c r="D244" s="117"/>
      <c r="E244" s="166"/>
      <c r="F244" s="168"/>
      <c r="G244" s="156"/>
      <c r="H244" s="117"/>
      <c r="I244" s="166"/>
      <c r="J244" s="168"/>
      <c r="K244" s="156"/>
      <c r="L244" s="117"/>
      <c r="M244" s="166"/>
      <c r="N244" s="168"/>
      <c r="O244" s="156"/>
      <c r="P244" s="117"/>
      <c r="Q244" s="166"/>
      <c r="R244" s="168"/>
      <c r="S244" s="156"/>
      <c r="T244" s="117"/>
      <c r="U244" s="166"/>
      <c r="V244" s="168"/>
      <c r="W244" s="156"/>
      <c r="X244" s="117"/>
      <c r="Y244" s="166"/>
      <c r="Z244" s="168"/>
      <c r="AA244" s="156"/>
      <c r="AB244" s="117"/>
      <c r="AC244" s="166"/>
      <c r="AD244" s="166"/>
      <c r="AE244" s="118"/>
      <c r="AF244" s="166"/>
      <c r="AG244" s="14"/>
      <c r="AH244" s="14"/>
      <c r="AI244" s="119"/>
    </row>
    <row r="245" spans="1:35" ht="21" customHeight="1" x14ac:dyDescent="0.2">
      <c r="A245" s="110"/>
      <c r="B245" s="1890">
        <v>3701</v>
      </c>
      <c r="C245" s="1283" t="s">
        <v>272</v>
      </c>
      <c r="D245" s="1284"/>
      <c r="E245" s="166"/>
      <c r="F245" s="168"/>
      <c r="G245" s="1283" t="s">
        <v>272</v>
      </c>
      <c r="H245" s="117"/>
      <c r="I245" s="166"/>
      <c r="J245" s="168"/>
      <c r="K245" s="1283" t="s">
        <v>272</v>
      </c>
      <c r="L245" s="117"/>
      <c r="M245" s="166"/>
      <c r="N245" s="168"/>
      <c r="O245" s="1283" t="s">
        <v>272</v>
      </c>
      <c r="P245" s="117"/>
      <c r="Q245" s="166"/>
      <c r="R245" s="168"/>
      <c r="S245" s="156" t="s">
        <v>273</v>
      </c>
      <c r="T245" s="117"/>
      <c r="U245" s="166"/>
      <c r="V245" s="168"/>
      <c r="W245" s="156"/>
      <c r="X245" s="117"/>
      <c r="Y245" s="166"/>
      <c r="Z245" s="168"/>
      <c r="AA245" s="156"/>
      <c r="AB245" s="117"/>
      <c r="AC245" s="166"/>
      <c r="AD245" s="166"/>
      <c r="AE245" s="118"/>
      <c r="AF245" s="166"/>
      <c r="AG245" s="14"/>
      <c r="AH245" s="14"/>
      <c r="AI245" s="119"/>
    </row>
    <row r="246" spans="1:35" ht="21" customHeight="1" x14ac:dyDescent="0.2">
      <c r="B246" s="1890"/>
      <c r="C246" s="1283"/>
      <c r="D246" s="1284"/>
      <c r="E246" s="166"/>
      <c r="F246" s="168"/>
      <c r="G246" s="1283"/>
      <c r="H246" s="117"/>
      <c r="I246" s="166"/>
      <c r="J246" s="168"/>
      <c r="K246" s="1283"/>
      <c r="L246" s="117"/>
      <c r="M246" s="166"/>
      <c r="N246" s="168"/>
      <c r="O246" s="1283"/>
      <c r="P246" s="117"/>
      <c r="Q246" s="166"/>
      <c r="R246" s="168"/>
      <c r="S246" s="1283"/>
      <c r="T246" s="117"/>
      <c r="U246" s="166"/>
      <c r="V246" s="168"/>
      <c r="W246" s="156"/>
      <c r="X246" s="117"/>
      <c r="Y246" s="166"/>
      <c r="Z246" s="168"/>
      <c r="AA246" s="156"/>
      <c r="AB246" s="117"/>
      <c r="AC246" s="166"/>
      <c r="AD246" s="166"/>
      <c r="AE246" s="118"/>
      <c r="AF246" s="166"/>
      <c r="AG246" s="14"/>
      <c r="AH246" s="14"/>
      <c r="AI246" s="119"/>
    </row>
    <row r="247" spans="1:35" ht="21" customHeight="1" x14ac:dyDescent="0.2">
      <c r="B247" s="1890">
        <v>3702</v>
      </c>
      <c r="C247" s="1283" t="s">
        <v>301</v>
      </c>
      <c r="D247" s="1284"/>
      <c r="E247" s="166"/>
      <c r="F247" s="168"/>
      <c r="G247" s="1283" t="s">
        <v>301</v>
      </c>
      <c r="H247" s="1284"/>
      <c r="I247" s="166"/>
      <c r="J247" s="168"/>
      <c r="K247" s="1283" t="s">
        <v>301</v>
      </c>
      <c r="L247" s="1284"/>
      <c r="M247" s="166"/>
      <c r="N247" s="168"/>
      <c r="O247" s="1283" t="s">
        <v>301</v>
      </c>
      <c r="P247" s="1284"/>
      <c r="Q247" s="166"/>
      <c r="R247" s="168"/>
      <c r="S247" s="1283" t="s">
        <v>302</v>
      </c>
      <c r="T247" s="1284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B248" s="1890"/>
      <c r="C248" s="1391"/>
      <c r="D248" s="1284"/>
      <c r="E248" s="166"/>
      <c r="F248" s="168"/>
      <c r="G248" s="117"/>
      <c r="H248" s="117"/>
      <c r="I248" s="166"/>
      <c r="J248" s="168"/>
      <c r="K248" s="117"/>
      <c r="L248" s="117"/>
      <c r="M248" s="166"/>
      <c r="N248" s="168"/>
      <c r="O248" s="117"/>
      <c r="P248" s="117"/>
      <c r="Q248" s="166"/>
      <c r="R248" s="168"/>
      <c r="S248" s="117"/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1890" t="s">
        <v>139</v>
      </c>
      <c r="C249" s="1391" t="s">
        <v>303</v>
      </c>
      <c r="D249" s="1284"/>
      <c r="E249" s="166"/>
      <c r="F249" s="168"/>
      <c r="G249" s="1391" t="s">
        <v>303</v>
      </c>
      <c r="H249" s="1284"/>
      <c r="I249" s="166"/>
      <c r="J249" s="168"/>
      <c r="K249" s="1391" t="s">
        <v>303</v>
      </c>
      <c r="L249" s="1284"/>
      <c r="M249" s="166"/>
      <c r="N249" s="168"/>
      <c r="O249" s="1391" t="s">
        <v>303</v>
      </c>
      <c r="P249" s="1284"/>
      <c r="Q249" s="166"/>
      <c r="R249" s="168"/>
      <c r="S249" s="117" t="s">
        <v>304</v>
      </c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x14ac:dyDescent="0.2">
      <c r="B250" s="1890" t="s">
        <v>143</v>
      </c>
      <c r="C250" s="1391" t="s">
        <v>305</v>
      </c>
      <c r="D250" s="1284"/>
      <c r="E250" s="166"/>
      <c r="F250" s="168"/>
      <c r="G250" s="1391" t="s">
        <v>305</v>
      </c>
      <c r="H250" s="1284"/>
      <c r="I250" s="166"/>
      <c r="J250" s="168"/>
      <c r="K250" s="1391" t="s">
        <v>305</v>
      </c>
      <c r="L250" s="1284"/>
      <c r="M250" s="166"/>
      <c r="N250" s="168"/>
      <c r="O250" s="1391" t="s">
        <v>305</v>
      </c>
      <c r="P250" s="1284"/>
      <c r="Q250" s="166"/>
      <c r="R250" s="168"/>
      <c r="S250" s="117" t="s">
        <v>306</v>
      </c>
      <c r="T250" s="117"/>
      <c r="U250" s="166"/>
      <c r="V250" s="168"/>
      <c r="W250" s="156"/>
      <c r="X250" s="117"/>
      <c r="Y250" s="166"/>
      <c r="Z250" s="168"/>
      <c r="AA250" s="156"/>
      <c r="AB250" s="117"/>
      <c r="AC250" s="166"/>
      <c r="AD250" s="166"/>
      <c r="AE250" s="118"/>
      <c r="AF250" s="166"/>
      <c r="AG250" s="14"/>
      <c r="AH250" s="14"/>
      <c r="AI250" s="119"/>
    </row>
    <row r="251" spans="1:35" ht="21" customHeight="1" thickBot="1" x14ac:dyDescent="0.25">
      <c r="B251" s="1089" t="s">
        <v>153</v>
      </c>
      <c r="C251" s="1404" t="s">
        <v>307</v>
      </c>
      <c r="D251" s="1892"/>
      <c r="E251" s="1506"/>
      <c r="F251" s="1507"/>
      <c r="G251" s="1404" t="s">
        <v>307</v>
      </c>
      <c r="H251" s="1892"/>
      <c r="I251" s="1506"/>
      <c r="J251" s="1507"/>
      <c r="K251" s="1404" t="s">
        <v>307</v>
      </c>
      <c r="L251" s="1892"/>
      <c r="M251" s="1506"/>
      <c r="N251" s="1507"/>
      <c r="O251" s="1404" t="s">
        <v>307</v>
      </c>
      <c r="P251" s="1892"/>
      <c r="Q251" s="1506"/>
      <c r="R251" s="1507"/>
      <c r="S251" s="1508" t="s">
        <v>308</v>
      </c>
      <c r="T251" s="1508"/>
      <c r="U251" s="1506"/>
      <c r="V251" s="1507"/>
      <c r="W251" s="1094"/>
      <c r="X251" s="1508"/>
      <c r="Y251" s="1510"/>
      <c r="Z251" s="1511"/>
      <c r="AA251" s="1097"/>
      <c r="AB251" s="1508"/>
      <c r="AC251" s="1510"/>
      <c r="AD251" s="1510"/>
      <c r="AE251" s="1098"/>
      <c r="AF251" s="1510"/>
      <c r="AG251" s="1506"/>
      <c r="AH251" s="1506"/>
      <c r="AI251" s="1099"/>
    </row>
    <row r="252" spans="1:35" ht="21" customHeight="1" x14ac:dyDescent="0.2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 x14ac:dyDescent="0.2">
      <c r="A253" s="123" t="s">
        <v>309</v>
      </c>
    </row>
    <row r="254" spans="1:35" ht="21" customHeight="1" thickBot="1" x14ac:dyDescent="0.25">
      <c r="A254" s="1343"/>
      <c r="B254" s="1247" t="s">
        <v>29</v>
      </c>
      <c r="C254" s="1185">
        <v>1</v>
      </c>
      <c r="D254" s="1185">
        <v>2</v>
      </c>
      <c r="E254" s="1186">
        <v>3</v>
      </c>
      <c r="F254" s="1186">
        <v>4</v>
      </c>
      <c r="G254" s="1186">
        <v>5</v>
      </c>
      <c r="H254" s="1186">
        <v>6</v>
      </c>
      <c r="I254" s="1186">
        <v>7</v>
      </c>
      <c r="J254" s="1185">
        <v>8</v>
      </c>
      <c r="K254" s="1185">
        <v>9</v>
      </c>
      <c r="L254" s="1186">
        <v>10</v>
      </c>
      <c r="M254" s="1186">
        <v>11</v>
      </c>
      <c r="N254" s="1186">
        <v>12</v>
      </c>
      <c r="O254" s="1186">
        <v>13</v>
      </c>
      <c r="P254" s="1186">
        <v>14</v>
      </c>
      <c r="Q254" s="1185">
        <v>15</v>
      </c>
      <c r="R254" s="1185">
        <v>16</v>
      </c>
      <c r="S254" s="1186">
        <v>17</v>
      </c>
      <c r="T254" s="1186">
        <v>18</v>
      </c>
      <c r="U254" s="1186">
        <v>19</v>
      </c>
      <c r="V254" s="1186">
        <v>20</v>
      </c>
      <c r="W254" s="1186">
        <v>21</v>
      </c>
      <c r="X254" s="1185">
        <v>22</v>
      </c>
      <c r="Y254" s="1185">
        <v>23</v>
      </c>
      <c r="Z254" s="1186">
        <v>24</v>
      </c>
      <c r="AA254" s="1186">
        <v>25</v>
      </c>
      <c r="AB254" s="1186">
        <v>26</v>
      </c>
      <c r="AC254" s="1186">
        <v>27</v>
      </c>
      <c r="AD254" s="1186">
        <v>28</v>
      </c>
      <c r="AE254" s="1185">
        <v>29</v>
      </c>
      <c r="AF254" s="1185">
        <v>30</v>
      </c>
      <c r="AG254" s="1931">
        <v>31</v>
      </c>
      <c r="AH254" s="184"/>
      <c r="AI254" s="185"/>
    </row>
    <row r="255" spans="1:35" ht="21" customHeight="1" x14ac:dyDescent="0.2">
      <c r="A255" s="531">
        <v>3701</v>
      </c>
      <c r="B255" s="476"/>
      <c r="C255" s="1629"/>
      <c r="D255" s="1629"/>
      <c r="E255" s="1629" t="s">
        <v>31</v>
      </c>
      <c r="F255" s="1636" t="s">
        <v>31</v>
      </c>
      <c r="G255" s="1636" t="s">
        <v>31</v>
      </c>
      <c r="H255" s="1629" t="s">
        <v>31</v>
      </c>
      <c r="I255" s="1629" t="s">
        <v>31</v>
      </c>
      <c r="J255" s="1629"/>
      <c r="K255" s="1629"/>
      <c r="L255" s="1629" t="s">
        <v>31</v>
      </c>
      <c r="M255" s="1629" t="s">
        <v>31</v>
      </c>
      <c r="N255" s="1612" t="s">
        <v>31</v>
      </c>
      <c r="O255" s="1629" t="s">
        <v>31</v>
      </c>
      <c r="P255" s="1629" t="s">
        <v>31</v>
      </c>
      <c r="Q255" s="1629"/>
      <c r="R255" s="1629"/>
      <c r="S255" s="1629" t="s">
        <v>31</v>
      </c>
      <c r="T255" s="1629" t="s">
        <v>31</v>
      </c>
      <c r="U255" s="1629" t="s">
        <v>31</v>
      </c>
      <c r="V255" s="1629" t="s">
        <v>31</v>
      </c>
      <c r="W255" s="1629" t="s">
        <v>31</v>
      </c>
      <c r="X255" s="1629"/>
      <c r="Y255" s="1628"/>
      <c r="Z255" s="1628" t="s">
        <v>31</v>
      </c>
      <c r="AA255" s="1628" t="s">
        <v>31</v>
      </c>
      <c r="AB255" s="1629" t="s">
        <v>31</v>
      </c>
      <c r="AC255" s="1629" t="s">
        <v>31</v>
      </c>
      <c r="AD255" s="1629" t="s">
        <v>31</v>
      </c>
      <c r="AE255" s="1629"/>
      <c r="AF255" s="1629"/>
      <c r="AG255" s="478" t="s">
        <v>31</v>
      </c>
      <c r="AH255" s="189"/>
      <c r="AI255" s="190"/>
    </row>
    <row r="256" spans="1:35" ht="21" customHeight="1" x14ac:dyDescent="0.2">
      <c r="A256" s="1893">
        <v>3702</v>
      </c>
      <c r="B256" s="1202" t="s">
        <v>310</v>
      </c>
      <c r="C256" s="1629"/>
      <c r="D256" s="1629"/>
      <c r="E256" s="1629" t="s">
        <v>31</v>
      </c>
      <c r="F256" s="1636" t="s">
        <v>31</v>
      </c>
      <c r="G256" s="1636" t="s">
        <v>31</v>
      </c>
      <c r="H256" s="1629" t="s">
        <v>31</v>
      </c>
      <c r="I256" s="1629" t="s">
        <v>31</v>
      </c>
      <c r="J256" s="1629"/>
      <c r="K256" s="1629"/>
      <c r="L256" s="1712" t="s">
        <v>31</v>
      </c>
      <c r="M256" s="1712" t="s">
        <v>31</v>
      </c>
      <c r="N256" s="1712" t="s">
        <v>31</v>
      </c>
      <c r="O256" s="1712" t="s">
        <v>31</v>
      </c>
      <c r="P256" s="1712" t="s">
        <v>31</v>
      </c>
      <c r="Q256" s="1712"/>
      <c r="R256" s="1712"/>
      <c r="S256" s="1712" t="s">
        <v>31</v>
      </c>
      <c r="T256" s="1712" t="s">
        <v>31</v>
      </c>
      <c r="U256" s="1712" t="s">
        <v>31</v>
      </c>
      <c r="V256" s="1712" t="s">
        <v>31</v>
      </c>
      <c r="W256" s="1712" t="s">
        <v>31</v>
      </c>
      <c r="X256" s="1712"/>
      <c r="Y256" s="1712"/>
      <c r="Z256" s="1628" t="s">
        <v>31</v>
      </c>
      <c r="AA256" s="1628" t="s">
        <v>31</v>
      </c>
      <c r="AB256" s="1629" t="s">
        <v>31</v>
      </c>
      <c r="AC256" s="1629" t="s">
        <v>31</v>
      </c>
      <c r="AD256" s="1629" t="s">
        <v>31</v>
      </c>
      <c r="AE256" s="1629"/>
      <c r="AF256" s="1629"/>
      <c r="AG256" s="1261" t="s">
        <v>31</v>
      </c>
      <c r="AH256" s="189"/>
      <c r="AI256" s="190"/>
    </row>
    <row r="257" spans="1:35" ht="21" customHeight="1" x14ac:dyDescent="0.2">
      <c r="A257" s="1893"/>
      <c r="B257" s="1202"/>
      <c r="C257" s="1259"/>
      <c r="D257" s="1259"/>
      <c r="E257" s="1259"/>
      <c r="F257" s="1259"/>
      <c r="G257" s="1259"/>
      <c r="H257" s="1259"/>
      <c r="I257" s="1259"/>
      <c r="J257" s="1259"/>
      <c r="K257" s="1259"/>
      <c r="L257" s="1259"/>
      <c r="M257" s="1894"/>
      <c r="N257" s="1259"/>
      <c r="O257" s="1259"/>
      <c r="P257" s="1259"/>
      <c r="Q257" s="1259"/>
      <c r="R257" s="1259"/>
      <c r="S257" s="1259"/>
      <c r="T257" s="1259"/>
      <c r="U257" s="1259"/>
      <c r="V257" s="1259"/>
      <c r="W257" s="1259"/>
      <c r="X257" s="1259"/>
      <c r="Y257" s="1259"/>
      <c r="Z257" s="1259"/>
      <c r="AA257" s="1259"/>
      <c r="AB257" s="1259"/>
      <c r="AC257" s="1259"/>
      <c r="AD257" s="1259"/>
      <c r="AE257" s="1259"/>
      <c r="AF257" s="1259"/>
      <c r="AG257" s="1261"/>
      <c r="AH257" s="189"/>
      <c r="AI257" s="190"/>
    </row>
    <row r="258" spans="1:35" ht="21" customHeight="1" thickBot="1" x14ac:dyDescent="0.25">
      <c r="A258" s="1895"/>
      <c r="B258" s="1896"/>
      <c r="C258" s="1254"/>
      <c r="D258" s="1254"/>
      <c r="E258" s="1254"/>
      <c r="F258" s="1254"/>
      <c r="G258" s="1254"/>
      <c r="H258" s="1254"/>
      <c r="I258" s="1254"/>
      <c r="J258" s="1254"/>
      <c r="K258" s="1254"/>
      <c r="L258" s="1254"/>
      <c r="M258" s="1254"/>
      <c r="N258" s="1254"/>
      <c r="O258" s="1254"/>
      <c r="P258" s="1254"/>
      <c r="Q258" s="1254"/>
      <c r="R258" s="1254"/>
      <c r="S258" s="1254"/>
      <c r="T258" s="1254"/>
      <c r="U258" s="1254"/>
      <c r="V258" s="1254"/>
      <c r="W258" s="1254"/>
      <c r="X258" s="1254"/>
      <c r="Y258" s="1254"/>
      <c r="Z258" s="1254"/>
      <c r="AA258" s="1254"/>
      <c r="AB258" s="1254"/>
      <c r="AC258" s="1254"/>
      <c r="AD258" s="1254"/>
      <c r="AE258" s="1254"/>
      <c r="AF258" s="1254"/>
      <c r="AG258" s="1945"/>
      <c r="AH258" s="189"/>
      <c r="AI258" s="190"/>
    </row>
    <row r="259" spans="1:35" ht="21" customHeight="1" x14ac:dyDescent="0.2">
      <c r="A259" s="251"/>
      <c r="B259" s="1897" t="s">
        <v>311</v>
      </c>
      <c r="C259" s="1898"/>
      <c r="D259" s="1898"/>
      <c r="E259" s="1898"/>
      <c r="F259" s="1898"/>
      <c r="G259" s="1898"/>
      <c r="H259" s="1898"/>
      <c r="I259" s="1898"/>
      <c r="J259" s="1898"/>
      <c r="K259" s="1898"/>
      <c r="L259" s="1898"/>
      <c r="M259" s="1898"/>
      <c r="N259" s="1898"/>
      <c r="O259" s="1898"/>
      <c r="P259" s="1898"/>
      <c r="Q259" s="1898"/>
      <c r="R259" s="1898"/>
      <c r="S259" s="1898"/>
      <c r="T259" s="1898"/>
      <c r="U259" s="1898"/>
      <c r="V259" s="1898"/>
      <c r="W259" s="1898"/>
      <c r="X259" s="1898"/>
      <c r="Y259" s="1898"/>
      <c r="Z259" s="1898"/>
      <c r="AA259" s="1898"/>
      <c r="AB259" s="1898"/>
      <c r="AC259" s="1898"/>
      <c r="AD259" s="1898"/>
      <c r="AE259" s="1898"/>
      <c r="AF259" s="1898"/>
      <c r="AG259" s="1899"/>
      <c r="AH259" s="187"/>
      <c r="AI259" s="188"/>
    </row>
    <row r="260" spans="1:35" ht="21" customHeight="1" x14ac:dyDescent="0.2">
      <c r="A260" s="1893">
        <v>3702</v>
      </c>
      <c r="B260" s="2011" t="s">
        <v>312</v>
      </c>
      <c r="C260" s="1259"/>
      <c r="D260" s="1259"/>
      <c r="E260" s="1259" t="s">
        <v>313</v>
      </c>
      <c r="F260" s="1259" t="s">
        <v>313</v>
      </c>
      <c r="G260" s="1259" t="s">
        <v>313</v>
      </c>
      <c r="H260" s="1259" t="s">
        <v>313</v>
      </c>
      <c r="I260" s="1259" t="s">
        <v>313</v>
      </c>
      <c r="J260" s="1259"/>
      <c r="K260" s="1259"/>
      <c r="L260" s="1259" t="s">
        <v>313</v>
      </c>
      <c r="M260" s="1259" t="s">
        <v>313</v>
      </c>
      <c r="N260" s="1259" t="s">
        <v>313</v>
      </c>
      <c r="O260" s="1259" t="s">
        <v>313</v>
      </c>
      <c r="P260" s="1259" t="s">
        <v>313</v>
      </c>
      <c r="Q260" s="1259"/>
      <c r="R260" s="1259"/>
      <c r="S260" s="1259" t="s">
        <v>313</v>
      </c>
      <c r="T260" s="1259" t="s">
        <v>313</v>
      </c>
      <c r="U260" s="1259" t="s">
        <v>313</v>
      </c>
      <c r="V260" s="1259" t="s">
        <v>313</v>
      </c>
      <c r="W260" s="1259" t="s">
        <v>313</v>
      </c>
      <c r="X260" s="1259"/>
      <c r="Y260" s="1259"/>
      <c r="Z260" s="1259" t="s">
        <v>313</v>
      </c>
      <c r="AA260" s="1259" t="s">
        <v>313</v>
      </c>
      <c r="AB260" s="1270" t="s">
        <v>313</v>
      </c>
      <c r="AC260" s="1259" t="s">
        <v>313</v>
      </c>
      <c r="AD260" s="1275" t="s">
        <v>313</v>
      </c>
      <c r="AE260" s="1259"/>
      <c r="AF260" s="1259"/>
      <c r="AG260" s="1200" t="s">
        <v>313</v>
      </c>
      <c r="AH260" s="189"/>
      <c r="AI260" s="190"/>
    </row>
    <row r="261" spans="1:35" ht="21" customHeight="1" x14ac:dyDescent="0.2">
      <c r="A261" s="1893"/>
      <c r="B261" s="1865" t="s">
        <v>314</v>
      </c>
      <c r="C261" s="1200"/>
      <c r="D261" s="1200"/>
      <c r="E261" s="1200" t="s">
        <v>315</v>
      </c>
      <c r="F261" s="1200" t="s">
        <v>315</v>
      </c>
      <c r="G261" s="1200" t="s">
        <v>315</v>
      </c>
      <c r="H261" s="1200" t="s">
        <v>315</v>
      </c>
      <c r="I261" s="1200" t="s">
        <v>315</v>
      </c>
      <c r="J261" s="1200"/>
      <c r="K261" s="1200"/>
      <c r="L261" s="1259" t="s">
        <v>315</v>
      </c>
      <c r="M261" s="1259" t="s">
        <v>315</v>
      </c>
      <c r="N261" s="1259" t="s">
        <v>315</v>
      </c>
      <c r="O261" s="1259" t="s">
        <v>315</v>
      </c>
      <c r="P261" s="1259" t="s">
        <v>315</v>
      </c>
      <c r="Q261" s="1259"/>
      <c r="R261" s="1259"/>
      <c r="S261" s="1259" t="s">
        <v>315</v>
      </c>
      <c r="T261" s="1259" t="s">
        <v>315</v>
      </c>
      <c r="U261" s="1259" t="s">
        <v>315</v>
      </c>
      <c r="V261" s="1259" t="s">
        <v>315</v>
      </c>
      <c r="W261" s="1259" t="s">
        <v>315</v>
      </c>
      <c r="X261" s="1259"/>
      <c r="Y261" s="1259"/>
      <c r="Z261" s="1259" t="s">
        <v>315</v>
      </c>
      <c r="AA261" s="1259" t="s">
        <v>315</v>
      </c>
      <c r="AB261" s="1259" t="s">
        <v>315</v>
      </c>
      <c r="AC261" s="1259" t="s">
        <v>315</v>
      </c>
      <c r="AD261" s="1259" t="s">
        <v>315</v>
      </c>
      <c r="AE261" s="1259"/>
      <c r="AF261" s="1259"/>
      <c r="AG261" s="1259" t="s">
        <v>315</v>
      </c>
      <c r="AH261" s="189"/>
      <c r="AI261" s="190"/>
    </row>
    <row r="262" spans="1:35" ht="21" customHeight="1" thickBot="1" x14ac:dyDescent="0.25">
      <c r="A262" s="1112"/>
      <c r="B262" s="1872" t="s">
        <v>316</v>
      </c>
      <c r="C262" s="1256"/>
      <c r="D262" s="1256"/>
      <c r="E262" s="1256" t="s">
        <v>317</v>
      </c>
      <c r="F262" s="1256" t="s">
        <v>317</v>
      </c>
      <c r="G262" s="1256" t="s">
        <v>317</v>
      </c>
      <c r="H262" s="1256" t="s">
        <v>317</v>
      </c>
      <c r="I262" s="1256" t="s">
        <v>317</v>
      </c>
      <c r="J262" s="1256"/>
      <c r="K262" s="1256"/>
      <c r="L262" s="1256" t="s">
        <v>317</v>
      </c>
      <c r="M262" s="1256" t="s">
        <v>317</v>
      </c>
      <c r="N262" s="1256" t="s">
        <v>317</v>
      </c>
      <c r="O262" s="1256" t="s">
        <v>317</v>
      </c>
      <c r="P262" s="1256" t="s">
        <v>317</v>
      </c>
      <c r="Q262" s="1256"/>
      <c r="R262" s="1256"/>
      <c r="S262" s="1255" t="s">
        <v>317</v>
      </c>
      <c r="T262" s="1255" t="s">
        <v>317</v>
      </c>
      <c r="U262" s="1255" t="s">
        <v>317</v>
      </c>
      <c r="V262" s="1255" t="s">
        <v>317</v>
      </c>
      <c r="W262" s="1255" t="s">
        <v>317</v>
      </c>
      <c r="X262" s="1255"/>
      <c r="Y262" s="1255"/>
      <c r="Z262" s="1255" t="s">
        <v>317</v>
      </c>
      <c r="AA262" s="1255" t="s">
        <v>317</v>
      </c>
      <c r="AB262" s="1321" t="s">
        <v>380</v>
      </c>
      <c r="AC262" s="1186" t="s">
        <v>317</v>
      </c>
      <c r="AD262" s="1186" t="s">
        <v>317</v>
      </c>
      <c r="AE262" s="1255"/>
      <c r="AF262" s="1255"/>
      <c r="AG262" s="1255" t="s">
        <v>317</v>
      </c>
      <c r="AH262" s="189"/>
      <c r="AI262" s="190"/>
    </row>
    <row r="263" spans="1:35" ht="21" customHeight="1" x14ac:dyDescent="0.2"/>
    <row r="264" spans="1:35" ht="21" customHeight="1" x14ac:dyDescent="0.2"/>
    <row r="265" spans="1:35" ht="21" customHeight="1" thickBot="1" x14ac:dyDescent="0.25">
      <c r="A265" s="162" t="s">
        <v>318</v>
      </c>
    </row>
    <row r="266" spans="1:35" ht="21" customHeight="1" x14ac:dyDescent="0.2">
      <c r="B266" s="530" t="s">
        <v>267</v>
      </c>
      <c r="C266" s="500"/>
      <c r="D266" s="516" t="s">
        <v>90</v>
      </c>
      <c r="E266" s="473"/>
      <c r="F266" s="504"/>
      <c r="G266" s="500"/>
      <c r="H266" s="516" t="s">
        <v>91</v>
      </c>
      <c r="I266" s="473"/>
      <c r="J266" s="504"/>
      <c r="K266" s="500"/>
      <c r="L266" s="516" t="s">
        <v>92</v>
      </c>
      <c r="M266" s="473"/>
      <c r="N266" s="504"/>
      <c r="O266" s="500"/>
      <c r="P266" s="516" t="s">
        <v>93</v>
      </c>
      <c r="Q266" s="473"/>
      <c r="R266" s="504"/>
      <c r="S266" s="500"/>
      <c r="T266" s="516" t="s">
        <v>94</v>
      </c>
      <c r="U266" s="473"/>
      <c r="V266" s="504"/>
      <c r="W266" s="500"/>
      <c r="X266" s="516" t="s">
        <v>95</v>
      </c>
      <c r="Y266" s="473"/>
      <c r="Z266" s="504"/>
      <c r="AA266" s="500"/>
      <c r="AB266" s="516" t="s">
        <v>96</v>
      </c>
      <c r="AC266" s="473"/>
      <c r="AD266" s="473"/>
      <c r="AE266" s="519" t="s">
        <v>97</v>
      </c>
      <c r="AF266" s="473"/>
      <c r="AG266" s="473"/>
      <c r="AH266" s="473"/>
      <c r="AI266" s="474"/>
    </row>
    <row r="267" spans="1:35" ht="21" customHeight="1" x14ac:dyDescent="0.2">
      <c r="B267" s="3">
        <v>8500</v>
      </c>
      <c r="C267" s="1283" t="s">
        <v>319</v>
      </c>
      <c r="D267" s="117"/>
      <c r="E267" s="14"/>
      <c r="F267" s="116"/>
      <c r="G267" s="1283" t="s">
        <v>319</v>
      </c>
      <c r="H267" s="117"/>
      <c r="I267" s="14"/>
      <c r="J267" s="116"/>
      <c r="K267" s="1283" t="s">
        <v>319</v>
      </c>
      <c r="L267" s="117"/>
      <c r="M267" s="14"/>
      <c r="N267" s="116"/>
      <c r="O267" s="1283" t="s">
        <v>319</v>
      </c>
      <c r="P267" s="117"/>
      <c r="Q267" s="14"/>
      <c r="R267" s="116"/>
      <c r="S267" s="1283" t="s">
        <v>320</v>
      </c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 thickBot="1" x14ac:dyDescent="0.25">
      <c r="A268" s="110"/>
      <c r="B268" s="1115"/>
      <c r="C268" s="1116"/>
      <c r="D268" s="1528"/>
      <c r="E268" s="1506"/>
      <c r="F268" s="1507"/>
      <c r="G268" s="1116"/>
      <c r="H268" s="1508"/>
      <c r="I268" s="1506"/>
      <c r="J268" s="1507"/>
      <c r="K268" s="1116"/>
      <c r="L268" s="1508"/>
      <c r="M268" s="1506"/>
      <c r="N268" s="1507"/>
      <c r="O268" s="1116"/>
      <c r="P268" s="1508"/>
      <c r="Q268" s="1506"/>
      <c r="R268" s="1507"/>
      <c r="S268" s="1116"/>
      <c r="T268" s="1508"/>
      <c r="U268" s="1506"/>
      <c r="V268" s="1507"/>
      <c r="W268" s="1094"/>
      <c r="X268" s="1508"/>
      <c r="Y268" s="1506"/>
      <c r="Z268" s="1507"/>
      <c r="AA268" s="1094"/>
      <c r="AB268" s="1508"/>
      <c r="AC268" s="1506"/>
      <c r="AD268" s="1506"/>
      <c r="AE268" s="1098"/>
      <c r="AF268" s="1506"/>
      <c r="AG268" s="1506"/>
      <c r="AH268" s="1506"/>
      <c r="AI268" s="1099"/>
    </row>
    <row r="269" spans="1:35" ht="21" customHeight="1" x14ac:dyDescent="0.2">
      <c r="A269" s="16" t="s">
        <v>321</v>
      </c>
    </row>
    <row r="270" spans="1:35" ht="21" customHeight="1" thickBot="1" x14ac:dyDescent="0.25">
      <c r="A270" s="1118"/>
      <c r="B270" s="1119" t="s">
        <v>29</v>
      </c>
      <c r="C270" s="1185">
        <v>1</v>
      </c>
      <c r="D270" s="1185">
        <v>2</v>
      </c>
      <c r="E270" s="1186">
        <v>3</v>
      </c>
      <c r="F270" s="1186">
        <v>4</v>
      </c>
      <c r="G270" s="1186">
        <v>5</v>
      </c>
      <c r="H270" s="1186">
        <v>6</v>
      </c>
      <c r="I270" s="1186">
        <v>7</v>
      </c>
      <c r="J270" s="1185">
        <v>8</v>
      </c>
      <c r="K270" s="1185">
        <v>9</v>
      </c>
      <c r="L270" s="1186">
        <v>10</v>
      </c>
      <c r="M270" s="1186">
        <v>11</v>
      </c>
      <c r="N270" s="1186">
        <v>12</v>
      </c>
      <c r="O270" s="1186">
        <v>13</v>
      </c>
      <c r="P270" s="1186">
        <v>14</v>
      </c>
      <c r="Q270" s="1185">
        <v>15</v>
      </c>
      <c r="R270" s="1185">
        <v>16</v>
      </c>
      <c r="S270" s="1186">
        <v>17</v>
      </c>
      <c r="T270" s="1186">
        <v>18</v>
      </c>
      <c r="U270" s="1186">
        <v>19</v>
      </c>
      <c r="V270" s="1186">
        <v>20</v>
      </c>
      <c r="W270" s="1186">
        <v>21</v>
      </c>
      <c r="X270" s="1185">
        <v>22</v>
      </c>
      <c r="Y270" s="1185">
        <v>23</v>
      </c>
      <c r="Z270" s="1186">
        <v>24</v>
      </c>
      <c r="AA270" s="1186">
        <v>25</v>
      </c>
      <c r="AB270" s="1186">
        <v>26</v>
      </c>
      <c r="AC270" s="1186">
        <v>27</v>
      </c>
      <c r="AD270" s="1186">
        <v>28</v>
      </c>
      <c r="AE270" s="1185">
        <v>29</v>
      </c>
      <c r="AF270" s="1185">
        <v>30</v>
      </c>
      <c r="AG270" s="1931">
        <v>31</v>
      </c>
      <c r="AH270" s="184"/>
      <c r="AI270" s="185"/>
    </row>
    <row r="271" spans="1:35" ht="21" customHeight="1" x14ac:dyDescent="0.2">
      <c r="A271" s="8">
        <v>8500</v>
      </c>
      <c r="B271" s="157" t="s">
        <v>322</v>
      </c>
      <c r="C271" s="1712"/>
      <c r="D271" s="1712"/>
      <c r="E271" s="1712" t="s">
        <v>31</v>
      </c>
      <c r="F271" s="1712" t="s">
        <v>31</v>
      </c>
      <c r="G271" s="1712" t="s">
        <v>31</v>
      </c>
      <c r="H271" s="1725" t="s">
        <v>31</v>
      </c>
      <c r="I271" s="1725" t="s">
        <v>31</v>
      </c>
      <c r="J271" s="1725"/>
      <c r="K271" s="1725"/>
      <c r="L271" s="1629" t="s">
        <v>31</v>
      </c>
      <c r="M271" s="1629" t="s">
        <v>31</v>
      </c>
      <c r="N271" s="1612" t="s">
        <v>31</v>
      </c>
      <c r="O271" s="1629" t="s">
        <v>31</v>
      </c>
      <c r="P271" s="1629" t="s">
        <v>31</v>
      </c>
      <c r="Q271" s="1629"/>
      <c r="R271" s="1629"/>
      <c r="S271" s="1629" t="s">
        <v>31</v>
      </c>
      <c r="T271" s="1629" t="s">
        <v>31</v>
      </c>
      <c r="U271" s="1629" t="s">
        <v>31</v>
      </c>
      <c r="V271" s="1629" t="s">
        <v>31</v>
      </c>
      <c r="W271" s="1629" t="s">
        <v>31</v>
      </c>
      <c r="X271" s="1629"/>
      <c r="Y271" s="1628"/>
      <c r="Z271" s="1628" t="s">
        <v>31</v>
      </c>
      <c r="AA271" s="1628" t="s">
        <v>31</v>
      </c>
      <c r="AB271" s="1629" t="s">
        <v>31</v>
      </c>
      <c r="AC271" s="1623" t="s">
        <v>289</v>
      </c>
      <c r="AD271" s="1629" t="s">
        <v>31</v>
      </c>
      <c r="AE271" s="1629"/>
      <c r="AF271" s="1629"/>
      <c r="AG271" s="1629" t="s">
        <v>31</v>
      </c>
      <c r="AH271" s="196"/>
      <c r="AI271" s="197"/>
    </row>
    <row r="272" spans="1:35" ht="21" customHeight="1" x14ac:dyDescent="0.2">
      <c r="A272" s="1191"/>
      <c r="B272" s="1901" t="s">
        <v>323</v>
      </c>
      <c r="C272" s="1629"/>
      <c r="D272" s="1629"/>
      <c r="E272" s="1629" t="s">
        <v>31</v>
      </c>
      <c r="F272" s="1636" t="s">
        <v>31</v>
      </c>
      <c r="G272" s="1636" t="s">
        <v>31</v>
      </c>
      <c r="H272" s="1629" t="s">
        <v>31</v>
      </c>
      <c r="I272" s="1629" t="s">
        <v>31</v>
      </c>
      <c r="J272" s="1629"/>
      <c r="K272" s="1629"/>
      <c r="L272" s="1629" t="s">
        <v>31</v>
      </c>
      <c r="M272" s="1629" t="s">
        <v>31</v>
      </c>
      <c r="N272" s="1612" t="s">
        <v>31</v>
      </c>
      <c r="O272" s="1629" t="s">
        <v>31</v>
      </c>
      <c r="P272" s="1629" t="s">
        <v>31</v>
      </c>
      <c r="Q272" s="1629"/>
      <c r="R272" s="1629"/>
      <c r="S272" s="1712" t="s">
        <v>31</v>
      </c>
      <c r="T272" s="1712" t="s">
        <v>31</v>
      </c>
      <c r="U272" s="1712" t="s">
        <v>31</v>
      </c>
      <c r="V272" s="1712" t="s">
        <v>31</v>
      </c>
      <c r="W272" s="1712" t="s">
        <v>31</v>
      </c>
      <c r="X272" s="1712"/>
      <c r="Y272" s="1712"/>
      <c r="Z272" s="1712" t="s">
        <v>31</v>
      </c>
      <c r="AA272" s="1712" t="s">
        <v>31</v>
      </c>
      <c r="AB272" s="1712" t="s">
        <v>31</v>
      </c>
      <c r="AC272" s="1712" t="s">
        <v>31</v>
      </c>
      <c r="AD272" s="1712" t="s">
        <v>31</v>
      </c>
      <c r="AE272" s="1712"/>
      <c r="AF272" s="1712"/>
      <c r="AG272" s="1712" t="s">
        <v>31</v>
      </c>
      <c r="AH272" s="196"/>
      <c r="AI272" s="197"/>
    </row>
    <row r="273" spans="1:35" ht="22.15" customHeight="1" x14ac:dyDescent="0.2">
      <c r="A273" s="1902"/>
      <c r="B273" s="1901" t="s">
        <v>324</v>
      </c>
      <c r="C273" s="1712"/>
      <c r="D273" s="1712"/>
      <c r="E273" s="1712" t="s">
        <v>31</v>
      </c>
      <c r="F273" s="1712" t="s">
        <v>31</v>
      </c>
      <c r="G273" s="1712" t="s">
        <v>31</v>
      </c>
      <c r="H273" s="1712" t="s">
        <v>31</v>
      </c>
      <c r="I273" s="1712" t="s">
        <v>31</v>
      </c>
      <c r="J273" s="1712"/>
      <c r="K273" s="1712"/>
      <c r="L273" s="1712" t="s">
        <v>31</v>
      </c>
      <c r="M273" s="1712" t="s">
        <v>31</v>
      </c>
      <c r="N273" s="1712" t="s">
        <v>31</v>
      </c>
      <c r="O273" s="1712" t="s">
        <v>31</v>
      </c>
      <c r="P273" s="1712" t="s">
        <v>31</v>
      </c>
      <c r="Q273" s="1712"/>
      <c r="R273" s="1712"/>
      <c r="S273" s="1629" t="s">
        <v>31</v>
      </c>
      <c r="T273" s="1629" t="s">
        <v>31</v>
      </c>
      <c r="U273" s="1623" t="s">
        <v>381</v>
      </c>
      <c r="V273" s="1734" t="s">
        <v>31</v>
      </c>
      <c r="W273" s="1734" t="s">
        <v>31</v>
      </c>
      <c r="X273" s="1629"/>
      <c r="Y273" s="1628"/>
      <c r="Z273" s="1628" t="s">
        <v>31</v>
      </c>
      <c r="AA273" s="1628" t="s">
        <v>31</v>
      </c>
      <c r="AB273" s="1629" t="s">
        <v>31</v>
      </c>
      <c r="AC273" s="1629" t="s">
        <v>31</v>
      </c>
      <c r="AD273" s="1629" t="s">
        <v>31</v>
      </c>
      <c r="AE273" s="1629"/>
      <c r="AF273" s="1629"/>
      <c r="AG273" s="1623" t="s">
        <v>31</v>
      </c>
      <c r="AH273" s="196"/>
      <c r="AI273" s="197"/>
    </row>
    <row r="274" spans="1:35" ht="22.15" customHeight="1" x14ac:dyDescent="0.2">
      <c r="A274" s="102"/>
      <c r="B274" s="1904"/>
      <c r="C274" s="1629"/>
      <c r="D274" s="1629"/>
      <c r="E274" s="1629"/>
      <c r="F274" s="1629"/>
      <c r="G274" s="1629"/>
      <c r="H274" s="1629"/>
      <c r="I274" s="1629"/>
      <c r="J274" s="1629"/>
      <c r="K274" s="1629"/>
      <c r="L274" s="1629"/>
      <c r="M274" s="1629"/>
      <c r="N274" s="1629"/>
      <c r="O274" s="1629"/>
      <c r="P274" s="1629"/>
      <c r="Q274" s="1629"/>
      <c r="R274" s="1629"/>
      <c r="S274" s="1629"/>
      <c r="T274" s="1629"/>
      <c r="U274" s="1629"/>
      <c r="V274" s="1629"/>
      <c r="W274" s="1629"/>
      <c r="X274" s="1629"/>
      <c r="Y274" s="1629"/>
      <c r="Z274" s="1629"/>
      <c r="AA274" s="1629"/>
      <c r="AB274" s="1629"/>
      <c r="AC274" s="1629"/>
      <c r="AD274" s="1629"/>
      <c r="AE274" s="1629"/>
      <c r="AF274" s="1629"/>
      <c r="AG274" s="1636"/>
      <c r="AH274" s="196"/>
      <c r="AI274" s="197"/>
    </row>
    <row r="275" spans="1:35" ht="21" customHeight="1" x14ac:dyDescent="0.2">
      <c r="A275" s="1851"/>
      <c r="B275" s="1904"/>
      <c r="C275" s="1259"/>
      <c r="D275" s="1259"/>
      <c r="E275" s="1259"/>
      <c r="F275" s="1259"/>
      <c r="G275" s="1259"/>
      <c r="H275" s="1259"/>
      <c r="I275" s="1259"/>
      <c r="J275" s="1259"/>
      <c r="K275" s="1259"/>
      <c r="L275" s="1259"/>
      <c r="M275" s="1259"/>
      <c r="N275" s="1258"/>
      <c r="O275" s="1258"/>
      <c r="P275" s="1259"/>
      <c r="Q275" s="1259"/>
      <c r="R275" s="1259"/>
      <c r="S275" s="1259"/>
      <c r="T275" s="1259"/>
      <c r="U275" s="1259"/>
      <c r="V275" s="1259"/>
      <c r="W275" s="1259"/>
      <c r="X275" s="1259"/>
      <c r="Y275" s="1259"/>
      <c r="Z275" s="1259"/>
      <c r="AA275" s="1259"/>
      <c r="AB275" s="1258"/>
      <c r="AC275" s="1258"/>
      <c r="AD275" s="1259"/>
      <c r="AE275" s="1259"/>
      <c r="AF275" s="1259"/>
      <c r="AG275" s="1259"/>
      <c r="AH275" s="198"/>
      <c r="AI275" s="199"/>
    </row>
    <row r="276" spans="1:35" ht="22.15" customHeight="1" x14ac:dyDescent="0.2">
      <c r="A276" s="1534"/>
      <c r="B276" s="1905"/>
      <c r="C276" s="1259"/>
      <c r="D276" s="1259"/>
      <c r="E276" s="1259"/>
      <c r="F276" s="1259"/>
      <c r="G276" s="1259"/>
      <c r="H276" s="1259"/>
      <c r="I276" s="1259"/>
      <c r="J276" s="1259"/>
      <c r="K276" s="1259"/>
      <c r="L276" s="1259"/>
      <c r="M276" s="1259"/>
      <c r="N276" s="1258"/>
      <c r="O276" s="1258"/>
      <c r="P276" s="1259"/>
      <c r="Q276" s="1259"/>
      <c r="R276" s="1259"/>
      <c r="S276" s="1259"/>
      <c r="T276" s="1259"/>
      <c r="U276" s="1259"/>
      <c r="V276" s="1259"/>
      <c r="W276" s="1259"/>
      <c r="X276" s="1259"/>
      <c r="Y276" s="1259"/>
      <c r="Z276" s="1259"/>
      <c r="AA276" s="1259"/>
      <c r="AB276" s="1258"/>
      <c r="AC276" s="1258"/>
      <c r="AD276" s="1259"/>
      <c r="AE276" s="1259"/>
      <c r="AF276" s="1259"/>
      <c r="AG276" s="1259"/>
      <c r="AH276" s="198"/>
      <c r="AI276" s="199"/>
    </row>
    <row r="277" spans="1:35" ht="22.15" customHeight="1" thickBot="1" x14ac:dyDescent="0.25">
      <c r="A277" s="688"/>
      <c r="B277" s="685"/>
      <c r="C277" s="1126"/>
      <c r="D277" s="1127"/>
      <c r="E277" s="1127"/>
      <c r="F277" s="1127"/>
      <c r="G277" s="1127"/>
      <c r="H277" s="1127"/>
      <c r="I277" s="1127"/>
      <c r="J277" s="1127"/>
      <c r="K277" s="1127"/>
      <c r="L277" s="1127"/>
      <c r="M277" s="1127"/>
      <c r="N277" s="1128"/>
      <c r="O277" s="1128"/>
      <c r="P277" s="1127"/>
      <c r="Q277" s="1127"/>
      <c r="R277" s="1127"/>
      <c r="S277" s="1127"/>
      <c r="T277" s="1127"/>
      <c r="U277" s="1127"/>
      <c r="V277" s="1127"/>
      <c r="W277" s="1127"/>
      <c r="X277" s="1127"/>
      <c r="Y277" s="1127"/>
      <c r="Z277" s="1127"/>
      <c r="AA277" s="1127"/>
      <c r="AB277" s="1128"/>
      <c r="AC277" s="1128"/>
      <c r="AD277" s="1127"/>
      <c r="AE277" s="1127"/>
      <c r="AF277" s="1127"/>
      <c r="AG277" s="1129"/>
      <c r="AH277" s="198"/>
      <c r="AI277" s="199"/>
    </row>
    <row r="278" spans="1:35" ht="22.15" customHeight="1" x14ac:dyDescent="0.2">
      <c r="A278" s="262"/>
      <c r="B278" s="263"/>
      <c r="C278" s="255"/>
      <c r="D278" s="255"/>
      <c r="E278" s="255"/>
      <c r="F278" s="255"/>
      <c r="G278" s="255"/>
      <c r="H278" s="255"/>
      <c r="I278" s="255"/>
      <c r="J278" s="255"/>
      <c r="K278" s="255"/>
      <c r="L278" s="255"/>
      <c r="M278" s="255"/>
      <c r="N278" s="229"/>
      <c r="O278" s="229"/>
      <c r="P278" s="255"/>
      <c r="Q278" s="255"/>
      <c r="R278" s="255"/>
      <c r="S278" s="255"/>
      <c r="T278" s="255"/>
      <c r="U278" s="255"/>
      <c r="V278" s="255"/>
      <c r="W278" s="255"/>
      <c r="X278" s="255"/>
      <c r="Y278" s="255"/>
      <c r="Z278" s="255"/>
      <c r="AA278" s="255"/>
      <c r="AB278" s="229"/>
      <c r="AC278" s="229"/>
      <c r="AD278" s="255"/>
      <c r="AE278" s="255"/>
      <c r="AF278" s="255"/>
      <c r="AG278" s="255"/>
      <c r="AH278" s="264"/>
      <c r="AI278" s="199"/>
    </row>
    <row r="279" spans="1:35" ht="24" customHeight="1" x14ac:dyDescent="0.2"/>
    <row r="280" spans="1:35" ht="25.5" customHeight="1" thickBot="1" x14ac:dyDescent="0.25">
      <c r="A280" s="162" t="s">
        <v>325</v>
      </c>
    </row>
    <row r="281" spans="1:35" ht="21" customHeight="1" x14ac:dyDescent="0.2">
      <c r="A281" s="1"/>
      <c r="B281" s="530" t="s">
        <v>267</v>
      </c>
      <c r="C281" s="500"/>
      <c r="D281" s="516" t="s">
        <v>90</v>
      </c>
      <c r="E281" s="473"/>
      <c r="F281" s="504"/>
      <c r="G281" s="500"/>
      <c r="H281" s="516" t="s">
        <v>91</v>
      </c>
      <c r="I281" s="473"/>
      <c r="J281" s="504"/>
      <c r="K281" s="500"/>
      <c r="L281" s="516" t="s">
        <v>92</v>
      </c>
      <c r="M281" s="473"/>
      <c r="N281" s="504"/>
      <c r="O281" s="500"/>
      <c r="P281" s="516" t="s">
        <v>93</v>
      </c>
      <c r="Q281" s="473"/>
      <c r="R281" s="504"/>
      <c r="S281" s="500"/>
      <c r="T281" s="516" t="s">
        <v>94</v>
      </c>
      <c r="U281" s="473"/>
      <c r="V281" s="504"/>
      <c r="W281" s="500"/>
      <c r="X281" s="516" t="s">
        <v>95</v>
      </c>
      <c r="Y281" s="473"/>
      <c r="Z281" s="504"/>
      <c r="AA281" s="500"/>
      <c r="AB281" s="516" t="s">
        <v>96</v>
      </c>
      <c r="AC281" s="473"/>
      <c r="AD281" s="473"/>
      <c r="AE281" s="519" t="s">
        <v>97</v>
      </c>
      <c r="AF281" s="473"/>
      <c r="AG281" s="473"/>
      <c r="AH281" s="473"/>
      <c r="AI281" s="474"/>
    </row>
    <row r="282" spans="1:35" ht="21" customHeight="1" x14ac:dyDescent="0.2">
      <c r="A282" s="1"/>
      <c r="B282" s="3"/>
      <c r="C282" s="8"/>
      <c r="D282" s="117"/>
      <c r="E282" s="14"/>
      <c r="F282" s="116"/>
      <c r="G282" s="8"/>
      <c r="H282" s="117"/>
      <c r="I282" s="14"/>
      <c r="J282" s="116"/>
      <c r="K282" s="8"/>
      <c r="L282" s="117"/>
      <c r="M282" s="14"/>
      <c r="N282" s="116"/>
      <c r="O282" s="8"/>
      <c r="P282" s="117"/>
      <c r="Q282" s="14"/>
      <c r="R282" s="116"/>
      <c r="S282" s="8"/>
      <c r="T282" s="117"/>
      <c r="U282" s="14"/>
      <c r="V282" s="116"/>
      <c r="W282" s="8"/>
      <c r="X282" s="117"/>
      <c r="Y282" s="14"/>
      <c r="Z282" s="116"/>
      <c r="AA282" s="8"/>
      <c r="AB282" s="117"/>
      <c r="AC282" s="14"/>
      <c r="AD282" s="14"/>
      <c r="AE282" s="118"/>
      <c r="AF282" s="14"/>
      <c r="AG282" s="14"/>
      <c r="AH282" s="14"/>
      <c r="AI282" s="119"/>
    </row>
    <row r="283" spans="1:35" ht="21" customHeight="1" x14ac:dyDescent="0.2">
      <c r="A283" s="110"/>
      <c r="B283" s="1890"/>
      <c r="C283" s="1283"/>
      <c r="D283" s="1167"/>
      <c r="E283" s="1167"/>
      <c r="F283" s="1393"/>
      <c r="G283" s="1283"/>
      <c r="H283" s="1167"/>
      <c r="I283" s="1167"/>
      <c r="J283" s="1393"/>
      <c r="K283" s="1283"/>
      <c r="L283" s="1167"/>
      <c r="M283" s="1167"/>
      <c r="N283" s="1393"/>
      <c r="O283" s="1283"/>
      <c r="P283" s="1167"/>
      <c r="Q283" s="1167"/>
      <c r="R283" s="1393"/>
      <c r="S283" s="1283"/>
      <c r="T283" s="1167"/>
      <c r="U283" s="1167"/>
      <c r="V283" s="1393"/>
      <c r="W283" s="1283"/>
      <c r="X283" s="1167"/>
      <c r="Y283" s="1167"/>
      <c r="Z283" s="1393"/>
      <c r="AA283" s="1391"/>
      <c r="AB283" s="1167"/>
      <c r="AC283" s="1167"/>
      <c r="AD283" s="1284"/>
      <c r="AE283" s="1906"/>
      <c r="AF283" s="1167"/>
      <c r="AG283" s="1167"/>
      <c r="AH283" s="1284"/>
      <c r="AI283" s="1176"/>
    </row>
    <row r="284" spans="1:35" ht="21" customHeight="1" thickBot="1" x14ac:dyDescent="0.25">
      <c r="A284" s="1"/>
      <c r="B284" s="1989"/>
      <c r="C284" s="1404"/>
      <c r="D284" s="1238"/>
      <c r="E284" s="1238"/>
      <c r="F284" s="1425"/>
      <c r="G284" s="1404"/>
      <c r="H284" s="1238"/>
      <c r="I284" s="1238"/>
      <c r="J284" s="1425"/>
      <c r="K284" s="1404"/>
      <c r="L284" s="1238"/>
      <c r="M284" s="1238"/>
      <c r="N284" s="1425"/>
      <c r="O284" s="1404"/>
      <c r="P284" s="1238"/>
      <c r="Q284" s="1238"/>
      <c r="R284" s="1425"/>
      <c r="S284" s="1404"/>
      <c r="T284" s="1238"/>
      <c r="U284" s="1238"/>
      <c r="V284" s="1425"/>
      <c r="W284" s="1423"/>
      <c r="X284" s="1238"/>
      <c r="Y284" s="1238"/>
      <c r="Z284" s="1425"/>
      <c r="AA284" s="1423"/>
      <c r="AB284" s="1238"/>
      <c r="AC284" s="1238"/>
      <c r="AD284" s="1411"/>
      <c r="AE284" s="1423"/>
      <c r="AF284" s="1238"/>
      <c r="AG284" s="1238"/>
      <c r="AH284" s="1411"/>
      <c r="AI284" s="1245"/>
    </row>
    <row r="285" spans="1:35" ht="21" customHeight="1" x14ac:dyDescent="0.2">
      <c r="A285" s="1"/>
      <c r="B285" s="18"/>
      <c r="C285" s="64"/>
      <c r="F285" s="69"/>
      <c r="G285" s="64"/>
      <c r="J285" s="69"/>
      <c r="K285" s="64"/>
      <c r="N285" s="69"/>
      <c r="O285" s="64"/>
      <c r="R285" s="69"/>
      <c r="S285" s="64"/>
      <c r="V285" s="69"/>
      <c r="W285" s="69"/>
      <c r="Z285" s="69"/>
      <c r="AA285" s="69"/>
      <c r="AD285" s="69"/>
      <c r="AE285" s="69"/>
      <c r="AH285" s="69"/>
    </row>
    <row r="286" spans="1:35" ht="33" customHeight="1" x14ac:dyDescent="0.2">
      <c r="A286" s="162" t="s">
        <v>326</v>
      </c>
      <c r="B286" s="18"/>
      <c r="C286" s="64"/>
      <c r="F286" s="69"/>
      <c r="G286" s="64"/>
      <c r="J286" s="69"/>
      <c r="K286" s="64"/>
      <c r="N286" s="69"/>
      <c r="O286" s="64"/>
      <c r="R286" s="69"/>
      <c r="S286" s="64"/>
      <c r="V286" s="69"/>
      <c r="W286" s="69"/>
      <c r="Z286" s="69"/>
      <c r="AA286" s="69"/>
      <c r="AD286" s="69"/>
      <c r="AE286" s="69"/>
      <c r="AH286" s="69"/>
    </row>
    <row r="287" spans="1:35" ht="21" customHeight="1" thickBot="1" x14ac:dyDescent="0.25">
      <c r="A287" s="1131" t="s">
        <v>28</v>
      </c>
      <c r="B287" s="1119" t="s">
        <v>29</v>
      </c>
      <c r="C287" s="1185">
        <v>1</v>
      </c>
      <c r="D287" s="1185">
        <v>2</v>
      </c>
      <c r="E287" s="1186">
        <v>3</v>
      </c>
      <c r="F287" s="1186">
        <v>4</v>
      </c>
      <c r="G287" s="1186">
        <v>5</v>
      </c>
      <c r="H287" s="1186">
        <v>6</v>
      </c>
      <c r="I287" s="1186">
        <v>7</v>
      </c>
      <c r="J287" s="1185">
        <v>8</v>
      </c>
      <c r="K287" s="1185">
        <v>9</v>
      </c>
      <c r="L287" s="1186">
        <v>10</v>
      </c>
      <c r="M287" s="1186">
        <v>11</v>
      </c>
      <c r="N287" s="1186">
        <v>12</v>
      </c>
      <c r="O287" s="1186">
        <v>13</v>
      </c>
      <c r="P287" s="1186">
        <v>14</v>
      </c>
      <c r="Q287" s="1185">
        <v>15</v>
      </c>
      <c r="R287" s="1185">
        <v>16</v>
      </c>
      <c r="S287" s="1186">
        <v>17</v>
      </c>
      <c r="T287" s="1186">
        <v>18</v>
      </c>
      <c r="U287" s="1186">
        <v>19</v>
      </c>
      <c r="V287" s="1186">
        <v>20</v>
      </c>
      <c r="W287" s="1186">
        <v>21</v>
      </c>
      <c r="X287" s="1185">
        <v>22</v>
      </c>
      <c r="Y287" s="1185">
        <v>23</v>
      </c>
      <c r="Z287" s="1186">
        <v>24</v>
      </c>
      <c r="AA287" s="1186">
        <v>25</v>
      </c>
      <c r="AB287" s="1186">
        <v>26</v>
      </c>
      <c r="AC287" s="1186">
        <v>27</v>
      </c>
      <c r="AD287" s="1186">
        <v>28</v>
      </c>
      <c r="AE287" s="1185">
        <v>29</v>
      </c>
      <c r="AF287" s="1185">
        <v>30</v>
      </c>
      <c r="AG287" s="1931">
        <v>31</v>
      </c>
      <c r="AH287" s="200"/>
      <c r="AI287" s="185"/>
    </row>
    <row r="288" spans="1:35" ht="21" customHeight="1" x14ac:dyDescent="0.2">
      <c r="A288" s="88"/>
      <c r="B288" s="158" t="s">
        <v>327</v>
      </c>
      <c r="C288" s="1629"/>
      <c r="D288" s="1629"/>
      <c r="E288" s="1629" t="s">
        <v>31</v>
      </c>
      <c r="F288" s="1636" t="s">
        <v>31</v>
      </c>
      <c r="G288" s="1636" t="s">
        <v>31</v>
      </c>
      <c r="H288" s="1629" t="s">
        <v>31</v>
      </c>
      <c r="I288" s="1629" t="s">
        <v>31</v>
      </c>
      <c r="J288" s="1629"/>
      <c r="K288" s="1629"/>
      <c r="L288" s="1712" t="s">
        <v>31</v>
      </c>
      <c r="M288" s="1712" t="s">
        <v>31</v>
      </c>
      <c r="N288" s="1712" t="s">
        <v>31</v>
      </c>
      <c r="O288" s="1629" t="s">
        <v>31</v>
      </c>
      <c r="P288" s="1629" t="s">
        <v>31</v>
      </c>
      <c r="Q288" s="1629"/>
      <c r="R288" s="1629"/>
      <c r="S288" s="1629" t="s">
        <v>31</v>
      </c>
      <c r="T288" s="1629" t="s">
        <v>31</v>
      </c>
      <c r="U288" s="1629" t="s">
        <v>31</v>
      </c>
      <c r="V288" s="1629" t="s">
        <v>31</v>
      </c>
      <c r="W288" s="1629" t="s">
        <v>31</v>
      </c>
      <c r="X288" s="1629"/>
      <c r="Y288" s="1628"/>
      <c r="Z288" s="1628" t="s">
        <v>31</v>
      </c>
      <c r="AA288" s="1628" t="s">
        <v>31</v>
      </c>
      <c r="AB288" s="1629" t="s">
        <v>31</v>
      </c>
      <c r="AC288" s="1629" t="s">
        <v>31</v>
      </c>
      <c r="AD288" s="1629" t="s">
        <v>31</v>
      </c>
      <c r="AE288" s="1629"/>
      <c r="AF288" s="1629"/>
      <c r="AG288" s="1629" t="s">
        <v>31</v>
      </c>
      <c r="AH288" s="201"/>
      <c r="AI288" s="197"/>
    </row>
    <row r="289" spans="1:35" ht="21" customHeight="1" x14ac:dyDescent="0.2">
      <c r="A289" s="1907"/>
      <c r="B289" s="1908" t="s">
        <v>328</v>
      </c>
      <c r="C289" s="1712"/>
      <c r="D289" s="1712"/>
      <c r="E289" s="1712" t="s">
        <v>31</v>
      </c>
      <c r="F289" s="1712" t="s">
        <v>31</v>
      </c>
      <c r="G289" s="1712" t="s">
        <v>31</v>
      </c>
      <c r="H289" s="1712" t="s">
        <v>31</v>
      </c>
      <c r="I289" s="1712" t="s">
        <v>31</v>
      </c>
      <c r="J289" s="1629"/>
      <c r="K289" s="1629"/>
      <c r="L289" s="1629" t="s">
        <v>31</v>
      </c>
      <c r="M289" s="1629" t="s">
        <v>31</v>
      </c>
      <c r="N289" s="1612" t="s">
        <v>31</v>
      </c>
      <c r="O289" s="1629" t="s">
        <v>31</v>
      </c>
      <c r="P289" s="1629" t="s">
        <v>31</v>
      </c>
      <c r="Q289" s="1629"/>
      <c r="R289" s="1629"/>
      <c r="S289" s="1623" t="s">
        <v>31</v>
      </c>
      <c r="T289" s="1623" t="s">
        <v>289</v>
      </c>
      <c r="U289" s="1734" t="s">
        <v>31</v>
      </c>
      <c r="V289" s="1734" t="s">
        <v>31</v>
      </c>
      <c r="W289" s="1734" t="s">
        <v>31</v>
      </c>
      <c r="X289" s="1629"/>
      <c r="Y289" s="1628"/>
      <c r="Z289" s="1734" t="s">
        <v>31</v>
      </c>
      <c r="AA289" s="1958" t="s">
        <v>31</v>
      </c>
      <c r="AB289" s="1958" t="s">
        <v>31</v>
      </c>
      <c r="AC289" s="1629" t="s">
        <v>31</v>
      </c>
      <c r="AD289" s="1629" t="s">
        <v>31</v>
      </c>
      <c r="AE289" s="1629"/>
      <c r="AF289" s="1629"/>
      <c r="AG289" s="2016" t="s">
        <v>31</v>
      </c>
      <c r="AH289" s="201"/>
      <c r="AI289" s="197"/>
    </row>
    <row r="290" spans="1:35" ht="21" customHeight="1" x14ac:dyDescent="0.2">
      <c r="A290" s="1893"/>
      <c r="B290" s="1908" t="s">
        <v>329</v>
      </c>
      <c r="C290" s="1629"/>
      <c r="D290" s="1629"/>
      <c r="E290" s="1629" t="s">
        <v>31</v>
      </c>
      <c r="F290" s="1636" t="s">
        <v>31</v>
      </c>
      <c r="G290" s="1636" t="s">
        <v>31</v>
      </c>
      <c r="H290" s="1629" t="s">
        <v>31</v>
      </c>
      <c r="I290" s="1629" t="s">
        <v>31</v>
      </c>
      <c r="J290" s="1629"/>
      <c r="K290" s="1629"/>
      <c r="L290" s="1629" t="s">
        <v>31</v>
      </c>
      <c r="M290" s="1629" t="s">
        <v>31</v>
      </c>
      <c r="N290" s="1612" t="s">
        <v>31</v>
      </c>
      <c r="O290" s="1629" t="s">
        <v>31</v>
      </c>
      <c r="P290" s="1629" t="s">
        <v>31</v>
      </c>
      <c r="Q290" s="1629"/>
      <c r="R290" s="1629"/>
      <c r="S290" s="1629" t="s">
        <v>31</v>
      </c>
      <c r="T290" s="1629" t="s">
        <v>31</v>
      </c>
      <c r="U290" s="1629" t="s">
        <v>31</v>
      </c>
      <c r="V290" s="1629" t="s">
        <v>31</v>
      </c>
      <c r="W290" s="1629" t="s">
        <v>31</v>
      </c>
      <c r="X290" s="1629"/>
      <c r="Y290" s="1628"/>
      <c r="Z290" s="1628" t="s">
        <v>31</v>
      </c>
      <c r="AA290" s="1628" t="s">
        <v>31</v>
      </c>
      <c r="AB290" s="1629" t="s">
        <v>31</v>
      </c>
      <c r="AC290" s="1629" t="s">
        <v>31</v>
      </c>
      <c r="AD290" s="1629" t="s">
        <v>31</v>
      </c>
      <c r="AE290" s="1629"/>
      <c r="AF290" s="1629"/>
      <c r="AG290" s="1629" t="s">
        <v>31</v>
      </c>
      <c r="AH290" s="201"/>
      <c r="AI290" s="197"/>
    </row>
    <row r="291" spans="1:35" ht="21" customHeight="1" x14ac:dyDescent="0.2">
      <c r="A291" s="1893"/>
      <c r="B291" s="1908" t="s">
        <v>330</v>
      </c>
      <c r="C291" s="1712"/>
      <c r="D291" s="1712"/>
      <c r="E291" s="1712" t="s">
        <v>31</v>
      </c>
      <c r="F291" s="1712" t="s">
        <v>31</v>
      </c>
      <c r="G291" s="1712" t="s">
        <v>31</v>
      </c>
      <c r="H291" s="1712" t="s">
        <v>31</v>
      </c>
      <c r="I291" s="1712" t="s">
        <v>31</v>
      </c>
      <c r="J291" s="1712"/>
      <c r="K291" s="1712"/>
      <c r="L291" s="1712" t="s">
        <v>31</v>
      </c>
      <c r="M291" s="1712" t="s">
        <v>31</v>
      </c>
      <c r="N291" s="1712" t="s">
        <v>31</v>
      </c>
      <c r="O291" s="1712" t="s">
        <v>31</v>
      </c>
      <c r="P291" s="1712" t="s">
        <v>31</v>
      </c>
      <c r="Q291" s="1629"/>
      <c r="R291" s="1629"/>
      <c r="S291" s="1629" t="s">
        <v>31</v>
      </c>
      <c r="T291" s="1629" t="s">
        <v>31</v>
      </c>
      <c r="U291" s="1629" t="s">
        <v>31</v>
      </c>
      <c r="V291" s="1629" t="s">
        <v>31</v>
      </c>
      <c r="W291" s="1629" t="s">
        <v>31</v>
      </c>
      <c r="X291" s="1629"/>
      <c r="Y291" s="1628"/>
      <c r="Z291" s="1628" t="s">
        <v>31</v>
      </c>
      <c r="AA291" s="1628" t="s">
        <v>31</v>
      </c>
      <c r="AB291" s="1629" t="s">
        <v>31</v>
      </c>
      <c r="AC291" s="1629" t="s">
        <v>31</v>
      </c>
      <c r="AD291" s="1629" t="s">
        <v>31</v>
      </c>
      <c r="AE291" s="1629"/>
      <c r="AF291" s="1629"/>
      <c r="AG291" s="1629" t="s">
        <v>31</v>
      </c>
      <c r="AH291" s="201"/>
      <c r="AI291" s="197"/>
    </row>
    <row r="292" spans="1:35" ht="21" customHeight="1" x14ac:dyDescent="0.2">
      <c r="A292" s="1893"/>
      <c r="B292" s="1908" t="s">
        <v>331</v>
      </c>
      <c r="C292" s="1629"/>
      <c r="D292" s="1629"/>
      <c r="E292" s="1629" t="s">
        <v>31</v>
      </c>
      <c r="F292" s="1636" t="s">
        <v>31</v>
      </c>
      <c r="G292" s="1636" t="s">
        <v>31</v>
      </c>
      <c r="H292" s="1629" t="s">
        <v>31</v>
      </c>
      <c r="I292" s="1629" t="s">
        <v>31</v>
      </c>
      <c r="J292" s="1629"/>
      <c r="K292" s="1629"/>
      <c r="L292" s="1629" t="s">
        <v>31</v>
      </c>
      <c r="M292" s="1629" t="s">
        <v>31</v>
      </c>
      <c r="N292" s="1612" t="s">
        <v>31</v>
      </c>
      <c r="O292" s="1629" t="s">
        <v>31</v>
      </c>
      <c r="P292" s="1629" t="s">
        <v>31</v>
      </c>
      <c r="Q292" s="1629"/>
      <c r="R292" s="1629"/>
      <c r="S292" s="1629" t="s">
        <v>31</v>
      </c>
      <c r="T292" s="1629" t="s">
        <v>31</v>
      </c>
      <c r="U292" s="1629" t="s">
        <v>31</v>
      </c>
      <c r="V292" s="1629" t="s">
        <v>31</v>
      </c>
      <c r="W292" s="1629" t="s">
        <v>31</v>
      </c>
      <c r="X292" s="1629"/>
      <c r="Y292" s="1628"/>
      <c r="Z292" s="1628" t="s">
        <v>31</v>
      </c>
      <c r="AA292" s="1628" t="s">
        <v>31</v>
      </c>
      <c r="AB292" s="1629" t="s">
        <v>31</v>
      </c>
      <c r="AC292" s="1629" t="s">
        <v>31</v>
      </c>
      <c r="AD292" s="1629" t="s">
        <v>31</v>
      </c>
      <c r="AE292" s="1629"/>
      <c r="AF292" s="1629"/>
      <c r="AG292" s="1629" t="s">
        <v>31</v>
      </c>
      <c r="AH292" s="201"/>
      <c r="AI292" s="197"/>
    </row>
    <row r="293" spans="1:35" ht="21" customHeight="1" x14ac:dyDescent="0.2">
      <c r="A293" s="1893"/>
      <c r="B293" s="1908" t="s">
        <v>332</v>
      </c>
      <c r="C293" s="1629"/>
      <c r="D293" s="1629"/>
      <c r="E293" s="1629" t="s">
        <v>31</v>
      </c>
      <c r="F293" s="1636" t="s">
        <v>31</v>
      </c>
      <c r="G293" s="1636" t="s">
        <v>31</v>
      </c>
      <c r="H293" s="1629" t="s">
        <v>31</v>
      </c>
      <c r="I293" s="1629" t="s">
        <v>31</v>
      </c>
      <c r="J293" s="1629"/>
      <c r="K293" s="1629"/>
      <c r="L293" s="1712" t="s">
        <v>31</v>
      </c>
      <c r="M293" s="1712" t="s">
        <v>31</v>
      </c>
      <c r="N293" s="1712" t="s">
        <v>31</v>
      </c>
      <c r="O293" s="1712" t="s">
        <v>31</v>
      </c>
      <c r="P293" s="1712" t="s">
        <v>31</v>
      </c>
      <c r="Q293" s="1712"/>
      <c r="R293" s="1712"/>
      <c r="S293" s="1712" t="s">
        <v>31</v>
      </c>
      <c r="T293" s="1712" t="s">
        <v>31</v>
      </c>
      <c r="U293" s="1712" t="s">
        <v>31</v>
      </c>
      <c r="V293" s="1712" t="s">
        <v>31</v>
      </c>
      <c r="W293" s="1712" t="s">
        <v>31</v>
      </c>
      <c r="X293" s="1712"/>
      <c r="Y293" s="1712"/>
      <c r="Z293" s="1712" t="s">
        <v>31</v>
      </c>
      <c r="AA293" s="1712" t="s">
        <v>31</v>
      </c>
      <c r="AB293" s="1712" t="s">
        <v>31</v>
      </c>
      <c r="AC293" s="1712" t="s">
        <v>31</v>
      </c>
      <c r="AD293" s="1712" t="s">
        <v>31</v>
      </c>
      <c r="AE293" s="1629"/>
      <c r="AF293" s="1629"/>
      <c r="AG293" s="1629" t="s">
        <v>31</v>
      </c>
      <c r="AH293" s="201"/>
      <c r="AI293" s="197"/>
    </row>
    <row r="294" spans="1:35" ht="21" customHeight="1" x14ac:dyDescent="0.2">
      <c r="A294" s="1893"/>
      <c r="B294" s="1908" t="s">
        <v>333</v>
      </c>
      <c r="C294" s="1712"/>
      <c r="D294" s="1712"/>
      <c r="E294" s="1712" t="s">
        <v>31</v>
      </c>
      <c r="F294" s="1712" t="s">
        <v>31</v>
      </c>
      <c r="G294" s="1712" t="s">
        <v>31</v>
      </c>
      <c r="H294" s="1712" t="s">
        <v>31</v>
      </c>
      <c r="I294" s="1712" t="s">
        <v>31</v>
      </c>
      <c r="J294" s="1462"/>
      <c r="K294" s="1462"/>
      <c r="L294" s="1629" t="s">
        <v>31</v>
      </c>
      <c r="M294" s="1629" t="s">
        <v>31</v>
      </c>
      <c r="N294" s="1612" t="s">
        <v>31</v>
      </c>
      <c r="O294" s="1629" t="s">
        <v>31</v>
      </c>
      <c r="P294" s="1958" t="s">
        <v>31</v>
      </c>
      <c r="Q294" s="1629"/>
      <c r="R294" s="1629"/>
      <c r="S294" s="1629" t="s">
        <v>31</v>
      </c>
      <c r="T294" s="1629" t="s">
        <v>31</v>
      </c>
      <c r="U294" s="1629" t="s">
        <v>31</v>
      </c>
      <c r="V294" s="1629" t="s">
        <v>31</v>
      </c>
      <c r="W294" s="1629" t="s">
        <v>31</v>
      </c>
      <c r="X294" s="1629"/>
      <c r="Y294" s="1628"/>
      <c r="Z294" s="1628" t="s">
        <v>31</v>
      </c>
      <c r="AA294" s="1628" t="s">
        <v>31</v>
      </c>
      <c r="AB294" s="1629" t="s">
        <v>31</v>
      </c>
      <c r="AC294" s="1629" t="s">
        <v>31</v>
      </c>
      <c r="AD294" s="1629" t="s">
        <v>31</v>
      </c>
      <c r="AE294" s="1629"/>
      <c r="AF294" s="1629"/>
      <c r="AG294" s="1629" t="s">
        <v>31</v>
      </c>
      <c r="AH294" s="201"/>
      <c r="AI294" s="197"/>
    </row>
    <row r="295" spans="1:35" ht="21" customHeight="1" x14ac:dyDescent="0.2">
      <c r="A295" s="1893"/>
      <c r="B295" s="1908" t="s">
        <v>334</v>
      </c>
      <c r="C295" s="1623"/>
      <c r="D295" s="1623"/>
      <c r="E295" s="1623" t="s">
        <v>31</v>
      </c>
      <c r="F295" s="1623" t="s">
        <v>31</v>
      </c>
      <c r="G295" s="1623" t="s">
        <v>31</v>
      </c>
      <c r="H295" s="1629" t="s">
        <v>31</v>
      </c>
      <c r="I295" s="1629" t="s">
        <v>31</v>
      </c>
      <c r="J295" s="1629"/>
      <c r="K295" s="1629"/>
      <c r="L295" s="1629" t="s">
        <v>31</v>
      </c>
      <c r="M295" s="1629" t="s">
        <v>31</v>
      </c>
      <c r="N295" s="1612" t="s">
        <v>31</v>
      </c>
      <c r="O295" s="1629" t="s">
        <v>31</v>
      </c>
      <c r="P295" s="1629" t="s">
        <v>31</v>
      </c>
      <c r="Q295" s="1629"/>
      <c r="R295" s="1629"/>
      <c r="S295" s="1629" t="s">
        <v>31</v>
      </c>
      <c r="T295" s="1629" t="s">
        <v>31</v>
      </c>
      <c r="U295" s="1629" t="s">
        <v>31</v>
      </c>
      <c r="V295" s="1629" t="s">
        <v>31</v>
      </c>
      <c r="W295" s="1629" t="s">
        <v>31</v>
      </c>
      <c r="X295" s="1629"/>
      <c r="Y295" s="1628"/>
      <c r="Z295" s="1712" t="s">
        <v>31</v>
      </c>
      <c r="AA295" s="1712" t="s">
        <v>31</v>
      </c>
      <c r="AB295" s="1712" t="s">
        <v>31</v>
      </c>
      <c r="AC295" s="1712" t="s">
        <v>31</v>
      </c>
      <c r="AD295" s="1712" t="s">
        <v>31</v>
      </c>
      <c r="AE295" s="1712"/>
      <c r="AF295" s="1712"/>
      <c r="AG295" s="1712" t="s">
        <v>31</v>
      </c>
      <c r="AH295" s="201"/>
      <c r="AI295" s="197"/>
    </row>
    <row r="296" spans="1:35" ht="21" customHeight="1" x14ac:dyDescent="0.2">
      <c r="A296" s="1893"/>
      <c r="B296" s="1901"/>
      <c r="C296" s="1629"/>
      <c r="D296" s="1629"/>
      <c r="E296" s="1629" t="s">
        <v>31</v>
      </c>
      <c r="F296" s="1636" t="s">
        <v>31</v>
      </c>
      <c r="G296" s="1636" t="s">
        <v>31</v>
      </c>
      <c r="H296" s="1629" t="s">
        <v>31</v>
      </c>
      <c r="I296" s="1629" t="s">
        <v>31</v>
      </c>
      <c r="J296" s="1629"/>
      <c r="K296" s="1629"/>
      <c r="L296" s="1629" t="s">
        <v>31</v>
      </c>
      <c r="M296" s="1629" t="s">
        <v>31</v>
      </c>
      <c r="N296" s="1612" t="s">
        <v>31</v>
      </c>
      <c r="O296" s="1629" t="s">
        <v>31</v>
      </c>
      <c r="P296" s="1629" t="s">
        <v>31</v>
      </c>
      <c r="Q296" s="1629"/>
      <c r="R296" s="1629"/>
      <c r="S296" s="1629" t="s">
        <v>31</v>
      </c>
      <c r="T296" s="1629" t="s">
        <v>31</v>
      </c>
      <c r="U296" s="1629" t="s">
        <v>31</v>
      </c>
      <c r="V296" s="1629" t="s">
        <v>31</v>
      </c>
      <c r="W296" s="1629" t="s">
        <v>31</v>
      </c>
      <c r="X296" s="1629"/>
      <c r="Y296" s="1628"/>
      <c r="Z296" s="1628" t="s">
        <v>31</v>
      </c>
      <c r="AA296" s="1628" t="s">
        <v>31</v>
      </c>
      <c r="AB296" s="1629" t="s">
        <v>31</v>
      </c>
      <c r="AC296" s="1629" t="s">
        <v>31</v>
      </c>
      <c r="AD296" s="1629" t="s">
        <v>31</v>
      </c>
      <c r="AE296" s="1629"/>
      <c r="AF296" s="1629"/>
      <c r="AG296" s="1629" t="s">
        <v>31</v>
      </c>
      <c r="AH296" s="201"/>
      <c r="AI296" s="197"/>
    </row>
    <row r="297" spans="1:35" ht="21" customHeight="1" x14ac:dyDescent="0.2">
      <c r="A297" s="1893"/>
      <c r="B297" s="1910" t="s">
        <v>335</v>
      </c>
      <c r="C297" s="1629"/>
      <c r="D297" s="1629"/>
      <c r="E297" s="1629" t="s">
        <v>31</v>
      </c>
      <c r="F297" s="1636" t="s">
        <v>31</v>
      </c>
      <c r="G297" s="1636" t="s">
        <v>31</v>
      </c>
      <c r="H297" s="1629" t="s">
        <v>31</v>
      </c>
      <c r="I297" s="1629" t="s">
        <v>31</v>
      </c>
      <c r="J297" s="1629"/>
      <c r="K297" s="1629"/>
      <c r="L297" s="1629" t="s">
        <v>31</v>
      </c>
      <c r="M297" s="1629" t="s">
        <v>31</v>
      </c>
      <c r="N297" s="1612" t="s">
        <v>31</v>
      </c>
      <c r="O297" s="1629" t="s">
        <v>31</v>
      </c>
      <c r="P297" s="1629" t="s">
        <v>31</v>
      </c>
      <c r="Q297" s="1629"/>
      <c r="R297" s="1629"/>
      <c r="S297" s="1629" t="s">
        <v>31</v>
      </c>
      <c r="T297" s="1629" t="s">
        <v>31</v>
      </c>
      <c r="U297" s="1629" t="s">
        <v>31</v>
      </c>
      <c r="V297" s="1629" t="s">
        <v>31</v>
      </c>
      <c r="W297" s="1629" t="s">
        <v>31</v>
      </c>
      <c r="X297" s="1629"/>
      <c r="Y297" s="1628"/>
      <c r="Z297" s="1628" t="s">
        <v>31</v>
      </c>
      <c r="AA297" s="1628" t="s">
        <v>31</v>
      </c>
      <c r="AB297" s="1629" t="s">
        <v>31</v>
      </c>
      <c r="AC297" s="1629" t="s">
        <v>31</v>
      </c>
      <c r="AD297" s="1629" t="s">
        <v>31</v>
      </c>
      <c r="AE297" s="1629"/>
      <c r="AF297" s="1629"/>
      <c r="AG297" s="1629" t="s">
        <v>31</v>
      </c>
      <c r="AH297" s="201"/>
      <c r="AI297" s="197"/>
    </row>
    <row r="298" spans="1:35" ht="21" customHeight="1" x14ac:dyDescent="0.2">
      <c r="A298" s="1893"/>
      <c r="B298" s="1665" t="s">
        <v>336</v>
      </c>
      <c r="C298" s="1629"/>
      <c r="D298" s="1629"/>
      <c r="E298" s="1629" t="s">
        <v>31</v>
      </c>
      <c r="F298" s="1636" t="s">
        <v>31</v>
      </c>
      <c r="G298" s="1636" t="s">
        <v>31</v>
      </c>
      <c r="H298" s="1629" t="s">
        <v>31</v>
      </c>
      <c r="I298" s="1629" t="s">
        <v>31</v>
      </c>
      <c r="J298" s="1629"/>
      <c r="K298" s="1629"/>
      <c r="L298" s="1629" t="s">
        <v>31</v>
      </c>
      <c r="M298" s="1629" t="s">
        <v>31</v>
      </c>
      <c r="N298" s="1612" t="s">
        <v>31</v>
      </c>
      <c r="O298" s="1629" t="s">
        <v>31</v>
      </c>
      <c r="P298" s="1629" t="s">
        <v>31</v>
      </c>
      <c r="Q298" s="1629"/>
      <c r="R298" s="1629"/>
      <c r="S298" s="1629" t="s">
        <v>31</v>
      </c>
      <c r="T298" s="1629" t="s">
        <v>31</v>
      </c>
      <c r="U298" s="1629" t="s">
        <v>31</v>
      </c>
      <c r="V298" s="1629" t="s">
        <v>31</v>
      </c>
      <c r="W298" s="1629" t="s">
        <v>31</v>
      </c>
      <c r="X298" s="1629"/>
      <c r="Y298" s="1628"/>
      <c r="Z298" s="1628" t="s">
        <v>31</v>
      </c>
      <c r="AA298" s="1628" t="s">
        <v>31</v>
      </c>
      <c r="AB298" s="1629" t="s">
        <v>31</v>
      </c>
      <c r="AC298" s="1629" t="s">
        <v>31</v>
      </c>
      <c r="AD298" s="1629" t="s">
        <v>31</v>
      </c>
      <c r="AE298" s="1629"/>
      <c r="AF298" s="1629"/>
      <c r="AG298" s="1629" t="s">
        <v>31</v>
      </c>
      <c r="AH298" s="201"/>
      <c r="AI298" s="197"/>
    </row>
    <row r="299" spans="1:35" ht="21" customHeight="1" x14ac:dyDescent="0.2">
      <c r="A299" s="1893"/>
      <c r="B299" s="1910"/>
      <c r="C299" s="1629"/>
      <c r="D299" s="1546"/>
      <c r="E299" s="1629"/>
      <c r="F299" s="1629"/>
      <c r="G299" s="1629"/>
      <c r="H299" s="1629"/>
      <c r="I299" s="1629"/>
      <c r="J299" s="1629"/>
      <c r="K299" s="1629"/>
      <c r="L299" s="1629"/>
      <c r="M299" s="1629"/>
      <c r="N299" s="1629"/>
      <c r="O299" s="1629"/>
      <c r="P299" s="1629"/>
      <c r="Q299" s="1629"/>
      <c r="R299" s="1629"/>
      <c r="S299" s="1629"/>
      <c r="T299" s="1629"/>
      <c r="U299" s="1629"/>
      <c r="V299" s="1629"/>
      <c r="W299" s="1629"/>
      <c r="X299" s="1629"/>
      <c r="Y299" s="1629"/>
      <c r="Z299" s="1629"/>
      <c r="AA299" s="1629"/>
      <c r="AB299" s="1629"/>
      <c r="AC299" s="1629"/>
      <c r="AD299" s="1629"/>
      <c r="AE299" s="1629"/>
      <c r="AF299" s="1629"/>
      <c r="AG299" s="1259"/>
      <c r="AH299" s="201"/>
      <c r="AI299" s="197"/>
    </row>
    <row r="300" spans="1:35" ht="21" customHeight="1" x14ac:dyDescent="0.2">
      <c r="A300" s="1277"/>
      <c r="B300" s="1910"/>
      <c r="C300" s="1259"/>
      <c r="D300" s="1259"/>
      <c r="E300" s="1259"/>
      <c r="F300" s="1259"/>
      <c r="G300" s="1259"/>
      <c r="H300" s="1259"/>
      <c r="I300" s="1259"/>
      <c r="J300" s="1259"/>
      <c r="K300" s="1259"/>
      <c r="L300" s="1259"/>
      <c r="M300" s="1259"/>
      <c r="N300" s="1258"/>
      <c r="O300" s="1258"/>
      <c r="P300" s="1259"/>
      <c r="Q300" s="1259"/>
      <c r="R300" s="1259"/>
      <c r="S300" s="1259"/>
      <c r="T300" s="1259"/>
      <c r="U300" s="1259"/>
      <c r="V300" s="1259"/>
      <c r="W300" s="1259"/>
      <c r="X300" s="1259"/>
      <c r="Y300" s="1259"/>
      <c r="Z300" s="1259"/>
      <c r="AA300" s="1259"/>
      <c r="AB300" s="1258"/>
      <c r="AC300" s="1258"/>
      <c r="AD300" s="1259"/>
      <c r="AE300" s="1259"/>
      <c r="AF300" s="1259"/>
      <c r="AG300" s="1259"/>
      <c r="AH300" s="201"/>
      <c r="AI300" s="199"/>
    </row>
    <row r="301" spans="1:35" ht="21" customHeight="1" thickBot="1" x14ac:dyDescent="0.25">
      <c r="A301" s="686"/>
      <c r="B301" s="687"/>
      <c r="C301" s="1126"/>
      <c r="D301" s="1127"/>
      <c r="E301" s="1127"/>
      <c r="F301" s="1127"/>
      <c r="G301" s="1127"/>
      <c r="H301" s="1127"/>
      <c r="I301" s="1127"/>
      <c r="J301" s="1127"/>
      <c r="K301" s="1127"/>
      <c r="L301" s="1127"/>
      <c r="M301" s="1127"/>
      <c r="N301" s="1128"/>
      <c r="O301" s="1128"/>
      <c r="P301" s="1127"/>
      <c r="Q301" s="1127"/>
      <c r="R301" s="1127"/>
      <c r="S301" s="1127"/>
      <c r="T301" s="1127"/>
      <c r="U301" s="1127"/>
      <c r="V301" s="1127"/>
      <c r="W301" s="1127"/>
      <c r="X301" s="1127"/>
      <c r="Y301" s="1127"/>
      <c r="Z301" s="1127"/>
      <c r="AA301" s="1127"/>
      <c r="AB301" s="1128"/>
      <c r="AC301" s="1128"/>
      <c r="AD301" s="1127"/>
      <c r="AE301" s="1127"/>
      <c r="AF301" s="1127"/>
      <c r="AG301" s="1127"/>
      <c r="AH301" s="201"/>
      <c r="AI301" s="199"/>
    </row>
  </sheetData>
  <protectedRanges>
    <protectedRange sqref="B226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85" name="Område1_1_1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F89C6-0555-4CD7-825A-12B646E13015}">
  <sheetPr codeName="Ark67"/>
  <dimension ref="A1:AN300"/>
  <sheetViews>
    <sheetView zoomScale="90" zoomScaleNormal="90" workbookViewId="0">
      <pane xSplit="2" ySplit="3" topLeftCell="C53" activePane="bottomRight" state="frozen"/>
      <selection pane="topRight" activeCell="AM167" sqref="AM167"/>
      <selection pane="bottomLeft" activeCell="AM167" sqref="AM167"/>
      <selection pane="bottomRight" activeCell="U63" sqref="U63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6" ht="13.35" customHeight="1" x14ac:dyDescent="0.2">
      <c r="A1" t="s">
        <v>0</v>
      </c>
      <c r="B1" s="1" t="s">
        <v>1</v>
      </c>
      <c r="AJ1" t="s">
        <v>382</v>
      </c>
    </row>
    <row r="2" spans="1:36" ht="13.35" customHeight="1" x14ac:dyDescent="0.2">
      <c r="B2" s="1911" t="s">
        <v>2</v>
      </c>
      <c r="C2" s="1912" t="s">
        <v>3</v>
      </c>
      <c r="D2" s="1913"/>
      <c r="E2" s="1914" t="s">
        <v>4</v>
      </c>
      <c r="F2" s="1915"/>
      <c r="G2" s="1916"/>
      <c r="H2" s="1916"/>
      <c r="I2" s="1916"/>
      <c r="J2" s="1916"/>
      <c r="K2" s="1917"/>
      <c r="L2" s="1918" t="s">
        <v>5</v>
      </c>
      <c r="M2" s="1919"/>
      <c r="N2" s="1920"/>
      <c r="O2" s="1921" t="s">
        <v>6</v>
      </c>
      <c r="P2" s="1922"/>
      <c r="Q2" s="1923"/>
      <c r="R2" s="1924"/>
      <c r="S2" s="1925" t="s">
        <v>7</v>
      </c>
      <c r="T2" s="1926"/>
      <c r="U2" s="1927"/>
      <c r="V2" s="1926"/>
      <c r="W2" s="1928" t="s">
        <v>8</v>
      </c>
      <c r="X2" s="1929"/>
      <c r="Y2" s="1930"/>
      <c r="Z2" s="164" t="s">
        <v>9</v>
      </c>
      <c r="AA2" s="1157"/>
      <c r="AB2" s="1158"/>
      <c r="AC2" s="1159"/>
      <c r="AD2" s="1160" t="s">
        <v>10</v>
      </c>
      <c r="AE2" s="1161"/>
      <c r="AF2" s="1161"/>
      <c r="AG2" s="1162"/>
    </row>
    <row r="3" spans="1:36" ht="13.35" customHeight="1" x14ac:dyDescent="0.2">
      <c r="A3" s="1"/>
      <c r="B3" s="1163" t="s">
        <v>11</v>
      </c>
      <c r="C3" s="1164" t="s">
        <v>12</v>
      </c>
      <c r="D3" s="1165"/>
      <c r="E3" s="91"/>
      <c r="F3" s="92"/>
      <c r="G3" s="92"/>
      <c r="H3" s="165" t="s">
        <v>13</v>
      </c>
      <c r="I3" s="93"/>
      <c r="J3" s="93"/>
      <c r="K3" s="94"/>
      <c r="L3" s="1166" t="s">
        <v>14</v>
      </c>
      <c r="M3" s="1167"/>
      <c r="N3" s="1168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1167"/>
      <c r="AA3" s="1167"/>
      <c r="AB3" s="1169"/>
      <c r="AC3" s="1170"/>
      <c r="AD3" s="1171" t="s">
        <v>17</v>
      </c>
      <c r="AE3" s="1172"/>
      <c r="AF3" s="1172"/>
      <c r="AG3" s="1173"/>
    </row>
    <row r="4" spans="1:36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6" ht="22.15" customHeight="1" x14ac:dyDescent="0.2">
      <c r="A5" s="162" t="s">
        <v>19</v>
      </c>
      <c r="B5" s="1"/>
    </row>
    <row r="6" spans="1:36" ht="22.15" customHeight="1" x14ac:dyDescent="0.2">
      <c r="A6" s="1174" t="s">
        <v>20</v>
      </c>
      <c r="B6" s="1167"/>
      <c r="C6" s="1175"/>
      <c r="D6" s="1174" t="s">
        <v>21</v>
      </c>
      <c r="E6" s="1167"/>
      <c r="F6" s="1167"/>
      <c r="G6" s="1167"/>
      <c r="H6" s="1176"/>
      <c r="I6" s="1167"/>
      <c r="J6" s="1167"/>
      <c r="K6" s="1167"/>
      <c r="L6" s="1177" t="s">
        <v>22</v>
      </c>
      <c r="M6" s="1167"/>
      <c r="N6" s="1167"/>
      <c r="O6" s="1167"/>
      <c r="P6" s="1167"/>
      <c r="Q6" s="1167"/>
      <c r="R6" s="1167"/>
      <c r="S6" s="1175"/>
      <c r="T6" s="1178"/>
      <c r="U6" s="1167"/>
      <c r="V6" s="1167"/>
      <c r="W6" s="1167"/>
      <c r="X6" s="1167"/>
      <c r="Y6" s="1167"/>
      <c r="Z6" s="1167"/>
      <c r="AA6" s="1175"/>
      <c r="AB6" s="1179"/>
      <c r="AC6" s="1180"/>
      <c r="AD6" s="1180"/>
      <c r="AE6" s="1180"/>
      <c r="AF6" s="1180"/>
      <c r="AG6" s="1181"/>
    </row>
    <row r="7" spans="1:36" ht="22.15" customHeight="1" x14ac:dyDescent="0.2">
      <c r="A7" s="1174" t="s">
        <v>23</v>
      </c>
      <c r="B7" s="1167"/>
      <c r="C7" s="1167"/>
      <c r="D7" s="1167"/>
      <c r="E7" s="1167"/>
      <c r="F7" s="1167"/>
      <c r="G7" s="1167"/>
      <c r="H7" s="1167"/>
      <c r="I7" s="1167"/>
      <c r="J7" s="1167"/>
      <c r="K7" s="1175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167"/>
      <c r="V7" s="1167"/>
      <c r="W7" s="1167"/>
      <c r="X7" s="1167"/>
      <c r="Y7" s="1167"/>
      <c r="Z7" s="1167"/>
      <c r="AA7" s="1167"/>
      <c r="AB7" s="1182"/>
      <c r="AC7" s="1167"/>
      <c r="AD7" s="1167"/>
      <c r="AE7" s="1167"/>
      <c r="AF7" s="1167"/>
      <c r="AG7" s="1175"/>
    </row>
    <row r="8" spans="1:36" ht="22.15" customHeight="1" x14ac:dyDescent="0.2">
      <c r="A8" s="162" t="s">
        <v>25</v>
      </c>
      <c r="L8" s="100"/>
      <c r="AB8" s="1"/>
    </row>
    <row r="9" spans="1:36" ht="22.15" customHeight="1" x14ac:dyDescent="0.2">
      <c r="A9" s="162" t="s">
        <v>26</v>
      </c>
      <c r="L9" s="100"/>
      <c r="AB9" s="1"/>
    </row>
    <row r="10" spans="1:36" ht="22.1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6" ht="22.15" customHeight="1" thickBot="1" x14ac:dyDescent="0.25">
      <c r="A11" s="1183" t="s">
        <v>28</v>
      </c>
      <c r="B11" s="1184" t="s">
        <v>29</v>
      </c>
      <c r="C11" s="1186">
        <v>1</v>
      </c>
      <c r="D11" s="1186">
        <v>2</v>
      </c>
      <c r="E11" s="1186">
        <v>3</v>
      </c>
      <c r="F11" s="1186">
        <v>4</v>
      </c>
      <c r="G11" s="1185">
        <v>5</v>
      </c>
      <c r="H11" s="1185">
        <v>6</v>
      </c>
      <c r="I11" s="1186">
        <v>7</v>
      </c>
      <c r="J11" s="1186">
        <v>8</v>
      </c>
      <c r="K11" s="1186">
        <v>9</v>
      </c>
      <c r="L11" s="1186">
        <v>10</v>
      </c>
      <c r="M11" s="1186">
        <v>11</v>
      </c>
      <c r="N11" s="1185">
        <v>12</v>
      </c>
      <c r="O11" s="1185">
        <v>13</v>
      </c>
      <c r="P11" s="1186">
        <v>14</v>
      </c>
      <c r="Q11" s="1186">
        <v>15</v>
      </c>
      <c r="R11" s="1186">
        <v>16</v>
      </c>
      <c r="S11" s="1186">
        <v>17</v>
      </c>
      <c r="T11" s="1186">
        <v>18</v>
      </c>
      <c r="U11" s="1185">
        <v>19</v>
      </c>
      <c r="V11" s="1185">
        <v>20</v>
      </c>
      <c r="W11" s="1186">
        <v>21</v>
      </c>
      <c r="X11" s="1186">
        <v>22</v>
      </c>
      <c r="Y11" s="1186">
        <v>23</v>
      </c>
      <c r="Z11" s="1186">
        <v>24</v>
      </c>
      <c r="AA11" s="1186">
        <v>25</v>
      </c>
      <c r="AB11" s="1185">
        <v>26</v>
      </c>
      <c r="AC11" s="1185">
        <v>27</v>
      </c>
      <c r="AD11" s="1186">
        <v>28</v>
      </c>
      <c r="AE11" s="1186">
        <v>29</v>
      </c>
      <c r="AF11" s="1186">
        <v>30</v>
      </c>
      <c r="AG11" s="1945"/>
      <c r="AH11" s="184"/>
      <c r="AI11" s="185"/>
    </row>
    <row r="12" spans="1:36" ht="22.15" customHeight="1" x14ac:dyDescent="0.2">
      <c r="A12" s="456">
        <v>8500</v>
      </c>
      <c r="B12" s="457" t="s">
        <v>30</v>
      </c>
      <c r="C12" s="458" t="s">
        <v>31</v>
      </c>
      <c r="D12" s="484" t="s">
        <v>31</v>
      </c>
      <c r="E12" s="484" t="s">
        <v>31</v>
      </c>
      <c r="F12" s="463" t="s">
        <v>31</v>
      </c>
      <c r="G12" s="458"/>
      <c r="H12" s="458"/>
      <c r="I12" s="484" t="s">
        <v>31</v>
      </c>
      <c r="J12" s="484" t="s">
        <v>31</v>
      </c>
      <c r="K12" s="484" t="s">
        <v>31</v>
      </c>
      <c r="L12" s="458" t="s">
        <v>31</v>
      </c>
      <c r="M12" s="458" t="s">
        <v>31</v>
      </c>
      <c r="N12" s="458"/>
      <c r="O12" s="458"/>
      <c r="P12" s="458" t="s">
        <v>31</v>
      </c>
      <c r="Q12" s="458" t="s">
        <v>31</v>
      </c>
      <c r="R12" s="458" t="s">
        <v>31</v>
      </c>
      <c r="S12" s="458" t="s">
        <v>31</v>
      </c>
      <c r="T12" s="458" t="s">
        <v>31</v>
      </c>
      <c r="U12" s="458"/>
      <c r="V12" s="458"/>
      <c r="W12" s="458" t="s">
        <v>31</v>
      </c>
      <c r="X12" s="458" t="s">
        <v>31</v>
      </c>
      <c r="Y12" s="458" t="s">
        <v>31</v>
      </c>
      <c r="Z12" s="458" t="s">
        <v>31</v>
      </c>
      <c r="AA12" s="458" t="s">
        <v>31</v>
      </c>
      <c r="AB12" s="458"/>
      <c r="AC12" s="458"/>
      <c r="AD12" s="458" t="s">
        <v>31</v>
      </c>
      <c r="AE12" s="458" t="s">
        <v>31</v>
      </c>
      <c r="AF12" s="458" t="s">
        <v>31</v>
      </c>
      <c r="AG12" s="464"/>
      <c r="AH12" s="190"/>
      <c r="AI12" s="190"/>
    </row>
    <row r="13" spans="1:36" ht="22.15" customHeight="1" x14ac:dyDescent="0.2">
      <c r="A13" s="1188" t="s">
        <v>33</v>
      </c>
      <c r="B13" s="1189"/>
      <c r="C13" s="1189"/>
      <c r="D13" s="1189"/>
      <c r="E13" s="1189"/>
      <c r="F13" s="1189"/>
      <c r="G13" s="1189"/>
      <c r="H13" s="1189"/>
      <c r="I13" s="1189"/>
      <c r="J13" s="1189"/>
      <c r="K13" s="1189"/>
      <c r="L13" s="1189"/>
      <c r="M13" s="1189"/>
      <c r="N13" s="1189"/>
      <c r="O13" s="1189"/>
      <c r="P13" s="1189"/>
      <c r="Q13" s="1189"/>
      <c r="R13" s="1189"/>
      <c r="S13" s="1189"/>
      <c r="T13" s="1189"/>
      <c r="U13" s="1189"/>
      <c r="V13" s="1189"/>
      <c r="W13" s="1189"/>
      <c r="X13" s="1189"/>
      <c r="Y13" s="1189"/>
      <c r="Z13" s="1189"/>
      <c r="AA13" s="1189"/>
      <c r="AB13" s="1189"/>
      <c r="AC13" s="1189"/>
      <c r="AD13" s="1189"/>
      <c r="AE13" s="1189"/>
      <c r="AF13" s="1189"/>
      <c r="AG13" s="1190"/>
      <c r="AH13" s="188"/>
      <c r="AI13" s="188"/>
    </row>
    <row r="14" spans="1:36" ht="22.15" customHeight="1" x14ac:dyDescent="0.2">
      <c r="A14" s="1191">
        <v>8546</v>
      </c>
      <c r="B14" s="1192" t="s">
        <v>34</v>
      </c>
      <c r="C14" s="1193" t="s">
        <v>35</v>
      </c>
      <c r="D14" s="1193" t="s">
        <v>35</v>
      </c>
      <c r="E14" s="1193" t="s">
        <v>35</v>
      </c>
      <c r="F14" s="1193" t="s">
        <v>35</v>
      </c>
      <c r="G14" s="1193"/>
      <c r="H14" s="1194"/>
      <c r="I14" s="1194">
        <v>4</v>
      </c>
      <c r="J14" s="1194">
        <v>4</v>
      </c>
      <c r="K14" s="1203">
        <v>4</v>
      </c>
      <c r="L14" s="1194">
        <v>4</v>
      </c>
      <c r="M14" s="1258">
        <v>4</v>
      </c>
      <c r="N14" s="1193" t="s">
        <v>37</v>
      </c>
      <c r="O14" s="1193" t="s">
        <v>37</v>
      </c>
      <c r="P14" s="1199" t="s">
        <v>35</v>
      </c>
      <c r="Q14" s="1199" t="s">
        <v>35</v>
      </c>
      <c r="R14" s="1194" t="s">
        <v>35</v>
      </c>
      <c r="S14" s="1267" t="s">
        <v>35</v>
      </c>
      <c r="T14" s="1199" t="s">
        <v>35</v>
      </c>
      <c r="U14" s="1199"/>
      <c r="V14" s="1194"/>
      <c r="W14" s="1194">
        <v>1</v>
      </c>
      <c r="X14" s="1194">
        <v>1</v>
      </c>
      <c r="Y14" s="1194">
        <v>1</v>
      </c>
      <c r="Z14" s="1194">
        <v>1</v>
      </c>
      <c r="AA14" s="1194">
        <v>1</v>
      </c>
      <c r="AB14" s="1194"/>
      <c r="AC14" s="1194"/>
      <c r="AD14" s="1199">
        <v>2</v>
      </c>
      <c r="AE14" s="1194">
        <v>2</v>
      </c>
      <c r="AF14" s="1195">
        <v>2</v>
      </c>
      <c r="AG14" s="1201"/>
      <c r="AH14" s="190"/>
      <c r="AI14" s="190"/>
    </row>
    <row r="15" spans="1:36" ht="22.15" customHeight="1" x14ac:dyDescent="0.2">
      <c r="A15" s="1191">
        <v>8546</v>
      </c>
      <c r="B15" s="1202" t="s">
        <v>38</v>
      </c>
      <c r="C15" s="1203">
        <v>2</v>
      </c>
      <c r="D15" s="1194">
        <v>2</v>
      </c>
      <c r="E15" s="1194">
        <v>2</v>
      </c>
      <c r="F15" s="1199">
        <v>2</v>
      </c>
      <c r="G15" s="1199" t="s">
        <v>36</v>
      </c>
      <c r="H15" s="1199" t="s">
        <v>36</v>
      </c>
      <c r="I15" s="1194" t="s">
        <v>35</v>
      </c>
      <c r="J15" s="1203" t="s">
        <v>35</v>
      </c>
      <c r="K15" s="1199" t="s">
        <v>35</v>
      </c>
      <c r="L15" s="1194" t="s">
        <v>35</v>
      </c>
      <c r="M15" s="1194" t="s">
        <v>35</v>
      </c>
      <c r="N15" s="1194"/>
      <c r="O15" s="1194"/>
      <c r="P15" s="1194">
        <v>4</v>
      </c>
      <c r="Q15" s="1194">
        <v>4</v>
      </c>
      <c r="R15" s="1194">
        <v>4</v>
      </c>
      <c r="S15" s="1194">
        <v>4</v>
      </c>
      <c r="T15" s="1194">
        <v>4</v>
      </c>
      <c r="U15" s="1194" t="s">
        <v>37</v>
      </c>
      <c r="V15" s="1194" t="s">
        <v>37</v>
      </c>
      <c r="W15" s="1194" t="s">
        <v>35</v>
      </c>
      <c r="X15" s="1194" t="s">
        <v>35</v>
      </c>
      <c r="Y15" s="1194" t="s">
        <v>35</v>
      </c>
      <c r="Z15" s="1194" t="s">
        <v>35</v>
      </c>
      <c r="AA15" s="1194" t="s">
        <v>35</v>
      </c>
      <c r="AB15" s="1194"/>
      <c r="AC15" s="1194"/>
      <c r="AD15" s="1194">
        <v>1</v>
      </c>
      <c r="AE15" s="1194">
        <v>1</v>
      </c>
      <c r="AF15" s="1194">
        <v>1</v>
      </c>
      <c r="AG15" s="1201"/>
      <c r="AH15" s="190"/>
      <c r="AI15" s="190"/>
    </row>
    <row r="16" spans="1:36" ht="22.15" customHeight="1" x14ac:dyDescent="0.2">
      <c r="A16" s="1191">
        <v>8546</v>
      </c>
      <c r="B16" s="1192" t="s">
        <v>39</v>
      </c>
      <c r="C16" s="1199" t="s">
        <v>35</v>
      </c>
      <c r="D16" s="1194" t="s">
        <v>35</v>
      </c>
      <c r="E16" s="1194" t="s">
        <v>35</v>
      </c>
      <c r="F16" s="1194" t="s">
        <v>35</v>
      </c>
      <c r="G16" s="1194"/>
      <c r="H16" s="1194"/>
      <c r="I16" s="1194">
        <v>1</v>
      </c>
      <c r="J16" s="1194">
        <v>1</v>
      </c>
      <c r="K16" s="1204" t="s">
        <v>383</v>
      </c>
      <c r="L16" s="1204">
        <v>1</v>
      </c>
      <c r="M16" s="1204" t="s">
        <v>384</v>
      </c>
      <c r="N16" s="1199"/>
      <c r="O16" s="1199"/>
      <c r="P16" s="1199">
        <v>2</v>
      </c>
      <c r="Q16" s="1199">
        <v>2</v>
      </c>
      <c r="R16" s="1199">
        <v>2</v>
      </c>
      <c r="S16" s="1194">
        <v>2</v>
      </c>
      <c r="T16" s="1194">
        <v>2</v>
      </c>
      <c r="U16" s="1194" t="s">
        <v>36</v>
      </c>
      <c r="V16" s="1194" t="s">
        <v>36</v>
      </c>
      <c r="W16" s="1203" t="s">
        <v>35</v>
      </c>
      <c r="X16" s="1194" t="s">
        <v>35</v>
      </c>
      <c r="Y16" s="1199" t="s">
        <v>35</v>
      </c>
      <c r="Z16" s="1199" t="s">
        <v>35</v>
      </c>
      <c r="AA16" s="1199" t="s">
        <v>35</v>
      </c>
      <c r="AB16" s="1199"/>
      <c r="AC16" s="1199"/>
      <c r="AD16" s="1194">
        <v>4</v>
      </c>
      <c r="AE16" s="1194">
        <v>4</v>
      </c>
      <c r="AF16" s="1194">
        <v>4</v>
      </c>
      <c r="AG16" s="1201"/>
      <c r="AH16" s="190"/>
      <c r="AI16" s="190"/>
    </row>
    <row r="17" spans="1:40" ht="22.15" customHeight="1" x14ac:dyDescent="0.2">
      <c r="A17" s="1191">
        <v>8546</v>
      </c>
      <c r="B17" s="1202" t="s">
        <v>40</v>
      </c>
      <c r="C17" s="1194">
        <v>4</v>
      </c>
      <c r="D17" s="1203">
        <v>4</v>
      </c>
      <c r="E17" s="1194">
        <v>4</v>
      </c>
      <c r="F17" s="1199">
        <v>4</v>
      </c>
      <c r="G17" s="1194" t="s">
        <v>37</v>
      </c>
      <c r="H17" s="1194" t="s">
        <v>37</v>
      </c>
      <c r="I17" s="1194" t="s">
        <v>35</v>
      </c>
      <c r="J17" s="1194" t="s">
        <v>35</v>
      </c>
      <c r="K17" s="2017" t="s">
        <v>35</v>
      </c>
      <c r="L17" s="1624" t="s">
        <v>35</v>
      </c>
      <c r="M17" s="2017" t="s">
        <v>35</v>
      </c>
      <c r="N17" s="1193"/>
      <c r="O17" s="1193"/>
      <c r="P17" s="1193">
        <v>1</v>
      </c>
      <c r="Q17" s="1193">
        <v>1</v>
      </c>
      <c r="R17" s="1193">
        <v>1</v>
      </c>
      <c r="S17" s="1193">
        <v>1</v>
      </c>
      <c r="T17" s="1194">
        <v>1</v>
      </c>
      <c r="U17" s="1194"/>
      <c r="V17" s="1194"/>
      <c r="W17" s="1194">
        <v>2</v>
      </c>
      <c r="X17" s="1203">
        <v>2</v>
      </c>
      <c r="Y17" s="1194">
        <v>2</v>
      </c>
      <c r="Z17" s="1194">
        <v>2</v>
      </c>
      <c r="AA17" s="1206">
        <v>2</v>
      </c>
      <c r="AB17" s="1206" t="s">
        <v>36</v>
      </c>
      <c r="AC17" s="1206" t="s">
        <v>36</v>
      </c>
      <c r="AD17" s="2018" t="s">
        <v>35</v>
      </c>
      <c r="AE17" s="1206" t="s">
        <v>35</v>
      </c>
      <c r="AF17" s="1206" t="s">
        <v>35</v>
      </c>
      <c r="AG17" s="1201"/>
      <c r="AH17" s="190"/>
      <c r="AI17" s="190"/>
    </row>
    <row r="18" spans="1:40" ht="22.15" customHeight="1" x14ac:dyDescent="0.2">
      <c r="A18" s="1191">
        <v>8546</v>
      </c>
      <c r="B18" s="1192" t="s">
        <v>41</v>
      </c>
      <c r="C18" s="1194">
        <v>1</v>
      </c>
      <c r="D18" s="1203">
        <v>1</v>
      </c>
      <c r="E18" s="1195">
        <v>1</v>
      </c>
      <c r="F18" s="1195">
        <v>1</v>
      </c>
      <c r="G18" s="1194"/>
      <c r="H18" s="1194"/>
      <c r="I18" s="1194">
        <v>2</v>
      </c>
      <c r="J18" s="1199">
        <v>2</v>
      </c>
      <c r="K18" s="1199">
        <v>2</v>
      </c>
      <c r="L18" s="1194">
        <v>2</v>
      </c>
      <c r="M18" s="1199">
        <v>2</v>
      </c>
      <c r="N18" s="1199" t="s">
        <v>36</v>
      </c>
      <c r="O18" s="1194" t="s">
        <v>36</v>
      </c>
      <c r="P18" s="1194" t="s">
        <v>35</v>
      </c>
      <c r="Q18" s="1194" t="s">
        <v>35</v>
      </c>
      <c r="R18" s="1194" t="s">
        <v>35</v>
      </c>
      <c r="S18" s="1194" t="s">
        <v>35</v>
      </c>
      <c r="T18" s="1194" t="s">
        <v>35</v>
      </c>
      <c r="U18" s="1199"/>
      <c r="V18" s="1199"/>
      <c r="W18" s="1194">
        <v>4</v>
      </c>
      <c r="X18" s="1194">
        <v>4</v>
      </c>
      <c r="Y18" s="1194">
        <v>4</v>
      </c>
      <c r="Z18" s="1194">
        <v>4</v>
      </c>
      <c r="AA18" s="1194">
        <v>4</v>
      </c>
      <c r="AB18" s="1194" t="s">
        <v>37</v>
      </c>
      <c r="AC18" s="1207" t="s">
        <v>37</v>
      </c>
      <c r="AD18" s="1194" t="s">
        <v>35</v>
      </c>
      <c r="AE18" s="1194" t="s">
        <v>35</v>
      </c>
      <c r="AF18" s="1194" t="s">
        <v>35</v>
      </c>
      <c r="AG18" s="1201"/>
      <c r="AH18" s="190"/>
      <c r="AI18" s="190"/>
    </row>
    <row r="19" spans="1:40" ht="22.15" customHeight="1" thickBot="1" x14ac:dyDescent="0.25">
      <c r="A19" s="1208" t="s">
        <v>42</v>
      </c>
      <c r="B19" s="1209"/>
      <c r="C19" s="1210"/>
      <c r="D19" s="1210"/>
      <c r="E19" s="1210"/>
      <c r="F19" s="1210"/>
      <c r="G19" s="1210"/>
      <c r="H19" s="1210"/>
      <c r="I19" s="1210"/>
      <c r="J19" s="1210"/>
      <c r="K19" s="1210"/>
      <c r="L19" s="1210"/>
      <c r="M19" s="1210"/>
      <c r="N19" s="1210"/>
      <c r="O19" s="1210"/>
      <c r="P19" s="1210"/>
      <c r="Q19" s="1210"/>
      <c r="R19" s="1210"/>
      <c r="S19" s="1210"/>
      <c r="T19" s="1210"/>
      <c r="U19" s="1210"/>
      <c r="V19" s="1210"/>
      <c r="W19" s="1210"/>
      <c r="X19" s="1210"/>
      <c r="Y19" s="1210"/>
      <c r="Z19" s="1210"/>
      <c r="AA19" s="1210"/>
      <c r="AB19" s="1210"/>
      <c r="AC19" s="1210"/>
      <c r="AD19" s="1210"/>
      <c r="AE19" s="1210"/>
      <c r="AF19" s="1210"/>
      <c r="AG19" s="1932"/>
      <c r="AH19" s="188"/>
      <c r="AI19" s="188"/>
      <c r="AN19" s="206" t="s">
        <v>0</v>
      </c>
    </row>
    <row r="20" spans="1:40" ht="22.15" customHeight="1" thickBot="1" x14ac:dyDescent="0.25">
      <c r="A20" s="465">
        <v>8500</v>
      </c>
      <c r="B20" s="466" t="s">
        <v>43</v>
      </c>
      <c r="C20" s="556" t="s">
        <v>31</v>
      </c>
      <c r="D20" s="556" t="s">
        <v>31</v>
      </c>
      <c r="E20" s="556" t="s">
        <v>31</v>
      </c>
      <c r="F20" s="556" t="s">
        <v>31</v>
      </c>
      <c r="G20" s="534"/>
      <c r="H20" s="534"/>
      <c r="I20" s="1639" t="s">
        <v>31</v>
      </c>
      <c r="J20" s="1639" t="s">
        <v>31</v>
      </c>
      <c r="K20" s="1639" t="s">
        <v>31</v>
      </c>
      <c r="L20" s="1639" t="s">
        <v>31</v>
      </c>
      <c r="M20" s="1639" t="s">
        <v>31</v>
      </c>
      <c r="N20" s="534"/>
      <c r="O20" s="534"/>
      <c r="P20" s="1639" t="s">
        <v>31</v>
      </c>
      <c r="Q20" s="1639" t="s">
        <v>31</v>
      </c>
      <c r="R20" s="1639" t="s">
        <v>31</v>
      </c>
      <c r="S20" s="1639" t="s">
        <v>31</v>
      </c>
      <c r="T20" s="1612" t="s">
        <v>32</v>
      </c>
      <c r="U20" s="535"/>
      <c r="V20" s="535"/>
      <c r="W20" s="535" t="s">
        <v>31</v>
      </c>
      <c r="X20" s="535" t="s">
        <v>31</v>
      </c>
      <c r="Y20" s="534" t="s">
        <v>31</v>
      </c>
      <c r="Z20" s="536" t="s">
        <v>31</v>
      </c>
      <c r="AA20" s="535" t="s">
        <v>31</v>
      </c>
      <c r="AB20" s="535"/>
      <c r="AC20" s="535"/>
      <c r="AD20" s="535" t="s">
        <v>31</v>
      </c>
      <c r="AE20" s="535" t="s">
        <v>31</v>
      </c>
      <c r="AF20" s="535" t="s">
        <v>31</v>
      </c>
      <c r="AG20" s="537"/>
      <c r="AH20" s="190"/>
      <c r="AI20" s="190"/>
    </row>
    <row r="21" spans="1:40" ht="22.15" customHeight="1" x14ac:dyDescent="0.2">
      <c r="A21" s="1626">
        <v>8500</v>
      </c>
      <c r="B21" s="1627" t="s">
        <v>44</v>
      </c>
      <c r="C21" s="1612" t="s">
        <v>243</v>
      </c>
      <c r="D21" s="1612" t="s">
        <v>243</v>
      </c>
      <c r="E21" s="1612" t="s">
        <v>243</v>
      </c>
      <c r="F21" s="1612" t="s">
        <v>243</v>
      </c>
      <c r="G21" s="1612"/>
      <c r="H21" s="1629"/>
      <c r="I21" s="1612" t="s">
        <v>223</v>
      </c>
      <c r="J21" s="1612" t="s">
        <v>223</v>
      </c>
      <c r="K21" s="1612" t="s">
        <v>223</v>
      </c>
      <c r="L21" s="1612" t="s">
        <v>223</v>
      </c>
      <c r="M21" s="1612" t="s">
        <v>223</v>
      </c>
      <c r="N21" s="1629"/>
      <c r="O21" s="1612"/>
      <c r="P21" s="1612" t="s">
        <v>223</v>
      </c>
      <c r="Q21" s="1612" t="s">
        <v>223</v>
      </c>
      <c r="R21" s="1612" t="s">
        <v>31</v>
      </c>
      <c r="S21" s="1612" t="s">
        <v>223</v>
      </c>
      <c r="T21" s="1612" t="s">
        <v>223</v>
      </c>
      <c r="U21" s="1612"/>
      <c r="V21" s="1612"/>
      <c r="W21" s="1612" t="s">
        <v>223</v>
      </c>
      <c r="X21" s="1612" t="s">
        <v>223</v>
      </c>
      <c r="Y21" s="1612" t="s">
        <v>223</v>
      </c>
      <c r="Z21" s="1612" t="s">
        <v>223</v>
      </c>
      <c r="AA21" s="1612" t="s">
        <v>223</v>
      </c>
      <c r="AB21" s="629" t="s">
        <v>71</v>
      </c>
      <c r="AC21" s="629" t="s">
        <v>71</v>
      </c>
      <c r="AD21" s="1612" t="s">
        <v>223</v>
      </c>
      <c r="AE21" s="1612" t="s">
        <v>223</v>
      </c>
      <c r="AF21" s="1612" t="s">
        <v>223</v>
      </c>
      <c r="AG21" s="1634"/>
      <c r="AH21" s="190"/>
      <c r="AI21" s="190"/>
    </row>
    <row r="22" spans="1:40" ht="22.15" customHeight="1" x14ac:dyDescent="0.2">
      <c r="A22" s="1626">
        <v>8500</v>
      </c>
      <c r="B22" s="1630" t="s">
        <v>45</v>
      </c>
      <c r="C22" s="1712" t="s">
        <v>31</v>
      </c>
      <c r="D22" s="1712" t="s">
        <v>31</v>
      </c>
      <c r="E22" s="1712" t="s">
        <v>31</v>
      </c>
      <c r="F22" s="1712" t="s">
        <v>31</v>
      </c>
      <c r="G22" s="1712"/>
      <c r="H22" s="1712"/>
      <c r="I22" s="1612" t="s">
        <v>31</v>
      </c>
      <c r="J22" s="1624">
        <v>21</v>
      </c>
      <c r="K22" s="1612">
        <v>21</v>
      </c>
      <c r="L22" s="1624" t="s">
        <v>35</v>
      </c>
      <c r="M22" s="1612" t="s">
        <v>35</v>
      </c>
      <c r="N22" s="1633"/>
      <c r="O22" s="1633"/>
      <c r="P22" s="1612" t="s">
        <v>223</v>
      </c>
      <c r="Q22" s="1612" t="s">
        <v>223</v>
      </c>
      <c r="R22" s="1612" t="s">
        <v>223</v>
      </c>
      <c r="S22" s="1612" t="s">
        <v>223</v>
      </c>
      <c r="T22" s="1639" t="s">
        <v>223</v>
      </c>
      <c r="U22" s="1714">
        <v>26</v>
      </c>
      <c r="V22" s="1633"/>
      <c r="W22" s="1612" t="s">
        <v>223</v>
      </c>
      <c r="X22" s="1612" t="s">
        <v>223</v>
      </c>
      <c r="Y22" s="1612" t="s">
        <v>223</v>
      </c>
      <c r="Z22" s="1612" t="s">
        <v>223</v>
      </c>
      <c r="AA22" s="1612" t="s">
        <v>223</v>
      </c>
      <c r="AB22" s="1612"/>
      <c r="AC22" s="1612"/>
      <c r="AD22" s="1725" t="s">
        <v>223</v>
      </c>
      <c r="AE22" s="1612" t="s">
        <v>223</v>
      </c>
      <c r="AF22" s="1612" t="s">
        <v>223</v>
      </c>
      <c r="AG22" s="1634"/>
      <c r="AH22" s="190"/>
      <c r="AI22" s="190"/>
    </row>
    <row r="23" spans="1:40" ht="22.15" customHeight="1" x14ac:dyDescent="0.2">
      <c r="A23" s="1626"/>
      <c r="B23" s="1635"/>
      <c r="C23" s="1629"/>
      <c r="D23" s="1628"/>
      <c r="E23" s="1612"/>
      <c r="F23" s="1612"/>
      <c r="G23" s="1612"/>
      <c r="H23" s="1612"/>
      <c r="I23" s="1629"/>
      <c r="J23" s="1629"/>
      <c r="K23" s="1629"/>
      <c r="L23" s="1629"/>
      <c r="M23" s="1629"/>
      <c r="N23" s="1629"/>
      <c r="O23" s="1636"/>
      <c r="P23" s="1629"/>
      <c r="Q23" s="1629"/>
      <c r="R23" s="1637"/>
      <c r="S23" s="1637"/>
      <c r="T23" s="1629"/>
      <c r="U23" s="1629"/>
      <c r="V23" s="1629"/>
      <c r="W23" s="1629"/>
      <c r="X23" s="1629"/>
      <c r="Y23" s="1629"/>
      <c r="Z23" s="1629"/>
      <c r="AA23" s="1629"/>
      <c r="AB23" s="1629"/>
      <c r="AC23" s="1633"/>
      <c r="AD23" s="1633"/>
      <c r="AE23" s="1633"/>
      <c r="AF23" s="1633"/>
      <c r="AG23" s="1634"/>
    </row>
    <row r="24" spans="1:40" ht="22.15" customHeight="1" thickBot="1" x14ac:dyDescent="0.25">
      <c r="A24" s="688"/>
      <c r="B24" s="689" t="s">
        <v>338</v>
      </c>
      <c r="C24" s="690"/>
      <c r="D24" s="690"/>
      <c r="E24" s="690"/>
      <c r="F24" s="690"/>
      <c r="G24" s="690" t="s">
        <v>0</v>
      </c>
      <c r="H24" s="690"/>
      <c r="I24" s="690"/>
      <c r="J24" s="690"/>
      <c r="K24" s="690"/>
      <c r="L24" s="690" t="s">
        <v>0</v>
      </c>
      <c r="M24" s="690"/>
      <c r="N24" s="690" t="s">
        <v>0</v>
      </c>
      <c r="O24" s="690" t="s">
        <v>0</v>
      </c>
      <c r="P24" s="690"/>
      <c r="Q24" s="690"/>
      <c r="R24" s="690"/>
      <c r="S24" s="690"/>
      <c r="T24" s="690"/>
      <c r="U24" s="690" t="s">
        <v>0</v>
      </c>
      <c r="V24" s="690"/>
      <c r="W24" s="690"/>
      <c r="X24" s="690"/>
      <c r="Y24" s="690"/>
      <c r="Z24" s="690"/>
      <c r="AA24" s="690"/>
      <c r="AB24" s="690"/>
      <c r="AC24" s="690"/>
      <c r="AD24" s="690"/>
      <c r="AE24" s="690"/>
      <c r="AF24" s="690"/>
      <c r="AG24" s="218"/>
    </row>
    <row r="25" spans="1:40" ht="22.15" customHeight="1" x14ac:dyDescent="0.2">
      <c r="A25" s="102"/>
      <c r="I25" s="2019">
        <v>4</v>
      </c>
      <c r="J25" t="s">
        <v>0</v>
      </c>
      <c r="K25" t="s">
        <v>0</v>
      </c>
      <c r="L25" t="s">
        <v>0</v>
      </c>
      <c r="M25" t="s">
        <v>0</v>
      </c>
      <c r="R25" s="2019"/>
      <c r="S25" s="1612" t="s">
        <v>0</v>
      </c>
      <c r="T25" s="1612" t="s">
        <v>0</v>
      </c>
      <c r="W25" s="1612"/>
      <c r="X25" s="1612"/>
      <c r="Y25" s="2019" t="s">
        <v>0</v>
      </c>
      <c r="Z25" s="2019" t="s">
        <v>0</v>
      </c>
      <c r="AA25" t="s">
        <v>0</v>
      </c>
      <c r="AD25" s="2019" t="s">
        <v>0</v>
      </c>
      <c r="AE25" s="2019"/>
      <c r="AF25" s="1413">
        <v>99</v>
      </c>
    </row>
    <row r="26" spans="1:40" ht="22.15" customHeight="1" x14ac:dyDescent="0.2">
      <c r="A26" s="102"/>
      <c r="J26" s="1636"/>
      <c r="K26" s="1636" t="s">
        <v>0</v>
      </c>
      <c r="L26" s="1636"/>
      <c r="M26" t="s">
        <v>0</v>
      </c>
      <c r="P26" s="1639">
        <v>1</v>
      </c>
      <c r="Q26" s="1639">
        <v>1</v>
      </c>
      <c r="R26" s="1639">
        <v>1</v>
      </c>
      <c r="S26" s="1639">
        <v>1</v>
      </c>
      <c r="T26" s="1639">
        <v>1</v>
      </c>
      <c r="AA26" s="1299"/>
      <c r="AD26" s="2019"/>
      <c r="AF26" t="s">
        <v>0</v>
      </c>
    </row>
    <row r="27" spans="1:40" ht="22.15" customHeight="1" x14ac:dyDescent="0.2">
      <c r="A27" s="102"/>
      <c r="L27" t="s">
        <v>0</v>
      </c>
      <c r="P27">
        <v>3</v>
      </c>
      <c r="Q27">
        <v>3</v>
      </c>
      <c r="R27">
        <v>3</v>
      </c>
      <c r="S27" s="2020">
        <v>3</v>
      </c>
      <c r="T27" s="2020">
        <v>3</v>
      </c>
    </row>
    <row r="28" spans="1:40" ht="22.15" customHeight="1" x14ac:dyDescent="0.2">
      <c r="A28" s="102"/>
      <c r="L28" t="s">
        <v>0</v>
      </c>
    </row>
    <row r="29" spans="1:40" ht="12.75" customHeight="1" thickBot="1" x14ac:dyDescent="0.25">
      <c r="A29" s="162" t="s">
        <v>48</v>
      </c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K29" s="1"/>
    </row>
    <row r="30" spans="1:40" ht="28.5" customHeight="1" x14ac:dyDescent="0.2">
      <c r="A30" s="302" t="s">
        <v>49</v>
      </c>
      <c r="B30" s="404"/>
      <c r="C30" s="404"/>
      <c r="D30" s="471" t="s">
        <v>50</v>
      </c>
      <c r="E30" s="405"/>
      <c r="F30" s="405"/>
      <c r="G30" s="405"/>
      <c r="H30" s="405"/>
      <c r="I30" s="405"/>
      <c r="J30" s="405"/>
      <c r="K30" s="405"/>
      <c r="L30" s="405"/>
      <c r="M30" s="406" t="s">
        <v>51</v>
      </c>
      <c r="N30" s="405"/>
      <c r="O30" s="405"/>
      <c r="P30" s="405"/>
      <c r="Q30" s="405"/>
      <c r="R30" s="405"/>
      <c r="S30" s="407"/>
      <c r="T30" s="3653" t="s">
        <v>52</v>
      </c>
      <c r="U30" s="3654"/>
      <c r="V30" s="3654"/>
      <c r="W30" s="3654"/>
      <c r="X30" s="3654"/>
      <c r="Y30" s="3654"/>
      <c r="Z30" s="3655"/>
      <c r="AA30" s="472" t="s">
        <v>53</v>
      </c>
      <c r="AB30" s="473"/>
      <c r="AC30" s="473"/>
      <c r="AD30" s="473"/>
      <c r="AE30" s="473"/>
      <c r="AF30" s="473"/>
      <c r="AG30" s="474"/>
      <c r="AK30" s="1"/>
    </row>
    <row r="31" spans="1:40" ht="22.15" customHeight="1" x14ac:dyDescent="0.2">
      <c r="A31" s="1227" t="s">
        <v>54</v>
      </c>
      <c r="B31" s="1180"/>
      <c r="C31" s="1180"/>
      <c r="D31" s="1228" t="s">
        <v>55</v>
      </c>
      <c r="E31" s="1229"/>
      <c r="F31" s="1167"/>
      <c r="G31" s="1167"/>
      <c r="H31" s="1167"/>
      <c r="I31" s="1167"/>
      <c r="J31" s="1167"/>
      <c r="K31" s="1167"/>
      <c r="L31" s="1175"/>
      <c r="M31" s="1230" t="s">
        <v>56</v>
      </c>
      <c r="N31" s="1180"/>
      <c r="O31" s="1231"/>
      <c r="P31" s="1180"/>
      <c r="Q31" s="1180"/>
      <c r="R31" s="1180"/>
      <c r="S31" s="1232"/>
      <c r="T31" s="1228" t="s">
        <v>57</v>
      </c>
      <c r="U31" s="1167"/>
      <c r="V31" s="1229"/>
      <c r="W31" s="1167"/>
      <c r="X31" s="1167"/>
      <c r="Y31" s="1167"/>
      <c r="Z31" s="1175"/>
      <c r="AA31" s="163" t="s">
        <v>58</v>
      </c>
      <c r="AD31" s="100"/>
      <c r="AG31" s="103"/>
      <c r="AK31" s="1"/>
    </row>
    <row r="32" spans="1:40" ht="22.15" customHeight="1" x14ac:dyDescent="0.2">
      <c r="A32" s="1233" t="s">
        <v>59</v>
      </c>
      <c r="B32" s="1167"/>
      <c r="C32" s="1167"/>
      <c r="D32" s="1234"/>
      <c r="E32" s="1167"/>
      <c r="F32" s="1167"/>
      <c r="G32" s="1175"/>
      <c r="H32" s="1182" t="s">
        <v>60</v>
      </c>
      <c r="I32" s="1167"/>
      <c r="J32" s="1167"/>
      <c r="K32" s="1167"/>
      <c r="L32" s="1167"/>
      <c r="M32" s="1235"/>
      <c r="N32" s="1167"/>
      <c r="O32" s="1167"/>
      <c r="P32" s="1167"/>
      <c r="Q32" s="1167"/>
      <c r="R32" s="1167"/>
      <c r="S32" s="1167"/>
      <c r="T32" s="1234"/>
      <c r="U32" s="162" t="s">
        <v>61</v>
      </c>
      <c r="AA32" s="1231"/>
      <c r="AB32" s="1180"/>
      <c r="AC32" s="1180"/>
      <c r="AD32" s="1180"/>
      <c r="AE32" s="1180"/>
      <c r="AF32" s="1180"/>
      <c r="AG32" s="1236"/>
      <c r="AK32" s="64"/>
    </row>
    <row r="33" spans="1:38" ht="22.15" customHeight="1" thickBot="1" x14ac:dyDescent="0.25">
      <c r="A33" s="1935" t="s">
        <v>62</v>
      </c>
      <c r="B33" s="1238"/>
      <c r="C33" s="1238"/>
      <c r="D33" s="1239"/>
      <c r="E33" s="1238"/>
      <c r="F33" s="1238"/>
      <c r="G33" s="1240"/>
      <c r="H33" s="1241" t="s">
        <v>63</v>
      </c>
      <c r="I33" s="1240"/>
      <c r="J33" s="1238"/>
      <c r="K33" s="1238"/>
      <c r="L33" s="1238"/>
      <c r="M33" s="1242"/>
      <c r="N33" s="1238"/>
      <c r="O33" s="1238"/>
      <c r="P33" s="1238"/>
      <c r="Q33" s="1243"/>
      <c r="R33" s="1243"/>
      <c r="S33" s="1243"/>
      <c r="T33" s="1239"/>
      <c r="U33" s="1244" t="s">
        <v>64</v>
      </c>
      <c r="V33" s="1238"/>
      <c r="W33" s="1238"/>
      <c r="X33" s="1238"/>
      <c r="Y33" s="1238"/>
      <c r="Z33" s="1238"/>
      <c r="AA33" s="1238"/>
      <c r="AB33" s="1238"/>
      <c r="AC33" s="1238"/>
      <c r="AD33" s="1238"/>
      <c r="AE33" s="1238"/>
      <c r="AF33" s="1238"/>
      <c r="AG33" s="1245"/>
      <c r="AK33" s="1"/>
    </row>
    <row r="34" spans="1:38" ht="22.15" customHeight="1" x14ac:dyDescent="0.2">
      <c r="B34" s="104" t="s">
        <v>27</v>
      </c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1"/>
      <c r="AJ34" s="177"/>
    </row>
    <row r="35" spans="1:38" ht="22.15" customHeight="1" thickBot="1" x14ac:dyDescent="0.25">
      <c r="A35" s="1246" t="s">
        <v>28</v>
      </c>
      <c r="B35" s="1247" t="s">
        <v>29</v>
      </c>
      <c r="C35" s="1186">
        <v>1</v>
      </c>
      <c r="D35" s="1186">
        <v>2</v>
      </c>
      <c r="E35" s="1186">
        <v>3</v>
      </c>
      <c r="F35" s="1186">
        <v>4</v>
      </c>
      <c r="G35" s="1185">
        <v>5</v>
      </c>
      <c r="H35" s="1185">
        <v>6</v>
      </c>
      <c r="I35" s="1186">
        <v>7</v>
      </c>
      <c r="J35" s="1186">
        <v>8</v>
      </c>
      <c r="K35" s="1186">
        <v>9</v>
      </c>
      <c r="L35" s="1186">
        <v>10</v>
      </c>
      <c r="M35" s="1186">
        <v>11</v>
      </c>
      <c r="N35" s="1185">
        <v>12</v>
      </c>
      <c r="O35" s="1185">
        <v>13</v>
      </c>
      <c r="P35" s="1186">
        <v>14</v>
      </c>
      <c r="Q35" s="1186">
        <v>15</v>
      </c>
      <c r="R35" s="1186">
        <v>16</v>
      </c>
      <c r="S35" s="1186">
        <v>17</v>
      </c>
      <c r="T35" s="1186">
        <v>18</v>
      </c>
      <c r="U35" s="1185">
        <v>19</v>
      </c>
      <c r="V35" s="1185">
        <v>20</v>
      </c>
      <c r="W35" s="1186">
        <v>21</v>
      </c>
      <c r="X35" s="1186">
        <v>22</v>
      </c>
      <c r="Y35" s="1186">
        <v>23</v>
      </c>
      <c r="Z35" s="1186">
        <v>24</v>
      </c>
      <c r="AA35" s="1186">
        <v>25</v>
      </c>
      <c r="AB35" s="1185">
        <v>26</v>
      </c>
      <c r="AC35" s="1185">
        <v>27</v>
      </c>
      <c r="AD35" s="1186">
        <v>28</v>
      </c>
      <c r="AE35" s="1186">
        <v>29</v>
      </c>
      <c r="AF35" s="1186">
        <v>30</v>
      </c>
      <c r="AG35" s="1945"/>
      <c r="AH35" s="184"/>
      <c r="AI35" s="185"/>
      <c r="AL35" t="s">
        <v>0</v>
      </c>
    </row>
    <row r="36" spans="1:38" ht="22.15" customHeight="1" x14ac:dyDescent="0.2">
      <c r="A36" s="475">
        <v>1</v>
      </c>
      <c r="B36" s="476" t="s">
        <v>65</v>
      </c>
      <c r="C36" s="532" t="s">
        <v>35</v>
      </c>
      <c r="D36" s="532" t="s">
        <v>35</v>
      </c>
      <c r="E36" s="532" t="s">
        <v>35</v>
      </c>
      <c r="F36" s="532" t="s">
        <v>35</v>
      </c>
      <c r="G36" s="532"/>
      <c r="H36" s="532"/>
      <c r="I36" s="477">
        <v>5</v>
      </c>
      <c r="J36" s="458">
        <v>5</v>
      </c>
      <c r="K36" s="548">
        <v>5</v>
      </c>
      <c r="L36" s="548">
        <v>5</v>
      </c>
      <c r="M36" s="620">
        <v>5</v>
      </c>
      <c r="N36" s="477"/>
      <c r="O36" s="458"/>
      <c r="P36" s="477">
        <v>10</v>
      </c>
      <c r="Q36" s="459">
        <v>10</v>
      </c>
      <c r="R36" s="458">
        <v>10</v>
      </c>
      <c r="S36" s="477">
        <v>10</v>
      </c>
      <c r="T36" s="483">
        <v>10</v>
      </c>
      <c r="U36" s="483" t="s">
        <v>67</v>
      </c>
      <c r="V36" s="483" t="s">
        <v>67</v>
      </c>
      <c r="W36" s="621" t="s">
        <v>35</v>
      </c>
      <c r="X36" s="621" t="s">
        <v>35</v>
      </c>
      <c r="Y36" s="621" t="s">
        <v>35</v>
      </c>
      <c r="Z36" s="621" t="s">
        <v>35</v>
      </c>
      <c r="AA36" s="621" t="s">
        <v>35</v>
      </c>
      <c r="AB36" s="621" t="s">
        <v>71</v>
      </c>
      <c r="AC36" s="621" t="s">
        <v>78</v>
      </c>
      <c r="AD36" s="462">
        <v>7</v>
      </c>
      <c r="AE36" s="462">
        <v>7</v>
      </c>
      <c r="AF36" s="462">
        <v>7</v>
      </c>
      <c r="AG36" s="478"/>
      <c r="AH36" s="189"/>
      <c r="AI36" s="190"/>
    </row>
    <row r="37" spans="1:38" ht="22.15" customHeight="1" x14ac:dyDescent="0.2">
      <c r="A37" s="1249">
        <v>6</v>
      </c>
      <c r="B37" s="1665" t="s">
        <v>0</v>
      </c>
      <c r="C37" s="1193">
        <v>4</v>
      </c>
      <c r="D37" s="1193">
        <v>4</v>
      </c>
      <c r="E37" s="1193">
        <v>4</v>
      </c>
      <c r="F37" s="1193">
        <v>4</v>
      </c>
      <c r="G37" s="1193"/>
      <c r="H37" s="1193"/>
      <c r="I37" s="1193">
        <v>3</v>
      </c>
      <c r="J37" s="1193">
        <v>3</v>
      </c>
      <c r="K37" s="1193">
        <v>3</v>
      </c>
      <c r="L37" s="1193">
        <v>3</v>
      </c>
      <c r="M37" s="1193">
        <v>3</v>
      </c>
      <c r="N37" s="1193"/>
      <c r="O37" s="1193"/>
      <c r="P37" s="1193">
        <v>11</v>
      </c>
      <c r="Q37" s="1193">
        <v>11</v>
      </c>
      <c r="R37" s="1193">
        <v>11</v>
      </c>
      <c r="S37" s="1193">
        <v>11</v>
      </c>
      <c r="T37" s="1193">
        <v>11</v>
      </c>
      <c r="U37" s="1193" t="s">
        <v>73</v>
      </c>
      <c r="V37" s="1193" t="s">
        <v>73</v>
      </c>
      <c r="W37" s="1193" t="s">
        <v>35</v>
      </c>
      <c r="X37" s="1193" t="s">
        <v>35</v>
      </c>
      <c r="Y37" s="1193" t="s">
        <v>35</v>
      </c>
      <c r="Z37" s="1193" t="s">
        <v>35</v>
      </c>
      <c r="AA37" s="1193" t="s">
        <v>35</v>
      </c>
      <c r="AB37" s="1193" t="s">
        <v>69</v>
      </c>
      <c r="AC37" s="1193" t="s">
        <v>69</v>
      </c>
      <c r="AD37" s="1193">
        <v>8</v>
      </c>
      <c r="AE37" s="1193">
        <v>8</v>
      </c>
      <c r="AF37" s="1193">
        <v>8</v>
      </c>
      <c r="AG37" s="1251"/>
      <c r="AH37" s="189"/>
      <c r="AI37" s="190"/>
    </row>
    <row r="38" spans="1:38" ht="22.15" customHeight="1" thickBot="1" x14ac:dyDescent="0.25">
      <c r="A38" s="1936">
        <v>11</v>
      </c>
      <c r="B38" s="1253" t="s">
        <v>72</v>
      </c>
      <c r="C38" s="1937" t="s">
        <v>35</v>
      </c>
      <c r="D38" s="1255" t="s">
        <v>35</v>
      </c>
      <c r="E38" s="1255" t="s">
        <v>35</v>
      </c>
      <c r="F38" s="1255" t="s">
        <v>35</v>
      </c>
      <c r="G38" s="1255"/>
      <c r="H38" s="1255"/>
      <c r="I38" s="1255">
        <v>1</v>
      </c>
      <c r="J38" s="1255">
        <v>1</v>
      </c>
      <c r="K38" s="1255">
        <v>1</v>
      </c>
      <c r="L38" s="1255">
        <v>1</v>
      </c>
      <c r="M38" s="1255" t="s">
        <v>216</v>
      </c>
      <c r="N38" s="1255"/>
      <c r="O38" s="1254"/>
      <c r="P38" s="1255">
        <v>9</v>
      </c>
      <c r="Q38" s="1254">
        <v>9</v>
      </c>
      <c r="R38" s="1254">
        <v>9</v>
      </c>
      <c r="S38" s="1255">
        <v>9</v>
      </c>
      <c r="T38" s="1938">
        <v>9</v>
      </c>
      <c r="U38" s="1938" t="s">
        <v>66</v>
      </c>
      <c r="V38" s="1938" t="s">
        <v>67</v>
      </c>
      <c r="W38" s="1938" t="s">
        <v>35</v>
      </c>
      <c r="X38" s="1938" t="s">
        <v>35</v>
      </c>
      <c r="Y38" s="1255" t="s">
        <v>35</v>
      </c>
      <c r="Z38" s="1255" t="s">
        <v>35</v>
      </c>
      <c r="AA38" s="1255" t="s">
        <v>35</v>
      </c>
      <c r="AB38" s="1263" t="s">
        <v>68</v>
      </c>
      <c r="AC38" s="1263" t="s">
        <v>69</v>
      </c>
      <c r="AD38" s="1263">
        <v>6</v>
      </c>
      <c r="AE38" s="1255">
        <v>6</v>
      </c>
      <c r="AF38" s="1255">
        <v>6</v>
      </c>
      <c r="AG38" s="2021"/>
      <c r="AH38" s="189"/>
      <c r="AI38" s="190"/>
    </row>
    <row r="39" spans="1:38" ht="22.15" customHeight="1" x14ac:dyDescent="0.2">
      <c r="A39" s="475">
        <v>2</v>
      </c>
      <c r="B39" s="183" t="s">
        <v>74</v>
      </c>
      <c r="C39" s="458">
        <v>5</v>
      </c>
      <c r="D39" s="458">
        <v>5</v>
      </c>
      <c r="E39" s="458">
        <v>5</v>
      </c>
      <c r="F39" s="458">
        <v>5</v>
      </c>
      <c r="G39" s="458"/>
      <c r="H39" s="477"/>
      <c r="I39" s="477">
        <v>10</v>
      </c>
      <c r="J39" s="458">
        <v>10</v>
      </c>
      <c r="K39" s="458">
        <v>10</v>
      </c>
      <c r="L39" s="477">
        <v>10</v>
      </c>
      <c r="M39" s="477">
        <v>10</v>
      </c>
      <c r="N39" s="477" t="s">
        <v>67</v>
      </c>
      <c r="O39" s="459" t="s">
        <v>67</v>
      </c>
      <c r="P39" s="477" t="s">
        <v>35</v>
      </c>
      <c r="Q39" s="459" t="s">
        <v>35</v>
      </c>
      <c r="R39" s="459" t="s">
        <v>35</v>
      </c>
      <c r="S39" s="458" t="s">
        <v>35</v>
      </c>
      <c r="T39" s="459" t="s">
        <v>35</v>
      </c>
      <c r="U39" s="459" t="s">
        <v>71</v>
      </c>
      <c r="V39" s="459" t="s">
        <v>71</v>
      </c>
      <c r="W39" s="459">
        <v>7</v>
      </c>
      <c r="X39" s="459">
        <v>7</v>
      </c>
      <c r="Y39" s="477">
        <v>7</v>
      </c>
      <c r="Z39" s="477">
        <v>7</v>
      </c>
      <c r="AA39" s="477">
        <v>7</v>
      </c>
      <c r="AB39" s="477"/>
      <c r="AC39" s="459"/>
      <c r="AD39" s="463">
        <v>4</v>
      </c>
      <c r="AE39" s="463">
        <v>4</v>
      </c>
      <c r="AF39" s="463">
        <v>4</v>
      </c>
      <c r="AG39" s="478"/>
      <c r="AH39" s="189"/>
      <c r="AI39" s="190"/>
    </row>
    <row r="40" spans="1:38" ht="22.15" customHeight="1" x14ac:dyDescent="0.2">
      <c r="A40" s="1249">
        <v>7</v>
      </c>
      <c r="B40" s="1202" t="s">
        <v>75</v>
      </c>
      <c r="C40" s="1258">
        <v>3</v>
      </c>
      <c r="D40" s="1258">
        <v>3</v>
      </c>
      <c r="E40" s="1259">
        <v>3</v>
      </c>
      <c r="F40" s="1259">
        <v>3</v>
      </c>
      <c r="G40" s="1259"/>
      <c r="H40" s="1259"/>
      <c r="I40" s="1259">
        <v>11</v>
      </c>
      <c r="J40" s="1258">
        <v>11</v>
      </c>
      <c r="K40" s="1260">
        <v>11</v>
      </c>
      <c r="L40" s="1260">
        <v>11</v>
      </c>
      <c r="M40" s="1260">
        <v>11</v>
      </c>
      <c r="N40" s="1259" t="s">
        <v>73</v>
      </c>
      <c r="O40" s="1259" t="s">
        <v>73</v>
      </c>
      <c r="P40" s="1259" t="s">
        <v>35</v>
      </c>
      <c r="Q40" s="1258" t="s">
        <v>35</v>
      </c>
      <c r="R40" s="1259" t="s">
        <v>35</v>
      </c>
      <c r="S40" s="1259" t="s">
        <v>35</v>
      </c>
      <c r="T40" s="1260" t="s">
        <v>35</v>
      </c>
      <c r="U40" s="1260" t="s">
        <v>69</v>
      </c>
      <c r="V40" s="1260" t="s">
        <v>69</v>
      </c>
      <c r="W40" s="1260">
        <v>8</v>
      </c>
      <c r="X40" s="1259">
        <v>8</v>
      </c>
      <c r="Y40" s="1259">
        <v>8</v>
      </c>
      <c r="Z40" s="1259">
        <v>8</v>
      </c>
      <c r="AA40" s="1259">
        <v>8</v>
      </c>
      <c r="AB40" s="1259"/>
      <c r="AC40" s="1259"/>
      <c r="AD40" s="1259" t="s">
        <v>35</v>
      </c>
      <c r="AE40" s="1259" t="s">
        <v>35</v>
      </c>
      <c r="AF40" s="1259" t="s">
        <v>35</v>
      </c>
      <c r="AG40" s="1261"/>
      <c r="AH40" s="189"/>
      <c r="AI40" s="190"/>
    </row>
    <row r="41" spans="1:38" ht="22.15" customHeight="1" thickBot="1" x14ac:dyDescent="0.25">
      <c r="A41" s="1936">
        <v>12</v>
      </c>
      <c r="B41" s="1262" t="s">
        <v>76</v>
      </c>
      <c r="C41" s="1321">
        <v>1</v>
      </c>
      <c r="D41" s="1321">
        <v>1</v>
      </c>
      <c r="E41" s="1321">
        <v>1</v>
      </c>
      <c r="F41" s="1321">
        <v>1</v>
      </c>
      <c r="G41" s="1321" t="s">
        <v>118</v>
      </c>
      <c r="H41" s="1255"/>
      <c r="I41" s="1256">
        <v>9</v>
      </c>
      <c r="J41" s="1256">
        <v>9</v>
      </c>
      <c r="K41" s="1256">
        <v>9</v>
      </c>
      <c r="L41" s="1256">
        <v>9</v>
      </c>
      <c r="M41" s="1256">
        <v>9</v>
      </c>
      <c r="N41" s="1256" t="s">
        <v>66</v>
      </c>
      <c r="O41" s="1256" t="s">
        <v>67</v>
      </c>
      <c r="P41" s="1256" t="s">
        <v>35</v>
      </c>
      <c r="Q41" s="1256" t="s">
        <v>35</v>
      </c>
      <c r="R41" s="1256" t="s">
        <v>35</v>
      </c>
      <c r="S41" s="1256" t="s">
        <v>35</v>
      </c>
      <c r="T41" s="1256" t="s">
        <v>35</v>
      </c>
      <c r="U41" s="1256" t="s">
        <v>68</v>
      </c>
      <c r="V41" s="1256" t="s">
        <v>69</v>
      </c>
      <c r="W41" s="1256">
        <v>6</v>
      </c>
      <c r="X41" s="1256">
        <v>6</v>
      </c>
      <c r="Y41" s="1256">
        <v>6</v>
      </c>
      <c r="Z41" s="1256">
        <v>6</v>
      </c>
      <c r="AA41" s="1256">
        <v>6</v>
      </c>
      <c r="AB41" s="1256"/>
      <c r="AC41" s="1256"/>
      <c r="AD41" s="1254" t="s">
        <v>35</v>
      </c>
      <c r="AE41" s="1254" t="s">
        <v>35</v>
      </c>
      <c r="AF41" s="1254" t="s">
        <v>35</v>
      </c>
      <c r="AG41" s="1945"/>
      <c r="AH41" s="189"/>
      <c r="AI41" s="190"/>
      <c r="AL41" t="s">
        <v>0</v>
      </c>
    </row>
    <row r="42" spans="1:38" ht="22.15" customHeight="1" x14ac:dyDescent="0.2">
      <c r="A42" s="475">
        <v>3</v>
      </c>
      <c r="B42" s="479" t="s">
        <v>77</v>
      </c>
      <c r="C42" s="480">
        <v>10</v>
      </c>
      <c r="D42" s="459">
        <v>10</v>
      </c>
      <c r="E42" s="477">
        <v>10</v>
      </c>
      <c r="F42" s="477">
        <v>10</v>
      </c>
      <c r="G42" s="477" t="s">
        <v>67</v>
      </c>
      <c r="H42" s="477" t="s">
        <v>67</v>
      </c>
      <c r="I42" s="477" t="s">
        <v>35</v>
      </c>
      <c r="J42" s="459" t="s">
        <v>35</v>
      </c>
      <c r="K42" s="459" t="s">
        <v>35</v>
      </c>
      <c r="L42" s="459" t="s">
        <v>35</v>
      </c>
      <c r="M42" s="459" t="s">
        <v>35</v>
      </c>
      <c r="N42" s="1629" t="s">
        <v>71</v>
      </c>
      <c r="O42" s="1629" t="s">
        <v>71</v>
      </c>
      <c r="P42" s="459">
        <v>7</v>
      </c>
      <c r="Q42" s="459">
        <v>7</v>
      </c>
      <c r="R42" s="477">
        <v>7</v>
      </c>
      <c r="S42" s="477">
        <v>7</v>
      </c>
      <c r="T42" s="477">
        <v>7</v>
      </c>
      <c r="U42" s="477"/>
      <c r="V42" s="459"/>
      <c r="W42" s="459">
        <v>4</v>
      </c>
      <c r="X42" s="459">
        <v>4</v>
      </c>
      <c r="Y42" s="459">
        <v>4</v>
      </c>
      <c r="Z42" s="459" t="s">
        <v>165</v>
      </c>
      <c r="AA42" s="459">
        <v>4</v>
      </c>
      <c r="AB42" s="477"/>
      <c r="AC42" s="482"/>
      <c r="AD42" s="1629">
        <v>3</v>
      </c>
      <c r="AE42" s="1629">
        <v>3</v>
      </c>
      <c r="AF42" s="1629">
        <v>3</v>
      </c>
      <c r="AG42" s="478"/>
      <c r="AH42" s="189"/>
      <c r="AI42" s="190"/>
    </row>
    <row r="43" spans="1:38" ht="22.15" customHeight="1" x14ac:dyDescent="0.2">
      <c r="A43" s="1249">
        <v>8</v>
      </c>
      <c r="B43" s="1202"/>
      <c r="C43" s="1199">
        <v>11</v>
      </c>
      <c r="D43" s="1199">
        <v>11</v>
      </c>
      <c r="E43" s="1199">
        <v>11</v>
      </c>
      <c r="F43" s="1199">
        <v>11</v>
      </c>
      <c r="G43" s="1199" t="s">
        <v>73</v>
      </c>
      <c r="H43" s="1199" t="s">
        <v>73</v>
      </c>
      <c r="I43" s="1259" t="s">
        <v>35</v>
      </c>
      <c r="J43" s="1258" t="s">
        <v>35</v>
      </c>
      <c r="K43" s="1193" t="s">
        <v>35</v>
      </c>
      <c r="L43" s="1193" t="s">
        <v>35</v>
      </c>
      <c r="M43" s="1193" t="s">
        <v>35</v>
      </c>
      <c r="N43" s="1199" t="s">
        <v>69</v>
      </c>
      <c r="O43" s="1259" t="s">
        <v>69</v>
      </c>
      <c r="P43" s="1259">
        <v>8</v>
      </c>
      <c r="Q43" s="1259">
        <v>8</v>
      </c>
      <c r="R43" s="1259">
        <v>8</v>
      </c>
      <c r="S43" s="1259">
        <v>8</v>
      </c>
      <c r="T43" s="1259">
        <v>8</v>
      </c>
      <c r="U43" s="1259"/>
      <c r="V43" s="1259"/>
      <c r="W43" s="1259" t="s">
        <v>35</v>
      </c>
      <c r="X43" s="1258" t="s">
        <v>35</v>
      </c>
      <c r="Y43" s="1259" t="s">
        <v>35</v>
      </c>
      <c r="Z43" s="1259" t="s">
        <v>35</v>
      </c>
      <c r="AA43" s="1259" t="s">
        <v>35</v>
      </c>
      <c r="AB43" s="1259"/>
      <c r="AC43" s="1259"/>
      <c r="AD43" s="1199">
        <v>1</v>
      </c>
      <c r="AE43" s="1199">
        <v>1</v>
      </c>
      <c r="AF43" s="1267">
        <v>1</v>
      </c>
      <c r="AG43" s="1261"/>
      <c r="AH43" s="189"/>
      <c r="AI43" s="190"/>
    </row>
    <row r="44" spans="1:38" ht="22.15" customHeight="1" thickBot="1" x14ac:dyDescent="0.25">
      <c r="A44" s="1936">
        <v>13</v>
      </c>
      <c r="B44" s="1253" t="s">
        <v>79</v>
      </c>
      <c r="C44" s="1256">
        <v>9</v>
      </c>
      <c r="D44" s="1256">
        <v>9</v>
      </c>
      <c r="E44" s="1256">
        <v>9</v>
      </c>
      <c r="F44" s="1256">
        <v>9</v>
      </c>
      <c r="G44" s="1256" t="s">
        <v>66</v>
      </c>
      <c r="H44" s="1256" t="s">
        <v>67</v>
      </c>
      <c r="I44" s="1255" t="s">
        <v>35</v>
      </c>
      <c r="J44" s="1254" t="s">
        <v>35</v>
      </c>
      <c r="K44" s="1255" t="s">
        <v>35</v>
      </c>
      <c r="L44" s="1263" t="s">
        <v>35</v>
      </c>
      <c r="M44" s="1255" t="s">
        <v>35</v>
      </c>
      <c r="N44" s="1272" t="s">
        <v>68</v>
      </c>
      <c r="O44" s="1272" t="s">
        <v>69</v>
      </c>
      <c r="P44" s="1272">
        <v>6</v>
      </c>
      <c r="Q44" s="1271">
        <v>6</v>
      </c>
      <c r="R44" s="1271">
        <v>6</v>
      </c>
      <c r="S44" s="1271">
        <v>6</v>
      </c>
      <c r="T44" s="1271">
        <v>6</v>
      </c>
      <c r="U44" s="1255"/>
      <c r="V44" s="1255"/>
      <c r="W44" s="1255" t="s">
        <v>35</v>
      </c>
      <c r="X44" s="1255" t="s">
        <v>35</v>
      </c>
      <c r="Y44" s="1254" t="s">
        <v>35</v>
      </c>
      <c r="Z44" s="1255" t="s">
        <v>35</v>
      </c>
      <c r="AA44" s="1255" t="s">
        <v>35</v>
      </c>
      <c r="AB44" s="1255"/>
      <c r="AC44" s="1255"/>
      <c r="AD44" s="2022">
        <v>5</v>
      </c>
      <c r="AE44" s="2023">
        <v>5</v>
      </c>
      <c r="AF44" s="2022">
        <v>5</v>
      </c>
      <c r="AG44" s="2021"/>
      <c r="AH44" s="189"/>
      <c r="AI44" s="190"/>
    </row>
    <row r="45" spans="1:38" ht="22.15" customHeight="1" x14ac:dyDescent="0.2">
      <c r="A45" s="475">
        <v>4</v>
      </c>
      <c r="B45" s="476" t="s">
        <v>82</v>
      </c>
      <c r="C45" s="532" t="s">
        <v>35</v>
      </c>
      <c r="D45" s="532" t="s">
        <v>35</v>
      </c>
      <c r="E45" s="532" t="s">
        <v>35</v>
      </c>
      <c r="F45" s="532" t="s">
        <v>35</v>
      </c>
      <c r="G45" s="532" t="s">
        <v>71</v>
      </c>
      <c r="H45" s="532" t="s">
        <v>71</v>
      </c>
      <c r="I45" s="458">
        <v>7</v>
      </c>
      <c r="J45" s="458">
        <v>7</v>
      </c>
      <c r="K45" s="458">
        <v>7</v>
      </c>
      <c r="L45" s="458">
        <v>7</v>
      </c>
      <c r="M45" s="458">
        <v>7</v>
      </c>
      <c r="N45" s="458"/>
      <c r="O45" s="458"/>
      <c r="P45" s="458">
        <v>4</v>
      </c>
      <c r="Q45" s="458">
        <v>4</v>
      </c>
      <c r="R45" s="1299">
        <v>4</v>
      </c>
      <c r="S45" s="458">
        <v>4</v>
      </c>
      <c r="T45" s="458">
        <v>4</v>
      </c>
      <c r="U45" s="477"/>
      <c r="V45" s="482"/>
      <c r="W45" s="477">
        <v>3</v>
      </c>
      <c r="X45" s="477">
        <v>3</v>
      </c>
      <c r="Y45" s="477">
        <v>3</v>
      </c>
      <c r="Z45" s="477">
        <v>3</v>
      </c>
      <c r="AA45" s="477" t="s">
        <v>165</v>
      </c>
      <c r="AB45" s="477"/>
      <c r="AC45" s="477"/>
      <c r="AD45" s="565">
        <v>11</v>
      </c>
      <c r="AE45" s="565">
        <v>11</v>
      </c>
      <c r="AF45" s="477">
        <v>11</v>
      </c>
      <c r="AG45" s="478"/>
      <c r="AH45" s="189"/>
      <c r="AI45" s="190"/>
    </row>
    <row r="46" spans="1:38" ht="22.15" customHeight="1" x14ac:dyDescent="0.2">
      <c r="A46" s="1249">
        <v>9</v>
      </c>
      <c r="B46" s="1202" t="s">
        <v>84</v>
      </c>
      <c r="C46" s="1258" t="s">
        <v>35</v>
      </c>
      <c r="D46" s="1259" t="s">
        <v>35</v>
      </c>
      <c r="E46" s="1259" t="s">
        <v>35</v>
      </c>
      <c r="F46" s="1259" t="s">
        <v>35</v>
      </c>
      <c r="G46" s="1259" t="s">
        <v>69</v>
      </c>
      <c r="H46" s="1259" t="s">
        <v>69</v>
      </c>
      <c r="I46" s="1259">
        <v>8</v>
      </c>
      <c r="J46" s="1259">
        <v>8</v>
      </c>
      <c r="K46" s="1259">
        <v>8</v>
      </c>
      <c r="L46" s="1259">
        <v>8</v>
      </c>
      <c r="M46" s="1259">
        <v>8</v>
      </c>
      <c r="N46" s="1259"/>
      <c r="O46" s="1259"/>
      <c r="P46" s="1259" t="s">
        <v>35</v>
      </c>
      <c r="Q46" s="1258" t="s">
        <v>35</v>
      </c>
      <c r="R46" s="1259" t="s">
        <v>35</v>
      </c>
      <c r="S46" s="1259" t="s">
        <v>35</v>
      </c>
      <c r="T46" s="1259" t="s">
        <v>35</v>
      </c>
      <c r="U46" s="1259"/>
      <c r="V46" s="1259"/>
      <c r="W46" s="1259">
        <v>1</v>
      </c>
      <c r="X46" s="1259">
        <v>1</v>
      </c>
      <c r="Y46" s="1269">
        <v>1</v>
      </c>
      <c r="Z46" s="1259">
        <v>1</v>
      </c>
      <c r="AA46" s="1259" t="s">
        <v>70</v>
      </c>
      <c r="AB46" s="1259"/>
      <c r="AC46" s="1259"/>
      <c r="AD46" s="1259">
        <v>9</v>
      </c>
      <c r="AE46" s="1259">
        <v>9</v>
      </c>
      <c r="AF46" s="1259">
        <v>9</v>
      </c>
      <c r="AG46" s="1261"/>
      <c r="AH46" s="189"/>
      <c r="AI46" s="190"/>
    </row>
    <row r="47" spans="1:38" ht="22.15" customHeight="1" thickBot="1" x14ac:dyDescent="0.25">
      <c r="A47" s="1936">
        <v>14</v>
      </c>
      <c r="B47" s="1253" t="s">
        <v>85</v>
      </c>
      <c r="C47" s="1254" t="s">
        <v>35</v>
      </c>
      <c r="D47" s="2024" t="s">
        <v>35</v>
      </c>
      <c r="E47" s="2024" t="s">
        <v>35</v>
      </c>
      <c r="F47" s="1255" t="s">
        <v>35</v>
      </c>
      <c r="G47" s="1263" t="s">
        <v>68</v>
      </c>
      <c r="H47" s="1263" t="s">
        <v>69</v>
      </c>
      <c r="I47" s="2024">
        <v>6</v>
      </c>
      <c r="J47" s="1255">
        <v>6</v>
      </c>
      <c r="K47" s="1255">
        <v>6</v>
      </c>
      <c r="L47" s="2024">
        <v>6</v>
      </c>
      <c r="M47" s="1255">
        <v>6</v>
      </c>
      <c r="N47" s="1255"/>
      <c r="O47" s="1254"/>
      <c r="P47" s="1255" t="s">
        <v>35</v>
      </c>
      <c r="Q47" s="1255" t="s">
        <v>35</v>
      </c>
      <c r="R47" s="1254" t="s">
        <v>35</v>
      </c>
      <c r="S47" s="1255" t="s">
        <v>35</v>
      </c>
      <c r="T47" s="1255" t="s">
        <v>35</v>
      </c>
      <c r="U47" s="1255"/>
      <c r="V47" s="1255"/>
      <c r="W47" s="1255">
        <v>5</v>
      </c>
      <c r="X47" s="1255">
        <v>5</v>
      </c>
      <c r="Y47" s="1255">
        <v>5</v>
      </c>
      <c r="Z47" s="1255">
        <v>5</v>
      </c>
      <c r="AA47" s="1255">
        <v>5</v>
      </c>
      <c r="AB47" s="1255"/>
      <c r="AC47" s="1254"/>
      <c r="AD47" s="1255">
        <v>10</v>
      </c>
      <c r="AE47" s="1255">
        <v>10</v>
      </c>
      <c r="AF47" s="1254">
        <v>10</v>
      </c>
      <c r="AG47" s="1945"/>
      <c r="AH47" s="189"/>
      <c r="AI47" s="190"/>
    </row>
    <row r="48" spans="1:38" ht="22.15" customHeight="1" x14ac:dyDescent="0.2">
      <c r="A48" s="475">
        <v>5</v>
      </c>
      <c r="B48" s="1202" t="s">
        <v>86</v>
      </c>
      <c r="C48" s="459">
        <v>7</v>
      </c>
      <c r="D48" s="477">
        <v>7</v>
      </c>
      <c r="E48" s="477">
        <v>7</v>
      </c>
      <c r="F48" s="459">
        <v>7</v>
      </c>
      <c r="G48" s="459"/>
      <c r="H48" s="459"/>
      <c r="I48" s="532">
        <v>4</v>
      </c>
      <c r="J48" s="532">
        <v>4</v>
      </c>
      <c r="K48" s="532">
        <v>4</v>
      </c>
      <c r="L48" s="532">
        <v>4</v>
      </c>
      <c r="M48" s="532">
        <v>4</v>
      </c>
      <c r="N48" s="532"/>
      <c r="O48" s="532"/>
      <c r="P48" s="532">
        <v>3</v>
      </c>
      <c r="Q48" s="532">
        <v>3</v>
      </c>
      <c r="R48" s="532">
        <v>3</v>
      </c>
      <c r="S48" s="532">
        <v>3</v>
      </c>
      <c r="T48" s="532">
        <v>3</v>
      </c>
      <c r="U48" s="532"/>
      <c r="V48" s="532"/>
      <c r="W48" s="532">
        <v>11</v>
      </c>
      <c r="X48" s="532">
        <v>11</v>
      </c>
      <c r="Y48" s="532">
        <v>11</v>
      </c>
      <c r="Z48" s="532">
        <v>11</v>
      </c>
      <c r="AA48" s="532">
        <v>11</v>
      </c>
      <c r="AB48" s="566" t="s">
        <v>73</v>
      </c>
      <c r="AC48" s="566" t="s">
        <v>73</v>
      </c>
      <c r="AD48" s="477" t="s">
        <v>35</v>
      </c>
      <c r="AE48" s="477" t="s">
        <v>35</v>
      </c>
      <c r="AF48" s="480" t="s">
        <v>35</v>
      </c>
      <c r="AG48" s="486"/>
      <c r="AH48" s="189"/>
      <c r="AI48" s="190"/>
    </row>
    <row r="49" spans="1:35" ht="22.15" customHeight="1" x14ac:dyDescent="0.2">
      <c r="A49" s="1249">
        <v>10</v>
      </c>
      <c r="B49" s="1202" t="s">
        <v>87</v>
      </c>
      <c r="C49" s="1204">
        <v>8</v>
      </c>
      <c r="D49" s="1204">
        <v>8</v>
      </c>
      <c r="E49" s="1204">
        <v>8</v>
      </c>
      <c r="F49" s="1204">
        <v>8</v>
      </c>
      <c r="G49" s="1204" t="s">
        <v>118</v>
      </c>
      <c r="H49" s="1193"/>
      <c r="I49" s="1193" t="s">
        <v>35</v>
      </c>
      <c r="J49" s="1193" t="s">
        <v>35</v>
      </c>
      <c r="K49" s="1193" t="s">
        <v>35</v>
      </c>
      <c r="L49" s="1193" t="s">
        <v>35</v>
      </c>
      <c r="M49" s="1193" t="s">
        <v>35</v>
      </c>
      <c r="N49" s="1193"/>
      <c r="O49" s="1193"/>
      <c r="P49" s="2025">
        <v>1</v>
      </c>
      <c r="Q49" s="2025">
        <v>1</v>
      </c>
      <c r="R49" s="2025">
        <v>1</v>
      </c>
      <c r="S49" s="2025">
        <v>1</v>
      </c>
      <c r="T49" s="2025">
        <v>1</v>
      </c>
      <c r="U49" s="1193"/>
      <c r="V49" s="1193"/>
      <c r="W49" s="1199">
        <v>9</v>
      </c>
      <c r="X49" s="1259">
        <v>9</v>
      </c>
      <c r="Y49" s="1258">
        <v>9</v>
      </c>
      <c r="Z49" s="1259">
        <v>9</v>
      </c>
      <c r="AA49" s="1259">
        <v>9</v>
      </c>
      <c r="AB49" s="1259" t="s">
        <v>66</v>
      </c>
      <c r="AC49" s="1259" t="s">
        <v>67</v>
      </c>
      <c r="AD49" s="1259" t="s">
        <v>35</v>
      </c>
      <c r="AE49" s="1259" t="s">
        <v>35</v>
      </c>
      <c r="AF49" s="1259" t="s">
        <v>35</v>
      </c>
      <c r="AG49" s="1261"/>
      <c r="AH49" s="189"/>
      <c r="AI49" s="190"/>
    </row>
    <row r="50" spans="1:35" ht="22.15" customHeight="1" thickBot="1" x14ac:dyDescent="0.25">
      <c r="A50" s="1936">
        <v>15</v>
      </c>
      <c r="B50" s="1253" t="s">
        <v>88</v>
      </c>
      <c r="C50" s="1256">
        <v>6</v>
      </c>
      <c r="D50" s="1256">
        <v>6</v>
      </c>
      <c r="E50" s="1256">
        <v>6</v>
      </c>
      <c r="F50" s="1256">
        <v>6</v>
      </c>
      <c r="G50" s="1256"/>
      <c r="H50" s="1256"/>
      <c r="I50" s="1263" t="s">
        <v>35</v>
      </c>
      <c r="J50" s="1263" t="s">
        <v>35</v>
      </c>
      <c r="K50" s="1254" t="s">
        <v>35</v>
      </c>
      <c r="L50" s="1255" t="s">
        <v>35</v>
      </c>
      <c r="M50" s="1255" t="s">
        <v>35</v>
      </c>
      <c r="N50" s="1255"/>
      <c r="O50" s="1255"/>
      <c r="P50" s="1255">
        <v>5</v>
      </c>
      <c r="Q50" s="1254">
        <v>5</v>
      </c>
      <c r="R50" s="1255">
        <v>5</v>
      </c>
      <c r="S50" s="1255">
        <v>5</v>
      </c>
      <c r="T50" s="1255">
        <v>5</v>
      </c>
      <c r="U50" s="1255"/>
      <c r="V50" s="1255"/>
      <c r="W50" s="1255">
        <v>10</v>
      </c>
      <c r="X50" s="1255">
        <v>10</v>
      </c>
      <c r="Y50" s="1254">
        <v>10</v>
      </c>
      <c r="Z50" s="1255">
        <v>10</v>
      </c>
      <c r="AA50" s="1255">
        <v>10</v>
      </c>
      <c r="AB50" s="1255" t="s">
        <v>67</v>
      </c>
      <c r="AC50" s="1255" t="s">
        <v>67</v>
      </c>
      <c r="AD50" s="1255" t="s">
        <v>35</v>
      </c>
      <c r="AE50" s="1254" t="s">
        <v>35</v>
      </c>
      <c r="AF50" s="1263" t="s">
        <v>35</v>
      </c>
      <c r="AG50" s="2026"/>
      <c r="AH50" s="189"/>
      <c r="AI50" s="190"/>
    </row>
    <row r="51" spans="1:35" ht="22.15" customHeight="1" x14ac:dyDescent="0.2">
      <c r="A51" s="10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1"/>
    </row>
    <row r="52" spans="1:35" ht="22.15" customHeight="1" x14ac:dyDescent="0.2">
      <c r="A52" s="109"/>
      <c r="B52" s="64" t="s">
        <v>89</v>
      </c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6"/>
      <c r="AA52" s="106"/>
      <c r="AB52" s="106"/>
      <c r="AC52" s="106"/>
      <c r="AD52" s="106"/>
      <c r="AE52" s="106"/>
      <c r="AF52" s="106"/>
      <c r="AG52" s="106"/>
      <c r="AH52" s="1"/>
    </row>
    <row r="53" spans="1:35" ht="22.15" customHeight="1" x14ac:dyDescent="0.2">
      <c r="A53" s="1274" t="s">
        <v>28</v>
      </c>
      <c r="B53" s="1274"/>
      <c r="C53" s="1275"/>
      <c r="D53" s="1274" t="s">
        <v>90</v>
      </c>
      <c r="E53" s="1276"/>
      <c r="F53" s="1275"/>
      <c r="G53" s="1274" t="s">
        <v>91</v>
      </c>
      <c r="H53" s="1276"/>
      <c r="I53" s="1275"/>
      <c r="J53" s="1274" t="s">
        <v>92</v>
      </c>
      <c r="K53" s="1276"/>
      <c r="L53" s="1275"/>
      <c r="M53" s="1274" t="s">
        <v>93</v>
      </c>
      <c r="N53" s="1276"/>
      <c r="O53" s="1275"/>
      <c r="P53" s="1274" t="s">
        <v>94</v>
      </c>
      <c r="Q53" s="1276"/>
      <c r="R53" s="1277"/>
      <c r="S53" s="1278" t="s">
        <v>95</v>
      </c>
      <c r="T53" s="1276"/>
      <c r="U53" s="1275"/>
      <c r="V53" s="1274" t="s">
        <v>96</v>
      </c>
      <c r="W53" s="1276"/>
      <c r="X53" s="1279" t="s">
        <v>97</v>
      </c>
      <c r="Y53" s="1276"/>
      <c r="Z53" s="1276"/>
      <c r="AA53" s="1280"/>
      <c r="AB53" s="1169"/>
      <c r="AC53" s="1169"/>
      <c r="AD53" s="1169"/>
      <c r="AE53" s="1169"/>
      <c r="AF53" s="1169"/>
      <c r="AG53" s="1170"/>
      <c r="AH53" s="1"/>
    </row>
    <row r="54" spans="1:35" ht="22.15" customHeight="1" x14ac:dyDescent="0.2">
      <c r="A54" s="1281">
        <v>8517</v>
      </c>
      <c r="B54" s="1282" t="s">
        <v>98</v>
      </c>
      <c r="C54" s="1283" t="s">
        <v>99</v>
      </c>
      <c r="D54" s="1284"/>
      <c r="E54" s="1168"/>
      <c r="F54" s="1283" t="s">
        <v>99</v>
      </c>
      <c r="G54" s="1284"/>
      <c r="H54" s="1168"/>
      <c r="I54" s="1283" t="s">
        <v>99</v>
      </c>
      <c r="J54" s="1284"/>
      <c r="K54" s="1168"/>
      <c r="L54" s="1283" t="s">
        <v>99</v>
      </c>
      <c r="M54" s="1284"/>
      <c r="N54" s="1168"/>
      <c r="O54" s="1283" t="s">
        <v>100</v>
      </c>
      <c r="P54" s="1284"/>
      <c r="Q54" s="1168"/>
      <c r="R54" s="1283" t="s">
        <v>99</v>
      </c>
      <c r="S54" s="1284"/>
      <c r="T54" s="1168"/>
      <c r="U54" s="1283" t="s">
        <v>99</v>
      </c>
      <c r="V54" s="1284"/>
      <c r="W54" s="1168"/>
      <c r="X54" s="1166"/>
      <c r="Y54" s="1169"/>
      <c r="Z54" s="1169"/>
      <c r="AA54" s="1169"/>
      <c r="AB54" s="1169"/>
      <c r="AC54" s="1169"/>
      <c r="AD54" s="1169"/>
      <c r="AE54" s="1169"/>
      <c r="AF54" s="1169"/>
      <c r="AG54" s="1170"/>
      <c r="AH54" s="1"/>
    </row>
    <row r="55" spans="1:35" ht="22.15" customHeight="1" x14ac:dyDescent="0.2">
      <c r="B55" s="1191" t="s">
        <v>101</v>
      </c>
      <c r="C55" s="1285" t="s">
        <v>102</v>
      </c>
      <c r="D55" s="1286"/>
      <c r="E55" s="1287"/>
      <c r="F55" s="1285" t="s">
        <v>102</v>
      </c>
      <c r="G55" s="1288"/>
      <c r="H55" s="1287"/>
      <c r="I55" s="1283" t="s">
        <v>102</v>
      </c>
      <c r="J55" s="1284"/>
      <c r="K55" s="1289"/>
      <c r="L55" s="1283" t="s">
        <v>102</v>
      </c>
      <c r="M55" s="1284"/>
      <c r="N55" s="1289"/>
      <c r="O55" s="1283" t="s">
        <v>103</v>
      </c>
      <c r="P55" s="1284"/>
      <c r="Q55" s="1168"/>
      <c r="R55" s="1290" t="s">
        <v>0</v>
      </c>
      <c r="S55" s="1284"/>
      <c r="T55" s="1289"/>
      <c r="U55" s="1284" t="s">
        <v>0</v>
      </c>
      <c r="V55" s="1284"/>
      <c r="W55" s="1168"/>
      <c r="X55" s="1947" t="s">
        <v>0</v>
      </c>
      <c r="Y55" s="72"/>
      <c r="Z55" s="72"/>
      <c r="AA55" s="72"/>
      <c r="AB55" s="72"/>
      <c r="AC55" s="72"/>
      <c r="AD55" s="72"/>
      <c r="AE55" s="72"/>
      <c r="AF55" s="72"/>
      <c r="AG55" s="111"/>
      <c r="AH55" s="1"/>
    </row>
    <row r="56" spans="1:35" ht="22.15" customHeight="1" x14ac:dyDescent="0.2">
      <c r="A56" s="1292"/>
      <c r="B56" s="1282" t="s">
        <v>104</v>
      </c>
      <c r="C56" s="1283" t="s">
        <v>105</v>
      </c>
      <c r="D56" s="1284"/>
      <c r="E56" s="1168"/>
      <c r="F56" s="1283" t="s">
        <v>105</v>
      </c>
      <c r="G56" s="1284"/>
      <c r="H56" s="1289"/>
      <c r="I56" s="1283" t="s">
        <v>105</v>
      </c>
      <c r="J56" s="1284"/>
      <c r="K56" s="1289"/>
      <c r="L56" s="1283" t="s">
        <v>105</v>
      </c>
      <c r="M56" s="1284"/>
      <c r="N56" s="1289"/>
      <c r="O56" s="1283" t="s">
        <v>106</v>
      </c>
      <c r="P56" s="1284"/>
      <c r="Q56" s="1168"/>
      <c r="R56" s="112"/>
      <c r="S56" s="113"/>
      <c r="T56" s="1289"/>
      <c r="U56" s="1284"/>
      <c r="V56" s="1284"/>
      <c r="W56" s="1168"/>
      <c r="X56" s="1166"/>
      <c r="Y56" s="1169"/>
      <c r="Z56" s="1169"/>
      <c r="AA56" s="1169"/>
      <c r="AB56" s="1169"/>
      <c r="AC56" s="1169"/>
      <c r="AD56" s="1169"/>
      <c r="AE56" s="1169"/>
      <c r="AF56" s="1169"/>
      <c r="AG56" s="1170"/>
      <c r="AH56" s="1"/>
    </row>
    <row r="57" spans="1:35" ht="22.15" customHeight="1" x14ac:dyDescent="0.2">
      <c r="A57" s="1274"/>
      <c r="B57" s="1191" t="s">
        <v>107</v>
      </c>
      <c r="C57" s="1293" t="s">
        <v>108</v>
      </c>
      <c r="D57" s="1293"/>
      <c r="E57" s="1294"/>
      <c r="F57" s="1293" t="s">
        <v>108</v>
      </c>
      <c r="G57" s="1293"/>
      <c r="H57" s="1294"/>
      <c r="I57" s="1293" t="s">
        <v>108</v>
      </c>
      <c r="J57" s="1293"/>
      <c r="K57" s="1294"/>
      <c r="L57" s="1293" t="s">
        <v>108</v>
      </c>
      <c r="M57" s="1293"/>
      <c r="N57" s="1294"/>
      <c r="O57" s="1293" t="s">
        <v>108</v>
      </c>
      <c r="P57" s="1293"/>
      <c r="Q57" s="1294"/>
      <c r="R57" s="1293" t="s">
        <v>108</v>
      </c>
      <c r="S57" s="1293"/>
      <c r="T57" s="1294"/>
      <c r="U57" s="1293" t="s">
        <v>108</v>
      </c>
      <c r="V57" s="1293"/>
      <c r="W57" s="1294"/>
      <c r="X57" s="1166"/>
      <c r="Y57" s="1169"/>
      <c r="Z57" s="1169"/>
      <c r="AA57" s="1169"/>
      <c r="AB57" s="1169"/>
      <c r="AC57" s="1169"/>
      <c r="AD57" s="1169"/>
      <c r="AE57" s="1169"/>
      <c r="AF57" s="1169"/>
      <c r="AG57" s="1170"/>
      <c r="AH57" s="1"/>
    </row>
    <row r="58" spans="1:35" ht="22.15" customHeight="1" x14ac:dyDescent="0.2">
      <c r="A58" s="59"/>
      <c r="B58" s="102"/>
      <c r="C58" s="69"/>
      <c r="D58" s="69"/>
      <c r="E58" s="19"/>
      <c r="F58" s="69"/>
      <c r="G58" s="69"/>
      <c r="H58" s="19"/>
      <c r="I58" s="69"/>
      <c r="J58" s="69"/>
      <c r="K58" s="19"/>
      <c r="L58" s="69"/>
      <c r="M58" s="69"/>
      <c r="N58" s="19"/>
      <c r="O58" s="69"/>
      <c r="P58" s="69"/>
      <c r="Q58" s="19"/>
      <c r="R58" s="69"/>
      <c r="S58" s="69"/>
      <c r="T58" s="19"/>
      <c r="U58" s="69"/>
      <c r="V58" s="69"/>
      <c r="W58" s="19"/>
      <c r="X58" s="19"/>
      <c r="Y58" s="72"/>
      <c r="Z58" s="72"/>
      <c r="AA58" s="72"/>
      <c r="AB58" s="72"/>
      <c r="AC58" s="72"/>
      <c r="AD58" s="72"/>
      <c r="AE58" s="72"/>
      <c r="AF58" s="72"/>
      <c r="AG58" s="72"/>
      <c r="AH58" s="1"/>
    </row>
    <row r="59" spans="1:35" ht="22.15" customHeight="1" thickBot="1" x14ac:dyDescent="0.25">
      <c r="A59" s="1295"/>
      <c r="B59" s="1184" t="s">
        <v>29</v>
      </c>
      <c r="C59" s="1186">
        <v>1</v>
      </c>
      <c r="D59" s="1186">
        <v>2</v>
      </c>
      <c r="E59" s="1186">
        <v>3</v>
      </c>
      <c r="F59" s="1186">
        <v>4</v>
      </c>
      <c r="G59" s="1185">
        <v>5</v>
      </c>
      <c r="H59" s="1185">
        <v>6</v>
      </c>
      <c r="I59" s="1186">
        <v>7</v>
      </c>
      <c r="J59" s="1186">
        <v>8</v>
      </c>
      <c r="K59" s="1186">
        <v>9</v>
      </c>
      <c r="L59" s="1186">
        <v>10</v>
      </c>
      <c r="M59" s="1186">
        <v>11</v>
      </c>
      <c r="N59" s="1185">
        <v>12</v>
      </c>
      <c r="O59" s="1185">
        <v>13</v>
      </c>
      <c r="P59" s="1186">
        <v>14</v>
      </c>
      <c r="Q59" s="1186">
        <v>15</v>
      </c>
      <c r="R59" s="1186">
        <v>16</v>
      </c>
      <c r="S59" s="1186">
        <v>17</v>
      </c>
      <c r="T59" s="1186">
        <v>18</v>
      </c>
      <c r="U59" s="1185">
        <v>19</v>
      </c>
      <c r="V59" s="1185">
        <v>20</v>
      </c>
      <c r="W59" s="1186">
        <v>21</v>
      </c>
      <c r="X59" s="1186">
        <v>22</v>
      </c>
      <c r="Y59" s="1186">
        <v>23</v>
      </c>
      <c r="Z59" s="1186">
        <v>24</v>
      </c>
      <c r="AA59" s="1186">
        <v>25</v>
      </c>
      <c r="AB59" s="1185">
        <v>26</v>
      </c>
      <c r="AC59" s="1185">
        <v>27</v>
      </c>
      <c r="AD59" s="1186">
        <v>28</v>
      </c>
      <c r="AE59" s="1186">
        <v>29</v>
      </c>
      <c r="AF59" s="1186">
        <v>30</v>
      </c>
      <c r="AG59" s="1945"/>
      <c r="AH59" s="1"/>
    </row>
    <row r="60" spans="1:35" ht="22.15" customHeight="1" x14ac:dyDescent="0.2">
      <c r="A60" s="366"/>
      <c r="B60" s="367" t="s">
        <v>109</v>
      </c>
      <c r="C60" s="370">
        <v>25</v>
      </c>
      <c r="D60" s="370">
        <v>25</v>
      </c>
      <c r="E60" s="370">
        <v>25</v>
      </c>
      <c r="F60" s="454">
        <v>25</v>
      </c>
      <c r="G60" s="370"/>
      <c r="H60" s="370"/>
      <c r="I60" s="455" t="s">
        <v>110</v>
      </c>
      <c r="J60" s="455" t="s">
        <v>110</v>
      </c>
      <c r="K60" s="455" t="s">
        <v>110</v>
      </c>
      <c r="L60" s="455" t="s">
        <v>110</v>
      </c>
      <c r="M60" s="455" t="s">
        <v>110</v>
      </c>
      <c r="N60" s="455" t="s">
        <v>46</v>
      </c>
      <c r="O60" s="455" t="s">
        <v>46</v>
      </c>
      <c r="P60" s="368" t="s">
        <v>35</v>
      </c>
      <c r="Q60" s="368" t="s">
        <v>35</v>
      </c>
      <c r="R60" s="368" t="s">
        <v>35</v>
      </c>
      <c r="S60" s="368" t="s">
        <v>35</v>
      </c>
      <c r="T60" s="368" t="s">
        <v>35</v>
      </c>
      <c r="U60" s="372" t="s">
        <v>68</v>
      </c>
      <c r="V60" s="372" t="s">
        <v>69</v>
      </c>
      <c r="W60" s="372">
        <v>5</v>
      </c>
      <c r="X60" s="370">
        <v>5</v>
      </c>
      <c r="Y60" s="370">
        <v>5</v>
      </c>
      <c r="Z60" s="370">
        <v>5</v>
      </c>
      <c r="AA60" s="370">
        <v>26</v>
      </c>
      <c r="AB60" s="373"/>
      <c r="AC60" s="373"/>
      <c r="AD60" s="373">
        <v>5</v>
      </c>
      <c r="AE60" s="373">
        <v>5</v>
      </c>
      <c r="AF60" s="373">
        <v>5</v>
      </c>
      <c r="AG60" s="384"/>
      <c r="AH60" s="1"/>
    </row>
    <row r="61" spans="1:35" ht="22.15" customHeight="1" x14ac:dyDescent="0.2">
      <c r="A61" s="1709"/>
      <c r="B61" s="1665" t="s">
        <v>111</v>
      </c>
      <c r="C61" s="1629" t="s">
        <v>132</v>
      </c>
      <c r="D61" s="1612" t="s">
        <v>132</v>
      </c>
      <c r="E61" s="1612" t="s">
        <v>132</v>
      </c>
      <c r="F61" s="1612" t="s">
        <v>132</v>
      </c>
      <c r="G61" s="1612" t="s">
        <v>0</v>
      </c>
      <c r="H61" s="1612"/>
      <c r="I61" s="1612">
        <v>26</v>
      </c>
      <c r="J61" s="1714">
        <v>26</v>
      </c>
      <c r="K61" s="2027">
        <v>26</v>
      </c>
      <c r="L61" s="1714">
        <v>26</v>
      </c>
      <c r="M61" s="1950">
        <v>26</v>
      </c>
      <c r="N61" s="1612">
        <v>26</v>
      </c>
      <c r="O61" s="1612">
        <v>26</v>
      </c>
      <c r="P61" s="1612" t="s">
        <v>35</v>
      </c>
      <c r="Q61" s="1612" t="s">
        <v>35</v>
      </c>
      <c r="R61" s="1624">
        <v>26</v>
      </c>
      <c r="S61" s="1612" t="s">
        <v>32</v>
      </c>
      <c r="T61" s="1612" t="s">
        <v>32</v>
      </c>
      <c r="U61" s="1612"/>
      <c r="V61" s="1716"/>
      <c r="W61" s="1612">
        <v>26</v>
      </c>
      <c r="X61" s="1612">
        <v>26</v>
      </c>
      <c r="Y61" s="1612">
        <v>26</v>
      </c>
      <c r="Z61" s="1612">
        <v>26</v>
      </c>
      <c r="AA61" s="1631" t="s">
        <v>31</v>
      </c>
      <c r="AB61" s="1612" t="s">
        <v>112</v>
      </c>
      <c r="AC61" s="1612" t="s">
        <v>112</v>
      </c>
      <c r="AD61" s="1632" t="s">
        <v>31</v>
      </c>
      <c r="AE61" s="1299" t="s">
        <v>31</v>
      </c>
      <c r="AF61" s="1299" t="s">
        <v>31</v>
      </c>
      <c r="AG61" s="1634"/>
      <c r="AH61" s="1"/>
    </row>
    <row r="62" spans="1:35" ht="22.15" customHeight="1" thickBot="1" x14ac:dyDescent="0.25">
      <c r="A62" s="1630"/>
      <c r="B62" s="1665" t="s">
        <v>113</v>
      </c>
      <c r="C62" s="1712" t="s">
        <v>204</v>
      </c>
      <c r="D62" s="1712" t="s">
        <v>204</v>
      </c>
      <c r="E62" s="1712" t="s">
        <v>204</v>
      </c>
      <c r="F62" s="1712" t="s">
        <v>204</v>
      </c>
      <c r="G62" s="1712" t="s">
        <v>204</v>
      </c>
      <c r="H62" s="1712"/>
      <c r="I62" s="1612" t="s">
        <v>205</v>
      </c>
      <c r="J62" s="1612" t="s">
        <v>205</v>
      </c>
      <c r="K62" s="1612" t="s">
        <v>205</v>
      </c>
      <c r="L62" s="1612" t="s">
        <v>205</v>
      </c>
      <c r="M62" s="1612" t="s">
        <v>35</v>
      </c>
      <c r="N62" s="1612"/>
      <c r="O62" s="1612"/>
      <c r="P62" s="2028" t="s">
        <v>235</v>
      </c>
      <c r="Q62" s="1639" t="s">
        <v>235</v>
      </c>
      <c r="R62" s="1639" t="s">
        <v>31</v>
      </c>
      <c r="S62" s="1951" t="s">
        <v>110</v>
      </c>
      <c r="T62" s="2029" t="s">
        <v>110</v>
      </c>
      <c r="U62" s="1710" t="s">
        <v>67</v>
      </c>
      <c r="V62" s="1710" t="s">
        <v>67</v>
      </c>
      <c r="W62" s="1636">
        <v>11</v>
      </c>
      <c r="X62" s="1636">
        <v>11</v>
      </c>
      <c r="Y62" s="1636">
        <v>11</v>
      </c>
      <c r="Z62" s="1636">
        <v>11</v>
      </c>
      <c r="AA62" s="1636">
        <v>11</v>
      </c>
      <c r="AB62" s="1636" t="s">
        <v>73</v>
      </c>
      <c r="AC62" s="1636" t="s">
        <v>73</v>
      </c>
      <c r="AD62" s="1639" t="s">
        <v>35</v>
      </c>
      <c r="AE62" s="1639" t="s">
        <v>35</v>
      </c>
      <c r="AF62" s="1951" t="s">
        <v>216</v>
      </c>
      <c r="AG62" s="1634"/>
      <c r="AH62" s="1"/>
    </row>
    <row r="63" spans="1:35" ht="22.15" customHeight="1" x14ac:dyDescent="0.2">
      <c r="A63" s="1665"/>
      <c r="B63" s="1715" t="s">
        <v>114</v>
      </c>
      <c r="C63" s="1714">
        <v>6</v>
      </c>
      <c r="D63" s="1639">
        <v>6</v>
      </c>
      <c r="E63" s="1714">
        <v>6</v>
      </c>
      <c r="F63" s="1612">
        <v>6</v>
      </c>
      <c r="G63" s="1714"/>
      <c r="H63" s="1612"/>
      <c r="I63" s="1625">
        <v>9</v>
      </c>
      <c r="J63" s="1629">
        <v>9</v>
      </c>
      <c r="K63" s="1629">
        <v>9</v>
      </c>
      <c r="L63" s="1625">
        <v>9</v>
      </c>
      <c r="M63" s="1636">
        <v>9</v>
      </c>
      <c r="N63" s="1636" t="s">
        <v>66</v>
      </c>
      <c r="O63" s="1636" t="s">
        <v>67</v>
      </c>
      <c r="P63" s="1636" t="s">
        <v>35</v>
      </c>
      <c r="Q63" s="1636" t="s">
        <v>35</v>
      </c>
      <c r="R63" s="1625" t="s">
        <v>35</v>
      </c>
      <c r="S63" s="1625" t="s">
        <v>35</v>
      </c>
      <c r="T63" s="1625" t="s">
        <v>35</v>
      </c>
      <c r="U63" s="1629" t="s">
        <v>112</v>
      </c>
      <c r="V63" s="1629"/>
      <c r="W63" s="1628">
        <v>25</v>
      </c>
      <c r="X63" s="1629">
        <v>25</v>
      </c>
      <c r="Y63" s="1632">
        <v>25</v>
      </c>
      <c r="Z63" s="1958">
        <v>25</v>
      </c>
      <c r="AA63" s="1958">
        <v>25</v>
      </c>
      <c r="AB63" s="1629"/>
      <c r="AC63" s="1629"/>
      <c r="AD63" s="1629" t="s">
        <v>385</v>
      </c>
      <c r="AE63" s="1629" t="s">
        <v>385</v>
      </c>
      <c r="AF63" s="1735" t="s">
        <v>385</v>
      </c>
      <c r="AG63" s="1634"/>
      <c r="AH63" s="1"/>
    </row>
    <row r="64" spans="1:35" ht="22.15" customHeight="1" x14ac:dyDescent="0.2">
      <c r="A64" s="1665"/>
      <c r="B64" s="1715" t="s">
        <v>115</v>
      </c>
      <c r="C64" s="1629">
        <v>26</v>
      </c>
      <c r="D64" s="1629">
        <v>26</v>
      </c>
      <c r="E64" s="1629">
        <v>26</v>
      </c>
      <c r="F64" s="1629">
        <v>26</v>
      </c>
      <c r="G64" s="1612">
        <v>26</v>
      </c>
      <c r="H64" s="1612">
        <v>26</v>
      </c>
      <c r="I64" s="1712" t="s">
        <v>31</v>
      </c>
      <c r="J64" s="1712" t="s">
        <v>31</v>
      </c>
      <c r="K64" s="1712" t="s">
        <v>31</v>
      </c>
      <c r="L64" s="1712" t="s">
        <v>31</v>
      </c>
      <c r="M64" s="1712" t="s">
        <v>31</v>
      </c>
      <c r="N64" s="1712"/>
      <c r="O64" s="1712"/>
      <c r="P64" s="1712" t="s">
        <v>31</v>
      </c>
      <c r="Q64" s="1712" t="s">
        <v>31</v>
      </c>
      <c r="R64" s="1712" t="s">
        <v>31</v>
      </c>
      <c r="S64" s="1712" t="s">
        <v>31</v>
      </c>
      <c r="T64" s="1712" t="s">
        <v>31</v>
      </c>
      <c r="U64" s="1712"/>
      <c r="V64" s="1712"/>
      <c r="W64" s="1712" t="s">
        <v>31</v>
      </c>
      <c r="X64" s="1712" t="s">
        <v>31</v>
      </c>
      <c r="Y64" s="1712" t="s">
        <v>31</v>
      </c>
      <c r="Z64" s="1712" t="s">
        <v>31</v>
      </c>
      <c r="AA64" s="1712" t="s">
        <v>31</v>
      </c>
      <c r="AB64" s="1712"/>
      <c r="AC64" s="1712"/>
      <c r="AD64" s="1612" t="s">
        <v>35</v>
      </c>
      <c r="AE64" s="1612" t="s">
        <v>35</v>
      </c>
      <c r="AF64" s="1629" t="s">
        <v>35</v>
      </c>
      <c r="AG64" s="1634"/>
      <c r="AH64" s="1"/>
    </row>
    <row r="65" spans="1:34" ht="22.15" customHeight="1" x14ac:dyDescent="0.2">
      <c r="A65" s="1665"/>
      <c r="B65" s="1665" t="s">
        <v>117</v>
      </c>
      <c r="C65" s="1629">
        <v>23</v>
      </c>
      <c r="D65" s="1629">
        <v>23</v>
      </c>
      <c r="E65" s="1629">
        <v>23</v>
      </c>
      <c r="F65" s="1710">
        <v>23</v>
      </c>
      <c r="G65" s="1633">
        <v>23</v>
      </c>
      <c r="H65" s="1633">
        <v>23</v>
      </c>
      <c r="I65" s="1629" t="s">
        <v>35</v>
      </c>
      <c r="J65" s="1624" t="s">
        <v>35</v>
      </c>
      <c r="K65" s="1624" t="s">
        <v>35</v>
      </c>
      <c r="L65" s="1629">
        <v>79</v>
      </c>
      <c r="M65" s="1612" t="s">
        <v>31</v>
      </c>
      <c r="N65" s="1629"/>
      <c r="O65" s="1628"/>
      <c r="P65" s="1633" t="s">
        <v>110</v>
      </c>
      <c r="Q65" s="2030" t="s">
        <v>110</v>
      </c>
      <c r="R65" s="1624" t="s">
        <v>110</v>
      </c>
      <c r="S65" s="1624">
        <v>26</v>
      </c>
      <c r="T65" s="1624">
        <v>26</v>
      </c>
      <c r="U65" s="2030" t="s">
        <v>46</v>
      </c>
      <c r="V65" s="2030" t="s">
        <v>46</v>
      </c>
      <c r="W65" s="1612" t="s">
        <v>35</v>
      </c>
      <c r="X65" s="1612" t="s">
        <v>35</v>
      </c>
      <c r="Y65" s="1612" t="s">
        <v>35</v>
      </c>
      <c r="Z65" s="1631" t="s">
        <v>31</v>
      </c>
      <c r="AA65" s="2031" t="s">
        <v>32</v>
      </c>
      <c r="AB65" s="1612"/>
      <c r="AC65" s="1612"/>
      <c r="AD65" s="1624">
        <v>25</v>
      </c>
      <c r="AE65" s="1612">
        <v>25</v>
      </c>
      <c r="AF65" s="1612">
        <v>25</v>
      </c>
      <c r="AG65" s="1634"/>
      <c r="AH65" s="1"/>
    </row>
    <row r="66" spans="1:34" ht="22.15" customHeight="1" x14ac:dyDescent="0.2">
      <c r="A66" s="1665"/>
      <c r="B66" s="1715" t="s">
        <v>119</v>
      </c>
      <c r="C66" s="1723" t="s">
        <v>110</v>
      </c>
      <c r="D66" s="1723" t="s">
        <v>110</v>
      </c>
      <c r="E66" s="1956" t="s">
        <v>110</v>
      </c>
      <c r="F66" s="1956" t="s">
        <v>110</v>
      </c>
      <c r="G66" s="1723" t="s">
        <v>46</v>
      </c>
      <c r="H66" s="1723" t="s">
        <v>46</v>
      </c>
      <c r="I66" s="1714" t="s">
        <v>35</v>
      </c>
      <c r="J66" s="1714" t="s">
        <v>35</v>
      </c>
      <c r="K66" s="1714" t="s">
        <v>35</v>
      </c>
      <c r="L66" s="1958" t="s">
        <v>31</v>
      </c>
      <c r="M66" s="1958" t="s">
        <v>31</v>
      </c>
      <c r="N66" s="1612"/>
      <c r="O66" s="1612"/>
      <c r="P66" s="1629">
        <v>25</v>
      </c>
      <c r="Q66" s="1710">
        <v>25</v>
      </c>
      <c r="R66" s="1714">
        <v>25</v>
      </c>
      <c r="S66" s="1624">
        <v>25</v>
      </c>
      <c r="T66" s="1629">
        <v>25</v>
      </c>
      <c r="U66" s="1716"/>
      <c r="V66" s="1629"/>
      <c r="W66" s="1612" t="s">
        <v>31</v>
      </c>
      <c r="X66" s="1612" t="s">
        <v>31</v>
      </c>
      <c r="Y66" s="1612" t="s">
        <v>31</v>
      </c>
      <c r="Z66" s="1612" t="s">
        <v>31</v>
      </c>
      <c r="AA66" s="1612" t="s">
        <v>31</v>
      </c>
      <c r="AB66" s="1629"/>
      <c r="AC66" s="1612"/>
      <c r="AD66" s="1629" t="s">
        <v>216</v>
      </c>
      <c r="AE66" s="1629" t="s">
        <v>216</v>
      </c>
      <c r="AF66" s="1629" t="s">
        <v>31</v>
      </c>
      <c r="AG66" s="1634"/>
      <c r="AH66" s="1"/>
    </row>
    <row r="67" spans="1:34" ht="22.15" customHeight="1" x14ac:dyDescent="0.2">
      <c r="A67" s="1665"/>
      <c r="B67" s="1715" t="s">
        <v>120</v>
      </c>
      <c r="C67" s="1712" t="s">
        <v>31</v>
      </c>
      <c r="D67" s="1712" t="s">
        <v>31</v>
      </c>
      <c r="E67" s="1712" t="s">
        <v>31</v>
      </c>
      <c r="F67" s="1712" t="s">
        <v>31</v>
      </c>
      <c r="G67" s="1712"/>
      <c r="H67" s="1712"/>
      <c r="I67" s="1712" t="s">
        <v>31</v>
      </c>
      <c r="J67" s="1612" t="s">
        <v>31</v>
      </c>
      <c r="K67" s="1612" t="s">
        <v>32</v>
      </c>
      <c r="L67" s="1639" t="s">
        <v>31</v>
      </c>
      <c r="M67" s="1612" t="s">
        <v>31</v>
      </c>
      <c r="N67" s="1639"/>
      <c r="O67" s="1639"/>
      <c r="P67" s="1612" t="s">
        <v>32</v>
      </c>
      <c r="Q67" s="1612" t="s">
        <v>32</v>
      </c>
      <c r="R67" s="1612" t="s">
        <v>32</v>
      </c>
      <c r="S67" s="1299" t="s">
        <v>32</v>
      </c>
      <c r="T67" s="1639" t="s">
        <v>31</v>
      </c>
      <c r="U67" s="1641"/>
      <c r="V67" s="1641"/>
      <c r="W67" s="1612" t="s">
        <v>31</v>
      </c>
      <c r="X67" s="1612" t="s">
        <v>31</v>
      </c>
      <c r="Y67" s="1612" t="s">
        <v>31</v>
      </c>
      <c r="Z67" s="1299" t="s">
        <v>31</v>
      </c>
      <c r="AA67" s="1639" t="s">
        <v>31</v>
      </c>
      <c r="AB67" s="1629" t="s">
        <v>0</v>
      </c>
      <c r="AC67" s="1629" t="s">
        <v>0</v>
      </c>
      <c r="AD67" s="1629" t="s">
        <v>31</v>
      </c>
      <c r="AE67" s="1629" t="s">
        <v>31</v>
      </c>
      <c r="AF67" s="1629" t="s">
        <v>31</v>
      </c>
      <c r="AG67" s="1728"/>
      <c r="AH67" s="1"/>
    </row>
    <row r="68" spans="1:34" ht="22.15" customHeight="1" x14ac:dyDescent="0.2">
      <c r="A68" s="1715"/>
      <c r="B68" s="1630" t="s">
        <v>196</v>
      </c>
      <c r="C68" s="1629" t="s">
        <v>35</v>
      </c>
      <c r="D68" s="1710" t="s">
        <v>35</v>
      </c>
      <c r="E68" s="1710" t="s">
        <v>35</v>
      </c>
      <c r="F68" s="1710" t="s">
        <v>35</v>
      </c>
      <c r="G68" s="1629" t="s">
        <v>35</v>
      </c>
      <c r="H68" s="1629" t="s">
        <v>35</v>
      </c>
      <c r="I68" s="1933" t="s">
        <v>31</v>
      </c>
      <c r="J68" s="1933" t="s">
        <v>31</v>
      </c>
      <c r="K68" s="1933" t="s">
        <v>31</v>
      </c>
      <c r="L68" s="1933" t="s">
        <v>31</v>
      </c>
      <c r="M68" s="1933" t="s">
        <v>31</v>
      </c>
      <c r="N68" s="1933" t="s">
        <v>0</v>
      </c>
      <c r="O68" s="1933" t="s">
        <v>0</v>
      </c>
      <c r="P68" s="1933" t="s">
        <v>31</v>
      </c>
      <c r="Q68" s="1933" t="s">
        <v>31</v>
      </c>
      <c r="R68" s="1933" t="s">
        <v>31</v>
      </c>
      <c r="S68" s="1933" t="s">
        <v>31</v>
      </c>
      <c r="T68" s="1933" t="s">
        <v>31</v>
      </c>
      <c r="U68" s="1933" t="s">
        <v>0</v>
      </c>
      <c r="V68" s="1933" t="s">
        <v>0</v>
      </c>
      <c r="W68" s="1933" t="s">
        <v>31</v>
      </c>
      <c r="X68" s="1933" t="s">
        <v>31</v>
      </c>
      <c r="Y68" s="1933" t="s">
        <v>31</v>
      </c>
      <c r="Z68" s="1933" t="s">
        <v>31</v>
      </c>
      <c r="AA68" s="1933" t="s">
        <v>31</v>
      </c>
      <c r="AB68" s="1612" t="s">
        <v>0</v>
      </c>
      <c r="AC68" s="1612" t="s">
        <v>0</v>
      </c>
      <c r="AD68" s="1958">
        <v>25</v>
      </c>
      <c r="AE68" s="1958">
        <v>25</v>
      </c>
      <c r="AF68" s="1958">
        <v>25</v>
      </c>
      <c r="AG68" s="1842"/>
      <c r="AH68" s="1"/>
    </row>
    <row r="69" spans="1:34" ht="22.15" customHeight="1" x14ac:dyDescent="0.2">
      <c r="A69" s="1715"/>
      <c r="B69" s="1722" t="s">
        <v>344</v>
      </c>
      <c r="C69" s="1629">
        <v>11</v>
      </c>
      <c r="D69" s="1629">
        <v>11</v>
      </c>
      <c r="E69" s="1629">
        <v>11</v>
      </c>
      <c r="F69" s="1629">
        <v>11</v>
      </c>
      <c r="G69" s="1628" t="s">
        <v>73</v>
      </c>
      <c r="H69" s="1628" t="s">
        <v>73</v>
      </c>
      <c r="I69" s="1629" t="s">
        <v>35</v>
      </c>
      <c r="J69" s="1710" t="s">
        <v>35</v>
      </c>
      <c r="K69" s="1710" t="s">
        <v>35</v>
      </c>
      <c r="L69" s="2032" t="s">
        <v>385</v>
      </c>
      <c r="M69" s="1736" t="s">
        <v>385</v>
      </c>
      <c r="N69" s="1636"/>
      <c r="O69" s="1636"/>
      <c r="P69" s="1612" t="s">
        <v>32</v>
      </c>
      <c r="Q69" s="1612" t="s">
        <v>32</v>
      </c>
      <c r="R69" s="1612" t="s">
        <v>223</v>
      </c>
      <c r="S69" s="1958" t="s">
        <v>31</v>
      </c>
      <c r="T69" s="1612" t="s">
        <v>32</v>
      </c>
      <c r="U69" s="1629"/>
      <c r="V69" s="1629" t="s">
        <v>0</v>
      </c>
      <c r="W69" s="2033">
        <v>25</v>
      </c>
      <c r="X69" s="2033">
        <v>25</v>
      </c>
      <c r="Y69" s="1734">
        <v>25</v>
      </c>
      <c r="Z69" s="1725">
        <v>25</v>
      </c>
      <c r="AA69" s="1725">
        <v>25</v>
      </c>
      <c r="AB69" s="1629"/>
      <c r="AC69" s="1629"/>
      <c r="AD69" s="1710">
        <v>26</v>
      </c>
      <c r="AE69" s="1629">
        <v>26</v>
      </c>
      <c r="AF69" s="1612">
        <v>26</v>
      </c>
      <c r="AG69" s="1634"/>
      <c r="AH69" s="1"/>
    </row>
    <row r="70" spans="1:34" ht="22.15" customHeight="1" x14ac:dyDescent="0.2">
      <c r="A70" s="1725"/>
      <c r="B70" s="1627" t="s">
        <v>122</v>
      </c>
      <c r="C70" s="1712" t="s">
        <v>31</v>
      </c>
      <c r="D70" s="1712" t="s">
        <v>31</v>
      </c>
      <c r="E70" s="1712" t="s">
        <v>31</v>
      </c>
      <c r="F70" s="1712" t="s">
        <v>31</v>
      </c>
      <c r="G70" s="1712"/>
      <c r="H70" s="1712"/>
      <c r="I70" s="1612" t="s">
        <v>228</v>
      </c>
      <c r="J70" s="1612" t="s">
        <v>228</v>
      </c>
      <c r="K70" s="1612" t="s">
        <v>228</v>
      </c>
      <c r="L70" s="1612" t="s">
        <v>228</v>
      </c>
      <c r="M70" s="1612" t="s">
        <v>228</v>
      </c>
      <c r="N70" s="1612" t="s">
        <v>112</v>
      </c>
      <c r="O70" s="1612" t="s">
        <v>112</v>
      </c>
      <c r="P70" s="1612">
        <v>26</v>
      </c>
      <c r="Q70" s="1612">
        <v>26</v>
      </c>
      <c r="R70" s="1612" t="s">
        <v>228</v>
      </c>
      <c r="S70" s="1612" t="s">
        <v>228</v>
      </c>
      <c r="T70" s="1612" t="s">
        <v>228</v>
      </c>
      <c r="U70" s="1612"/>
      <c r="V70" s="1612"/>
      <c r="W70" s="1612" t="s">
        <v>228</v>
      </c>
      <c r="X70" s="1612" t="s">
        <v>228</v>
      </c>
      <c r="Y70" s="1612" t="s">
        <v>228</v>
      </c>
      <c r="Z70" s="1612" t="s">
        <v>228</v>
      </c>
      <c r="AA70" s="1612" t="s">
        <v>228</v>
      </c>
      <c r="AB70" s="1612"/>
      <c r="AC70" s="1612"/>
      <c r="AD70" s="1612" t="s">
        <v>228</v>
      </c>
      <c r="AE70" s="1612" t="s">
        <v>228</v>
      </c>
      <c r="AF70" s="2034" t="s">
        <v>31</v>
      </c>
      <c r="AG70" s="1728"/>
      <c r="AH70" s="1"/>
    </row>
    <row r="71" spans="1:34" ht="22.15" customHeight="1" x14ac:dyDescent="0.2">
      <c r="A71" s="1725"/>
      <c r="B71" s="1715" t="s">
        <v>123</v>
      </c>
      <c r="C71" s="1624">
        <v>9</v>
      </c>
      <c r="D71" s="1612">
        <v>9</v>
      </c>
      <c r="E71" s="1714">
        <v>9</v>
      </c>
      <c r="F71" s="1716">
        <v>9</v>
      </c>
      <c r="G71" s="1636" t="s">
        <v>66</v>
      </c>
      <c r="H71" s="1636" t="s">
        <v>67</v>
      </c>
      <c r="I71" s="1612" t="s">
        <v>35</v>
      </c>
      <c r="J71" s="1624" t="s">
        <v>35</v>
      </c>
      <c r="K71" s="1624" t="s">
        <v>35</v>
      </c>
      <c r="L71" s="1299" t="s">
        <v>32</v>
      </c>
      <c r="M71" s="1299" t="s">
        <v>32</v>
      </c>
      <c r="N71" s="1612"/>
      <c r="O71" s="1612"/>
      <c r="P71" s="1735">
        <v>26</v>
      </c>
      <c r="Q71" s="1735">
        <v>26</v>
      </c>
      <c r="R71" s="1735">
        <v>26</v>
      </c>
      <c r="S71" s="1623">
        <v>26</v>
      </c>
      <c r="T71" s="1623">
        <v>26</v>
      </c>
      <c r="U71" s="1623">
        <v>26</v>
      </c>
      <c r="V71" s="1623" t="s">
        <v>373</v>
      </c>
      <c r="W71" s="1612" t="s">
        <v>35</v>
      </c>
      <c r="X71" s="1612" t="s">
        <v>35</v>
      </c>
      <c r="Y71" s="1413">
        <v>89</v>
      </c>
      <c r="Z71" s="1612" t="s">
        <v>31</v>
      </c>
      <c r="AA71" s="1612" t="s">
        <v>31</v>
      </c>
      <c r="AB71" s="1612"/>
      <c r="AC71" s="1612"/>
      <c r="AD71" s="1612" t="s">
        <v>31</v>
      </c>
      <c r="AE71" s="1612" t="s">
        <v>31</v>
      </c>
      <c r="AF71" s="1612" t="s">
        <v>31</v>
      </c>
      <c r="AG71" s="1728"/>
      <c r="AH71" s="1"/>
    </row>
    <row r="72" spans="1:34" ht="22.15" customHeight="1" x14ac:dyDescent="0.2">
      <c r="A72" s="1725"/>
      <c r="B72" s="1729" t="s">
        <v>124</v>
      </c>
      <c r="C72" s="1612" t="s">
        <v>32</v>
      </c>
      <c r="D72" s="1612" t="s">
        <v>32</v>
      </c>
      <c r="E72" s="1612" t="s">
        <v>223</v>
      </c>
      <c r="F72" s="2027">
        <v>25</v>
      </c>
      <c r="G72" s="1612" t="s">
        <v>0</v>
      </c>
      <c r="H72" s="1612" t="s">
        <v>0</v>
      </c>
      <c r="I72" s="1612">
        <v>25</v>
      </c>
      <c r="J72" s="1624">
        <v>25</v>
      </c>
      <c r="K72" s="1612">
        <v>25</v>
      </c>
      <c r="L72" s="1624">
        <v>25</v>
      </c>
      <c r="M72" s="1612">
        <v>25</v>
      </c>
      <c r="N72" s="1612" t="s">
        <v>0</v>
      </c>
      <c r="O72" s="1612" t="s">
        <v>0</v>
      </c>
      <c r="P72" s="1612" t="s">
        <v>32</v>
      </c>
      <c r="Q72" s="1612" t="s">
        <v>32</v>
      </c>
      <c r="R72" s="1612" t="s">
        <v>216</v>
      </c>
      <c r="S72" s="1612" t="s">
        <v>216</v>
      </c>
      <c r="T72" s="1612" t="s">
        <v>216</v>
      </c>
      <c r="U72" s="1612" t="s">
        <v>0</v>
      </c>
      <c r="V72" s="1612">
        <v>26</v>
      </c>
      <c r="W72" s="1636">
        <v>21</v>
      </c>
      <c r="X72" s="1636">
        <v>21</v>
      </c>
      <c r="Y72" s="1636">
        <v>21</v>
      </c>
      <c r="Z72" s="1636">
        <v>21</v>
      </c>
      <c r="AA72" s="1636">
        <v>21</v>
      </c>
      <c r="AB72" s="1636">
        <v>21</v>
      </c>
      <c r="AC72" s="1636">
        <v>21</v>
      </c>
      <c r="AD72" s="1612" t="s">
        <v>35</v>
      </c>
      <c r="AE72" s="1612" t="s">
        <v>35</v>
      </c>
      <c r="AF72" s="1612" t="s">
        <v>35</v>
      </c>
      <c r="AG72" s="1728" t="s">
        <v>0</v>
      </c>
      <c r="AH72" s="1"/>
    </row>
    <row r="73" spans="1:34" ht="22.15" customHeight="1" thickBot="1" x14ac:dyDescent="0.25">
      <c r="A73" s="669"/>
      <c r="B73" s="686"/>
      <c r="C73" s="669"/>
      <c r="D73" s="669"/>
      <c r="E73" s="669"/>
      <c r="F73" s="669"/>
      <c r="G73" s="669"/>
      <c r="H73" s="669"/>
      <c r="I73" s="669"/>
      <c r="J73" s="669"/>
      <c r="K73" s="669"/>
      <c r="L73" s="669"/>
      <c r="M73" s="669"/>
      <c r="N73" s="669"/>
      <c r="O73" s="669"/>
      <c r="P73" s="669"/>
      <c r="Q73" s="669"/>
      <c r="R73" s="669"/>
      <c r="S73" s="669"/>
      <c r="T73" s="669"/>
      <c r="U73" s="669"/>
      <c r="V73" s="669"/>
      <c r="W73" s="669"/>
      <c r="X73" s="669"/>
      <c r="Y73" s="669"/>
      <c r="Z73" s="669"/>
      <c r="AA73" s="669"/>
      <c r="AB73" s="669"/>
      <c r="AC73" s="669"/>
      <c r="AD73" s="669"/>
      <c r="AE73" s="669"/>
      <c r="AF73" s="669"/>
      <c r="AG73" s="237"/>
      <c r="AH73" s="1"/>
    </row>
    <row r="74" spans="1:34" ht="22.15" customHeight="1" thickBot="1" x14ac:dyDescent="0.25">
      <c r="A74" s="1959"/>
      <c r="B74" s="1960"/>
      <c r="C74" s="245"/>
      <c r="D74" s="245"/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1961"/>
      <c r="AH74" s="1"/>
    </row>
    <row r="75" spans="1:34" ht="22.15" customHeight="1" thickBot="1" x14ac:dyDescent="0.25">
      <c r="A75" s="377"/>
      <c r="B75" s="378" t="s">
        <v>125</v>
      </c>
      <c r="C75" s="1277">
        <v>1</v>
      </c>
      <c r="D75" s="1277">
        <v>2</v>
      </c>
      <c r="E75" s="1277">
        <v>3</v>
      </c>
      <c r="F75" s="1277">
        <v>4</v>
      </c>
      <c r="G75" s="1962">
        <v>5</v>
      </c>
      <c r="H75" s="1962">
        <v>6</v>
      </c>
      <c r="I75" s="1277">
        <v>7</v>
      </c>
      <c r="J75" s="1277">
        <v>8</v>
      </c>
      <c r="K75" s="1277">
        <v>9</v>
      </c>
      <c r="L75" s="1277">
        <v>10</v>
      </c>
      <c r="M75" s="1277">
        <v>11</v>
      </c>
      <c r="N75" s="1962">
        <v>12</v>
      </c>
      <c r="O75" s="1962">
        <v>13</v>
      </c>
      <c r="P75" s="1277">
        <v>14</v>
      </c>
      <c r="Q75" s="1277">
        <v>15</v>
      </c>
      <c r="R75" s="1277">
        <v>16</v>
      </c>
      <c r="S75" s="1277">
        <v>17</v>
      </c>
      <c r="T75" s="1277">
        <v>18</v>
      </c>
      <c r="U75" s="1962">
        <v>19</v>
      </c>
      <c r="V75" s="1962">
        <v>20</v>
      </c>
      <c r="W75" s="1277">
        <v>21</v>
      </c>
      <c r="X75" s="1277">
        <v>22</v>
      </c>
      <c r="Y75" s="1277">
        <v>23</v>
      </c>
      <c r="Z75" s="1277">
        <v>24</v>
      </c>
      <c r="AA75" s="1277">
        <v>25</v>
      </c>
      <c r="AB75" s="1962">
        <v>26</v>
      </c>
      <c r="AC75" s="1962">
        <v>27</v>
      </c>
      <c r="AD75" s="1277">
        <v>28</v>
      </c>
      <c r="AE75" s="1277">
        <v>29</v>
      </c>
      <c r="AF75" s="1277">
        <v>30</v>
      </c>
      <c r="AG75" s="2035"/>
      <c r="AH75" s="1"/>
    </row>
    <row r="76" spans="1:34" ht="22.15" customHeight="1" x14ac:dyDescent="0.2">
      <c r="A76" s="379"/>
      <c r="B76" s="379" t="s">
        <v>372</v>
      </c>
      <c r="C76" s="421" t="s">
        <v>31</v>
      </c>
      <c r="D76" s="421" t="s">
        <v>31</v>
      </c>
      <c r="E76" s="453" t="s">
        <v>81</v>
      </c>
      <c r="F76" s="386" t="s">
        <v>35</v>
      </c>
      <c r="G76" s="421" t="s">
        <v>71</v>
      </c>
      <c r="H76" s="421" t="s">
        <v>71</v>
      </c>
      <c r="I76" s="421">
        <v>79</v>
      </c>
      <c r="J76" s="421" t="s">
        <v>35</v>
      </c>
      <c r="K76" s="421" t="s">
        <v>35</v>
      </c>
      <c r="L76" s="421" t="s">
        <v>81</v>
      </c>
      <c r="M76" s="420" t="s">
        <v>35</v>
      </c>
      <c r="N76" s="390" t="s">
        <v>68</v>
      </c>
      <c r="O76" s="390" t="s">
        <v>69</v>
      </c>
      <c r="P76" s="390">
        <v>6</v>
      </c>
      <c r="Q76" s="385">
        <v>6</v>
      </c>
      <c r="R76" s="385">
        <v>6</v>
      </c>
      <c r="S76" s="385">
        <v>6</v>
      </c>
      <c r="T76" s="385">
        <v>6</v>
      </c>
      <c r="U76" s="385"/>
      <c r="V76" s="385"/>
      <c r="W76" s="1612" t="s">
        <v>31</v>
      </c>
      <c r="X76" s="1612" t="s">
        <v>31</v>
      </c>
      <c r="Y76" s="2036">
        <v>26</v>
      </c>
      <c r="Z76" s="2036">
        <v>26</v>
      </c>
      <c r="AA76" s="2036">
        <v>26</v>
      </c>
      <c r="AB76" s="385" t="s">
        <v>130</v>
      </c>
      <c r="AC76" s="385" t="s">
        <v>130</v>
      </c>
      <c r="AD76" s="1612" t="s">
        <v>35</v>
      </c>
      <c r="AE76" s="1624" t="s">
        <v>35</v>
      </c>
      <c r="AF76" s="1624" t="s">
        <v>35</v>
      </c>
      <c r="AG76" s="387"/>
      <c r="AH76" s="1"/>
    </row>
    <row r="77" spans="1:34" ht="22.15" customHeight="1" x14ac:dyDescent="0.2">
      <c r="A77" s="1715"/>
      <c r="B77" s="1715" t="s">
        <v>127</v>
      </c>
      <c r="C77" s="1629" t="s">
        <v>32</v>
      </c>
      <c r="D77" s="1629" t="s">
        <v>32</v>
      </c>
      <c r="E77" s="1714" t="s">
        <v>32</v>
      </c>
      <c r="F77" s="1629" t="s">
        <v>32</v>
      </c>
      <c r="G77" s="1629"/>
      <c r="H77" s="1629"/>
      <c r="I77" s="1629">
        <v>22</v>
      </c>
      <c r="J77" s="1629">
        <v>22</v>
      </c>
      <c r="K77" s="1629">
        <v>22</v>
      </c>
      <c r="L77" s="1629">
        <v>22</v>
      </c>
      <c r="M77" s="1629">
        <v>22</v>
      </c>
      <c r="N77" s="1629">
        <v>22</v>
      </c>
      <c r="O77" s="1629">
        <v>22</v>
      </c>
      <c r="P77" s="1625" t="s">
        <v>35</v>
      </c>
      <c r="Q77" s="1629" t="s">
        <v>35</v>
      </c>
      <c r="R77" s="1629" t="s">
        <v>35</v>
      </c>
      <c r="S77" s="1629" t="s">
        <v>35</v>
      </c>
      <c r="T77" s="1629" t="s">
        <v>35</v>
      </c>
      <c r="U77" s="1734"/>
      <c r="V77" s="1734"/>
      <c r="W77" s="1628">
        <v>23</v>
      </c>
      <c r="X77" s="1628">
        <v>23</v>
      </c>
      <c r="Y77" s="1628">
        <v>23</v>
      </c>
      <c r="Z77" s="1628">
        <v>23</v>
      </c>
      <c r="AA77" s="1628">
        <v>23</v>
      </c>
      <c r="AB77" s="1628">
        <v>23</v>
      </c>
      <c r="AC77" s="1628">
        <v>23</v>
      </c>
      <c r="AD77" s="1625" t="s">
        <v>35</v>
      </c>
      <c r="AE77" s="1629" t="s">
        <v>35</v>
      </c>
      <c r="AF77" s="1629" t="s">
        <v>35</v>
      </c>
      <c r="AG77" s="1728"/>
      <c r="AH77" s="1"/>
    </row>
    <row r="78" spans="1:34" ht="22.15" customHeight="1" x14ac:dyDescent="0.2">
      <c r="A78" s="1733"/>
      <c r="B78" s="1715" t="s">
        <v>129</v>
      </c>
      <c r="C78" s="1629" t="s">
        <v>35</v>
      </c>
      <c r="D78" s="1629" t="s">
        <v>35</v>
      </c>
      <c r="E78" s="1629" t="s">
        <v>35</v>
      </c>
      <c r="F78" s="1629" t="s">
        <v>35</v>
      </c>
      <c r="G78" s="1629" t="s">
        <v>112</v>
      </c>
      <c r="H78" s="1629" t="s">
        <v>112</v>
      </c>
      <c r="I78" s="1629" t="s">
        <v>243</v>
      </c>
      <c r="J78" s="1629" t="s">
        <v>243</v>
      </c>
      <c r="K78" s="1629" t="s">
        <v>243</v>
      </c>
      <c r="L78" s="1629" t="s">
        <v>243</v>
      </c>
      <c r="M78" s="1629" t="s">
        <v>243</v>
      </c>
      <c r="N78" s="1629" t="s">
        <v>112</v>
      </c>
      <c r="O78" s="1629" t="s">
        <v>112</v>
      </c>
      <c r="P78" s="1629" t="s">
        <v>243</v>
      </c>
      <c r="Q78" s="1736" t="s">
        <v>243</v>
      </c>
      <c r="R78" s="1629" t="s">
        <v>243</v>
      </c>
      <c r="S78" s="1629" t="s">
        <v>243</v>
      </c>
      <c r="T78" s="1629" t="s">
        <v>243</v>
      </c>
      <c r="U78" s="1636"/>
      <c r="V78" s="1636"/>
      <c r="W78" s="1629" t="s">
        <v>243</v>
      </c>
      <c r="X78" s="1629" t="s">
        <v>243</v>
      </c>
      <c r="Y78" s="1629" t="s">
        <v>243</v>
      </c>
      <c r="Z78" s="1629" t="s">
        <v>243</v>
      </c>
      <c r="AA78" s="1629" t="s">
        <v>243</v>
      </c>
      <c r="AB78" s="1636" t="s">
        <v>0</v>
      </c>
      <c r="AC78" s="1636" t="s">
        <v>0</v>
      </c>
      <c r="AD78" s="1629" t="s">
        <v>243</v>
      </c>
      <c r="AE78" s="1629" t="s">
        <v>243</v>
      </c>
      <c r="AF78" s="1629" t="s">
        <v>243</v>
      </c>
      <c r="AG78" s="1842"/>
      <c r="AH78" s="1"/>
    </row>
    <row r="79" spans="1:34" ht="22.15" customHeight="1" x14ac:dyDescent="0.2">
      <c r="A79" s="1733"/>
      <c r="B79" s="1715"/>
      <c r="C79" s="1629"/>
      <c r="D79" s="1546"/>
      <c r="E79" s="1546"/>
      <c r="F79" s="1546"/>
      <c r="G79" s="1546"/>
      <c r="H79" s="1546"/>
      <c r="I79" s="1629"/>
      <c r="J79" s="1629"/>
      <c r="K79" s="1546"/>
      <c r="L79" s="1546"/>
      <c r="M79" s="1546"/>
      <c r="N79" s="1546"/>
      <c r="O79" s="1546"/>
      <c r="P79" s="1625"/>
      <c r="Q79" s="1625"/>
      <c r="R79" s="1629"/>
      <c r="S79" s="1625"/>
      <c r="T79" s="1625"/>
      <c r="U79" s="1625"/>
      <c r="V79" s="1625"/>
      <c r="W79" s="1625"/>
      <c r="X79" s="1629"/>
      <c r="Y79" s="1625"/>
      <c r="Z79" s="1625"/>
      <c r="AA79" s="1625"/>
      <c r="AB79" s="1625"/>
      <c r="AC79" s="1629"/>
      <c r="AD79" s="1625"/>
      <c r="AE79" s="1625"/>
      <c r="AF79" s="1629"/>
      <c r="AG79" s="1634"/>
      <c r="AH79" s="1"/>
    </row>
    <row r="80" spans="1:34" ht="22.15" customHeight="1" x14ac:dyDescent="0.2">
      <c r="A80" s="1715"/>
      <c r="B80" s="1715" t="s">
        <v>348</v>
      </c>
      <c r="C80" s="1629" t="s">
        <v>35</v>
      </c>
      <c r="D80" s="1629" t="s">
        <v>35</v>
      </c>
      <c r="E80" s="1629" t="s">
        <v>32</v>
      </c>
      <c r="F80" s="1629" t="s">
        <v>32</v>
      </c>
      <c r="G80" s="1628" t="s">
        <v>112</v>
      </c>
      <c r="H80" s="1628" t="s">
        <v>112</v>
      </c>
      <c r="I80" s="1629" t="s">
        <v>35</v>
      </c>
      <c r="J80" s="1629" t="s">
        <v>35</v>
      </c>
      <c r="K80" s="1714" t="s">
        <v>35</v>
      </c>
      <c r="L80" s="1714" t="s">
        <v>35</v>
      </c>
      <c r="M80" s="1714" t="s">
        <v>35</v>
      </c>
      <c r="N80" s="1629" t="s">
        <v>69</v>
      </c>
      <c r="O80" s="1629" t="s">
        <v>69</v>
      </c>
      <c r="P80" s="1625">
        <v>8</v>
      </c>
      <c r="Q80" s="1625">
        <v>8</v>
      </c>
      <c r="R80" s="1625">
        <v>8</v>
      </c>
      <c r="S80" s="1625">
        <v>8</v>
      </c>
      <c r="T80" s="1625">
        <v>8</v>
      </c>
      <c r="U80" s="1625"/>
      <c r="V80" s="1625"/>
      <c r="W80" s="2037" t="s">
        <v>385</v>
      </c>
      <c r="X80" s="2037" t="s">
        <v>385</v>
      </c>
      <c r="Y80" s="2037" t="s">
        <v>385</v>
      </c>
      <c r="Z80" s="2037" t="s">
        <v>385</v>
      </c>
      <c r="AA80" s="2037" t="s">
        <v>385</v>
      </c>
      <c r="AB80" s="1625"/>
      <c r="AC80" s="1625"/>
      <c r="AD80" s="1299" t="s">
        <v>31</v>
      </c>
      <c r="AE80" s="1299" t="s">
        <v>31</v>
      </c>
      <c r="AF80" s="1299" t="s">
        <v>31</v>
      </c>
      <c r="AG80" s="1634"/>
      <c r="AH80" s="1"/>
    </row>
    <row r="81" spans="1:35" ht="22.15" customHeight="1" x14ac:dyDescent="0.2">
      <c r="A81" s="1715"/>
      <c r="B81" s="1715" t="s">
        <v>364</v>
      </c>
      <c r="C81" s="1629">
        <v>69</v>
      </c>
      <c r="D81" s="1629">
        <v>69</v>
      </c>
      <c r="E81" s="1714">
        <v>69</v>
      </c>
      <c r="F81" s="1636">
        <v>69</v>
      </c>
      <c r="G81" s="1636"/>
      <c r="H81" s="1636"/>
      <c r="I81" s="1734" t="s">
        <v>35</v>
      </c>
      <c r="J81" s="1734">
        <v>79</v>
      </c>
      <c r="K81" s="1734">
        <v>79</v>
      </c>
      <c r="L81" s="1712">
        <v>79</v>
      </c>
      <c r="M81" s="1623">
        <v>79</v>
      </c>
      <c r="N81" s="1734"/>
      <c r="O81" s="1734"/>
      <c r="P81" s="1734">
        <v>79</v>
      </c>
      <c r="Q81" s="1734">
        <v>79</v>
      </c>
      <c r="R81" s="1734" t="s">
        <v>31</v>
      </c>
      <c r="S81" s="1204" t="s">
        <v>31</v>
      </c>
      <c r="T81" s="1623" t="s">
        <v>31</v>
      </c>
      <c r="U81" s="1735">
        <v>89</v>
      </c>
      <c r="V81" s="1734"/>
      <c r="W81" s="1623">
        <v>99</v>
      </c>
      <c r="X81" s="1623">
        <v>99</v>
      </c>
      <c r="Y81" s="1623">
        <v>99</v>
      </c>
      <c r="Z81" s="1623" t="s">
        <v>386</v>
      </c>
      <c r="AA81" s="1734" t="s">
        <v>35</v>
      </c>
      <c r="AB81" s="1734"/>
      <c r="AC81" s="1734"/>
      <c r="AD81" s="1413">
        <v>99</v>
      </c>
      <c r="AE81" s="1413">
        <v>99</v>
      </c>
      <c r="AF81" s="2038" t="s">
        <v>35</v>
      </c>
      <c r="AG81" s="1634"/>
      <c r="AH81" s="1"/>
    </row>
    <row r="82" spans="1:35" ht="22.15" customHeight="1" thickBot="1" x14ac:dyDescent="0.25">
      <c r="A82" s="692"/>
      <c r="B82" s="692" t="s">
        <v>131</v>
      </c>
      <c r="C82" s="672" t="s">
        <v>31</v>
      </c>
      <c r="D82" s="672" t="s">
        <v>31</v>
      </c>
      <c r="E82" s="675" t="s">
        <v>31</v>
      </c>
      <c r="F82" s="673" t="s">
        <v>31</v>
      </c>
      <c r="G82" s="673"/>
      <c r="H82" s="673"/>
      <c r="I82" s="680" t="s">
        <v>132</v>
      </c>
      <c r="J82" s="680" t="s">
        <v>132</v>
      </c>
      <c r="K82" s="680" t="s">
        <v>132</v>
      </c>
      <c r="L82" s="680" t="s">
        <v>132</v>
      </c>
      <c r="M82" s="680" t="s">
        <v>132</v>
      </c>
      <c r="N82" s="711"/>
      <c r="O82" s="711"/>
      <c r="P82" s="711" t="s">
        <v>132</v>
      </c>
      <c r="Q82" s="711" t="s">
        <v>132</v>
      </c>
      <c r="R82" s="711" t="s">
        <v>132</v>
      </c>
      <c r="S82" s="711" t="s">
        <v>132</v>
      </c>
      <c r="T82" s="690" t="s">
        <v>132</v>
      </c>
      <c r="U82" s="690"/>
      <c r="V82" s="690"/>
      <c r="W82" s="690" t="s">
        <v>132</v>
      </c>
      <c r="X82" s="690" t="s">
        <v>132</v>
      </c>
      <c r="Y82" s="690" t="s">
        <v>132</v>
      </c>
      <c r="Z82" s="690" t="s">
        <v>132</v>
      </c>
      <c r="AA82" s="690" t="s">
        <v>132</v>
      </c>
      <c r="AB82" s="690"/>
      <c r="AC82" s="690"/>
      <c r="AD82" s="690" t="s">
        <v>132</v>
      </c>
      <c r="AE82" s="690" t="s">
        <v>132</v>
      </c>
      <c r="AF82" s="690" t="s">
        <v>132</v>
      </c>
      <c r="AG82" s="218"/>
      <c r="AH82" s="1"/>
    </row>
    <row r="83" spans="1:35" ht="22.15" customHeight="1" thickBot="1" x14ac:dyDescent="0.25">
      <c r="A83" s="223"/>
      <c r="B83" s="224" t="s">
        <v>387</v>
      </c>
      <c r="C83" s="219"/>
      <c r="D83" s="225"/>
      <c r="E83" s="225"/>
      <c r="F83" s="225"/>
      <c r="G83" s="225"/>
      <c r="H83" s="225"/>
      <c r="I83" s="219"/>
      <c r="J83" s="219"/>
      <c r="K83" s="225"/>
      <c r="L83" s="225"/>
      <c r="M83" s="225"/>
      <c r="N83" s="225"/>
      <c r="O83" s="225"/>
      <c r="P83" s="219"/>
      <c r="Q83" s="219"/>
      <c r="R83" s="219"/>
      <c r="S83" s="226"/>
      <c r="T83" s="226"/>
      <c r="U83" s="226"/>
      <c r="V83" s="220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48"/>
      <c r="AH83" s="1"/>
    </row>
    <row r="84" spans="1:35" ht="22.15" customHeight="1" thickBot="1" x14ac:dyDescent="0.25">
      <c r="A84" s="1971"/>
      <c r="B84" s="2039" t="s">
        <v>375</v>
      </c>
      <c r="C84" s="1338">
        <v>4</v>
      </c>
      <c r="D84" s="1338">
        <v>4</v>
      </c>
      <c r="E84" s="1338">
        <v>4</v>
      </c>
      <c r="F84" s="1338">
        <v>4</v>
      </c>
      <c r="G84" s="1338"/>
      <c r="H84" s="1338"/>
      <c r="I84" s="1338">
        <v>3</v>
      </c>
      <c r="J84" s="1338">
        <v>3</v>
      </c>
      <c r="K84" s="1338">
        <v>3</v>
      </c>
      <c r="L84" s="1338">
        <v>3</v>
      </c>
      <c r="M84" s="1338">
        <v>3</v>
      </c>
      <c r="N84" s="1338"/>
      <c r="O84" s="1338"/>
      <c r="P84" s="1338">
        <v>11</v>
      </c>
      <c r="Q84" s="1338">
        <v>11</v>
      </c>
      <c r="R84" s="1338">
        <v>11</v>
      </c>
      <c r="S84" s="1338">
        <v>11</v>
      </c>
      <c r="T84" s="1338">
        <v>11</v>
      </c>
      <c r="U84" s="1338" t="s">
        <v>73</v>
      </c>
      <c r="V84" s="1338" t="s">
        <v>73</v>
      </c>
      <c r="W84" s="1338" t="s">
        <v>35</v>
      </c>
      <c r="X84" s="1338" t="s">
        <v>35</v>
      </c>
      <c r="Y84" s="1338" t="s">
        <v>35</v>
      </c>
      <c r="Z84" s="1338" t="s">
        <v>35</v>
      </c>
      <c r="AA84" s="1338" t="s">
        <v>35</v>
      </c>
      <c r="AB84" s="1338" t="s">
        <v>69</v>
      </c>
      <c r="AC84" s="1338" t="s">
        <v>69</v>
      </c>
      <c r="AD84" s="1338">
        <v>8</v>
      </c>
      <c r="AE84" s="1338">
        <v>8</v>
      </c>
      <c r="AF84" s="1338">
        <v>8</v>
      </c>
      <c r="AG84" s="395"/>
      <c r="AH84" s="1"/>
    </row>
    <row r="85" spans="1:35" ht="22.15" customHeight="1" thickTop="1" thickBot="1" x14ac:dyDescent="0.25">
      <c r="A85" s="400" t="s">
        <v>29</v>
      </c>
      <c r="B85" s="401"/>
      <c r="C85" s="401">
        <v>1</v>
      </c>
      <c r="D85" s="401">
        <v>2</v>
      </c>
      <c r="E85" s="401">
        <v>3</v>
      </c>
      <c r="F85" s="401">
        <v>4</v>
      </c>
      <c r="G85" s="402">
        <v>5</v>
      </c>
      <c r="H85" s="402">
        <v>6</v>
      </c>
      <c r="I85" s="401">
        <v>7</v>
      </c>
      <c r="J85" s="401">
        <v>8</v>
      </c>
      <c r="K85" s="401">
        <v>9</v>
      </c>
      <c r="L85" s="401">
        <v>10</v>
      </c>
      <c r="M85" s="401">
        <v>11</v>
      </c>
      <c r="N85" s="402">
        <v>12</v>
      </c>
      <c r="O85" s="402">
        <v>13</v>
      </c>
      <c r="P85" s="401">
        <v>14</v>
      </c>
      <c r="Q85" s="401">
        <v>15</v>
      </c>
      <c r="R85" s="401">
        <v>16</v>
      </c>
      <c r="S85" s="401">
        <v>17</v>
      </c>
      <c r="T85" s="401">
        <v>18</v>
      </c>
      <c r="U85" s="402">
        <v>19</v>
      </c>
      <c r="V85" s="402">
        <v>20</v>
      </c>
      <c r="W85" s="401">
        <v>21</v>
      </c>
      <c r="X85" s="401">
        <v>22</v>
      </c>
      <c r="Y85" s="401">
        <v>23</v>
      </c>
      <c r="Z85" s="401">
        <v>24</v>
      </c>
      <c r="AA85" s="401">
        <v>25</v>
      </c>
      <c r="AB85" s="402">
        <v>26</v>
      </c>
      <c r="AC85" s="402">
        <v>27</v>
      </c>
      <c r="AD85" s="401">
        <v>28</v>
      </c>
      <c r="AE85" s="401">
        <v>29</v>
      </c>
      <c r="AF85" s="401">
        <v>30</v>
      </c>
      <c r="AG85" s="403"/>
      <c r="AH85" s="1"/>
    </row>
    <row r="86" spans="1:35" ht="22.15" customHeight="1" thickTop="1" x14ac:dyDescent="0.2">
      <c r="A86" s="396" t="s">
        <v>135</v>
      </c>
      <c r="B86" s="15"/>
      <c r="C86" s="397"/>
      <c r="D86" s="398"/>
      <c r="E86" s="273"/>
      <c r="F86" s="273"/>
      <c r="G86" s="273"/>
      <c r="H86" s="273"/>
      <c r="I86" s="273"/>
      <c r="J86" s="273"/>
      <c r="K86" s="273"/>
      <c r="L86" s="273"/>
      <c r="M86" s="273"/>
      <c r="N86" s="273"/>
      <c r="O86" s="273"/>
      <c r="P86" s="273"/>
      <c r="Q86" s="273"/>
      <c r="R86" s="273"/>
      <c r="S86" s="273"/>
      <c r="T86" s="273"/>
      <c r="U86" s="273"/>
      <c r="V86" s="273"/>
      <c r="W86" s="273"/>
      <c r="X86" s="273"/>
      <c r="Y86" s="273"/>
      <c r="Z86" s="273"/>
      <c r="AA86" s="273"/>
      <c r="AB86" s="273"/>
      <c r="AC86" s="273"/>
      <c r="AD86" s="273"/>
      <c r="AE86" s="273"/>
      <c r="AF86" s="273"/>
      <c r="AG86" s="399"/>
      <c r="AH86" s="1"/>
    </row>
    <row r="87" spans="1:35" ht="22.15" customHeight="1" x14ac:dyDescent="0.2">
      <c r="A87" s="1330"/>
      <c r="B87" s="1975" t="s">
        <v>388</v>
      </c>
      <c r="C87" s="2040" t="s">
        <v>32</v>
      </c>
      <c r="D87" s="2040" t="s">
        <v>32</v>
      </c>
      <c r="E87" s="2040" t="s">
        <v>32</v>
      </c>
      <c r="F87" s="2040" t="s">
        <v>32</v>
      </c>
      <c r="G87" s="2041"/>
      <c r="H87" s="2041"/>
      <c r="I87" s="2040" t="s">
        <v>32</v>
      </c>
      <c r="J87" s="2040" t="s">
        <v>32</v>
      </c>
      <c r="K87" s="2040" t="s">
        <v>32</v>
      </c>
      <c r="L87" s="2040" t="s">
        <v>32</v>
      </c>
      <c r="M87" s="2040" t="s">
        <v>32</v>
      </c>
      <c r="N87" s="2041"/>
      <c r="O87" s="2041"/>
      <c r="P87" s="2040" t="s">
        <v>32</v>
      </c>
      <c r="Q87" s="2042" t="s">
        <v>32</v>
      </c>
      <c r="R87" s="2042" t="s">
        <v>32</v>
      </c>
      <c r="S87" s="2040" t="s">
        <v>32</v>
      </c>
      <c r="T87" s="2040" t="s">
        <v>32</v>
      </c>
      <c r="U87" s="2041"/>
      <c r="V87" s="2041"/>
      <c r="W87" s="2040" t="s">
        <v>32</v>
      </c>
      <c r="X87" s="2040" t="s">
        <v>32</v>
      </c>
      <c r="Y87" s="2040" t="s">
        <v>32</v>
      </c>
      <c r="Z87" s="2040" t="s">
        <v>32</v>
      </c>
      <c r="AA87" s="2040" t="s">
        <v>32</v>
      </c>
      <c r="AB87" s="2041"/>
      <c r="AC87" s="2041"/>
      <c r="AD87" s="2040" t="s">
        <v>32</v>
      </c>
      <c r="AE87" s="2040" t="s">
        <v>32</v>
      </c>
      <c r="AF87" s="2040" t="s">
        <v>32</v>
      </c>
      <c r="AG87" s="1340"/>
      <c r="AH87" s="1"/>
    </row>
    <row r="88" spans="1:35" ht="22.15" customHeight="1" x14ac:dyDescent="0.2">
      <c r="A88" s="1330"/>
      <c r="B88" s="1975" t="s">
        <v>389</v>
      </c>
      <c r="C88" s="2043">
        <v>89</v>
      </c>
      <c r="D88" s="2043">
        <v>89</v>
      </c>
      <c r="E88" s="2043">
        <v>89</v>
      </c>
      <c r="F88" s="2043">
        <v>89</v>
      </c>
      <c r="G88" s="2044"/>
      <c r="H88" s="2044"/>
      <c r="I88" s="2044">
        <v>69</v>
      </c>
      <c r="J88" s="2044">
        <v>69</v>
      </c>
      <c r="K88" s="2044">
        <v>69</v>
      </c>
      <c r="L88" s="2044">
        <v>69</v>
      </c>
      <c r="M88" s="2044">
        <v>69</v>
      </c>
      <c r="N88" s="2044"/>
      <c r="O88" s="2044"/>
      <c r="P88" s="2045">
        <v>99</v>
      </c>
      <c r="Q88" s="2045">
        <v>99</v>
      </c>
      <c r="R88" s="2045">
        <v>99</v>
      </c>
      <c r="S88" s="1430">
        <v>99</v>
      </c>
      <c r="T88" s="1430">
        <v>99</v>
      </c>
      <c r="U88" s="1430"/>
      <c r="V88" s="1430"/>
      <c r="W88" s="1430">
        <v>79</v>
      </c>
      <c r="X88" s="1430">
        <v>79</v>
      </c>
      <c r="Y88" s="1430">
        <v>79</v>
      </c>
      <c r="Z88" s="1430">
        <v>79</v>
      </c>
      <c r="AA88" s="1430">
        <v>79</v>
      </c>
      <c r="AB88" s="1430"/>
      <c r="AC88" s="1430"/>
      <c r="AD88" s="1430" t="s">
        <v>175</v>
      </c>
      <c r="AE88" s="1430" t="s">
        <v>175</v>
      </c>
      <c r="AF88" s="1430" t="s">
        <v>175</v>
      </c>
      <c r="AG88" s="1251"/>
      <c r="AH88" s="1"/>
    </row>
    <row r="89" spans="1:35" ht="22.15" customHeight="1" thickBot="1" x14ac:dyDescent="0.25">
      <c r="A89" s="1253"/>
      <c r="B89" s="1931"/>
      <c r="C89" s="1978"/>
      <c r="D89" s="1348"/>
      <c r="E89" s="1348"/>
      <c r="F89" s="1348"/>
      <c r="G89" s="1348"/>
      <c r="H89" s="1348"/>
      <c r="I89" s="1348"/>
      <c r="J89" s="1348"/>
      <c r="K89" s="1348"/>
      <c r="L89" s="1348"/>
      <c r="M89" s="1348"/>
      <c r="N89" s="1348"/>
      <c r="O89" s="1348"/>
      <c r="P89" s="1348"/>
      <c r="Q89" s="1348"/>
      <c r="R89" s="1349"/>
      <c r="S89" s="1349"/>
      <c r="T89" s="1349"/>
      <c r="U89" s="1348"/>
      <c r="V89" s="1348"/>
      <c r="W89" s="1348"/>
      <c r="X89" s="1348"/>
      <c r="Y89" s="1348"/>
      <c r="Z89" s="1348"/>
      <c r="AA89" s="1348"/>
      <c r="AB89" s="1348"/>
      <c r="AC89" s="1348"/>
      <c r="AD89" s="1348"/>
      <c r="AE89" s="1348"/>
      <c r="AF89" s="1254"/>
      <c r="AG89" s="1945"/>
      <c r="AH89" s="1"/>
    </row>
    <row r="90" spans="1:35" ht="22.15" customHeight="1" thickBot="1" x14ac:dyDescent="0.25">
      <c r="A90" s="176" t="s">
        <v>136</v>
      </c>
      <c r="B90" s="177"/>
      <c r="C90" s="177"/>
      <c r="D90" s="177"/>
      <c r="E90" s="177"/>
      <c r="F90" s="177"/>
      <c r="G90" s="178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  <c r="AI90" s="177"/>
    </row>
    <row r="91" spans="1:35" ht="22.15" customHeight="1" thickBot="1" x14ac:dyDescent="0.25">
      <c r="A91" s="179"/>
      <c r="B91" s="303" t="s">
        <v>137</v>
      </c>
      <c r="C91" s="281"/>
      <c r="D91" s="282" t="s">
        <v>90</v>
      </c>
      <c r="E91" s="283"/>
      <c r="F91" s="284"/>
      <c r="G91" s="281"/>
      <c r="H91" s="282" t="s">
        <v>91</v>
      </c>
      <c r="I91" s="283"/>
      <c r="J91" s="284"/>
      <c r="K91" s="281"/>
      <c r="L91" s="282" t="s">
        <v>92</v>
      </c>
      <c r="M91" s="283"/>
      <c r="N91" s="284"/>
      <c r="O91" s="281"/>
      <c r="P91" s="282" t="s">
        <v>93</v>
      </c>
      <c r="Q91" s="283"/>
      <c r="R91" s="284"/>
      <c r="S91" s="285"/>
      <c r="T91" s="282" t="s">
        <v>94</v>
      </c>
      <c r="U91" s="283"/>
      <c r="V91" s="284"/>
      <c r="W91" s="281"/>
      <c r="X91" s="282" t="s">
        <v>95</v>
      </c>
      <c r="Y91" s="283"/>
      <c r="Z91" s="284"/>
      <c r="AA91" s="281"/>
      <c r="AB91" s="282" t="s">
        <v>96</v>
      </c>
      <c r="AC91" s="283"/>
      <c r="AD91" s="283"/>
      <c r="AE91" s="286" t="s">
        <v>138</v>
      </c>
      <c r="AF91" s="283"/>
      <c r="AG91" s="283"/>
      <c r="AH91" s="283"/>
      <c r="AI91" s="287"/>
    </row>
    <row r="92" spans="1:35" ht="22.15" customHeight="1" x14ac:dyDescent="0.2">
      <c r="A92" s="179"/>
      <c r="B92" s="489" t="s">
        <v>139</v>
      </c>
      <c r="C92" s="490" t="s">
        <v>140</v>
      </c>
      <c r="D92" s="283"/>
      <c r="E92" s="491"/>
      <c r="F92" s="492"/>
      <c r="G92" s="490" t="s">
        <v>140</v>
      </c>
      <c r="H92" s="491"/>
      <c r="I92" s="491"/>
      <c r="J92" s="492"/>
      <c r="K92" s="288" t="s">
        <v>140</v>
      </c>
      <c r="L92" s="283"/>
      <c r="M92" s="283"/>
      <c r="N92" s="289"/>
      <c r="O92" s="288" t="s">
        <v>141</v>
      </c>
      <c r="P92" s="283"/>
      <c r="Q92" s="491"/>
      <c r="R92" s="492"/>
      <c r="S92" s="490" t="s">
        <v>142</v>
      </c>
      <c r="T92" s="491"/>
      <c r="U92" s="491"/>
      <c r="V92" s="493"/>
      <c r="W92" s="494"/>
      <c r="X92" s="495"/>
      <c r="Y92" s="495"/>
      <c r="Z92" s="496"/>
      <c r="AA92" s="493"/>
      <c r="AB92" s="491"/>
      <c r="AC92" s="491"/>
      <c r="AD92" s="493"/>
      <c r="AE92" s="497">
        <v>37</v>
      </c>
      <c r="AF92" s="283"/>
      <c r="AG92" s="491"/>
      <c r="AH92" s="493"/>
      <c r="AI92" s="498"/>
    </row>
    <row r="93" spans="1:35" ht="22.15" customHeight="1" x14ac:dyDescent="0.2">
      <c r="A93" s="179"/>
      <c r="B93" s="1350" t="s">
        <v>143</v>
      </c>
      <c r="C93" s="1351" t="s">
        <v>144</v>
      </c>
      <c r="D93" s="1352"/>
      <c r="E93" s="1352"/>
      <c r="F93" s="1353"/>
      <c r="G93" s="1351" t="s">
        <v>145</v>
      </c>
      <c r="H93" s="1352"/>
      <c r="I93" s="1352"/>
      <c r="J93" s="1353"/>
      <c r="K93" s="1351" t="s">
        <v>146</v>
      </c>
      <c r="L93" s="1354" t="s">
        <v>147</v>
      </c>
      <c r="M93" s="1352"/>
      <c r="N93" s="1353"/>
      <c r="O93" s="1351" t="s">
        <v>146</v>
      </c>
      <c r="P93" s="1354" t="s">
        <v>147</v>
      </c>
      <c r="Q93" s="1352"/>
      <c r="R93" s="1353"/>
      <c r="S93" s="1351" t="s">
        <v>145</v>
      </c>
      <c r="T93" s="1354" t="s">
        <v>148</v>
      </c>
      <c r="U93" s="1352"/>
      <c r="V93" s="1353"/>
      <c r="W93" s="180" t="s">
        <v>46</v>
      </c>
      <c r="X93" s="254" t="s">
        <v>152</v>
      </c>
      <c r="Y93" s="181"/>
      <c r="Z93" s="181"/>
      <c r="AA93" s="1351" t="s">
        <v>46</v>
      </c>
      <c r="AB93" s="1354" t="s">
        <v>152</v>
      </c>
      <c r="AC93" s="1351"/>
      <c r="AD93" s="1351"/>
      <c r="AE93" s="1356">
        <v>68</v>
      </c>
      <c r="AF93" s="1352"/>
      <c r="AG93" s="1357"/>
      <c r="AH93" s="1358"/>
      <c r="AI93" s="1359"/>
    </row>
    <row r="94" spans="1:35" ht="22.15" customHeight="1" x14ac:dyDescent="0.2">
      <c r="A94" s="179"/>
      <c r="B94" s="1350" t="s">
        <v>153</v>
      </c>
      <c r="C94" s="1360" t="s">
        <v>154</v>
      </c>
      <c r="D94" s="1352"/>
      <c r="E94" s="1352"/>
      <c r="F94" s="1353"/>
      <c r="G94" s="1352" t="s">
        <v>154</v>
      </c>
      <c r="H94" s="1352"/>
      <c r="I94" s="1352"/>
      <c r="J94" s="1353"/>
      <c r="K94" s="1352" t="s">
        <v>154</v>
      </c>
      <c r="L94" s="1352"/>
      <c r="M94" s="1352"/>
      <c r="N94" s="1353"/>
      <c r="O94" s="1352" t="s">
        <v>154</v>
      </c>
      <c r="P94" s="1352"/>
      <c r="Q94" s="1352"/>
      <c r="R94" s="1353"/>
      <c r="S94" s="1352" t="s">
        <v>154</v>
      </c>
      <c r="T94" s="1352"/>
      <c r="U94" s="1352"/>
      <c r="V94" s="1353"/>
      <c r="W94" s="1351"/>
      <c r="X94" s="1352"/>
      <c r="Y94" s="1352"/>
      <c r="Z94" s="1353"/>
      <c r="AA94" s="1351"/>
      <c r="AB94" s="1352"/>
      <c r="AC94" s="1352"/>
      <c r="AD94" s="1354"/>
      <c r="AE94" s="1356">
        <v>0</v>
      </c>
      <c r="AF94" s="1357"/>
      <c r="AG94" s="1352"/>
      <c r="AH94" s="1354"/>
      <c r="AI94" s="1361"/>
    </row>
    <row r="95" spans="1:35" ht="22.15" customHeight="1" thickBot="1" x14ac:dyDescent="0.25">
      <c r="A95" s="179"/>
      <c r="B95" s="1979" t="s">
        <v>155</v>
      </c>
      <c r="C95" s="1363" t="s">
        <v>140</v>
      </c>
      <c r="D95" s="1364"/>
      <c r="E95" s="1365"/>
      <c r="F95" s="1366"/>
      <c r="G95" s="1363" t="s">
        <v>140</v>
      </c>
      <c r="H95" s="1364"/>
      <c r="I95" s="1365"/>
      <c r="J95" s="1366"/>
      <c r="K95" s="1363" t="s">
        <v>140</v>
      </c>
      <c r="L95" s="1364"/>
      <c r="M95" s="1365"/>
      <c r="N95" s="1366"/>
      <c r="O95" s="1363" t="s">
        <v>141</v>
      </c>
      <c r="P95" s="1365"/>
      <c r="Q95" s="1365"/>
      <c r="R95" s="1366"/>
      <c r="S95" s="1363" t="s">
        <v>142</v>
      </c>
      <c r="T95" s="1365"/>
      <c r="U95" s="1365"/>
      <c r="V95" s="1367"/>
      <c r="W95" s="1980"/>
      <c r="X95" s="1365"/>
      <c r="Y95" s="1365"/>
      <c r="Z95" s="1369"/>
      <c r="AA95" s="1367"/>
      <c r="AB95" s="1365"/>
      <c r="AC95" s="1365"/>
      <c r="AD95" s="1367"/>
      <c r="AE95" s="1370">
        <v>37</v>
      </c>
      <c r="AF95" s="1365"/>
      <c r="AG95" s="1365"/>
      <c r="AH95" s="1367"/>
      <c r="AI95" s="1371"/>
    </row>
    <row r="96" spans="1:35" ht="22.15" customHeight="1" x14ac:dyDescent="0.2">
      <c r="A96" s="182"/>
      <c r="B96" s="179"/>
      <c r="C96" s="177"/>
      <c r="D96" s="181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  <c r="AI96" s="177"/>
    </row>
    <row r="97" spans="1:38" ht="22.15" customHeight="1" thickBot="1" x14ac:dyDescent="0.25">
      <c r="A97" s="1372"/>
      <c r="B97" s="1373" t="s">
        <v>29</v>
      </c>
      <c r="C97" s="1186">
        <v>1</v>
      </c>
      <c r="D97" s="1186">
        <v>2</v>
      </c>
      <c r="E97" s="1186">
        <v>3</v>
      </c>
      <c r="F97" s="1186">
        <v>4</v>
      </c>
      <c r="G97" s="1185">
        <v>5</v>
      </c>
      <c r="H97" s="1185">
        <v>6</v>
      </c>
      <c r="I97" s="1186">
        <v>7</v>
      </c>
      <c r="J97" s="1186">
        <v>8</v>
      </c>
      <c r="K97" s="1186">
        <v>9</v>
      </c>
      <c r="L97" s="1186">
        <v>10</v>
      </c>
      <c r="M97" s="1186">
        <v>11</v>
      </c>
      <c r="N97" s="1185">
        <v>12</v>
      </c>
      <c r="O97" s="1185">
        <v>13</v>
      </c>
      <c r="P97" s="1186">
        <v>14</v>
      </c>
      <c r="Q97" s="1186">
        <v>15</v>
      </c>
      <c r="R97" s="1186">
        <v>16</v>
      </c>
      <c r="S97" s="1186">
        <v>17</v>
      </c>
      <c r="T97" s="1186">
        <v>18</v>
      </c>
      <c r="U97" s="1185">
        <v>19</v>
      </c>
      <c r="V97" s="1185">
        <v>20</v>
      </c>
      <c r="W97" s="1186">
        <v>21</v>
      </c>
      <c r="X97" s="1186">
        <v>22</v>
      </c>
      <c r="Y97" s="1186">
        <v>23</v>
      </c>
      <c r="Z97" s="1186">
        <v>24</v>
      </c>
      <c r="AA97" s="1186">
        <v>25</v>
      </c>
      <c r="AB97" s="1185">
        <v>26</v>
      </c>
      <c r="AC97" s="1185">
        <v>27</v>
      </c>
      <c r="AD97" s="1186">
        <v>28</v>
      </c>
      <c r="AE97" s="1186">
        <v>29</v>
      </c>
      <c r="AF97" s="1186">
        <v>30</v>
      </c>
      <c r="AG97" s="1945"/>
      <c r="AH97" s="191"/>
      <c r="AI97" s="192"/>
    </row>
    <row r="98" spans="1:38" ht="22.15" customHeight="1" x14ac:dyDescent="0.2">
      <c r="A98" s="499">
        <v>1</v>
      </c>
      <c r="B98" s="476"/>
      <c r="C98" s="541" t="s">
        <v>156</v>
      </c>
      <c r="D98" s="541" t="s">
        <v>156</v>
      </c>
      <c r="E98" s="541" t="s">
        <v>156</v>
      </c>
      <c r="F98" s="541" t="s">
        <v>156</v>
      </c>
      <c r="G98" s="541"/>
      <c r="H98" s="541"/>
      <c r="I98" s="541" t="s">
        <v>156</v>
      </c>
      <c r="J98" s="541" t="s">
        <v>156</v>
      </c>
      <c r="K98" s="541" t="s">
        <v>156</v>
      </c>
      <c r="L98" s="541" t="s">
        <v>156</v>
      </c>
      <c r="M98" s="541" t="s">
        <v>156</v>
      </c>
      <c r="N98" s="541"/>
      <c r="O98" s="541"/>
      <c r="P98" s="544" t="s">
        <v>110</v>
      </c>
      <c r="Q98" s="541" t="s">
        <v>110</v>
      </c>
      <c r="R98" s="541" t="s">
        <v>110</v>
      </c>
      <c r="S98" s="541" t="s">
        <v>110</v>
      </c>
      <c r="T98" s="541" t="s">
        <v>110</v>
      </c>
      <c r="U98" s="541" t="s">
        <v>46</v>
      </c>
      <c r="V98" s="541" t="s">
        <v>46</v>
      </c>
      <c r="W98" s="541" t="s">
        <v>35</v>
      </c>
      <c r="X98" s="540" t="s">
        <v>35</v>
      </c>
      <c r="Y98" s="540" t="s">
        <v>35</v>
      </c>
      <c r="Z98" s="540" t="s">
        <v>35</v>
      </c>
      <c r="AA98" s="540" t="s">
        <v>35</v>
      </c>
      <c r="AB98" s="541"/>
      <c r="AC98" s="541"/>
      <c r="AD98" s="541" t="s">
        <v>156</v>
      </c>
      <c r="AE98" s="541" t="s">
        <v>156</v>
      </c>
      <c r="AF98" s="541" t="s">
        <v>156</v>
      </c>
      <c r="AG98" s="545"/>
      <c r="AH98" s="193"/>
      <c r="AI98" s="194"/>
    </row>
    <row r="99" spans="1:38" ht="22.15" customHeight="1" x14ac:dyDescent="0.2">
      <c r="A99" s="1374">
        <v>2</v>
      </c>
      <c r="B99" s="1202" t="s">
        <v>157</v>
      </c>
      <c r="C99" s="1375" t="s">
        <v>35</v>
      </c>
      <c r="D99" s="1375" t="s">
        <v>35</v>
      </c>
      <c r="E99" s="1375" t="s">
        <v>35</v>
      </c>
      <c r="F99" s="1375" t="s">
        <v>35</v>
      </c>
      <c r="G99" s="1375"/>
      <c r="H99" s="1375"/>
      <c r="I99" s="1625" t="s">
        <v>80</v>
      </c>
      <c r="J99" s="1625" t="s">
        <v>80</v>
      </c>
      <c r="K99" s="1625" t="s">
        <v>80</v>
      </c>
      <c r="L99" s="1625" t="s">
        <v>80</v>
      </c>
      <c r="M99" s="1625" t="s">
        <v>80</v>
      </c>
      <c r="N99" s="1215"/>
      <c r="O99" s="1215"/>
      <c r="P99" s="1625" t="s">
        <v>80</v>
      </c>
      <c r="Q99" s="1625" t="s">
        <v>80</v>
      </c>
      <c r="R99" s="1625" t="s">
        <v>80</v>
      </c>
      <c r="S99" s="1625" t="s">
        <v>80</v>
      </c>
      <c r="T99" s="1625" t="s">
        <v>80</v>
      </c>
      <c r="U99" s="1380"/>
      <c r="V99" s="1215"/>
      <c r="W99" s="1311" t="s">
        <v>110</v>
      </c>
      <c r="X99" s="1215" t="s">
        <v>110</v>
      </c>
      <c r="Y99" s="1215" t="s">
        <v>110</v>
      </c>
      <c r="Z99" s="1215" t="s">
        <v>110</v>
      </c>
      <c r="AA99" s="2046" t="s">
        <v>110</v>
      </c>
      <c r="AB99" s="1380" t="s">
        <v>46</v>
      </c>
      <c r="AC99" s="1380" t="s">
        <v>46</v>
      </c>
      <c r="AD99" s="1380" t="s">
        <v>35</v>
      </c>
      <c r="AE99" s="1380" t="s">
        <v>35</v>
      </c>
      <c r="AF99" s="1380" t="s">
        <v>35</v>
      </c>
      <c r="AG99" s="1378"/>
      <c r="AH99" s="193"/>
      <c r="AI99" s="194"/>
      <c r="AL99" s="206"/>
    </row>
    <row r="100" spans="1:38" ht="22.15" customHeight="1" x14ac:dyDescent="0.2">
      <c r="A100" s="1374">
        <v>3</v>
      </c>
      <c r="B100" s="1379" t="s">
        <v>159</v>
      </c>
      <c r="C100" s="1981" t="s">
        <v>110</v>
      </c>
      <c r="D100" s="2047" t="s">
        <v>110</v>
      </c>
      <c r="E100" s="2048" t="s">
        <v>110</v>
      </c>
      <c r="F100" s="2049" t="s">
        <v>110</v>
      </c>
      <c r="G100" s="2049" t="s">
        <v>46</v>
      </c>
      <c r="H100" s="2049" t="s">
        <v>46</v>
      </c>
      <c r="I100" s="2050" t="s">
        <v>35</v>
      </c>
      <c r="J100" s="2050" t="s">
        <v>35</v>
      </c>
      <c r="K100" s="1334" t="s">
        <v>35</v>
      </c>
      <c r="L100" s="619" t="s">
        <v>35</v>
      </c>
      <c r="M100" s="2051" t="s">
        <v>35</v>
      </c>
      <c r="N100" s="1259"/>
      <c r="O100" s="1259"/>
      <c r="P100" s="1413" t="s">
        <v>228</v>
      </c>
      <c r="Q100" s="1413" t="s">
        <v>228</v>
      </c>
      <c r="R100" s="1413" t="s">
        <v>31</v>
      </c>
      <c r="S100" s="1413">
        <v>79</v>
      </c>
      <c r="T100" s="1413" t="s">
        <v>31</v>
      </c>
      <c r="U100" s="1215"/>
      <c r="V100" s="1215"/>
      <c r="W100" s="1215" t="s">
        <v>156</v>
      </c>
      <c r="X100" s="1215" t="s">
        <v>156</v>
      </c>
      <c r="Y100" s="1259" t="s">
        <v>216</v>
      </c>
      <c r="Z100" s="1259" t="s">
        <v>216</v>
      </c>
      <c r="AA100" s="1259" t="s">
        <v>216</v>
      </c>
      <c r="AB100" s="1380"/>
      <c r="AC100" s="1380"/>
      <c r="AD100" s="1376" t="s">
        <v>110</v>
      </c>
      <c r="AE100" s="2050" t="s">
        <v>110</v>
      </c>
      <c r="AF100" s="2050" t="s">
        <v>110</v>
      </c>
      <c r="AG100" s="1328"/>
      <c r="AH100" s="193"/>
      <c r="AI100" s="194"/>
    </row>
    <row r="101" spans="1:38" ht="22.15" customHeight="1" thickBot="1" x14ac:dyDescent="0.25">
      <c r="A101" s="1382">
        <v>4</v>
      </c>
      <c r="B101" s="1383"/>
      <c r="C101" s="1384" t="s">
        <v>156</v>
      </c>
      <c r="D101" s="1384" t="s">
        <v>156</v>
      </c>
      <c r="E101" s="1384" t="s">
        <v>156</v>
      </c>
      <c r="F101" s="1384" t="s">
        <v>156</v>
      </c>
      <c r="G101" s="1384" t="s">
        <v>0</v>
      </c>
      <c r="H101" s="1384" t="s">
        <v>0</v>
      </c>
      <c r="I101" s="1384" t="s">
        <v>110</v>
      </c>
      <c r="J101" s="1384" t="s">
        <v>110</v>
      </c>
      <c r="K101" s="1384" t="s">
        <v>110</v>
      </c>
      <c r="L101" s="1384" t="s">
        <v>110</v>
      </c>
      <c r="M101" s="1384" t="s">
        <v>110</v>
      </c>
      <c r="N101" s="1384" t="s">
        <v>46</v>
      </c>
      <c r="O101" s="1384" t="s">
        <v>46</v>
      </c>
      <c r="P101" s="1384" t="s">
        <v>35</v>
      </c>
      <c r="Q101" s="1384" t="s">
        <v>35</v>
      </c>
      <c r="R101" s="1384" t="s">
        <v>35</v>
      </c>
      <c r="S101" s="1384" t="s">
        <v>35</v>
      </c>
      <c r="T101" s="1384" t="s">
        <v>35</v>
      </c>
      <c r="U101" s="1384"/>
      <c r="V101" s="1384"/>
      <c r="W101" s="1384" t="s">
        <v>156</v>
      </c>
      <c r="X101" s="1384" t="s">
        <v>156</v>
      </c>
      <c r="Y101" s="1384" t="s">
        <v>156</v>
      </c>
      <c r="Z101" s="1384" t="s">
        <v>156</v>
      </c>
      <c r="AA101" s="1381" t="s">
        <v>156</v>
      </c>
      <c r="AB101" s="1381"/>
      <c r="AC101" s="1381"/>
      <c r="AD101" s="1381" t="s">
        <v>156</v>
      </c>
      <c r="AE101" s="1381" t="s">
        <v>156</v>
      </c>
      <c r="AF101" s="1384" t="s">
        <v>156</v>
      </c>
      <c r="AG101" s="1988"/>
      <c r="AH101" s="193"/>
      <c r="AI101" s="194"/>
    </row>
    <row r="102" spans="1:38" ht="22.15" customHeight="1" thickBot="1" x14ac:dyDescent="0.25">
      <c r="A102" s="231"/>
      <c r="B102" s="232"/>
      <c r="C102" s="233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3"/>
      <c r="U102" s="233"/>
      <c r="V102" s="233"/>
      <c r="W102" s="233"/>
      <c r="X102" s="233"/>
      <c r="Y102" s="233"/>
      <c r="Z102" s="233"/>
      <c r="AA102" s="233"/>
      <c r="AB102" s="233"/>
      <c r="AC102" s="233"/>
      <c r="AD102" s="233"/>
      <c r="AE102" s="233"/>
      <c r="AF102" s="233"/>
      <c r="AG102" s="234"/>
      <c r="AH102" s="235"/>
      <c r="AI102" s="194"/>
    </row>
    <row r="103" spans="1:38" ht="22.15" customHeight="1" x14ac:dyDescent="0.2">
      <c r="A103" s="72"/>
      <c r="B103" s="304" t="s">
        <v>160</v>
      </c>
      <c r="C103" s="500"/>
      <c r="D103" s="501" t="s">
        <v>90</v>
      </c>
      <c r="E103" s="502"/>
      <c r="F103" s="500"/>
      <c r="G103" s="503" t="s">
        <v>91</v>
      </c>
      <c r="H103" s="504"/>
      <c r="I103" s="505"/>
      <c r="J103" s="503" t="s">
        <v>92</v>
      </c>
      <c r="K103" s="506"/>
      <c r="L103" s="505"/>
      <c r="M103" s="507" t="s">
        <v>93</v>
      </c>
      <c r="N103" s="506"/>
      <c r="O103" s="505"/>
      <c r="P103" s="503" t="s">
        <v>94</v>
      </c>
      <c r="Q103" s="508"/>
      <c r="R103" s="505"/>
      <c r="S103" s="503" t="s">
        <v>95</v>
      </c>
      <c r="T103" s="509"/>
      <c r="U103" s="505"/>
      <c r="V103" s="503" t="s">
        <v>96</v>
      </c>
      <c r="W103" s="508"/>
      <c r="X103" s="510" t="s">
        <v>138</v>
      </c>
      <c r="Y103" s="511"/>
      <c r="Z103" s="511"/>
      <c r="AA103" s="512"/>
      <c r="AB103" s="290" t="s">
        <v>97</v>
      </c>
      <c r="AC103" s="291"/>
      <c r="AD103" s="291"/>
      <c r="AE103" s="292"/>
      <c r="AF103" s="292"/>
      <c r="AG103" s="293"/>
      <c r="AH103" s="235"/>
      <c r="AI103" s="194"/>
    </row>
    <row r="104" spans="1:38" ht="22.15" customHeight="1" x14ac:dyDescent="0.2">
      <c r="A104" s="72"/>
      <c r="B104" s="1386" t="s">
        <v>161</v>
      </c>
      <c r="C104" s="1387" t="s">
        <v>162</v>
      </c>
      <c r="D104" s="1169"/>
      <c r="E104" s="1170"/>
      <c r="F104" s="1387" t="s">
        <v>162</v>
      </c>
      <c r="G104" s="1169"/>
      <c r="H104" s="1170"/>
      <c r="I104" s="1387" t="s">
        <v>162</v>
      </c>
      <c r="J104" s="1169"/>
      <c r="K104" s="1170"/>
      <c r="L104" s="1387" t="s">
        <v>162</v>
      </c>
      <c r="M104" s="1169"/>
      <c r="N104" s="1170"/>
      <c r="O104" s="1387" t="s">
        <v>163</v>
      </c>
      <c r="P104" s="1169"/>
      <c r="Q104" s="1170"/>
      <c r="R104" s="1387"/>
      <c r="S104" s="1169"/>
      <c r="T104" s="1170"/>
      <c r="U104" s="1387"/>
      <c r="V104" s="1169"/>
      <c r="W104" s="1170"/>
      <c r="X104" s="1387"/>
      <c r="Y104" s="1388"/>
      <c r="Z104" s="1388"/>
      <c r="AA104" s="1388"/>
      <c r="AB104" s="1166"/>
      <c r="AC104" s="1388"/>
      <c r="AD104" s="1388"/>
      <c r="AE104" s="1388"/>
      <c r="AF104" s="1388"/>
      <c r="AG104" s="1389"/>
      <c r="AH104" s="235"/>
      <c r="AI104" s="194"/>
      <c r="AJ104" t="s">
        <v>0</v>
      </c>
    </row>
    <row r="105" spans="1:38" ht="22.15" customHeight="1" x14ac:dyDescent="0.2">
      <c r="A105" s="72"/>
      <c r="B105" s="17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235"/>
      <c r="AI105" s="194"/>
    </row>
    <row r="106" spans="1:38" ht="22.15" customHeight="1" thickBot="1" x14ac:dyDescent="0.25">
      <c r="A106" s="1343" t="s">
        <v>28</v>
      </c>
      <c r="B106" s="1247" t="s">
        <v>29</v>
      </c>
      <c r="C106" s="1186">
        <v>1</v>
      </c>
      <c r="D106" s="1186">
        <v>2</v>
      </c>
      <c r="E106" s="1186">
        <v>3</v>
      </c>
      <c r="F106" s="1186">
        <v>4</v>
      </c>
      <c r="G106" s="1185">
        <v>5</v>
      </c>
      <c r="H106" s="1185">
        <v>6</v>
      </c>
      <c r="I106" s="1186">
        <v>7</v>
      </c>
      <c r="J106" s="1186">
        <v>8</v>
      </c>
      <c r="K106" s="1186">
        <v>9</v>
      </c>
      <c r="L106" s="1186">
        <v>10</v>
      </c>
      <c r="M106" s="1186">
        <v>11</v>
      </c>
      <c r="N106" s="1185">
        <v>12</v>
      </c>
      <c r="O106" s="1185">
        <v>13</v>
      </c>
      <c r="P106" s="1186">
        <v>14</v>
      </c>
      <c r="Q106" s="1186">
        <v>15</v>
      </c>
      <c r="R106" s="1186">
        <v>16</v>
      </c>
      <c r="S106" s="1186">
        <v>17</v>
      </c>
      <c r="T106" s="1186">
        <v>18</v>
      </c>
      <c r="U106" s="1185">
        <v>19</v>
      </c>
      <c r="V106" s="1185">
        <v>20</v>
      </c>
      <c r="W106" s="1186">
        <v>21</v>
      </c>
      <c r="X106" s="1186">
        <v>22</v>
      </c>
      <c r="Y106" s="1186">
        <v>23</v>
      </c>
      <c r="Z106" s="1186">
        <v>24</v>
      </c>
      <c r="AA106" s="1186">
        <v>25</v>
      </c>
      <c r="AB106" s="1185">
        <v>26</v>
      </c>
      <c r="AC106" s="1185">
        <v>27</v>
      </c>
      <c r="AD106" s="1186">
        <v>28</v>
      </c>
      <c r="AE106" s="1186">
        <v>29</v>
      </c>
      <c r="AF106" s="1186">
        <v>30</v>
      </c>
      <c r="AG106" s="1945"/>
      <c r="AH106" s="235"/>
      <c r="AI106" s="194"/>
    </row>
    <row r="107" spans="1:38" ht="22.15" customHeight="1" x14ac:dyDescent="0.2">
      <c r="A107" s="513">
        <v>8520</v>
      </c>
      <c r="B107" s="514" t="s">
        <v>164</v>
      </c>
      <c r="C107" s="458" t="s">
        <v>165</v>
      </c>
      <c r="D107" s="458" t="s">
        <v>165</v>
      </c>
      <c r="E107" s="458" t="s">
        <v>165</v>
      </c>
      <c r="F107" s="458" t="s">
        <v>165</v>
      </c>
      <c r="G107" s="458"/>
      <c r="H107" s="458"/>
      <c r="I107" s="458" t="s">
        <v>165</v>
      </c>
      <c r="J107" s="458" t="s">
        <v>165</v>
      </c>
      <c r="K107" s="458" t="s">
        <v>165</v>
      </c>
      <c r="L107" s="458" t="s">
        <v>165</v>
      </c>
      <c r="M107" s="458" t="s">
        <v>165</v>
      </c>
      <c r="N107" s="458"/>
      <c r="O107" s="458"/>
      <c r="P107" s="458" t="s">
        <v>165</v>
      </c>
      <c r="Q107" s="458" t="s">
        <v>165</v>
      </c>
      <c r="R107" s="458" t="s">
        <v>165</v>
      </c>
      <c r="S107" s="458" t="s">
        <v>165</v>
      </c>
      <c r="T107" s="458" t="s">
        <v>165</v>
      </c>
      <c r="U107" s="458"/>
      <c r="V107" s="458"/>
      <c r="W107" s="458" t="s">
        <v>165</v>
      </c>
      <c r="X107" s="458" t="s">
        <v>165</v>
      </c>
      <c r="Y107" s="564" t="s">
        <v>165</v>
      </c>
      <c r="Z107" s="564" t="s">
        <v>165</v>
      </c>
      <c r="AA107" s="564" t="s">
        <v>165</v>
      </c>
      <c r="AB107" s="564"/>
      <c r="AC107" s="564"/>
      <c r="AD107" s="564" t="s">
        <v>165</v>
      </c>
      <c r="AE107" s="564" t="s">
        <v>165</v>
      </c>
      <c r="AF107" s="564" t="s">
        <v>376</v>
      </c>
      <c r="AG107" s="464"/>
      <c r="AH107" s="235"/>
      <c r="AI107" s="194"/>
    </row>
    <row r="108" spans="1:38" ht="22.15" customHeight="1" x14ac:dyDescent="0.2">
      <c r="A108" s="243"/>
      <c r="B108" s="242"/>
      <c r="C108" s="229"/>
      <c r="D108" s="229"/>
      <c r="E108" s="229"/>
      <c r="F108" s="229"/>
      <c r="G108" s="229"/>
      <c r="H108" s="229"/>
      <c r="I108" s="229"/>
      <c r="J108" s="229"/>
      <c r="K108" s="229"/>
      <c r="L108" s="229"/>
      <c r="M108" s="229"/>
      <c r="N108" s="229"/>
      <c r="O108" s="229"/>
      <c r="P108" s="229"/>
      <c r="Q108" s="229"/>
      <c r="R108" s="229"/>
      <c r="S108" s="229"/>
      <c r="T108" s="229"/>
      <c r="U108" s="229"/>
      <c r="V108" s="229"/>
      <c r="W108" s="229"/>
      <c r="X108" s="229"/>
      <c r="Y108" s="229"/>
      <c r="Z108" s="229"/>
      <c r="AA108" s="229"/>
      <c r="AB108" s="229"/>
      <c r="AC108" s="229"/>
      <c r="AD108" s="229"/>
      <c r="AE108" s="229"/>
      <c r="AF108" s="229"/>
      <c r="AG108" s="229"/>
      <c r="AH108" s="235"/>
      <c r="AI108" s="194"/>
    </row>
    <row r="109" spans="1:38" ht="22.15" customHeight="1" x14ac:dyDescent="0.2">
      <c r="AH109" s="107"/>
      <c r="AI109" s="107"/>
    </row>
    <row r="110" spans="1:38" ht="22.15" customHeight="1" thickBot="1" x14ac:dyDescent="0.25">
      <c r="A110" s="173" t="s">
        <v>166</v>
      </c>
      <c r="B110" s="174"/>
      <c r="C110" s="174"/>
      <c r="D110" s="175"/>
      <c r="E110" s="175"/>
      <c r="F110" s="175"/>
      <c r="G110" s="10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4"/>
      <c r="AI110" s="174"/>
    </row>
    <row r="111" spans="1:38" ht="22.15" customHeight="1" x14ac:dyDescent="0.2">
      <c r="A111" s="173"/>
      <c r="B111" s="304" t="s">
        <v>167</v>
      </c>
      <c r="C111" s="515"/>
      <c r="D111" s="516" t="s">
        <v>90</v>
      </c>
      <c r="E111" s="517"/>
      <c r="F111" s="518"/>
      <c r="G111" s="515"/>
      <c r="H111" s="516" t="s">
        <v>91</v>
      </c>
      <c r="I111" s="517"/>
      <c r="J111" s="518"/>
      <c r="K111" s="515"/>
      <c r="L111" s="516" t="s">
        <v>92</v>
      </c>
      <c r="M111" s="517"/>
      <c r="N111" s="518"/>
      <c r="O111" s="515"/>
      <c r="P111" s="516" t="s">
        <v>93</v>
      </c>
      <c r="Q111" s="517"/>
      <c r="R111" s="518"/>
      <c r="S111" s="515"/>
      <c r="T111" s="516" t="s">
        <v>94</v>
      </c>
      <c r="U111" s="517"/>
      <c r="V111" s="518"/>
      <c r="W111" s="515"/>
      <c r="X111" s="516" t="s">
        <v>95</v>
      </c>
      <c r="Y111" s="517"/>
      <c r="Z111" s="518"/>
      <c r="AA111" s="515"/>
      <c r="AB111" s="516" t="s">
        <v>96</v>
      </c>
      <c r="AC111" s="517"/>
      <c r="AD111" s="517"/>
      <c r="AE111" s="519" t="s">
        <v>97</v>
      </c>
      <c r="AF111" s="517"/>
      <c r="AG111" s="517"/>
      <c r="AH111" s="517"/>
      <c r="AI111" s="520"/>
    </row>
    <row r="112" spans="1:38" ht="22.15" customHeight="1" x14ac:dyDescent="0.2">
      <c r="A112" s="173"/>
      <c r="B112" s="1390" t="s">
        <v>139</v>
      </c>
      <c r="C112" s="1391">
        <v>69</v>
      </c>
      <c r="D112" s="1392" t="s">
        <v>168</v>
      </c>
      <c r="E112" s="1392"/>
      <c r="F112" s="1393"/>
      <c r="G112" s="1391">
        <v>69</v>
      </c>
      <c r="H112" s="1392" t="s">
        <v>168</v>
      </c>
      <c r="I112" s="1392"/>
      <c r="J112" s="1393"/>
      <c r="K112" s="1391">
        <v>69</v>
      </c>
      <c r="L112" s="1392" t="s">
        <v>168</v>
      </c>
      <c r="M112" s="1392"/>
      <c r="N112" s="1393"/>
      <c r="O112" s="1391">
        <v>69</v>
      </c>
      <c r="P112" s="1392" t="s">
        <v>168</v>
      </c>
      <c r="Q112" s="1392"/>
      <c r="R112" s="1393"/>
      <c r="S112" s="1391">
        <v>69</v>
      </c>
      <c r="T112" s="1392" t="s">
        <v>168</v>
      </c>
      <c r="U112" s="1392"/>
      <c r="V112" s="1393"/>
      <c r="W112" s="1391"/>
      <c r="X112" s="1394"/>
      <c r="Y112" s="1394"/>
      <c r="Z112" s="1395"/>
      <c r="AA112" s="1391"/>
      <c r="AB112" s="1392"/>
      <c r="AC112" s="1392"/>
      <c r="AD112" s="1284"/>
      <c r="AE112" s="1396">
        <v>35</v>
      </c>
      <c r="AF112" s="1392"/>
      <c r="AG112" s="1392"/>
      <c r="AH112" s="1284"/>
      <c r="AI112" s="1397"/>
    </row>
    <row r="113" spans="1:35" ht="22.15" customHeight="1" x14ac:dyDescent="0.2">
      <c r="A113" s="173"/>
      <c r="B113" s="1390" t="s">
        <v>143</v>
      </c>
      <c r="C113" s="1391">
        <v>79</v>
      </c>
      <c r="D113" s="1392" t="s">
        <v>169</v>
      </c>
      <c r="E113" s="1392"/>
      <c r="F113" s="1393"/>
      <c r="G113" s="1391">
        <v>79</v>
      </c>
      <c r="H113" s="1392" t="s">
        <v>169</v>
      </c>
      <c r="I113" s="1392"/>
      <c r="J113" s="1393"/>
      <c r="K113" s="1391">
        <v>79</v>
      </c>
      <c r="L113" s="1392" t="s">
        <v>169</v>
      </c>
      <c r="M113" s="1392"/>
      <c r="N113" s="1393"/>
      <c r="O113" s="1391">
        <v>79</v>
      </c>
      <c r="P113" s="1392" t="s">
        <v>169</v>
      </c>
      <c r="Q113" s="1392"/>
      <c r="R113" s="1393"/>
      <c r="S113" s="1391">
        <v>79</v>
      </c>
      <c r="T113" s="1392" t="s">
        <v>169</v>
      </c>
      <c r="U113" s="1392"/>
      <c r="V113" s="1393"/>
      <c r="W113" s="1391"/>
      <c r="X113" s="1392"/>
      <c r="Y113" s="1392"/>
      <c r="Z113" s="1393"/>
      <c r="AA113" s="1392"/>
      <c r="AB113" s="1392"/>
      <c r="AC113" s="1392"/>
      <c r="AD113" s="1284"/>
      <c r="AE113" s="1396">
        <v>40</v>
      </c>
      <c r="AF113" s="1392"/>
      <c r="AG113" s="1392"/>
      <c r="AH113" s="1284"/>
      <c r="AI113" s="1397"/>
    </row>
    <row r="114" spans="1:35" ht="22.15" customHeight="1" x14ac:dyDescent="0.2">
      <c r="A114" s="173"/>
      <c r="B114" s="1390" t="s">
        <v>153</v>
      </c>
      <c r="C114" s="1391">
        <v>89</v>
      </c>
      <c r="D114" s="1392" t="s">
        <v>170</v>
      </c>
      <c r="E114" s="1392"/>
      <c r="F114" s="1393"/>
      <c r="G114" s="1391">
        <v>89</v>
      </c>
      <c r="H114" s="1392" t="s">
        <v>170</v>
      </c>
      <c r="I114" s="1392"/>
      <c r="J114" s="1393"/>
      <c r="K114" s="1391">
        <v>89</v>
      </c>
      <c r="L114" s="1392" t="s">
        <v>170</v>
      </c>
      <c r="M114" s="1392"/>
      <c r="N114" s="1393"/>
      <c r="O114" s="1391">
        <v>89</v>
      </c>
      <c r="P114" s="1392" t="s">
        <v>170</v>
      </c>
      <c r="Q114" s="1392"/>
      <c r="R114" s="1393"/>
      <c r="S114" s="1391">
        <v>89</v>
      </c>
      <c r="T114" s="1392" t="s">
        <v>171</v>
      </c>
      <c r="U114" s="1392"/>
      <c r="V114" s="1393"/>
      <c r="W114" s="1398"/>
      <c r="X114" s="1399" t="s">
        <v>172</v>
      </c>
      <c r="Y114" s="1399"/>
      <c r="Z114" s="1400"/>
      <c r="AA114" s="1398"/>
      <c r="AB114" s="1399"/>
      <c r="AC114" s="1399"/>
      <c r="AD114" s="1286"/>
      <c r="AE114" s="1396">
        <v>44</v>
      </c>
      <c r="AF114" s="1392"/>
      <c r="AG114" s="1392"/>
      <c r="AH114" s="1284"/>
      <c r="AI114" s="1397"/>
    </row>
    <row r="115" spans="1:35" ht="22.15" customHeight="1" x14ac:dyDescent="0.2">
      <c r="A115" s="173"/>
      <c r="B115" s="38" t="s">
        <v>155</v>
      </c>
      <c r="C115" s="1398">
        <v>99</v>
      </c>
      <c r="D115" s="1399" t="s">
        <v>173</v>
      </c>
      <c r="E115" s="1399"/>
      <c r="F115" s="1400"/>
      <c r="G115" s="1398">
        <v>99</v>
      </c>
      <c r="H115" s="1399" t="s">
        <v>173</v>
      </c>
      <c r="I115" s="1399"/>
      <c r="J115" s="1400"/>
      <c r="K115" s="1398">
        <v>99</v>
      </c>
      <c r="L115" s="1399" t="s">
        <v>173</v>
      </c>
      <c r="M115" s="1399"/>
      <c r="N115" s="1400"/>
      <c r="O115" s="1398">
        <v>99</v>
      </c>
      <c r="P115" s="1399" t="s">
        <v>173</v>
      </c>
      <c r="Q115" s="1399"/>
      <c r="R115" s="1400"/>
      <c r="S115" s="1398">
        <v>99</v>
      </c>
      <c r="T115" s="1399" t="s">
        <v>154</v>
      </c>
      <c r="U115" s="1399"/>
      <c r="V115" s="1286"/>
      <c r="W115" s="1285"/>
      <c r="X115" s="1286"/>
      <c r="Y115" s="1399"/>
      <c r="Z115" s="1400"/>
      <c r="AA115" s="1285"/>
      <c r="AB115" s="1286"/>
      <c r="AC115" s="1399"/>
      <c r="AD115" s="1400"/>
      <c r="AE115" s="1401">
        <v>28</v>
      </c>
      <c r="AF115" s="1399"/>
      <c r="AG115" s="1399"/>
      <c r="AH115" s="1286"/>
      <c r="AI115" s="1402"/>
    </row>
    <row r="116" spans="1:35" ht="22.15" customHeight="1" thickBot="1" x14ac:dyDescent="0.25">
      <c r="A116" s="173"/>
      <c r="B116" s="1989" t="s">
        <v>174</v>
      </c>
      <c r="C116" s="1404" t="s">
        <v>175</v>
      </c>
      <c r="D116" s="1405" t="s">
        <v>176</v>
      </c>
      <c r="E116" s="1406"/>
      <c r="F116" s="1240"/>
      <c r="G116" s="1404" t="s">
        <v>175</v>
      </c>
      <c r="H116" s="1405" t="s">
        <v>176</v>
      </c>
      <c r="I116" s="1238"/>
      <c r="J116" s="1406"/>
      <c r="K116" s="1404" t="s">
        <v>175</v>
      </c>
      <c r="L116" s="1405" t="s">
        <v>176</v>
      </c>
      <c r="M116" s="1406"/>
      <c r="N116" s="1407"/>
      <c r="O116" s="1404" t="s">
        <v>175</v>
      </c>
      <c r="P116" s="1405" t="s">
        <v>176</v>
      </c>
      <c r="Q116" s="1406"/>
      <c r="R116" s="1405"/>
      <c r="S116" s="1404" t="s">
        <v>175</v>
      </c>
      <c r="T116" s="1242" t="s">
        <v>177</v>
      </c>
      <c r="U116" s="1405"/>
      <c r="V116" s="1407"/>
      <c r="W116" s="1406"/>
      <c r="X116" s="1405"/>
      <c r="Y116" s="1405"/>
      <c r="Z116" s="1405"/>
      <c r="AA116" s="1408"/>
      <c r="AB116" s="1409"/>
      <c r="AC116" s="1405"/>
      <c r="AD116" s="1410"/>
      <c r="AE116" s="1405"/>
      <c r="AF116" s="1405"/>
      <c r="AG116" s="1405"/>
      <c r="AH116" s="1411"/>
      <c r="AI116" s="1412"/>
    </row>
    <row r="117" spans="1:35" ht="22.15" customHeight="1" x14ac:dyDescent="0.2">
      <c r="A117" s="108"/>
      <c r="B117" s="173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4"/>
      <c r="AI117" s="174"/>
    </row>
    <row r="118" spans="1:35" ht="22.15" customHeight="1" thickBot="1" x14ac:dyDescent="0.25">
      <c r="A118" s="1343"/>
      <c r="B118" s="1247" t="s">
        <v>29</v>
      </c>
      <c r="C118" s="1186">
        <v>1</v>
      </c>
      <c r="D118" s="1186">
        <v>2</v>
      </c>
      <c r="E118" s="1186">
        <v>3</v>
      </c>
      <c r="F118" s="1186">
        <v>4</v>
      </c>
      <c r="G118" s="1185">
        <v>5</v>
      </c>
      <c r="H118" s="1185">
        <v>6</v>
      </c>
      <c r="I118" s="1186">
        <v>7</v>
      </c>
      <c r="J118" s="1186">
        <v>8</v>
      </c>
      <c r="K118" s="1186">
        <v>9</v>
      </c>
      <c r="L118" s="1186">
        <v>10</v>
      </c>
      <c r="M118" s="1186">
        <v>11</v>
      </c>
      <c r="N118" s="1185">
        <v>12</v>
      </c>
      <c r="O118" s="1185">
        <v>13</v>
      </c>
      <c r="P118" s="1186">
        <v>14</v>
      </c>
      <c r="Q118" s="1186">
        <v>15</v>
      </c>
      <c r="R118" s="1186">
        <v>16</v>
      </c>
      <c r="S118" s="1186">
        <v>17</v>
      </c>
      <c r="T118" s="1186">
        <v>18</v>
      </c>
      <c r="U118" s="1185">
        <v>19</v>
      </c>
      <c r="V118" s="1185">
        <v>20</v>
      </c>
      <c r="W118" s="1186">
        <v>21</v>
      </c>
      <c r="X118" s="1186">
        <v>22</v>
      </c>
      <c r="Y118" s="1186">
        <v>23</v>
      </c>
      <c r="Z118" s="1186">
        <v>24</v>
      </c>
      <c r="AA118" s="1186">
        <v>25</v>
      </c>
      <c r="AB118" s="1185">
        <v>26</v>
      </c>
      <c r="AC118" s="1185">
        <v>27</v>
      </c>
      <c r="AD118" s="1186">
        <v>28</v>
      </c>
      <c r="AE118" s="1186">
        <v>29</v>
      </c>
      <c r="AF118" s="1186">
        <v>30</v>
      </c>
      <c r="AG118" s="1945"/>
      <c r="AH118" s="184"/>
      <c r="AI118" s="185"/>
    </row>
    <row r="119" spans="1:35" ht="22.15" customHeight="1" x14ac:dyDescent="0.2">
      <c r="A119" s="521">
        <v>1</v>
      </c>
      <c r="B119" s="522" t="s">
        <v>178</v>
      </c>
      <c r="C119" s="477">
        <v>89</v>
      </c>
      <c r="D119" s="477">
        <v>89</v>
      </c>
      <c r="E119" s="458">
        <v>89</v>
      </c>
      <c r="F119" s="458">
        <v>89</v>
      </c>
      <c r="G119" s="459">
        <v>89</v>
      </c>
      <c r="H119" s="477"/>
      <c r="I119" s="459">
        <v>99</v>
      </c>
      <c r="J119" s="459">
        <v>99</v>
      </c>
      <c r="K119" s="477">
        <v>99</v>
      </c>
      <c r="L119" s="459">
        <v>99</v>
      </c>
      <c r="M119" s="458" t="s">
        <v>35</v>
      </c>
      <c r="N119" s="477"/>
      <c r="O119" s="477"/>
      <c r="P119" s="477" t="s">
        <v>175</v>
      </c>
      <c r="Q119" s="477" t="s">
        <v>175</v>
      </c>
      <c r="R119" s="477" t="s">
        <v>175</v>
      </c>
      <c r="S119" s="477" t="s">
        <v>175</v>
      </c>
      <c r="T119" s="477" t="s">
        <v>175</v>
      </c>
      <c r="U119" s="477"/>
      <c r="V119" s="477"/>
      <c r="W119" s="1259">
        <v>69</v>
      </c>
      <c r="X119" s="1259">
        <v>69</v>
      </c>
      <c r="Y119" s="1259">
        <v>69</v>
      </c>
      <c r="Z119" s="1259">
        <v>69</v>
      </c>
      <c r="AA119" s="1259">
        <v>69</v>
      </c>
      <c r="AB119" s="477"/>
      <c r="AC119" s="477"/>
      <c r="AD119" s="1259">
        <v>79</v>
      </c>
      <c r="AE119" s="1259">
        <v>79</v>
      </c>
      <c r="AF119" s="1259">
        <v>79</v>
      </c>
      <c r="AG119" s="478"/>
      <c r="AH119" s="215"/>
      <c r="AI119" s="107"/>
    </row>
    <row r="120" spans="1:35" ht="22.15" customHeight="1" x14ac:dyDescent="0.2">
      <c r="A120" s="1415">
        <v>2</v>
      </c>
      <c r="B120" s="1330" t="s">
        <v>179</v>
      </c>
      <c r="C120" s="1199">
        <v>99</v>
      </c>
      <c r="D120" s="1259">
        <v>99</v>
      </c>
      <c r="E120" s="1258">
        <v>99</v>
      </c>
      <c r="F120" s="1258" t="s">
        <v>35</v>
      </c>
      <c r="G120" s="1259"/>
      <c r="H120" s="1259"/>
      <c r="I120" s="1259" t="s">
        <v>175</v>
      </c>
      <c r="J120" s="1259" t="s">
        <v>175</v>
      </c>
      <c r="K120" s="1259" t="s">
        <v>175</v>
      </c>
      <c r="L120" s="1258" t="s">
        <v>175</v>
      </c>
      <c r="M120" s="1258" t="s">
        <v>175</v>
      </c>
      <c r="N120" s="1259"/>
      <c r="O120" s="1259"/>
      <c r="P120" s="1259">
        <v>69</v>
      </c>
      <c r="Q120" s="1259">
        <v>69</v>
      </c>
      <c r="R120" s="1259">
        <v>69</v>
      </c>
      <c r="S120" s="1259">
        <v>69</v>
      </c>
      <c r="T120" s="1259">
        <v>69</v>
      </c>
      <c r="U120" s="1259"/>
      <c r="V120" s="1259"/>
      <c r="W120" s="1259">
        <v>79</v>
      </c>
      <c r="X120" s="1259">
        <v>79</v>
      </c>
      <c r="Y120" s="1259">
        <v>79</v>
      </c>
      <c r="Z120" s="1259">
        <v>79</v>
      </c>
      <c r="AA120" s="1259">
        <v>79</v>
      </c>
      <c r="AB120" s="1199"/>
      <c r="AC120" s="1259"/>
      <c r="AD120" s="1259">
        <v>69</v>
      </c>
      <c r="AE120" s="1259">
        <v>69</v>
      </c>
      <c r="AF120" s="1259">
        <v>69</v>
      </c>
      <c r="AG120" s="1416"/>
      <c r="AH120" s="216"/>
      <c r="AI120" s="172"/>
    </row>
    <row r="121" spans="1:35" ht="22.15" customHeight="1" x14ac:dyDescent="0.2">
      <c r="A121" s="1415">
        <v>3</v>
      </c>
      <c r="B121" s="1330" t="s">
        <v>180</v>
      </c>
      <c r="C121" s="1376" t="s">
        <v>175</v>
      </c>
      <c r="D121" s="1376" t="s">
        <v>175</v>
      </c>
      <c r="E121" s="1376" t="s">
        <v>175</v>
      </c>
      <c r="F121" s="1376" t="s">
        <v>175</v>
      </c>
      <c r="G121" s="1413"/>
      <c r="H121" s="1413"/>
      <c r="I121" s="1413">
        <v>69</v>
      </c>
      <c r="J121" s="1413">
        <v>4</v>
      </c>
      <c r="K121" s="2052">
        <v>4</v>
      </c>
      <c r="L121" s="1413">
        <v>1</v>
      </c>
      <c r="M121" s="1413">
        <v>1</v>
      </c>
      <c r="N121" s="1413"/>
      <c r="O121" s="1413"/>
      <c r="P121" s="1413" t="s">
        <v>385</v>
      </c>
      <c r="Q121" s="1413" t="s">
        <v>385</v>
      </c>
      <c r="R121" s="1413" t="s">
        <v>385</v>
      </c>
      <c r="S121" s="1413">
        <v>79</v>
      </c>
      <c r="T121" s="1413" t="s">
        <v>385</v>
      </c>
      <c r="U121" s="1413"/>
      <c r="V121" s="1413"/>
      <c r="W121" s="1413">
        <v>89</v>
      </c>
      <c r="X121" s="1413">
        <v>89</v>
      </c>
      <c r="Y121" s="2053">
        <v>89</v>
      </c>
      <c r="Z121" s="1413" t="s">
        <v>236</v>
      </c>
      <c r="AA121" s="1376">
        <v>69</v>
      </c>
      <c r="AB121" s="1413">
        <v>89</v>
      </c>
      <c r="AC121" s="1413"/>
      <c r="AD121" s="1413">
        <v>99</v>
      </c>
      <c r="AE121" s="1413">
        <v>99</v>
      </c>
      <c r="AF121" s="1413">
        <v>2</v>
      </c>
      <c r="AG121" s="1417"/>
      <c r="AH121" s="215"/>
      <c r="AI121" s="107"/>
    </row>
    <row r="122" spans="1:35" ht="22.15" customHeight="1" thickBot="1" x14ac:dyDescent="0.25">
      <c r="A122" s="1415">
        <v>4</v>
      </c>
      <c r="B122" s="1330"/>
      <c r="C122" s="1344">
        <v>69</v>
      </c>
      <c r="D122" s="1344">
        <v>69</v>
      </c>
      <c r="E122" s="1344">
        <v>69</v>
      </c>
      <c r="F122" s="1258">
        <v>69</v>
      </c>
      <c r="G122" s="1258"/>
      <c r="H122" s="1258"/>
      <c r="I122" s="1275">
        <v>79</v>
      </c>
      <c r="J122" s="1275">
        <v>79</v>
      </c>
      <c r="K122" s="1275">
        <v>79</v>
      </c>
      <c r="L122" s="1275">
        <v>79</v>
      </c>
      <c r="M122" s="1275">
        <v>79</v>
      </c>
      <c r="N122" s="1275"/>
      <c r="O122" s="1275"/>
      <c r="P122" s="1275">
        <v>89</v>
      </c>
      <c r="Q122" s="1275">
        <v>89</v>
      </c>
      <c r="R122" s="1275">
        <v>89</v>
      </c>
      <c r="S122" s="1275">
        <v>89</v>
      </c>
      <c r="T122" s="1275">
        <v>89</v>
      </c>
      <c r="U122" s="1275">
        <v>89</v>
      </c>
      <c r="V122" s="1275"/>
      <c r="W122" s="1275">
        <v>99</v>
      </c>
      <c r="X122" s="1275">
        <v>99</v>
      </c>
      <c r="Y122" s="1275">
        <v>99</v>
      </c>
      <c r="Z122" s="1275">
        <v>99</v>
      </c>
      <c r="AA122" s="1275" t="s">
        <v>35</v>
      </c>
      <c r="AB122" s="1275"/>
      <c r="AC122" s="1275"/>
      <c r="AD122" s="1258" t="s">
        <v>175</v>
      </c>
      <c r="AE122" s="1258" t="s">
        <v>175</v>
      </c>
      <c r="AF122" s="1344" t="s">
        <v>175</v>
      </c>
      <c r="AG122" s="1418"/>
      <c r="AH122" s="215"/>
      <c r="AI122" s="107"/>
    </row>
    <row r="123" spans="1:35" ht="22.15" customHeight="1" thickBot="1" x14ac:dyDescent="0.25">
      <c r="A123" s="1419">
        <v>5</v>
      </c>
      <c r="B123" s="1420" t="s">
        <v>182</v>
      </c>
      <c r="C123" s="1421">
        <v>79</v>
      </c>
      <c r="D123" s="1421">
        <v>79</v>
      </c>
      <c r="E123" s="1421">
        <v>79</v>
      </c>
      <c r="F123" s="1254">
        <v>79</v>
      </c>
      <c r="G123" s="1255"/>
      <c r="H123" s="1255"/>
      <c r="I123" s="1255">
        <v>89</v>
      </c>
      <c r="J123" s="1255">
        <v>89</v>
      </c>
      <c r="K123" s="1255">
        <v>89</v>
      </c>
      <c r="L123" s="1254">
        <v>89</v>
      </c>
      <c r="M123" s="1254">
        <v>89</v>
      </c>
      <c r="N123" s="1421">
        <v>89</v>
      </c>
      <c r="O123" s="1421"/>
      <c r="P123" s="1421">
        <v>99</v>
      </c>
      <c r="Q123" s="1421">
        <v>99</v>
      </c>
      <c r="R123" s="1421">
        <v>99</v>
      </c>
      <c r="S123" s="1265">
        <v>99</v>
      </c>
      <c r="T123" s="1997" t="s">
        <v>35</v>
      </c>
      <c r="U123" s="1421"/>
      <c r="V123" s="1421"/>
      <c r="W123" s="477" t="s">
        <v>175</v>
      </c>
      <c r="X123" s="477" t="s">
        <v>175</v>
      </c>
      <c r="Y123" s="477" t="s">
        <v>175</v>
      </c>
      <c r="Z123" s="477" t="s">
        <v>175</v>
      </c>
      <c r="AA123" s="477" t="s">
        <v>175</v>
      </c>
      <c r="AB123" s="1421"/>
      <c r="AC123" s="1421"/>
      <c r="AD123" s="1259">
        <v>69</v>
      </c>
      <c r="AE123" s="1259">
        <v>69</v>
      </c>
      <c r="AF123" s="1259">
        <v>69</v>
      </c>
      <c r="AG123" s="1999"/>
      <c r="AH123" s="215"/>
      <c r="AI123" s="107"/>
    </row>
    <row r="124" spans="1:35" ht="22.15" customHeight="1" x14ac:dyDescent="0.2">
      <c r="A124" s="256"/>
      <c r="B124" s="257"/>
      <c r="C124" s="258"/>
      <c r="D124" s="258"/>
      <c r="E124" s="258"/>
      <c r="F124" s="229"/>
      <c r="G124" s="255"/>
      <c r="H124" s="255"/>
      <c r="I124" s="255"/>
      <c r="J124" s="255"/>
      <c r="K124" s="255"/>
      <c r="L124" s="229"/>
      <c r="M124" s="229"/>
      <c r="N124" s="258"/>
      <c r="O124" s="258"/>
      <c r="P124" s="258"/>
      <c r="Q124" s="258"/>
      <c r="R124" s="258"/>
      <c r="S124" s="229"/>
      <c r="T124" s="259"/>
      <c r="U124" s="258"/>
      <c r="V124" s="258"/>
      <c r="W124" s="258"/>
      <c r="X124" s="258"/>
      <c r="Y124" s="258"/>
      <c r="Z124" s="260"/>
      <c r="AA124" s="260"/>
      <c r="AB124" s="258"/>
      <c r="AC124" s="258"/>
      <c r="AD124" s="258"/>
      <c r="AE124" s="258"/>
      <c r="AF124" s="258"/>
      <c r="AG124" s="260"/>
      <c r="AH124" s="215"/>
      <c r="AI124" s="107"/>
    </row>
    <row r="125" spans="1:35" ht="22.15" customHeight="1" x14ac:dyDescent="0.2">
      <c r="A125" s="109"/>
      <c r="B125" s="110"/>
      <c r="C125" s="106"/>
      <c r="D125" s="106"/>
      <c r="E125" s="106"/>
      <c r="F125" s="106"/>
      <c r="G125" s="106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6"/>
      <c r="T125" s="106"/>
      <c r="U125" s="106"/>
      <c r="V125" s="106"/>
      <c r="W125" s="106"/>
      <c r="X125" s="106"/>
      <c r="Y125" s="106"/>
      <c r="Z125" s="106"/>
      <c r="AA125" s="106"/>
      <c r="AB125" s="106"/>
      <c r="AC125" s="106"/>
      <c r="AD125" s="106"/>
      <c r="AE125" s="106"/>
      <c r="AF125" s="106"/>
      <c r="AG125" s="106"/>
      <c r="AH125" s="107"/>
      <c r="AI125" s="107"/>
    </row>
    <row r="126" spans="1:35" ht="22.15" customHeight="1" thickBot="1" x14ac:dyDescent="0.25">
      <c r="A126" s="173" t="s">
        <v>183</v>
      </c>
      <c r="B126" s="174"/>
      <c r="C126" s="174"/>
      <c r="D126" s="175"/>
      <c r="E126" s="175"/>
      <c r="F126" s="175"/>
      <c r="G126" s="10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4"/>
      <c r="AI126" s="174"/>
    </row>
    <row r="127" spans="1:35" ht="22.15" customHeight="1" x14ac:dyDescent="0.2">
      <c r="A127" s="173"/>
      <c r="B127" s="304" t="s">
        <v>167</v>
      </c>
      <c r="C127" s="515"/>
      <c r="D127" s="516" t="s">
        <v>90</v>
      </c>
      <c r="E127" s="517"/>
      <c r="F127" s="518"/>
      <c r="G127" s="515"/>
      <c r="H127" s="516" t="s">
        <v>91</v>
      </c>
      <c r="I127" s="517"/>
      <c r="J127" s="518"/>
      <c r="K127" s="515"/>
      <c r="L127" s="516" t="s">
        <v>92</v>
      </c>
      <c r="M127" s="517"/>
      <c r="N127" s="518"/>
      <c r="O127" s="515"/>
      <c r="P127" s="516" t="s">
        <v>93</v>
      </c>
      <c r="Q127" s="517"/>
      <c r="R127" s="518"/>
      <c r="S127" s="515"/>
      <c r="T127" s="516" t="s">
        <v>94</v>
      </c>
      <c r="U127" s="517"/>
      <c r="V127" s="518"/>
      <c r="W127" s="515"/>
      <c r="X127" s="516" t="s">
        <v>95</v>
      </c>
      <c r="Y127" s="517"/>
      <c r="Z127" s="518"/>
      <c r="AA127" s="515"/>
      <c r="AB127" s="516" t="s">
        <v>96</v>
      </c>
      <c r="AC127" s="517"/>
      <c r="AD127" s="517"/>
      <c r="AE127" s="519" t="s">
        <v>97</v>
      </c>
      <c r="AF127" s="517"/>
      <c r="AG127" s="517"/>
      <c r="AH127" s="517"/>
      <c r="AI127" s="520"/>
    </row>
    <row r="128" spans="1:35" ht="22.15" customHeight="1" x14ac:dyDescent="0.2">
      <c r="A128" s="173"/>
      <c r="B128" s="1390" t="s">
        <v>184</v>
      </c>
      <c r="C128" s="1283" t="s">
        <v>185</v>
      </c>
      <c r="D128" s="1392"/>
      <c r="E128" s="1392"/>
      <c r="F128" s="1393"/>
      <c r="G128" s="1283" t="s">
        <v>185</v>
      </c>
      <c r="H128" s="1392"/>
      <c r="I128" s="1392"/>
      <c r="J128" s="1393"/>
      <c r="K128" s="1283" t="s">
        <v>185</v>
      </c>
      <c r="L128" s="1392"/>
      <c r="M128" s="1392"/>
      <c r="N128" s="1393"/>
      <c r="O128" s="1283" t="s">
        <v>185</v>
      </c>
      <c r="P128" s="1392"/>
      <c r="Q128" s="1392"/>
      <c r="R128" s="1393"/>
      <c r="S128" s="1283" t="s">
        <v>185</v>
      </c>
      <c r="T128" s="1392"/>
      <c r="U128" s="1392"/>
      <c r="V128" s="1393"/>
      <c r="W128" s="1283" t="s">
        <v>186</v>
      </c>
      <c r="X128" s="1394"/>
      <c r="Y128" s="1394"/>
      <c r="Z128" s="1395"/>
      <c r="AA128" s="1283" t="s">
        <v>186</v>
      </c>
      <c r="AB128" s="1392"/>
      <c r="AC128" s="1392"/>
      <c r="AD128" s="1284"/>
      <c r="AE128" s="1396">
        <v>68</v>
      </c>
      <c r="AF128" s="208"/>
      <c r="AG128" s="208"/>
      <c r="AH128" s="208"/>
      <c r="AI128" s="209"/>
    </row>
    <row r="129" spans="1:35" ht="22.15" customHeight="1" x14ac:dyDescent="0.2">
      <c r="A129" s="173"/>
      <c r="B129" s="1390" t="s">
        <v>143</v>
      </c>
      <c r="C129" s="1283" t="s">
        <v>154</v>
      </c>
      <c r="D129" s="1392"/>
      <c r="E129" s="1392"/>
      <c r="F129" s="1393"/>
      <c r="G129" s="1283" t="s">
        <v>154</v>
      </c>
      <c r="H129" s="1392"/>
      <c r="I129" s="1392"/>
      <c r="J129" s="1393"/>
      <c r="K129" s="1283" t="s">
        <v>154</v>
      </c>
      <c r="L129" s="1392"/>
      <c r="M129" s="1392"/>
      <c r="N129" s="1393"/>
      <c r="O129" s="1283" t="s">
        <v>154</v>
      </c>
      <c r="P129" s="1392"/>
      <c r="Q129" s="1392"/>
      <c r="R129" s="1393"/>
      <c r="S129" s="1283" t="s">
        <v>154</v>
      </c>
      <c r="T129" s="1392"/>
      <c r="U129" s="1392"/>
      <c r="V129" s="1393"/>
      <c r="W129" s="1283" t="s">
        <v>154</v>
      </c>
      <c r="X129" s="1392"/>
      <c r="Y129" s="1392"/>
      <c r="Z129" s="1393"/>
      <c r="AA129" s="1392" t="s">
        <v>154</v>
      </c>
      <c r="AB129" s="1392"/>
      <c r="AC129" s="1392"/>
      <c r="AD129" s="1284"/>
      <c r="AE129" s="1396">
        <v>0</v>
      </c>
      <c r="AF129" s="208"/>
      <c r="AG129" s="208"/>
      <c r="AH129" s="208"/>
      <c r="AI129" s="209"/>
    </row>
    <row r="130" spans="1:35" ht="22.15" customHeight="1" x14ac:dyDescent="0.2">
      <c r="A130" s="173"/>
      <c r="B130" s="1390" t="s">
        <v>187</v>
      </c>
      <c r="C130" s="1283" t="s">
        <v>185</v>
      </c>
      <c r="D130" s="1392"/>
      <c r="E130" s="1392"/>
      <c r="F130" s="1393"/>
      <c r="G130" s="1283" t="s">
        <v>185</v>
      </c>
      <c r="H130" s="1392"/>
      <c r="I130" s="1392"/>
      <c r="J130" s="1393"/>
      <c r="K130" s="1283" t="s">
        <v>185</v>
      </c>
      <c r="L130" s="1392"/>
      <c r="M130" s="1392"/>
      <c r="N130" s="1393"/>
      <c r="O130" s="1283" t="s">
        <v>185</v>
      </c>
      <c r="P130" s="1392"/>
      <c r="Q130" s="1392"/>
      <c r="R130" s="1393"/>
      <c r="S130" s="1283" t="s">
        <v>185</v>
      </c>
      <c r="T130" s="1392"/>
      <c r="U130" s="1392"/>
      <c r="V130" s="1393"/>
      <c r="W130" s="1283" t="s">
        <v>186</v>
      </c>
      <c r="X130" s="1394"/>
      <c r="Y130" s="1394"/>
      <c r="Z130" s="1395"/>
      <c r="AA130" s="1283" t="s">
        <v>186</v>
      </c>
      <c r="AB130" s="1392"/>
      <c r="AC130" s="1392"/>
      <c r="AD130" s="1284"/>
      <c r="AE130" s="1396">
        <v>68</v>
      </c>
      <c r="AF130" s="1392"/>
      <c r="AG130" s="1392" t="s">
        <v>0</v>
      </c>
      <c r="AH130" s="1284"/>
      <c r="AI130" s="1397"/>
    </row>
    <row r="131" spans="1:35" ht="22.15" customHeight="1" x14ac:dyDescent="0.2">
      <c r="A131" s="173"/>
      <c r="B131" s="1390" t="s">
        <v>155</v>
      </c>
      <c r="C131" s="1283" t="s">
        <v>154</v>
      </c>
      <c r="D131" s="1392"/>
      <c r="E131" s="1392"/>
      <c r="F131" s="1393"/>
      <c r="G131" s="1283" t="s">
        <v>154</v>
      </c>
      <c r="H131" s="1392"/>
      <c r="I131" s="1392"/>
      <c r="J131" s="1393"/>
      <c r="K131" s="1283" t="s">
        <v>154</v>
      </c>
      <c r="L131" s="1392"/>
      <c r="M131" s="1392"/>
      <c r="N131" s="1393"/>
      <c r="O131" s="1283" t="s">
        <v>154</v>
      </c>
      <c r="P131" s="1392"/>
      <c r="Q131" s="1392"/>
      <c r="R131" s="1393"/>
      <c r="S131" s="1283" t="s">
        <v>154</v>
      </c>
      <c r="T131" s="1392"/>
      <c r="U131" s="1392"/>
      <c r="V131" s="1393"/>
      <c r="W131" s="1283" t="s">
        <v>154</v>
      </c>
      <c r="X131" s="1392"/>
      <c r="Y131" s="1392"/>
      <c r="Z131" s="1393"/>
      <c r="AA131" s="1392" t="s">
        <v>154</v>
      </c>
      <c r="AB131" s="1392"/>
      <c r="AC131" s="1392"/>
      <c r="AD131" s="1284"/>
      <c r="AE131" s="1396">
        <v>0</v>
      </c>
      <c r="AF131" s="1392"/>
      <c r="AG131" s="1392"/>
      <c r="AH131" s="1284"/>
      <c r="AI131" s="1397"/>
    </row>
    <row r="132" spans="1:35" ht="22.15" customHeight="1" x14ac:dyDescent="0.2">
      <c r="A132" s="173"/>
      <c r="B132" s="1390" t="s">
        <v>188</v>
      </c>
      <c r="C132" s="1283" t="s">
        <v>185</v>
      </c>
      <c r="D132" s="1392"/>
      <c r="E132" s="1392"/>
      <c r="F132" s="1393"/>
      <c r="G132" s="1283" t="s">
        <v>185</v>
      </c>
      <c r="H132" s="1392"/>
      <c r="I132" s="1392"/>
      <c r="J132" s="1393"/>
      <c r="K132" s="1283" t="s">
        <v>185</v>
      </c>
      <c r="L132" s="1392"/>
      <c r="M132" s="1392"/>
      <c r="N132" s="1393"/>
      <c r="O132" s="1283" t="s">
        <v>185</v>
      </c>
      <c r="P132" s="1392"/>
      <c r="Q132" s="1392"/>
      <c r="R132" s="1393"/>
      <c r="S132" s="1283" t="s">
        <v>185</v>
      </c>
      <c r="T132" s="1392"/>
      <c r="U132" s="1392"/>
      <c r="V132" s="1393"/>
      <c r="W132" s="1283" t="s">
        <v>189</v>
      </c>
      <c r="X132" s="1399"/>
      <c r="Y132" s="1399"/>
      <c r="Z132" s="1400"/>
      <c r="AA132" s="1283" t="s">
        <v>189</v>
      </c>
      <c r="AB132" s="1399"/>
      <c r="AC132" s="1399"/>
      <c r="AD132" s="1286"/>
      <c r="AE132" s="1396">
        <v>66</v>
      </c>
      <c r="AF132" s="1392"/>
      <c r="AG132" s="1392"/>
      <c r="AH132" s="1284"/>
      <c r="AI132" s="1397"/>
    </row>
    <row r="133" spans="1:35" ht="22.15" customHeight="1" thickBot="1" x14ac:dyDescent="0.25">
      <c r="A133" s="173"/>
      <c r="B133" s="1390" t="s">
        <v>190</v>
      </c>
      <c r="C133" s="1423" t="s">
        <v>154</v>
      </c>
      <c r="D133" s="1424"/>
      <c r="E133" s="1424"/>
      <c r="F133" s="1425"/>
      <c r="G133" s="1423" t="s">
        <v>154</v>
      </c>
      <c r="H133" s="1424"/>
      <c r="I133" s="1424"/>
      <c r="J133" s="1425"/>
      <c r="K133" s="1423" t="s">
        <v>154</v>
      </c>
      <c r="L133" s="1424"/>
      <c r="M133" s="1424"/>
      <c r="N133" s="1425"/>
      <c r="O133" s="1423" t="s">
        <v>154</v>
      </c>
      <c r="P133" s="1424"/>
      <c r="Q133" s="1424"/>
      <c r="R133" s="1425"/>
      <c r="S133" s="1423" t="s">
        <v>154</v>
      </c>
      <c r="T133" s="1424"/>
      <c r="U133" s="1424"/>
      <c r="V133" s="1411"/>
      <c r="W133" s="1423" t="s">
        <v>154</v>
      </c>
      <c r="X133" s="1411"/>
      <c r="Y133" s="1424"/>
      <c r="Z133" s="1425"/>
      <c r="AA133" s="1423" t="s">
        <v>154</v>
      </c>
      <c r="AB133" s="1411"/>
      <c r="AC133" s="1424"/>
      <c r="AD133" s="1425"/>
      <c r="AE133" s="1426" t="s">
        <v>191</v>
      </c>
      <c r="AF133" s="1424"/>
      <c r="AG133" s="1424"/>
      <c r="AH133" s="1411"/>
      <c r="AI133" s="1412"/>
    </row>
    <row r="134" spans="1:35" ht="22.15" customHeight="1" x14ac:dyDescent="0.2">
      <c r="A134" s="108"/>
      <c r="B134" s="173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4"/>
      <c r="AI134" s="174"/>
    </row>
    <row r="135" spans="1:35" ht="22.15" customHeight="1" thickBot="1" x14ac:dyDescent="0.25">
      <c r="A135" s="1343"/>
      <c r="B135" s="1184" t="s">
        <v>29</v>
      </c>
      <c r="C135" s="1186">
        <v>1</v>
      </c>
      <c r="D135" s="1186">
        <v>2</v>
      </c>
      <c r="E135" s="1186">
        <v>3</v>
      </c>
      <c r="F135" s="1186">
        <v>4</v>
      </c>
      <c r="G135" s="1185">
        <v>5</v>
      </c>
      <c r="H135" s="1185">
        <v>6</v>
      </c>
      <c r="I135" s="1186">
        <v>7</v>
      </c>
      <c r="J135" s="1186">
        <v>8</v>
      </c>
      <c r="K135" s="1186">
        <v>9</v>
      </c>
      <c r="L135" s="1186">
        <v>10</v>
      </c>
      <c r="M135" s="1186">
        <v>11</v>
      </c>
      <c r="N135" s="1185">
        <v>12</v>
      </c>
      <c r="O135" s="1185">
        <v>13</v>
      </c>
      <c r="P135" s="1186">
        <v>14</v>
      </c>
      <c r="Q135" s="1186">
        <v>15</v>
      </c>
      <c r="R135" s="1186">
        <v>16</v>
      </c>
      <c r="S135" s="1186">
        <v>17</v>
      </c>
      <c r="T135" s="1186">
        <v>18</v>
      </c>
      <c r="U135" s="1185">
        <v>19</v>
      </c>
      <c r="V135" s="1185">
        <v>20</v>
      </c>
      <c r="W135" s="1186">
        <v>21</v>
      </c>
      <c r="X135" s="1186">
        <v>22</v>
      </c>
      <c r="Y135" s="1186">
        <v>23</v>
      </c>
      <c r="Z135" s="1186">
        <v>24</v>
      </c>
      <c r="AA135" s="1186">
        <v>25</v>
      </c>
      <c r="AB135" s="1185">
        <v>26</v>
      </c>
      <c r="AC135" s="1185">
        <v>27</v>
      </c>
      <c r="AD135" s="1186">
        <v>28</v>
      </c>
      <c r="AE135" s="1186">
        <v>29</v>
      </c>
      <c r="AF135" s="1186">
        <v>30</v>
      </c>
      <c r="AG135" s="1945"/>
      <c r="AH135" s="184"/>
      <c r="AI135" s="185"/>
    </row>
    <row r="136" spans="1:35" ht="22.15" customHeight="1" x14ac:dyDescent="0.2">
      <c r="A136" s="408">
        <v>1</v>
      </c>
      <c r="B136" s="252" t="s">
        <v>192</v>
      </c>
      <c r="C136" s="380">
        <v>21</v>
      </c>
      <c r="D136" s="380">
        <v>21</v>
      </c>
      <c r="E136" s="380">
        <v>21</v>
      </c>
      <c r="F136" s="380">
        <v>21</v>
      </c>
      <c r="G136" s="390">
        <v>21</v>
      </c>
      <c r="H136" s="380">
        <v>21</v>
      </c>
      <c r="I136" s="385" t="s">
        <v>35</v>
      </c>
      <c r="J136" s="390" t="s">
        <v>35</v>
      </c>
      <c r="K136" s="380" t="s">
        <v>35</v>
      </c>
      <c r="L136" s="385" t="s">
        <v>35</v>
      </c>
      <c r="M136" s="622" t="s">
        <v>35</v>
      </c>
      <c r="N136" s="622"/>
      <c r="O136" s="392"/>
      <c r="P136" s="380">
        <v>22</v>
      </c>
      <c r="Q136" s="380">
        <v>22</v>
      </c>
      <c r="R136" s="380">
        <v>22</v>
      </c>
      <c r="S136" s="380">
        <v>22</v>
      </c>
      <c r="T136" s="380">
        <v>22</v>
      </c>
      <c r="U136" s="380">
        <v>22</v>
      </c>
      <c r="V136" s="380">
        <v>22</v>
      </c>
      <c r="W136" s="385" t="s">
        <v>35</v>
      </c>
      <c r="X136" s="380" t="s">
        <v>35</v>
      </c>
      <c r="Y136" s="380" t="s">
        <v>35</v>
      </c>
      <c r="Z136" s="385" t="s">
        <v>35</v>
      </c>
      <c r="AA136" s="380" t="s">
        <v>35</v>
      </c>
      <c r="AB136" s="380"/>
      <c r="AC136" s="380"/>
      <c r="AD136" s="392">
        <v>23</v>
      </c>
      <c r="AE136" s="380">
        <v>23</v>
      </c>
      <c r="AF136" s="380">
        <v>23</v>
      </c>
      <c r="AG136" s="387"/>
      <c r="AH136" s="107"/>
      <c r="AI136" s="107"/>
    </row>
    <row r="137" spans="1:35" ht="22.15" customHeight="1" x14ac:dyDescent="0.2">
      <c r="A137" s="1427">
        <v>2</v>
      </c>
      <c r="B137" s="1301" t="s">
        <v>193</v>
      </c>
      <c r="C137" s="1629">
        <v>22</v>
      </c>
      <c r="D137" s="1629">
        <v>22</v>
      </c>
      <c r="E137" s="1629">
        <v>22</v>
      </c>
      <c r="F137" s="1629">
        <v>22</v>
      </c>
      <c r="G137" s="1629">
        <v>22</v>
      </c>
      <c r="H137" s="1629">
        <v>22</v>
      </c>
      <c r="I137" s="1306" t="s">
        <v>35</v>
      </c>
      <c r="J137" s="1629" t="s">
        <v>35</v>
      </c>
      <c r="K137" s="1629" t="s">
        <v>35</v>
      </c>
      <c r="L137" s="1306" t="s">
        <v>35</v>
      </c>
      <c r="M137" s="1628" t="s">
        <v>35</v>
      </c>
      <c r="N137" s="1628"/>
      <c r="O137" s="1628"/>
      <c r="P137" s="1628">
        <v>23</v>
      </c>
      <c r="Q137" s="1628">
        <v>23</v>
      </c>
      <c r="R137" s="1628">
        <v>23</v>
      </c>
      <c r="S137" s="1628">
        <v>23</v>
      </c>
      <c r="T137" s="1628">
        <v>23</v>
      </c>
      <c r="U137" s="1628">
        <v>23</v>
      </c>
      <c r="V137" s="1628">
        <v>23</v>
      </c>
      <c r="W137" s="1306" t="s">
        <v>35</v>
      </c>
      <c r="X137" s="1629" t="s">
        <v>35</v>
      </c>
      <c r="Y137" s="1629" t="s">
        <v>35</v>
      </c>
      <c r="Z137" s="1306" t="s">
        <v>35</v>
      </c>
      <c r="AA137" s="1628" t="s">
        <v>35</v>
      </c>
      <c r="AB137" s="1628"/>
      <c r="AC137" s="1628"/>
      <c r="AD137" s="1628">
        <v>21</v>
      </c>
      <c r="AE137" s="1628">
        <v>21</v>
      </c>
      <c r="AF137" s="1628">
        <v>21</v>
      </c>
      <c r="AG137" s="1634"/>
      <c r="AH137" s="107"/>
      <c r="AI137" s="107"/>
    </row>
    <row r="138" spans="1:35" ht="22.15" customHeight="1" x14ac:dyDescent="0.2">
      <c r="A138" s="1427">
        <v>3</v>
      </c>
      <c r="B138" s="1301" t="s">
        <v>194</v>
      </c>
      <c r="C138" s="1712">
        <v>23</v>
      </c>
      <c r="D138" s="1712">
        <v>23</v>
      </c>
      <c r="E138" s="1712">
        <v>23</v>
      </c>
      <c r="F138" s="1297">
        <v>23</v>
      </c>
      <c r="G138" s="1712">
        <v>23</v>
      </c>
      <c r="H138" s="1712">
        <v>23</v>
      </c>
      <c r="I138" s="1306" t="s">
        <v>35</v>
      </c>
      <c r="J138" s="1629" t="s">
        <v>35</v>
      </c>
      <c r="K138" s="1629" t="s">
        <v>35</v>
      </c>
      <c r="L138" s="1306" t="s">
        <v>35</v>
      </c>
      <c r="M138" s="1629" t="s">
        <v>35</v>
      </c>
      <c r="N138" s="1629"/>
      <c r="O138" s="1629"/>
      <c r="P138" s="1629">
        <v>21</v>
      </c>
      <c r="Q138" s="1296">
        <v>21</v>
      </c>
      <c r="R138" s="1428">
        <v>21</v>
      </c>
      <c r="S138" s="1637">
        <v>21</v>
      </c>
      <c r="T138" s="1629">
        <v>21</v>
      </c>
      <c r="U138" s="1628">
        <v>21</v>
      </c>
      <c r="V138" s="1628">
        <v>21</v>
      </c>
      <c r="W138" s="1306" t="s">
        <v>35</v>
      </c>
      <c r="X138" s="1629" t="s">
        <v>35</v>
      </c>
      <c r="Y138" s="1629" t="s">
        <v>35</v>
      </c>
      <c r="Z138" s="1306" t="s">
        <v>35</v>
      </c>
      <c r="AA138" s="1629" t="s">
        <v>35</v>
      </c>
      <c r="AB138" s="1629"/>
      <c r="AC138" s="1629"/>
      <c r="AD138" s="1629">
        <v>22</v>
      </c>
      <c r="AE138" s="1629">
        <v>22</v>
      </c>
      <c r="AF138" s="1629">
        <v>22</v>
      </c>
      <c r="AG138" s="1634"/>
      <c r="AH138" s="107"/>
      <c r="AI138" s="107"/>
    </row>
    <row r="139" spans="1:35" ht="22.15" customHeight="1" x14ac:dyDescent="0.2">
      <c r="A139" s="1427">
        <v>4</v>
      </c>
      <c r="B139" s="1301" t="s">
        <v>195</v>
      </c>
      <c r="C139" s="1629" t="s">
        <v>35</v>
      </c>
      <c r="D139" s="1629" t="s">
        <v>35</v>
      </c>
      <c r="E139" s="1306" t="s">
        <v>35</v>
      </c>
      <c r="F139" s="1629" t="s">
        <v>35</v>
      </c>
      <c r="G139" s="1629"/>
      <c r="H139" s="1629"/>
      <c r="I139" s="1629">
        <v>21</v>
      </c>
      <c r="J139" s="2054">
        <v>21</v>
      </c>
      <c r="K139" s="2054">
        <v>21</v>
      </c>
      <c r="L139" s="1629">
        <v>21</v>
      </c>
      <c r="M139" s="1629">
        <v>21</v>
      </c>
      <c r="N139" s="1629">
        <v>21</v>
      </c>
      <c r="O139" s="1429">
        <v>21</v>
      </c>
      <c r="P139" s="1306" t="s">
        <v>35</v>
      </c>
      <c r="Q139" s="1629" t="s">
        <v>35</v>
      </c>
      <c r="R139" s="1629" t="s">
        <v>35</v>
      </c>
      <c r="S139" s="1306" t="s">
        <v>35</v>
      </c>
      <c r="T139" s="1629" t="s">
        <v>35</v>
      </c>
      <c r="U139" s="1629"/>
      <c r="V139" s="1629"/>
      <c r="W139" s="1629">
        <v>22</v>
      </c>
      <c r="X139" s="1629">
        <v>22</v>
      </c>
      <c r="Y139" s="1629">
        <v>22</v>
      </c>
      <c r="Z139" s="1629">
        <v>22</v>
      </c>
      <c r="AA139" s="1629">
        <v>22</v>
      </c>
      <c r="AB139" s="1629">
        <v>22</v>
      </c>
      <c r="AC139" s="1629">
        <v>22</v>
      </c>
      <c r="AD139" s="1306" t="s">
        <v>35</v>
      </c>
      <c r="AE139" s="1296" t="s">
        <v>35</v>
      </c>
      <c r="AF139" s="1296" t="s">
        <v>35</v>
      </c>
      <c r="AG139" s="2055"/>
      <c r="AH139" s="107"/>
      <c r="AI139" s="107"/>
    </row>
    <row r="140" spans="1:35" ht="22.15" customHeight="1" x14ac:dyDescent="0.2">
      <c r="A140" s="1427">
        <v>5</v>
      </c>
      <c r="I140" s="1296">
        <v>22</v>
      </c>
      <c r="J140" s="1296">
        <v>22</v>
      </c>
      <c r="K140" s="1296">
        <v>22</v>
      </c>
      <c r="L140" s="1296">
        <v>22</v>
      </c>
      <c r="M140" s="1296">
        <v>22</v>
      </c>
      <c r="N140" s="1296">
        <v>22</v>
      </c>
      <c r="O140" s="2019">
        <v>22</v>
      </c>
      <c r="P140" s="1306" t="s">
        <v>35</v>
      </c>
      <c r="Q140" s="1296" t="s">
        <v>35</v>
      </c>
      <c r="R140" s="1296" t="s">
        <v>35</v>
      </c>
      <c r="S140" s="1296" t="s">
        <v>35</v>
      </c>
      <c r="T140" s="1296" t="s">
        <v>35</v>
      </c>
      <c r="W140" s="2056">
        <v>23</v>
      </c>
      <c r="X140" s="2056">
        <v>23</v>
      </c>
      <c r="Y140" s="2056">
        <v>23</v>
      </c>
      <c r="Z140" s="2056">
        <v>23</v>
      </c>
      <c r="AA140" s="2056">
        <v>23</v>
      </c>
      <c r="AB140" s="2056">
        <v>23</v>
      </c>
      <c r="AC140" s="2056">
        <v>23</v>
      </c>
      <c r="AD140" s="1306" t="s">
        <v>35</v>
      </c>
      <c r="AE140" s="1296" t="s">
        <v>35</v>
      </c>
      <c r="AF140" s="1296" t="s">
        <v>35</v>
      </c>
      <c r="AH140" s="107"/>
      <c r="AI140" s="107"/>
    </row>
    <row r="141" spans="1:35" ht="22.15" customHeight="1" thickBot="1" x14ac:dyDescent="0.25">
      <c r="A141" s="670">
        <v>6</v>
      </c>
      <c r="B141" s="671" t="s">
        <v>197</v>
      </c>
      <c r="C141" s="690" t="s">
        <v>35</v>
      </c>
      <c r="D141" s="690" t="s">
        <v>35</v>
      </c>
      <c r="E141" s="696" t="s">
        <v>35</v>
      </c>
      <c r="F141" s="690" t="s">
        <v>35</v>
      </c>
      <c r="G141" s="690"/>
      <c r="H141" s="680"/>
      <c r="I141" s="680">
        <v>23</v>
      </c>
      <c r="J141" s="680">
        <v>23</v>
      </c>
      <c r="K141" s="680">
        <v>23</v>
      </c>
      <c r="L141" s="680">
        <v>23</v>
      </c>
      <c r="M141" s="680">
        <v>23</v>
      </c>
      <c r="N141" s="676">
        <v>23</v>
      </c>
      <c r="O141" s="676">
        <v>23</v>
      </c>
      <c r="P141" s="696" t="s">
        <v>35</v>
      </c>
      <c r="Q141" s="690" t="s">
        <v>35</v>
      </c>
      <c r="R141" s="690" t="s">
        <v>35</v>
      </c>
      <c r="S141" s="696" t="s">
        <v>35</v>
      </c>
      <c r="T141" s="690" t="s">
        <v>35</v>
      </c>
      <c r="U141" s="690"/>
      <c r="V141" s="690"/>
      <c r="W141" s="712">
        <v>21</v>
      </c>
      <c r="X141" s="712">
        <v>21</v>
      </c>
      <c r="Y141" s="712">
        <v>21</v>
      </c>
      <c r="Z141" s="712">
        <v>21</v>
      </c>
      <c r="AA141" s="712">
        <v>21</v>
      </c>
      <c r="AB141" s="713">
        <v>21</v>
      </c>
      <c r="AC141" s="713">
        <v>21</v>
      </c>
      <c r="AD141" s="696" t="s">
        <v>35</v>
      </c>
      <c r="AE141" s="690" t="s">
        <v>35</v>
      </c>
      <c r="AF141" s="690" t="s">
        <v>35</v>
      </c>
      <c r="AG141" s="217"/>
      <c r="AH141" s="107"/>
      <c r="AI141" s="107"/>
    </row>
    <row r="142" spans="1:35" ht="22.15" customHeight="1" x14ac:dyDescent="0.2">
      <c r="A142" s="256"/>
      <c r="B142" s="228"/>
      <c r="C142" s="229"/>
      <c r="D142" s="229"/>
      <c r="E142" s="255"/>
      <c r="F142" s="229"/>
      <c r="G142" s="229"/>
      <c r="H142" s="261"/>
      <c r="I142" s="261"/>
      <c r="J142" s="261"/>
      <c r="K142" s="261"/>
      <c r="L142" s="261"/>
      <c r="M142" s="261"/>
      <c r="N142" s="216"/>
      <c r="O142" s="216"/>
      <c r="P142" s="255"/>
      <c r="Q142" s="229"/>
      <c r="R142" s="229"/>
      <c r="S142" s="255"/>
      <c r="T142" s="229"/>
      <c r="U142" s="229"/>
      <c r="V142" s="229"/>
      <c r="W142" s="229"/>
      <c r="X142" s="229"/>
      <c r="Y142" s="229"/>
      <c r="Z142" s="229"/>
      <c r="AA142" s="229"/>
      <c r="AB142" s="216"/>
      <c r="AC142" s="216"/>
      <c r="AD142" s="255"/>
      <c r="AE142" s="229"/>
      <c r="AF142" s="229"/>
      <c r="AG142" s="255"/>
      <c r="AH142" s="107"/>
      <c r="AI142" s="107"/>
    </row>
    <row r="143" spans="1:35" ht="22.15" customHeight="1" x14ac:dyDescent="0.2">
      <c r="A143" s="109"/>
      <c r="B143" s="110"/>
      <c r="C143" s="206"/>
      <c r="D143" s="206"/>
      <c r="E143" s="172"/>
      <c r="F143" s="206"/>
      <c r="G143" s="206"/>
      <c r="H143" s="206"/>
      <c r="I143" s="206"/>
      <c r="J143" s="206"/>
      <c r="K143" s="206"/>
      <c r="L143" s="206"/>
      <c r="M143" s="206"/>
      <c r="N143" s="206"/>
      <c r="O143" s="206"/>
      <c r="P143" s="172"/>
      <c r="Q143" s="206"/>
      <c r="R143" s="206"/>
      <c r="S143" s="172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7"/>
      <c r="AD143" s="207"/>
      <c r="AE143" s="207"/>
      <c r="AF143" s="206"/>
      <c r="AG143" s="172"/>
      <c r="AH143" s="107"/>
      <c r="AI143" s="107"/>
    </row>
    <row r="144" spans="1:35" ht="22.15" customHeight="1" thickBot="1" x14ac:dyDescent="0.25">
      <c r="A144" s="162" t="s">
        <v>198</v>
      </c>
      <c r="D144" s="72"/>
      <c r="E144" s="72"/>
      <c r="F144" s="72"/>
      <c r="G144" s="105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</row>
    <row r="145" spans="1:35" ht="22.15" customHeight="1" x14ac:dyDescent="0.2">
      <c r="A145" s="1"/>
      <c r="B145" s="304" t="s">
        <v>167</v>
      </c>
      <c r="C145" s="500"/>
      <c r="D145" s="516" t="s">
        <v>90</v>
      </c>
      <c r="E145" s="473"/>
      <c r="F145" s="504"/>
      <c r="G145" s="500"/>
      <c r="H145" s="516" t="s">
        <v>91</v>
      </c>
      <c r="I145" s="473"/>
      <c r="J145" s="504"/>
      <c r="K145" s="500"/>
      <c r="L145" s="516" t="s">
        <v>92</v>
      </c>
      <c r="M145" s="473"/>
      <c r="N145" s="504"/>
      <c r="O145" s="500"/>
      <c r="P145" s="516" t="s">
        <v>93</v>
      </c>
      <c r="Q145" s="473"/>
      <c r="R145" s="504"/>
      <c r="S145" s="500"/>
      <c r="T145" s="516" t="s">
        <v>94</v>
      </c>
      <c r="U145" s="473"/>
      <c r="V145" s="504"/>
      <c r="W145" s="500"/>
      <c r="X145" s="516" t="s">
        <v>95</v>
      </c>
      <c r="Y145" s="473"/>
      <c r="Z145" s="504"/>
      <c r="AA145" s="500"/>
      <c r="AB145" s="516" t="s">
        <v>96</v>
      </c>
      <c r="AC145" s="473"/>
      <c r="AD145" s="473"/>
      <c r="AE145" s="519" t="s">
        <v>97</v>
      </c>
      <c r="AF145" s="473"/>
      <c r="AG145" s="473"/>
      <c r="AH145" s="473"/>
      <c r="AI145" s="474"/>
    </row>
    <row r="146" spans="1:35" ht="22.15" customHeight="1" x14ac:dyDescent="0.2">
      <c r="A146" s="1"/>
      <c r="B146" s="1390" t="s">
        <v>139</v>
      </c>
      <c r="C146" s="1283" t="s">
        <v>168</v>
      </c>
      <c r="D146" s="1167"/>
      <c r="E146" s="1167"/>
      <c r="F146" s="1393"/>
      <c r="G146" s="1283" t="s">
        <v>168</v>
      </c>
      <c r="H146" s="1167"/>
      <c r="I146" s="1167"/>
      <c r="J146" s="1393"/>
      <c r="K146" s="1283" t="s">
        <v>168</v>
      </c>
      <c r="L146" s="1167"/>
      <c r="M146" s="1167"/>
      <c r="N146" s="1393"/>
      <c r="O146" s="1283" t="s">
        <v>199</v>
      </c>
      <c r="P146" s="1167"/>
      <c r="Q146" s="1167"/>
      <c r="R146" s="1393"/>
      <c r="S146" s="1283" t="s">
        <v>154</v>
      </c>
      <c r="T146" s="1167"/>
      <c r="U146" s="1167"/>
      <c r="V146" s="1393"/>
      <c r="W146" s="1431"/>
      <c r="X146" s="1432"/>
      <c r="Y146" s="1432"/>
      <c r="Z146" s="1395"/>
      <c r="AA146" s="1391"/>
      <c r="AB146" s="1167"/>
      <c r="AC146" s="1167"/>
      <c r="AD146" s="1284"/>
      <c r="AE146" s="1396">
        <v>27</v>
      </c>
      <c r="AF146" s="1167"/>
      <c r="AG146" s="1167"/>
      <c r="AH146" s="1284"/>
      <c r="AI146" s="1176"/>
    </row>
    <row r="147" spans="1:35" ht="22.15" customHeight="1" x14ac:dyDescent="0.2">
      <c r="A147" s="1"/>
      <c r="B147" s="1390" t="s">
        <v>143</v>
      </c>
      <c r="C147" s="1283" t="s">
        <v>200</v>
      </c>
      <c r="D147" s="1167"/>
      <c r="E147" s="1167"/>
      <c r="F147" s="1393"/>
      <c r="G147" s="1283" t="s">
        <v>200</v>
      </c>
      <c r="H147" s="1167"/>
      <c r="I147" s="1167"/>
      <c r="J147" s="1393"/>
      <c r="K147" s="1283" t="s">
        <v>200</v>
      </c>
      <c r="L147" s="1167"/>
      <c r="M147" s="1167"/>
      <c r="N147" s="1393"/>
      <c r="O147" s="1283" t="s">
        <v>200</v>
      </c>
      <c r="P147" s="1167"/>
      <c r="Q147" s="1167"/>
      <c r="R147" s="1393"/>
      <c r="S147" s="1283" t="s">
        <v>168</v>
      </c>
      <c r="T147" s="1167"/>
      <c r="U147" s="1167"/>
      <c r="V147" s="1393"/>
      <c r="W147" s="1283"/>
      <c r="X147" s="1167"/>
      <c r="Y147" s="1167"/>
      <c r="Z147" s="1393"/>
      <c r="AA147" s="1167"/>
      <c r="AB147" s="1167"/>
      <c r="AC147" s="1167"/>
      <c r="AD147" s="1284"/>
      <c r="AE147" s="1396">
        <v>39</v>
      </c>
      <c r="AF147" s="1167"/>
      <c r="AG147" s="1167"/>
      <c r="AH147" s="1284"/>
      <c r="AI147" s="1176"/>
    </row>
    <row r="148" spans="1:35" ht="22.15" customHeight="1" x14ac:dyDescent="0.2">
      <c r="A148" s="1"/>
      <c r="B148" s="1390" t="s">
        <v>153</v>
      </c>
      <c r="C148" s="1283" t="s">
        <v>200</v>
      </c>
      <c r="D148" s="1167"/>
      <c r="E148" s="1167"/>
      <c r="F148" s="1393"/>
      <c r="G148" s="1283" t="s">
        <v>200</v>
      </c>
      <c r="H148" s="1167"/>
      <c r="I148" s="1167"/>
      <c r="J148" s="1393"/>
      <c r="K148" s="1283" t="s">
        <v>200</v>
      </c>
      <c r="L148" s="1167"/>
      <c r="M148" s="1167"/>
      <c r="N148" s="1393"/>
      <c r="O148" s="1283" t="s">
        <v>200</v>
      </c>
      <c r="P148" s="1167"/>
      <c r="Q148" s="1167"/>
      <c r="R148" s="1393"/>
      <c r="S148" s="1283" t="s">
        <v>200</v>
      </c>
      <c r="T148" s="1167"/>
      <c r="U148" s="1167"/>
      <c r="V148" s="1393"/>
      <c r="W148" s="1285" t="s">
        <v>201</v>
      </c>
      <c r="X148" s="1180"/>
      <c r="Y148" s="1180"/>
      <c r="Z148" s="1400"/>
      <c r="AA148" s="1398"/>
      <c r="AB148" s="1180"/>
      <c r="AC148" s="1180"/>
      <c r="AD148" s="1286"/>
      <c r="AE148" s="1396">
        <v>45</v>
      </c>
      <c r="AF148" s="1167"/>
      <c r="AG148" s="1167"/>
      <c r="AH148" s="1284"/>
      <c r="AI148" s="1176"/>
    </row>
    <row r="149" spans="1:35" ht="22.15" customHeight="1" thickBot="1" x14ac:dyDescent="0.25">
      <c r="A149" s="1"/>
      <c r="B149" s="1032" t="s">
        <v>155</v>
      </c>
      <c r="C149" s="1423"/>
      <c r="D149" s="1238"/>
      <c r="E149" s="1238"/>
      <c r="F149" s="1425"/>
      <c r="G149" s="1423"/>
      <c r="H149" s="1238"/>
      <c r="I149" s="1238"/>
      <c r="J149" s="1425"/>
      <c r="K149" s="1423"/>
      <c r="L149" s="1238"/>
      <c r="M149" s="1238"/>
      <c r="N149" s="1425"/>
      <c r="O149" s="1423"/>
      <c r="P149" s="1238"/>
      <c r="Q149" s="1238"/>
      <c r="R149" s="1425"/>
      <c r="S149" s="1423"/>
      <c r="T149" s="1238"/>
      <c r="U149" s="1238"/>
      <c r="V149" s="1411"/>
      <c r="W149" s="1423"/>
      <c r="X149" s="1411"/>
      <c r="Y149" s="1238"/>
      <c r="Z149" s="1425"/>
      <c r="AA149" s="1423"/>
      <c r="AB149" s="1411"/>
      <c r="AC149" s="1238"/>
      <c r="AD149" s="1425"/>
      <c r="AE149" s="1433"/>
      <c r="AF149" s="1238"/>
      <c r="AG149" s="1238"/>
      <c r="AH149" s="1411"/>
      <c r="AI149" s="1245"/>
    </row>
    <row r="150" spans="1:35" ht="22.15" customHeight="1" x14ac:dyDescent="0.2">
      <c r="A150" s="108"/>
      <c r="B150" s="1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</row>
    <row r="151" spans="1:35" ht="22.15" customHeight="1" thickBot="1" x14ac:dyDescent="0.25">
      <c r="A151" s="1343"/>
      <c r="B151" s="1247" t="s">
        <v>29</v>
      </c>
      <c r="C151" s="1186">
        <v>1</v>
      </c>
      <c r="D151" s="1186">
        <v>2</v>
      </c>
      <c r="E151" s="1186">
        <v>3</v>
      </c>
      <c r="F151" s="1186">
        <v>4</v>
      </c>
      <c r="G151" s="1185">
        <v>5</v>
      </c>
      <c r="H151" s="1185">
        <v>6</v>
      </c>
      <c r="I151" s="1186">
        <v>7</v>
      </c>
      <c r="J151" s="1186">
        <v>8</v>
      </c>
      <c r="K151" s="1186">
        <v>9</v>
      </c>
      <c r="L151" s="1186">
        <v>10</v>
      </c>
      <c r="M151" s="1186">
        <v>11</v>
      </c>
      <c r="N151" s="1185">
        <v>12</v>
      </c>
      <c r="O151" s="1185">
        <v>13</v>
      </c>
      <c r="P151" s="1186">
        <v>14</v>
      </c>
      <c r="Q151" s="1186">
        <v>15</v>
      </c>
      <c r="R151" s="1186">
        <v>16</v>
      </c>
      <c r="S151" s="1186">
        <v>17</v>
      </c>
      <c r="T151" s="1186">
        <v>18</v>
      </c>
      <c r="U151" s="1185">
        <v>19</v>
      </c>
      <c r="V151" s="1185">
        <v>20</v>
      </c>
      <c r="W151" s="1186">
        <v>21</v>
      </c>
      <c r="X151" s="1186">
        <v>22</v>
      </c>
      <c r="Y151" s="1186">
        <v>23</v>
      </c>
      <c r="Z151" s="1186">
        <v>24</v>
      </c>
      <c r="AA151" s="1186">
        <v>25</v>
      </c>
      <c r="AB151" s="1185">
        <v>26</v>
      </c>
      <c r="AC151" s="1185">
        <v>27</v>
      </c>
      <c r="AD151" s="1186">
        <v>28</v>
      </c>
      <c r="AE151" s="1186">
        <v>29</v>
      </c>
      <c r="AF151" s="1186">
        <v>30</v>
      </c>
      <c r="AG151" s="1945"/>
      <c r="AH151" s="184"/>
      <c r="AI151" s="185"/>
    </row>
    <row r="152" spans="1:35" ht="22.15" customHeight="1" x14ac:dyDescent="0.2">
      <c r="A152" s="521">
        <v>1</v>
      </c>
      <c r="B152" s="523" t="s">
        <v>202</v>
      </c>
      <c r="C152" s="459" t="s">
        <v>31</v>
      </c>
      <c r="D152" s="458" t="s">
        <v>31</v>
      </c>
      <c r="E152" s="458" t="s">
        <v>31</v>
      </c>
      <c r="F152" s="458" t="s">
        <v>31</v>
      </c>
      <c r="G152" s="458"/>
      <c r="H152" s="458"/>
      <c r="I152" s="458" t="s">
        <v>31</v>
      </c>
      <c r="J152" s="459" t="s">
        <v>31</v>
      </c>
      <c r="K152" s="458" t="s">
        <v>31</v>
      </c>
      <c r="L152" s="458" t="s">
        <v>31</v>
      </c>
      <c r="M152" s="458" t="s">
        <v>31</v>
      </c>
      <c r="N152" s="458"/>
      <c r="O152" s="458"/>
      <c r="P152" s="458" t="s">
        <v>31</v>
      </c>
      <c r="Q152" s="458" t="s">
        <v>31</v>
      </c>
      <c r="R152" s="458" t="s">
        <v>31</v>
      </c>
      <c r="S152" s="458" t="s">
        <v>31</v>
      </c>
      <c r="T152" s="458" t="s">
        <v>31</v>
      </c>
      <c r="U152" s="458"/>
      <c r="V152" s="458"/>
      <c r="W152" s="458" t="s">
        <v>31</v>
      </c>
      <c r="X152" s="458" t="s">
        <v>31</v>
      </c>
      <c r="Y152" s="458" t="s">
        <v>31</v>
      </c>
      <c r="Z152" s="458" t="s">
        <v>31</v>
      </c>
      <c r="AA152" s="460" t="s">
        <v>31</v>
      </c>
      <c r="AB152" s="459"/>
      <c r="AC152" s="458"/>
      <c r="AD152" s="458" t="s">
        <v>31</v>
      </c>
      <c r="AE152" s="458" t="s">
        <v>31</v>
      </c>
      <c r="AF152" s="458" t="s">
        <v>31</v>
      </c>
      <c r="AG152" s="464"/>
      <c r="AH152" s="250"/>
      <c r="AI152" s="190"/>
    </row>
    <row r="153" spans="1:35" ht="22.15" customHeight="1" x14ac:dyDescent="0.2">
      <c r="A153" s="1415">
        <v>2</v>
      </c>
      <c r="B153" s="1434" t="s">
        <v>203</v>
      </c>
      <c r="C153" s="1258" t="s">
        <v>207</v>
      </c>
      <c r="D153" s="1259" t="s">
        <v>207</v>
      </c>
      <c r="E153" s="1258" t="s">
        <v>207</v>
      </c>
      <c r="F153" s="1258" t="s">
        <v>207</v>
      </c>
      <c r="G153" s="1376"/>
      <c r="H153" s="1258"/>
      <c r="I153" s="1258" t="s">
        <v>204</v>
      </c>
      <c r="J153" s="1258" t="s">
        <v>204</v>
      </c>
      <c r="K153" s="1258" t="s">
        <v>204</v>
      </c>
      <c r="L153" s="1258" t="s">
        <v>204</v>
      </c>
      <c r="M153" s="1258" t="s">
        <v>204</v>
      </c>
      <c r="N153" s="1258" t="s">
        <v>204</v>
      </c>
      <c r="O153" s="1258"/>
      <c r="P153" s="1258" t="s">
        <v>205</v>
      </c>
      <c r="Q153" s="1258" t="s">
        <v>205</v>
      </c>
      <c r="R153" s="1258" t="s">
        <v>205</v>
      </c>
      <c r="S153" s="1258" t="s">
        <v>205</v>
      </c>
      <c r="T153" s="1258" t="s">
        <v>35</v>
      </c>
      <c r="U153" s="1275"/>
      <c r="V153" s="1258"/>
      <c r="W153" s="1258" t="s">
        <v>207</v>
      </c>
      <c r="X153" s="1258" t="s">
        <v>207</v>
      </c>
      <c r="Y153" s="1259" t="s">
        <v>207</v>
      </c>
      <c r="Z153" s="1258" t="s">
        <v>207</v>
      </c>
      <c r="AA153" s="1258" t="s">
        <v>207</v>
      </c>
      <c r="AB153" s="1258"/>
      <c r="AC153" s="1258"/>
      <c r="AD153" s="1258" t="s">
        <v>204</v>
      </c>
      <c r="AE153" s="1258" t="s">
        <v>204</v>
      </c>
      <c r="AF153" s="1258" t="s">
        <v>204</v>
      </c>
      <c r="AG153" s="1251"/>
      <c r="AH153" s="250"/>
      <c r="AI153" s="190"/>
    </row>
    <row r="154" spans="1:35" ht="22.15" customHeight="1" x14ac:dyDescent="0.2">
      <c r="A154" s="1415">
        <v>3</v>
      </c>
      <c r="B154" s="1435" t="s">
        <v>390</v>
      </c>
      <c r="C154" s="1258" t="s">
        <v>204</v>
      </c>
      <c r="D154" s="1258" t="s">
        <v>204</v>
      </c>
      <c r="E154" s="1258" t="s">
        <v>204</v>
      </c>
      <c r="F154" s="1380" t="s">
        <v>204</v>
      </c>
      <c r="G154" s="1380" t="s">
        <v>204</v>
      </c>
      <c r="H154" s="1380"/>
      <c r="I154" s="1380" t="s">
        <v>205</v>
      </c>
      <c r="J154" s="1380" t="s">
        <v>205</v>
      </c>
      <c r="K154" s="1380" t="s">
        <v>205</v>
      </c>
      <c r="L154" s="1380" t="s">
        <v>205</v>
      </c>
      <c r="M154" s="1380" t="s">
        <v>35</v>
      </c>
      <c r="N154" s="1380"/>
      <c r="O154" s="1380"/>
      <c r="P154" s="1380" t="s">
        <v>207</v>
      </c>
      <c r="Q154" s="1380" t="s">
        <v>207</v>
      </c>
      <c r="R154" s="1380" t="s">
        <v>207</v>
      </c>
      <c r="S154" s="1380" t="s">
        <v>207</v>
      </c>
      <c r="T154" s="1380" t="s">
        <v>207</v>
      </c>
      <c r="U154" s="1258"/>
      <c r="V154" s="1258"/>
      <c r="W154" s="1258" t="s">
        <v>204</v>
      </c>
      <c r="X154" s="1258" t="s">
        <v>204</v>
      </c>
      <c r="Y154" s="1258" t="s">
        <v>204</v>
      </c>
      <c r="Z154" s="1258" t="s">
        <v>204</v>
      </c>
      <c r="AA154" s="1311" t="s">
        <v>204</v>
      </c>
      <c r="AB154" s="1311" t="s">
        <v>204</v>
      </c>
      <c r="AC154" s="1311"/>
      <c r="AD154" s="1311" t="s">
        <v>205</v>
      </c>
      <c r="AE154" s="1311" t="s">
        <v>205</v>
      </c>
      <c r="AF154" s="1311" t="s">
        <v>205</v>
      </c>
      <c r="AG154" s="1251"/>
      <c r="AH154" s="250"/>
      <c r="AI154" s="190"/>
    </row>
    <row r="155" spans="1:35" ht="22.15" customHeight="1" x14ac:dyDescent="0.2">
      <c r="A155" s="1415">
        <v>4</v>
      </c>
      <c r="B155" s="1435" t="s">
        <v>209</v>
      </c>
      <c r="C155" s="1258" t="s">
        <v>32</v>
      </c>
      <c r="D155" s="1258" t="s">
        <v>31</v>
      </c>
      <c r="E155" s="1258"/>
      <c r="F155" s="1258" t="s">
        <v>31</v>
      </c>
      <c r="G155" s="1258"/>
      <c r="H155" s="1258"/>
      <c r="I155" s="1200"/>
      <c r="J155" s="1200" t="s">
        <v>32</v>
      </c>
      <c r="K155" s="1200" t="s">
        <v>32</v>
      </c>
      <c r="L155" s="1200"/>
      <c r="M155" s="1200" t="s">
        <v>32</v>
      </c>
      <c r="N155" s="1200"/>
      <c r="O155" s="1200"/>
      <c r="P155" s="1200"/>
      <c r="Q155" s="1200" t="s">
        <v>32</v>
      </c>
      <c r="R155" s="1200"/>
      <c r="S155" s="1200"/>
      <c r="T155" s="1200" t="s">
        <v>32</v>
      </c>
      <c r="U155" s="1200" t="s">
        <v>204</v>
      </c>
      <c r="V155" s="1200"/>
      <c r="W155" s="1200"/>
      <c r="X155" s="1200" t="s">
        <v>32</v>
      </c>
      <c r="Y155" s="1200" t="s">
        <v>32</v>
      </c>
      <c r="Z155" s="1200"/>
      <c r="AA155" s="1200" t="s">
        <v>32</v>
      </c>
      <c r="AB155" s="1258"/>
      <c r="AC155" s="1258"/>
      <c r="AD155" s="1258"/>
      <c r="AE155" s="1258" t="s">
        <v>32</v>
      </c>
      <c r="AF155" s="1258" t="s">
        <v>32</v>
      </c>
      <c r="AG155" s="1251"/>
      <c r="AH155" s="250"/>
      <c r="AI155" s="190"/>
    </row>
    <row r="156" spans="1:35" ht="22.15" customHeight="1" x14ac:dyDescent="0.2">
      <c r="A156" s="1415">
        <v>5</v>
      </c>
      <c r="B156" s="1435" t="s">
        <v>210</v>
      </c>
      <c r="C156" s="1258"/>
      <c r="D156" s="1258"/>
      <c r="E156" s="1258" t="s">
        <v>31</v>
      </c>
      <c r="F156" s="1258"/>
      <c r="G156" s="1258"/>
      <c r="H156" s="1258"/>
      <c r="I156" s="1258" t="s">
        <v>32</v>
      </c>
      <c r="J156" s="1258"/>
      <c r="K156" s="1258"/>
      <c r="L156" s="1258" t="s">
        <v>31</v>
      </c>
      <c r="M156" s="1258"/>
      <c r="N156" s="1258"/>
      <c r="O156" s="1258"/>
      <c r="P156" s="1258" t="s">
        <v>32</v>
      </c>
      <c r="Q156" s="1258"/>
      <c r="R156" s="1258"/>
      <c r="S156" s="1258" t="s">
        <v>31</v>
      </c>
      <c r="T156" s="1258"/>
      <c r="U156" s="1258"/>
      <c r="V156" s="1258"/>
      <c r="W156" s="1258" t="s">
        <v>32</v>
      </c>
      <c r="X156" s="1258"/>
      <c r="Y156" s="1258"/>
      <c r="Z156" s="1258" t="s">
        <v>31</v>
      </c>
      <c r="AA156" s="1258"/>
      <c r="AB156" s="1258"/>
      <c r="AC156" s="1258"/>
      <c r="AD156" s="1258" t="s">
        <v>32</v>
      </c>
      <c r="AE156" s="1258"/>
      <c r="AF156" s="1258"/>
      <c r="AG156" s="1251"/>
      <c r="AH156" s="250"/>
      <c r="AI156" s="190"/>
    </row>
    <row r="157" spans="1:35" ht="22.15" customHeight="1" x14ac:dyDescent="0.2">
      <c r="A157" s="1415">
        <v>6</v>
      </c>
      <c r="B157" s="1202" t="s">
        <v>211</v>
      </c>
      <c r="C157" s="1258" t="s">
        <v>31</v>
      </c>
      <c r="D157" s="1258" t="s">
        <v>31</v>
      </c>
      <c r="E157" s="1258" t="s">
        <v>31</v>
      </c>
      <c r="F157" s="1258" t="s">
        <v>31</v>
      </c>
      <c r="G157" s="1258"/>
      <c r="H157" s="1258"/>
      <c r="I157" s="1200" t="s">
        <v>31</v>
      </c>
      <c r="J157" s="1199" t="s">
        <v>31</v>
      </c>
      <c r="K157" s="1258" t="s">
        <v>31</v>
      </c>
      <c r="L157" s="1258" t="s">
        <v>31</v>
      </c>
      <c r="M157" s="1258" t="s">
        <v>31</v>
      </c>
      <c r="N157" s="1258"/>
      <c r="O157" s="1258"/>
      <c r="P157" s="1258" t="s">
        <v>31</v>
      </c>
      <c r="Q157" s="1258" t="s">
        <v>31</v>
      </c>
      <c r="R157" s="1258" t="s">
        <v>31</v>
      </c>
      <c r="S157" s="1258" t="s">
        <v>31</v>
      </c>
      <c r="T157" s="1193" t="s">
        <v>31</v>
      </c>
      <c r="U157" s="1193"/>
      <c r="V157" s="1193"/>
      <c r="W157" s="1193" t="s">
        <v>31</v>
      </c>
      <c r="X157" s="1193" t="s">
        <v>31</v>
      </c>
      <c r="Y157" s="1258" t="s">
        <v>31</v>
      </c>
      <c r="Z157" s="1258" t="s">
        <v>31</v>
      </c>
      <c r="AA157" s="1258" t="s">
        <v>31</v>
      </c>
      <c r="AB157" s="1258"/>
      <c r="AC157" s="1258"/>
      <c r="AD157" s="1258" t="s">
        <v>31</v>
      </c>
      <c r="AE157" s="1258" t="s">
        <v>31</v>
      </c>
      <c r="AF157" s="1258" t="s">
        <v>31</v>
      </c>
      <c r="AG157" s="1251"/>
      <c r="AH157" s="215"/>
      <c r="AI157" s="107"/>
    </row>
    <row r="158" spans="1:35" ht="22.15" customHeight="1" thickBot="1" x14ac:dyDescent="0.25">
      <c r="A158" s="1419"/>
      <c r="B158" s="1253" t="s">
        <v>212</v>
      </c>
      <c r="C158" s="1254"/>
      <c r="D158" s="1254"/>
      <c r="E158" s="1254"/>
      <c r="F158" s="1254"/>
      <c r="G158" s="1254"/>
      <c r="H158" s="1254"/>
      <c r="I158" s="1254"/>
      <c r="J158" s="1254"/>
      <c r="K158" s="1254"/>
      <c r="L158" s="1254"/>
      <c r="M158" s="1254"/>
      <c r="N158" s="1254"/>
      <c r="O158" s="1254"/>
      <c r="P158" s="1254"/>
      <c r="Q158" s="1254"/>
      <c r="R158" s="1254"/>
      <c r="S158" s="1254"/>
      <c r="T158" s="1254"/>
      <c r="U158" s="1254"/>
      <c r="V158" s="1254"/>
      <c r="W158" s="1254"/>
      <c r="X158" s="1254"/>
      <c r="Y158" s="1254"/>
      <c r="Z158" s="1254"/>
      <c r="AA158" s="1254"/>
      <c r="AB158" s="1254"/>
      <c r="AC158" s="1254"/>
      <c r="AD158" s="1254"/>
      <c r="AE158" s="1254"/>
      <c r="AF158" s="1254"/>
      <c r="AG158" s="1945"/>
      <c r="AH158" s="107"/>
      <c r="AI158" s="107"/>
    </row>
    <row r="159" spans="1:35" ht="22.15" customHeight="1" x14ac:dyDescent="0.2">
      <c r="A159" s="256"/>
      <c r="B159" s="228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107"/>
      <c r="AI159" s="107"/>
    </row>
    <row r="160" spans="1:35" ht="22.15" customHeight="1" x14ac:dyDescent="0.2">
      <c r="A160" s="256"/>
      <c r="B160" s="228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107"/>
      <c r="AI160" s="107"/>
    </row>
    <row r="161" spans="1:36" ht="22.15" customHeight="1" thickBot="1" x14ac:dyDescent="0.25">
      <c r="A161" s="150" t="s">
        <v>213</v>
      </c>
      <c r="B161" s="72"/>
      <c r="C161" s="106" t="s">
        <v>99</v>
      </c>
      <c r="D161" s="72"/>
      <c r="E161" s="72"/>
      <c r="F161" s="106" t="s">
        <v>99</v>
      </c>
      <c r="G161" s="72"/>
      <c r="H161" s="72"/>
      <c r="I161" s="106" t="s">
        <v>99</v>
      </c>
      <c r="J161" s="106"/>
      <c r="K161" s="72"/>
      <c r="L161" s="106" t="s">
        <v>99</v>
      </c>
      <c r="M161" s="72"/>
      <c r="N161" s="72"/>
      <c r="O161" s="106" t="s">
        <v>99</v>
      </c>
      <c r="P161" s="72"/>
      <c r="Q161" s="106"/>
      <c r="R161" s="106" t="s">
        <v>99</v>
      </c>
      <c r="S161" s="72"/>
      <c r="T161" s="72"/>
      <c r="U161" s="106" t="s">
        <v>99</v>
      </c>
      <c r="V161" s="72"/>
      <c r="W161" s="106"/>
      <c r="X161" s="106"/>
      <c r="Y161" s="72"/>
      <c r="Z161" s="72"/>
      <c r="AA161" s="72"/>
      <c r="AB161" s="72"/>
      <c r="AC161" s="72"/>
      <c r="AD161" s="72"/>
      <c r="AE161" s="106"/>
      <c r="AF161" s="72"/>
      <c r="AG161" s="72"/>
      <c r="AH161" s="107"/>
      <c r="AI161" s="107"/>
    </row>
    <row r="162" spans="1:36" ht="22.15" customHeight="1" x14ac:dyDescent="0.2">
      <c r="A162" s="109"/>
      <c r="B162" s="294" t="s">
        <v>214</v>
      </c>
      <c r="C162" s="295"/>
      <c r="D162" s="296" t="s">
        <v>90</v>
      </c>
      <c r="E162" s="297"/>
      <c r="F162" s="298"/>
      <c r="G162" s="299"/>
      <c r="H162" s="296" t="s">
        <v>91</v>
      </c>
      <c r="I162" s="297"/>
      <c r="J162" s="298"/>
      <c r="K162" s="299"/>
      <c r="L162" s="296" t="s">
        <v>92</v>
      </c>
      <c r="M162" s="297"/>
      <c r="N162" s="298"/>
      <c r="O162" s="299"/>
      <c r="P162" s="296" t="s">
        <v>93</v>
      </c>
      <c r="Q162" s="297"/>
      <c r="R162" s="298"/>
      <c r="S162" s="299"/>
      <c r="T162" s="296" t="s">
        <v>94</v>
      </c>
      <c r="U162" s="297"/>
      <c r="V162" s="298"/>
      <c r="W162" s="299"/>
      <c r="X162" s="296" t="s">
        <v>95</v>
      </c>
      <c r="Y162" s="297"/>
      <c r="Z162" s="298"/>
      <c r="AA162" s="299"/>
      <c r="AB162" s="296" t="s">
        <v>96</v>
      </c>
      <c r="AC162" s="297"/>
      <c r="AD162" s="297"/>
      <c r="AE162" s="300" t="s">
        <v>97</v>
      </c>
      <c r="AF162" s="297"/>
      <c r="AG162" s="297"/>
      <c r="AH162" s="297"/>
      <c r="AI162" s="301"/>
    </row>
    <row r="163" spans="1:36" ht="22.15" customHeight="1" x14ac:dyDescent="0.2">
      <c r="A163" s="109"/>
      <c r="B163" s="1851" t="s">
        <v>215</v>
      </c>
      <c r="C163" s="1852" t="s">
        <v>216</v>
      </c>
      <c r="D163" s="1438" t="s">
        <v>217</v>
      </c>
      <c r="E163" s="1439"/>
      <c r="F163" s="2001"/>
      <c r="G163" s="1853"/>
      <c r="H163" s="1438" t="s">
        <v>217</v>
      </c>
      <c r="I163" s="1439"/>
      <c r="J163" s="2001"/>
      <c r="K163" s="1853"/>
      <c r="L163" s="1438" t="s">
        <v>217</v>
      </c>
      <c r="M163" s="1439"/>
      <c r="N163" s="2001"/>
      <c r="O163" s="1853"/>
      <c r="P163" s="1438" t="s">
        <v>218</v>
      </c>
      <c r="Q163" s="1439"/>
      <c r="R163" s="2001"/>
      <c r="S163" s="1853"/>
      <c r="T163" s="1438" t="s">
        <v>219</v>
      </c>
      <c r="U163" s="2001"/>
      <c r="V163" s="2002"/>
      <c r="W163" s="1854"/>
      <c r="X163" s="1444"/>
      <c r="Y163" s="1444"/>
      <c r="Z163" s="2002"/>
      <c r="AA163" s="1854"/>
      <c r="AB163" s="1444"/>
      <c r="AC163" s="1444"/>
      <c r="AD163" s="1444"/>
      <c r="AE163" s="1854"/>
      <c r="AF163" s="1444"/>
      <c r="AG163" s="1444"/>
      <c r="AH163" s="1445"/>
      <c r="AI163" s="1855"/>
    </row>
    <row r="164" spans="1:36" ht="22.15" customHeight="1" x14ac:dyDescent="0.2">
      <c r="A164" s="109"/>
      <c r="B164" s="1851" t="s">
        <v>215</v>
      </c>
      <c r="C164" s="1852" t="s">
        <v>220</v>
      </c>
      <c r="D164" s="1438" t="s">
        <v>217</v>
      </c>
      <c r="E164" s="1439"/>
      <c r="F164" s="2001"/>
      <c r="G164" s="1853"/>
      <c r="H164" s="1438" t="s">
        <v>217</v>
      </c>
      <c r="I164" s="1439"/>
      <c r="J164" s="2001"/>
      <c r="K164" s="1853"/>
      <c r="L164" s="1438" t="s">
        <v>217</v>
      </c>
      <c r="M164" s="1439"/>
      <c r="N164" s="2001"/>
      <c r="O164" s="1853"/>
      <c r="P164" s="1438" t="s">
        <v>218</v>
      </c>
      <c r="Q164" s="1439"/>
      <c r="R164" s="2001"/>
      <c r="S164" s="1853"/>
      <c r="T164" s="1438" t="s">
        <v>219</v>
      </c>
      <c r="U164" s="2001"/>
      <c r="V164" s="2002"/>
      <c r="W164" s="1854"/>
      <c r="X164" s="1444"/>
      <c r="Y164" s="1444"/>
      <c r="Z164" s="2002"/>
      <c r="AA164" s="1854"/>
      <c r="AB164" s="1444"/>
      <c r="AC164" s="1444"/>
      <c r="AD164" s="1444"/>
      <c r="AE164" s="1854"/>
      <c r="AF164" s="1444"/>
      <c r="AG164" s="1444"/>
      <c r="AH164" s="1445"/>
      <c r="AI164" s="1855"/>
    </row>
    <row r="165" spans="1:36" ht="22.15" customHeight="1" x14ac:dyDescent="0.2">
      <c r="A165" s="109"/>
      <c r="B165" s="1851" t="s">
        <v>221</v>
      </c>
      <c r="C165" s="1852" t="s">
        <v>158</v>
      </c>
      <c r="D165" s="1438" t="s">
        <v>217</v>
      </c>
      <c r="E165" s="1439"/>
      <c r="F165" s="2001"/>
      <c r="G165" s="1853"/>
      <c r="H165" s="1438" t="s">
        <v>217</v>
      </c>
      <c r="I165" s="1439"/>
      <c r="J165" s="2001"/>
      <c r="K165" s="1853"/>
      <c r="L165" s="1438" t="s">
        <v>217</v>
      </c>
      <c r="M165" s="1439"/>
      <c r="N165" s="2001"/>
      <c r="O165" s="1853"/>
      <c r="P165" s="1438" t="s">
        <v>218</v>
      </c>
      <c r="Q165" s="1439"/>
      <c r="R165" s="2001"/>
      <c r="S165" s="1853"/>
      <c r="T165" s="1438" t="s">
        <v>219</v>
      </c>
      <c r="U165" s="2001"/>
      <c r="V165" s="2002"/>
      <c r="W165" s="1854"/>
      <c r="X165" s="1444"/>
      <c r="Y165" s="1444"/>
      <c r="Z165" s="2002"/>
      <c r="AA165" s="1854"/>
      <c r="AB165" s="1444"/>
      <c r="AC165" s="1444"/>
      <c r="AD165" s="1444"/>
      <c r="AE165" s="1854"/>
      <c r="AF165" s="1444"/>
      <c r="AG165" s="1444"/>
      <c r="AH165" s="1445"/>
      <c r="AI165" s="1855"/>
    </row>
    <row r="166" spans="1:36" ht="22.15" customHeight="1" x14ac:dyDescent="0.2">
      <c r="A166" s="109"/>
      <c r="B166" s="1851" t="s">
        <v>222</v>
      </c>
      <c r="C166" s="1852" t="s">
        <v>223</v>
      </c>
      <c r="D166" s="1438" t="s">
        <v>224</v>
      </c>
      <c r="E166" s="1439"/>
      <c r="F166" s="2001"/>
      <c r="G166" s="1853"/>
      <c r="H166" s="1438" t="s">
        <v>224</v>
      </c>
      <c r="I166" s="1439"/>
      <c r="J166" s="2001"/>
      <c r="K166" s="1853"/>
      <c r="L166" s="1438" t="s">
        <v>224</v>
      </c>
      <c r="M166" s="1439"/>
      <c r="N166" s="2001"/>
      <c r="O166" s="1853"/>
      <c r="P166" s="1438" t="s">
        <v>225</v>
      </c>
      <c r="Q166" s="1439"/>
      <c r="R166" s="2001"/>
      <c r="S166" s="1853"/>
      <c r="T166" s="1438" t="s">
        <v>226</v>
      </c>
      <c r="U166" s="2001"/>
      <c r="V166" s="2002"/>
      <c r="W166" s="1854"/>
      <c r="X166" s="1444"/>
      <c r="Y166" s="1444"/>
      <c r="Z166" s="2002"/>
      <c r="AA166" s="1854"/>
      <c r="AB166" s="1444"/>
      <c r="AC166" s="1444"/>
      <c r="AD166" s="1444"/>
      <c r="AE166" s="1854"/>
      <c r="AF166" s="1444"/>
      <c r="AG166" s="1444"/>
      <c r="AH166" s="1445"/>
      <c r="AI166" s="1855"/>
    </row>
    <row r="167" spans="1:36" ht="22.15" customHeight="1" x14ac:dyDescent="0.2">
      <c r="A167" s="109"/>
      <c r="B167" s="1851" t="s">
        <v>227</v>
      </c>
      <c r="C167" s="1852" t="s">
        <v>228</v>
      </c>
      <c r="D167" s="1438" t="s">
        <v>229</v>
      </c>
      <c r="E167" s="1439"/>
      <c r="F167" s="2001"/>
      <c r="G167" s="1853"/>
      <c r="H167" s="1438" t="s">
        <v>229</v>
      </c>
      <c r="I167" s="1439"/>
      <c r="J167" s="2001"/>
      <c r="K167" s="1853"/>
      <c r="L167" s="1438" t="s">
        <v>230</v>
      </c>
      <c r="M167" s="1439"/>
      <c r="N167" s="2001"/>
      <c r="O167" s="1853"/>
      <c r="P167" s="1438" t="s">
        <v>231</v>
      </c>
      <c r="Q167" s="1439"/>
      <c r="R167" s="2001"/>
      <c r="S167" s="1853"/>
      <c r="T167" s="1438" t="s">
        <v>226</v>
      </c>
      <c r="U167" s="2001"/>
      <c r="V167" s="2002"/>
      <c r="W167" s="1854"/>
      <c r="X167" s="1444"/>
      <c r="Y167" s="1444"/>
      <c r="Z167" s="2002"/>
      <c r="AA167" s="1854"/>
      <c r="AB167" s="1444"/>
      <c r="AC167" s="1444"/>
      <c r="AD167" s="1444"/>
      <c r="AE167" s="1854"/>
      <c r="AF167" s="1444"/>
      <c r="AG167" s="1444"/>
      <c r="AH167" s="1445"/>
      <c r="AI167" s="1855"/>
    </row>
    <row r="168" spans="1:36" ht="22.15" customHeight="1" x14ac:dyDescent="0.2">
      <c r="A168" s="109"/>
      <c r="B168" s="1851" t="s">
        <v>232</v>
      </c>
      <c r="C168" s="1852" t="s">
        <v>233</v>
      </c>
      <c r="D168" s="1438" t="s">
        <v>217</v>
      </c>
      <c r="E168" s="1439"/>
      <c r="F168" s="2001"/>
      <c r="G168" s="1853"/>
      <c r="H168" s="1438" t="s">
        <v>217</v>
      </c>
      <c r="I168" s="1439"/>
      <c r="J168" s="2001"/>
      <c r="K168" s="1853"/>
      <c r="L168" s="1438" t="s">
        <v>217</v>
      </c>
      <c r="M168" s="1439"/>
      <c r="N168" s="2001"/>
      <c r="O168" s="1853"/>
      <c r="P168" s="1438" t="s">
        <v>217</v>
      </c>
      <c r="Q168" s="1439"/>
      <c r="R168" s="2001"/>
      <c r="S168" s="1853"/>
      <c r="T168" s="1438" t="s">
        <v>229</v>
      </c>
      <c r="U168" s="2001"/>
      <c r="V168" s="2002"/>
      <c r="W168" s="1854"/>
      <c r="X168" s="1444"/>
      <c r="Y168" s="1444"/>
      <c r="Z168" s="2002"/>
      <c r="AA168" s="1854"/>
      <c r="AB168" s="1444"/>
      <c r="AC168" s="1444"/>
      <c r="AD168" s="1444"/>
      <c r="AE168" s="1854"/>
      <c r="AF168" s="1444"/>
      <c r="AG168" s="1444"/>
      <c r="AH168" s="1445"/>
      <c r="AI168" s="1855"/>
    </row>
    <row r="169" spans="1:36" ht="22.15" customHeight="1" x14ac:dyDescent="0.2">
      <c r="A169" s="109"/>
      <c r="B169" s="1851" t="s">
        <v>234</v>
      </c>
      <c r="C169" s="1852" t="s">
        <v>235</v>
      </c>
      <c r="D169" s="1438" t="s">
        <v>217</v>
      </c>
      <c r="E169" s="1439"/>
      <c r="F169" s="2001"/>
      <c r="G169" s="1853"/>
      <c r="H169" s="1438" t="s">
        <v>217</v>
      </c>
      <c r="I169" s="1439"/>
      <c r="J169" s="2001"/>
      <c r="K169" s="1853"/>
      <c r="L169" s="1438" t="s">
        <v>217</v>
      </c>
      <c r="M169" s="1439"/>
      <c r="N169" s="2001"/>
      <c r="O169" s="1853"/>
      <c r="P169" s="1438" t="s">
        <v>218</v>
      </c>
      <c r="Q169" s="1439"/>
      <c r="R169" s="2001"/>
      <c r="S169" s="1853"/>
      <c r="T169" s="1438" t="s">
        <v>219</v>
      </c>
      <c r="U169" s="2001"/>
      <c r="V169" s="2002"/>
      <c r="W169" s="1854"/>
      <c r="X169" s="1444"/>
      <c r="Y169" s="1444"/>
      <c r="Z169" s="2002"/>
      <c r="AA169" s="1854"/>
      <c r="AB169" s="1444"/>
      <c r="AC169" s="1444"/>
      <c r="AD169" s="1444"/>
      <c r="AE169" s="1854"/>
      <c r="AF169" s="1444"/>
      <c r="AG169" s="1444"/>
      <c r="AH169" s="1445"/>
      <c r="AI169" s="1855"/>
    </row>
    <row r="170" spans="1:36" ht="22.15" customHeight="1" x14ac:dyDescent="0.2">
      <c r="A170" s="109"/>
      <c r="B170" s="1851" t="s">
        <v>234</v>
      </c>
      <c r="C170" s="1852" t="s">
        <v>236</v>
      </c>
      <c r="D170" s="1438" t="s">
        <v>217</v>
      </c>
      <c r="E170" s="1439"/>
      <c r="F170" s="2001"/>
      <c r="G170" s="1853"/>
      <c r="H170" s="1438" t="s">
        <v>217</v>
      </c>
      <c r="I170" s="1439"/>
      <c r="J170" s="2001"/>
      <c r="K170" s="1853"/>
      <c r="L170" s="1438" t="s">
        <v>217</v>
      </c>
      <c r="M170" s="1439"/>
      <c r="N170" s="2001"/>
      <c r="O170" s="1853"/>
      <c r="P170" s="1438" t="s">
        <v>218</v>
      </c>
      <c r="Q170" s="1439"/>
      <c r="R170" s="2001"/>
      <c r="S170" s="1853"/>
      <c r="T170" s="1438" t="s">
        <v>219</v>
      </c>
      <c r="U170" s="2001"/>
      <c r="V170" s="2002"/>
      <c r="W170" s="1854"/>
      <c r="X170" s="1444"/>
      <c r="Y170" s="1444"/>
      <c r="Z170" s="2002"/>
      <c r="AA170" s="1854"/>
      <c r="AB170" s="1444"/>
      <c r="AC170" s="1444"/>
      <c r="AD170" s="1444"/>
      <c r="AE170" s="1854"/>
      <c r="AF170" s="1444"/>
      <c r="AG170" s="1444"/>
      <c r="AH170" s="1445"/>
      <c r="AI170" s="1855"/>
    </row>
    <row r="171" spans="1:36" ht="22.15" customHeight="1" x14ac:dyDescent="0.2">
      <c r="A171" s="109"/>
      <c r="B171" s="1851" t="s">
        <v>237</v>
      </c>
      <c r="C171" s="1852" t="s">
        <v>238</v>
      </c>
      <c r="D171" s="1438" t="s">
        <v>217</v>
      </c>
      <c r="E171" s="1439"/>
      <c r="F171" s="2001"/>
      <c r="G171" s="1853"/>
      <c r="H171" s="1438" t="s">
        <v>217</v>
      </c>
      <c r="I171" s="1439"/>
      <c r="J171" s="2001"/>
      <c r="K171" s="1853"/>
      <c r="L171" s="1438" t="s">
        <v>217</v>
      </c>
      <c r="M171" s="1439"/>
      <c r="N171" s="2001"/>
      <c r="O171" s="1853"/>
      <c r="P171" s="1438" t="s">
        <v>239</v>
      </c>
      <c r="Q171" s="1439"/>
      <c r="R171" s="2001"/>
      <c r="S171" s="1853"/>
      <c r="T171" s="1438" t="s">
        <v>226</v>
      </c>
      <c r="U171" s="2001"/>
      <c r="V171" s="2002"/>
      <c r="W171" s="1854"/>
      <c r="X171" s="1444"/>
      <c r="Y171" s="1444"/>
      <c r="Z171" s="2002"/>
      <c r="AA171" s="1854"/>
      <c r="AB171" s="1444"/>
      <c r="AC171" s="1444"/>
      <c r="AD171" s="1444"/>
      <c r="AE171" s="1854"/>
      <c r="AF171" s="1444"/>
      <c r="AG171" s="1444"/>
      <c r="AH171" s="1445"/>
      <c r="AI171" s="1855"/>
    </row>
    <row r="172" spans="1:36" ht="22.15" customHeight="1" x14ac:dyDescent="0.2">
      <c r="A172" s="109"/>
      <c r="B172" s="1447" t="s">
        <v>240</v>
      </c>
      <c r="C172" s="1852" t="s">
        <v>80</v>
      </c>
      <c r="D172" s="1438" t="s">
        <v>217</v>
      </c>
      <c r="E172" s="1439"/>
      <c r="F172" s="2001"/>
      <c r="G172" s="1853"/>
      <c r="H172" s="1438" t="s">
        <v>217</v>
      </c>
      <c r="I172" s="1439"/>
      <c r="J172" s="2001"/>
      <c r="K172" s="1853"/>
      <c r="L172" s="1438" t="s">
        <v>217</v>
      </c>
      <c r="M172" s="1439"/>
      <c r="N172" s="2001"/>
      <c r="O172" s="1853"/>
      <c r="P172" s="1438" t="s">
        <v>218</v>
      </c>
      <c r="Q172" s="1439"/>
      <c r="R172" s="2001"/>
      <c r="S172" s="1853"/>
      <c r="T172" s="1438" t="s">
        <v>219</v>
      </c>
      <c r="U172" s="2001"/>
      <c r="V172" s="212"/>
      <c r="W172" s="1448"/>
      <c r="X172" s="211"/>
      <c r="Y172" s="211"/>
      <c r="Z172" s="212"/>
      <c r="AA172" s="1448"/>
      <c r="AB172" s="211"/>
      <c r="AC172" s="211"/>
      <c r="AD172" s="211"/>
      <c r="AE172" s="1448"/>
      <c r="AF172" s="211"/>
      <c r="AG172" s="211"/>
      <c r="AH172" s="213"/>
      <c r="AI172" s="1449"/>
      <c r="AJ172" s="214"/>
    </row>
    <row r="173" spans="1:36" ht="22.15" customHeight="1" x14ac:dyDescent="0.2">
      <c r="A173" s="109"/>
      <c r="B173" s="1851" t="s">
        <v>241</v>
      </c>
      <c r="C173" s="1852" t="s">
        <v>132</v>
      </c>
      <c r="D173" s="1438" t="s">
        <v>217</v>
      </c>
      <c r="E173" s="1439"/>
      <c r="F173" s="2001"/>
      <c r="G173" s="1853"/>
      <c r="H173" s="1438" t="s">
        <v>217</v>
      </c>
      <c r="I173" s="1439"/>
      <c r="J173" s="2001"/>
      <c r="K173" s="1853"/>
      <c r="L173" s="1438" t="s">
        <v>217</v>
      </c>
      <c r="M173" s="1439"/>
      <c r="N173" s="2001"/>
      <c r="O173" s="1853"/>
      <c r="P173" s="1438" t="s">
        <v>218</v>
      </c>
      <c r="Q173" s="1439"/>
      <c r="R173" s="2001"/>
      <c r="S173" s="1853"/>
      <c r="T173" s="1438" t="s">
        <v>219</v>
      </c>
      <c r="U173" s="2001"/>
      <c r="V173" s="1444"/>
      <c r="W173" s="1854"/>
      <c r="X173" s="1444"/>
      <c r="Y173" s="1444"/>
      <c r="Z173" s="1444"/>
      <c r="AA173" s="1854"/>
      <c r="AB173" s="1444"/>
      <c r="AC173" s="1444"/>
      <c r="AD173" s="1444"/>
      <c r="AE173" s="1854"/>
      <c r="AF173" s="1444"/>
      <c r="AG173" s="1444"/>
      <c r="AH173" s="1445"/>
      <c r="AI173" s="1855"/>
      <c r="AJ173" s="214"/>
    </row>
    <row r="174" spans="1:36" ht="22.15" customHeight="1" x14ac:dyDescent="0.2">
      <c r="A174" s="109"/>
      <c r="B174" s="1851" t="s">
        <v>242</v>
      </c>
      <c r="C174" s="1856" t="s">
        <v>243</v>
      </c>
      <c r="D174" s="1438" t="s">
        <v>244</v>
      </c>
      <c r="E174" s="1439"/>
      <c r="F174" s="2001"/>
      <c r="G174" s="1853"/>
      <c r="H174" s="1438" t="s">
        <v>244</v>
      </c>
      <c r="I174" s="1439"/>
      <c r="J174" s="2001"/>
      <c r="K174" s="1853"/>
      <c r="L174" s="1438" t="s">
        <v>244</v>
      </c>
      <c r="M174" s="1439"/>
      <c r="N174" s="1439"/>
      <c r="O174" s="1853"/>
      <c r="P174" s="1438" t="s">
        <v>244</v>
      </c>
      <c r="Q174" s="1439"/>
      <c r="R174" s="1439"/>
      <c r="S174" s="1853"/>
      <c r="T174" s="1438" t="s">
        <v>226</v>
      </c>
      <c r="U174" s="2001"/>
      <c r="V174" s="1444"/>
      <c r="W174" s="1857"/>
      <c r="X174" s="1444"/>
      <c r="Y174" s="1444"/>
      <c r="Z174" s="1444"/>
      <c r="AA174" s="1854"/>
      <c r="AB174" s="1444"/>
      <c r="AC174" s="1444"/>
      <c r="AD174" s="1444"/>
      <c r="AE174" s="1854"/>
      <c r="AF174" s="1444"/>
      <c r="AG174" s="1444"/>
      <c r="AH174" s="1445"/>
      <c r="AI174" s="1855"/>
      <c r="AJ174" s="214"/>
    </row>
    <row r="175" spans="1:36" ht="22.15" customHeight="1" x14ac:dyDescent="0.2">
      <c r="A175" s="109"/>
      <c r="B175" s="1851" t="s">
        <v>245</v>
      </c>
      <c r="C175" s="1856" t="s">
        <v>246</v>
      </c>
      <c r="D175" s="1438" t="s">
        <v>244</v>
      </c>
      <c r="E175" s="1439"/>
      <c r="F175" s="2001"/>
      <c r="G175" s="1853"/>
      <c r="H175" s="1438" t="s">
        <v>244</v>
      </c>
      <c r="I175" s="1439"/>
      <c r="J175" s="2001"/>
      <c r="K175" s="1853"/>
      <c r="L175" s="1438" t="s">
        <v>244</v>
      </c>
      <c r="M175" s="1439"/>
      <c r="N175" s="1439"/>
      <c r="O175" s="1853"/>
      <c r="P175" s="1438" t="s">
        <v>244</v>
      </c>
      <c r="Q175" s="1439"/>
      <c r="R175" s="1439"/>
      <c r="S175" s="1853"/>
      <c r="T175" s="1438" t="s">
        <v>226</v>
      </c>
      <c r="U175" s="2001"/>
      <c r="V175" s="1444"/>
      <c r="W175" s="1857"/>
      <c r="X175" s="1444"/>
      <c r="Y175" s="1444"/>
      <c r="Z175" s="2002"/>
      <c r="AA175" s="1452"/>
      <c r="AB175" s="1444"/>
      <c r="AC175" s="1444"/>
      <c r="AD175" s="1444"/>
      <c r="AE175" s="1854"/>
      <c r="AF175" s="1444"/>
      <c r="AG175" s="1444"/>
      <c r="AH175" s="1445"/>
      <c r="AI175" s="1855"/>
      <c r="AJ175" s="214"/>
    </row>
    <row r="176" spans="1:36" ht="22.15" customHeight="1" thickBot="1" x14ac:dyDescent="0.25">
      <c r="A176" s="109"/>
      <c r="B176" s="1851" t="s">
        <v>247</v>
      </c>
      <c r="C176" s="1856" t="s">
        <v>248</v>
      </c>
      <c r="D176" s="1438" t="s">
        <v>244</v>
      </c>
      <c r="E176" s="1439"/>
      <c r="F176" s="2001"/>
      <c r="G176" s="1853"/>
      <c r="H176" s="1438" t="s">
        <v>244</v>
      </c>
      <c r="I176" s="1439"/>
      <c r="J176" s="2001"/>
      <c r="K176" s="1853"/>
      <c r="L176" s="1438" t="s">
        <v>244</v>
      </c>
      <c r="M176" s="1439"/>
      <c r="N176" s="1439"/>
      <c r="O176" s="1853"/>
      <c r="P176" s="1438" t="s">
        <v>244</v>
      </c>
      <c r="Q176" s="1439"/>
      <c r="R176" s="1439"/>
      <c r="S176" s="1853"/>
      <c r="T176" s="1438" t="s">
        <v>226</v>
      </c>
      <c r="U176" s="2001"/>
      <c r="V176" s="1858"/>
      <c r="W176" s="677"/>
      <c r="X176" s="1858"/>
      <c r="Y176" s="1858"/>
      <c r="Z176" s="1859"/>
      <c r="AA176" s="1860"/>
      <c r="AB176" s="1858"/>
      <c r="AC176" s="1858"/>
      <c r="AD176" s="1858"/>
      <c r="AE176" s="678"/>
      <c r="AF176" s="1858"/>
      <c r="AG176" s="1858"/>
      <c r="AH176" s="1861"/>
      <c r="AI176" s="679"/>
      <c r="AJ176" s="214"/>
    </row>
    <row r="177" spans="1:36" ht="22.15" customHeight="1" x14ac:dyDescent="0.2">
      <c r="A177" s="109"/>
      <c r="B177" s="240"/>
      <c r="C177" s="241"/>
      <c r="D177" s="242"/>
      <c r="E177" s="243"/>
      <c r="F177" s="243"/>
      <c r="G177" s="244"/>
      <c r="H177" s="242"/>
      <c r="I177" s="243"/>
      <c r="J177" s="243"/>
      <c r="K177" s="244"/>
      <c r="L177" s="242"/>
      <c r="M177" s="243"/>
      <c r="N177" s="243"/>
      <c r="O177" s="244"/>
      <c r="P177" s="228"/>
      <c r="Q177" s="243"/>
      <c r="R177" s="243"/>
      <c r="S177" s="244"/>
      <c r="T177" s="228"/>
      <c r="U177" s="243"/>
      <c r="V177" s="243"/>
      <c r="W177" s="243"/>
      <c r="X177" s="243"/>
      <c r="Y177" s="243"/>
      <c r="Z177" s="243"/>
      <c r="AA177" s="244"/>
      <c r="AB177" s="243"/>
      <c r="AC177" s="243"/>
      <c r="AD177" s="243"/>
      <c r="AE177" s="244"/>
      <c r="AF177" s="243"/>
      <c r="AG177" s="243"/>
      <c r="AH177" s="215"/>
      <c r="AI177" s="215"/>
      <c r="AJ177" s="214"/>
    </row>
    <row r="178" spans="1:36" ht="22.15" customHeight="1" thickBot="1" x14ac:dyDescent="0.25">
      <c r="A178" s="148"/>
      <c r="B178" s="1457" t="s">
        <v>29</v>
      </c>
      <c r="C178" s="1186">
        <v>1</v>
      </c>
      <c r="D178" s="1186">
        <v>2</v>
      </c>
      <c r="E178" s="1186">
        <v>3</v>
      </c>
      <c r="F178" s="1186">
        <v>4</v>
      </c>
      <c r="G178" s="1185">
        <v>5</v>
      </c>
      <c r="H178" s="1185">
        <v>6</v>
      </c>
      <c r="I178" s="1186">
        <v>7</v>
      </c>
      <c r="J178" s="1186">
        <v>8</v>
      </c>
      <c r="K178" s="1186">
        <v>9</v>
      </c>
      <c r="L178" s="1186">
        <v>10</v>
      </c>
      <c r="M178" s="1186">
        <v>11</v>
      </c>
      <c r="N178" s="1185">
        <v>12</v>
      </c>
      <c r="O178" s="1185">
        <v>13</v>
      </c>
      <c r="P178" s="1186">
        <v>14</v>
      </c>
      <c r="Q178" s="1186">
        <v>15</v>
      </c>
      <c r="R178" s="1186">
        <v>16</v>
      </c>
      <c r="S178" s="1186">
        <v>17</v>
      </c>
      <c r="T178" s="1186">
        <v>18</v>
      </c>
      <c r="U178" s="1185">
        <v>19</v>
      </c>
      <c r="V178" s="1185">
        <v>20</v>
      </c>
      <c r="W178" s="1186">
        <v>21</v>
      </c>
      <c r="X178" s="1186">
        <v>22</v>
      </c>
      <c r="Y178" s="1186">
        <v>23</v>
      </c>
      <c r="Z178" s="1186">
        <v>24</v>
      </c>
      <c r="AA178" s="1186">
        <v>25</v>
      </c>
      <c r="AB178" s="1185">
        <v>26</v>
      </c>
      <c r="AC178" s="1185">
        <v>27</v>
      </c>
      <c r="AD178" s="1186">
        <v>28</v>
      </c>
      <c r="AE178" s="1186">
        <v>29</v>
      </c>
      <c r="AF178" s="1186">
        <v>30</v>
      </c>
      <c r="AG178" s="1945"/>
      <c r="AH178" s="195"/>
      <c r="AI178" s="185"/>
    </row>
    <row r="179" spans="1:36" ht="22.15" customHeight="1" x14ac:dyDescent="0.2">
      <c r="A179" s="109"/>
      <c r="B179" s="411" t="s">
        <v>249</v>
      </c>
      <c r="C179" s="385" t="s">
        <v>216</v>
      </c>
      <c r="D179" s="385" t="s">
        <v>216</v>
      </c>
      <c r="E179" s="385" t="s">
        <v>216</v>
      </c>
      <c r="F179" s="385" t="s">
        <v>216</v>
      </c>
      <c r="G179" s="385"/>
      <c r="H179" s="385"/>
      <c r="I179" s="422" t="s">
        <v>216</v>
      </c>
      <c r="J179" s="422" t="s">
        <v>216</v>
      </c>
      <c r="K179" s="422" t="s">
        <v>216</v>
      </c>
      <c r="L179" s="422" t="s">
        <v>216</v>
      </c>
      <c r="M179" s="422" t="s">
        <v>216</v>
      </c>
      <c r="N179" s="422"/>
      <c r="O179" s="422"/>
      <c r="P179" s="422" t="s">
        <v>216</v>
      </c>
      <c r="Q179" s="422" t="s">
        <v>216</v>
      </c>
      <c r="R179" s="422" t="s">
        <v>216</v>
      </c>
      <c r="S179" s="422" t="s">
        <v>216</v>
      </c>
      <c r="T179" s="422" t="s">
        <v>216</v>
      </c>
      <c r="U179" s="422"/>
      <c r="V179" s="422"/>
      <c r="W179" s="422" t="s">
        <v>216</v>
      </c>
      <c r="X179" s="422" t="s">
        <v>216</v>
      </c>
      <c r="Y179" s="422" t="s">
        <v>216</v>
      </c>
      <c r="Z179" s="422" t="s">
        <v>216</v>
      </c>
      <c r="AA179" s="422" t="s">
        <v>216</v>
      </c>
      <c r="AB179" s="385"/>
      <c r="AC179" s="385"/>
      <c r="AD179" s="415" t="s">
        <v>216</v>
      </c>
      <c r="AE179" s="415" t="s">
        <v>216</v>
      </c>
      <c r="AF179" s="415" t="s">
        <v>216</v>
      </c>
      <c r="AG179" s="412"/>
      <c r="AH179" s="190"/>
      <c r="AI179" s="190"/>
    </row>
    <row r="180" spans="1:36" ht="22.15" customHeight="1" x14ac:dyDescent="0.2">
      <c r="A180" s="109"/>
      <c r="B180" s="1459" t="s">
        <v>250</v>
      </c>
      <c r="C180" s="1306" t="s">
        <v>216</v>
      </c>
      <c r="D180" s="1306" t="s">
        <v>216</v>
      </c>
      <c r="E180" s="1306" t="s">
        <v>216</v>
      </c>
      <c r="F180" s="1306" t="s">
        <v>216</v>
      </c>
      <c r="G180" s="1306"/>
      <c r="H180" s="1306"/>
      <c r="I180" s="1306" t="s">
        <v>216</v>
      </c>
      <c r="J180" s="1306" t="s">
        <v>216</v>
      </c>
      <c r="K180" s="1306" t="s">
        <v>216</v>
      </c>
      <c r="L180" s="1306" t="s">
        <v>216</v>
      </c>
      <c r="M180" s="1306" t="s">
        <v>216</v>
      </c>
      <c r="N180" s="1306"/>
      <c r="O180" s="1306"/>
      <c r="P180" s="1306" t="s">
        <v>216</v>
      </c>
      <c r="Q180" s="1306" t="s">
        <v>216</v>
      </c>
      <c r="R180" s="1306" t="s">
        <v>216</v>
      </c>
      <c r="S180" s="1306" t="s">
        <v>216</v>
      </c>
      <c r="T180" s="1306" t="s">
        <v>216</v>
      </c>
      <c r="U180" s="1306"/>
      <c r="V180" s="1306"/>
      <c r="W180" s="1306" t="s">
        <v>216</v>
      </c>
      <c r="X180" s="1306" t="s">
        <v>216</v>
      </c>
      <c r="Y180" s="1306" t="s">
        <v>216</v>
      </c>
      <c r="Z180" s="1306" t="s">
        <v>216</v>
      </c>
      <c r="AA180" s="1306" t="s">
        <v>216</v>
      </c>
      <c r="AB180" s="1306"/>
      <c r="AC180" s="1306"/>
      <c r="AD180" s="1306" t="s">
        <v>216</v>
      </c>
      <c r="AE180" s="1306" t="s">
        <v>216</v>
      </c>
      <c r="AF180" s="1306" t="s">
        <v>216</v>
      </c>
      <c r="AG180" s="1842"/>
      <c r="AH180" s="190"/>
      <c r="AI180" s="190"/>
    </row>
    <row r="181" spans="1:36" ht="22.15" customHeight="1" x14ac:dyDescent="0.2">
      <c r="A181" s="109"/>
      <c r="B181" s="1459" t="s">
        <v>251</v>
      </c>
      <c r="C181" s="1306" t="s">
        <v>220</v>
      </c>
      <c r="D181" s="1306" t="s">
        <v>220</v>
      </c>
      <c r="E181" s="1306" t="s">
        <v>220</v>
      </c>
      <c r="F181" s="1306" t="s">
        <v>220</v>
      </c>
      <c r="G181" s="1306"/>
      <c r="H181" s="1306"/>
      <c r="I181" s="1306" t="s">
        <v>220</v>
      </c>
      <c r="J181" s="1306" t="s">
        <v>220</v>
      </c>
      <c r="K181" s="1306" t="s">
        <v>220</v>
      </c>
      <c r="L181" s="1306" t="s">
        <v>220</v>
      </c>
      <c r="M181" s="1306" t="s">
        <v>220</v>
      </c>
      <c r="N181" s="1306"/>
      <c r="O181" s="1306"/>
      <c r="P181" s="1306" t="s">
        <v>220</v>
      </c>
      <c r="Q181" s="1306" t="s">
        <v>220</v>
      </c>
      <c r="R181" s="1306" t="s">
        <v>220</v>
      </c>
      <c r="S181" s="1306" t="s">
        <v>220</v>
      </c>
      <c r="T181" s="1306" t="s">
        <v>220</v>
      </c>
      <c r="U181" s="1306"/>
      <c r="V181" s="1306"/>
      <c r="W181" s="1306" t="s">
        <v>220</v>
      </c>
      <c r="X181" s="1306" t="s">
        <v>220</v>
      </c>
      <c r="Y181" s="1306" t="s">
        <v>220</v>
      </c>
      <c r="Z181" s="1306" t="s">
        <v>220</v>
      </c>
      <c r="AA181" s="1306" t="s">
        <v>220</v>
      </c>
      <c r="AB181" s="1306"/>
      <c r="AC181" s="1306"/>
      <c r="AD181" s="1460" t="s">
        <v>220</v>
      </c>
      <c r="AE181" s="1460" t="s">
        <v>220</v>
      </c>
      <c r="AF181" s="1460" t="s">
        <v>220</v>
      </c>
      <c r="AG181" s="1842"/>
      <c r="AH181" s="190"/>
      <c r="AI181" s="190"/>
    </row>
    <row r="182" spans="1:36" ht="22.15" customHeight="1" x14ac:dyDescent="0.2">
      <c r="A182" s="109"/>
      <c r="B182" s="1459" t="s">
        <v>252</v>
      </c>
      <c r="C182" s="1306" t="s">
        <v>158</v>
      </c>
      <c r="D182" s="1306" t="s">
        <v>158</v>
      </c>
      <c r="E182" s="1623" t="s">
        <v>158</v>
      </c>
      <c r="F182" s="1623" t="s">
        <v>158</v>
      </c>
      <c r="G182" s="1623"/>
      <c r="H182" s="1623" t="s">
        <v>118</v>
      </c>
      <c r="I182" s="1734" t="s">
        <v>158</v>
      </c>
      <c r="J182" s="1734" t="s">
        <v>158</v>
      </c>
      <c r="K182" s="1306" t="s">
        <v>158</v>
      </c>
      <c r="L182" s="1306" t="s">
        <v>158</v>
      </c>
      <c r="M182" s="1306" t="s">
        <v>158</v>
      </c>
      <c r="N182" s="1306"/>
      <c r="O182" s="1306"/>
      <c r="P182" s="1306" t="s">
        <v>158</v>
      </c>
      <c r="Q182" s="1306" t="s">
        <v>158</v>
      </c>
      <c r="R182" s="1306" t="s">
        <v>158</v>
      </c>
      <c r="S182" s="1306" t="s">
        <v>158</v>
      </c>
      <c r="T182" s="1306" t="s">
        <v>158</v>
      </c>
      <c r="U182" s="1306"/>
      <c r="V182" s="1306"/>
      <c r="W182" s="1306" t="s">
        <v>158</v>
      </c>
      <c r="X182" s="1306" t="s">
        <v>158</v>
      </c>
      <c r="Y182" s="1306" t="s">
        <v>158</v>
      </c>
      <c r="Z182" s="1306" t="s">
        <v>158</v>
      </c>
      <c r="AA182" s="1306" t="s">
        <v>158</v>
      </c>
      <c r="AB182" s="1306"/>
      <c r="AC182" s="1306"/>
      <c r="AD182" s="1306" t="s">
        <v>158</v>
      </c>
      <c r="AE182" s="1306" t="s">
        <v>158</v>
      </c>
      <c r="AF182" s="1306" t="s">
        <v>158</v>
      </c>
      <c r="AG182" s="1842"/>
      <c r="AH182" s="190"/>
      <c r="AI182" s="190"/>
    </row>
    <row r="183" spans="1:36" ht="22.15" customHeight="1" x14ac:dyDescent="0.2">
      <c r="A183" s="109"/>
      <c r="B183" s="1665" t="s">
        <v>253</v>
      </c>
      <c r="C183" s="1306" t="s">
        <v>223</v>
      </c>
      <c r="D183" s="1306" t="s">
        <v>223</v>
      </c>
      <c r="E183" s="1465" t="s">
        <v>223</v>
      </c>
      <c r="F183" s="1306" t="s">
        <v>223</v>
      </c>
      <c r="G183" s="1306"/>
      <c r="H183" s="1306"/>
      <c r="I183" s="1306" t="s">
        <v>223</v>
      </c>
      <c r="J183" s="1306" t="s">
        <v>223</v>
      </c>
      <c r="K183" s="1306" t="s">
        <v>223</v>
      </c>
      <c r="L183" s="1306" t="s">
        <v>223</v>
      </c>
      <c r="M183" s="1306" t="s">
        <v>223</v>
      </c>
      <c r="N183" s="1306"/>
      <c r="O183" s="1306"/>
      <c r="P183" s="1306" t="s">
        <v>223</v>
      </c>
      <c r="Q183" s="1306" t="s">
        <v>223</v>
      </c>
      <c r="R183" s="1306" t="s">
        <v>223</v>
      </c>
      <c r="S183" s="1306" t="s">
        <v>223</v>
      </c>
      <c r="T183" s="1306" t="s">
        <v>223</v>
      </c>
      <c r="U183" s="1306"/>
      <c r="V183" s="1306"/>
      <c r="W183" s="1306" t="s">
        <v>223</v>
      </c>
      <c r="X183" s="1306" t="s">
        <v>223</v>
      </c>
      <c r="Y183" s="1306" t="s">
        <v>223</v>
      </c>
      <c r="Z183" s="1306" t="s">
        <v>223</v>
      </c>
      <c r="AA183" s="1306" t="s">
        <v>223</v>
      </c>
      <c r="AB183" s="1306"/>
      <c r="AC183" s="1306"/>
      <c r="AD183" s="1306" t="s">
        <v>223</v>
      </c>
      <c r="AE183" s="1306" t="s">
        <v>223</v>
      </c>
      <c r="AF183" s="1306" t="s">
        <v>223</v>
      </c>
      <c r="AG183" s="1842"/>
      <c r="AH183" s="190"/>
      <c r="AI183" s="190"/>
    </row>
    <row r="184" spans="1:36" ht="22.15" customHeight="1" x14ac:dyDescent="0.2">
      <c r="A184" s="109"/>
      <c r="B184" s="1330" t="s">
        <v>254</v>
      </c>
      <c r="C184" s="1306" t="s">
        <v>228</v>
      </c>
      <c r="D184" s="1306" t="s">
        <v>228</v>
      </c>
      <c r="E184" s="1306" t="s">
        <v>228</v>
      </c>
      <c r="F184" s="1306" t="s">
        <v>228</v>
      </c>
      <c r="G184" s="1306"/>
      <c r="H184" s="1306"/>
      <c r="I184" s="1712" t="s">
        <v>228</v>
      </c>
      <c r="J184" s="1712" t="s">
        <v>228</v>
      </c>
      <c r="K184" s="1712" t="s">
        <v>228</v>
      </c>
      <c r="L184" s="1712" t="s">
        <v>228</v>
      </c>
      <c r="M184" s="1712" t="s">
        <v>228</v>
      </c>
      <c r="N184" s="1712"/>
      <c r="O184" s="1712"/>
      <c r="P184" s="1712" t="s">
        <v>228</v>
      </c>
      <c r="Q184" s="1712" t="s">
        <v>228</v>
      </c>
      <c r="R184" s="1712" t="s">
        <v>228</v>
      </c>
      <c r="S184" s="1712" t="s">
        <v>228</v>
      </c>
      <c r="T184" s="1712" t="s">
        <v>228</v>
      </c>
      <c r="U184" s="1712"/>
      <c r="V184" s="1712"/>
      <c r="W184" s="1712" t="s">
        <v>228</v>
      </c>
      <c r="X184" s="1712" t="s">
        <v>228</v>
      </c>
      <c r="Y184" s="1712" t="s">
        <v>228</v>
      </c>
      <c r="Z184" s="1712" t="s">
        <v>228</v>
      </c>
      <c r="AA184" s="1712" t="s">
        <v>228</v>
      </c>
      <c r="AB184" s="1306"/>
      <c r="AC184" s="1306"/>
      <c r="AD184" s="1863" t="s">
        <v>228</v>
      </c>
      <c r="AE184" s="1863" t="s">
        <v>228</v>
      </c>
      <c r="AF184" s="1306" t="s">
        <v>228</v>
      </c>
      <c r="AG184" s="1842"/>
      <c r="AH184" s="190"/>
      <c r="AI184" s="190"/>
    </row>
    <row r="185" spans="1:36" ht="22.15" customHeight="1" x14ac:dyDescent="0.2">
      <c r="A185" s="109"/>
      <c r="B185" s="1459" t="s">
        <v>255</v>
      </c>
      <c r="C185" s="1612" t="s">
        <v>233</v>
      </c>
      <c r="D185" s="1612" t="s">
        <v>233</v>
      </c>
      <c r="E185" s="1612" t="s">
        <v>233</v>
      </c>
      <c r="F185" s="1612" t="s">
        <v>233</v>
      </c>
      <c r="G185" s="1612"/>
      <c r="H185" s="1612"/>
      <c r="I185" s="1612" t="s">
        <v>233</v>
      </c>
      <c r="J185" s="1612" t="s">
        <v>233</v>
      </c>
      <c r="K185" s="1612" t="s">
        <v>233</v>
      </c>
      <c r="L185" s="1612" t="s">
        <v>233</v>
      </c>
      <c r="M185" s="1612" t="s">
        <v>233</v>
      </c>
      <c r="N185" s="1612"/>
      <c r="O185" s="1612"/>
      <c r="P185" s="1612" t="s">
        <v>233</v>
      </c>
      <c r="Q185" s="1612" t="s">
        <v>233</v>
      </c>
      <c r="R185" s="1612" t="s">
        <v>233</v>
      </c>
      <c r="S185" s="1612" t="s">
        <v>233</v>
      </c>
      <c r="T185" s="1612" t="s">
        <v>233</v>
      </c>
      <c r="U185" s="1612"/>
      <c r="V185" s="1612"/>
      <c r="W185" s="1612" t="s">
        <v>233</v>
      </c>
      <c r="X185" s="1612" t="s">
        <v>233</v>
      </c>
      <c r="Y185" s="1612" t="s">
        <v>233</v>
      </c>
      <c r="Z185" s="1612" t="s">
        <v>233</v>
      </c>
      <c r="AA185" s="1612" t="s">
        <v>233</v>
      </c>
      <c r="AB185" s="1612"/>
      <c r="AC185" s="1612"/>
      <c r="AD185" s="1612" t="s">
        <v>233</v>
      </c>
      <c r="AE185" s="1612" t="s">
        <v>233</v>
      </c>
      <c r="AF185" s="1612" t="s">
        <v>233</v>
      </c>
      <c r="AG185" s="1842"/>
      <c r="AH185" s="190"/>
      <c r="AI185" s="190"/>
    </row>
    <row r="186" spans="1:36" ht="22.15" customHeight="1" x14ac:dyDescent="0.2">
      <c r="A186" s="109"/>
      <c r="B186" s="1715" t="s">
        <v>256</v>
      </c>
      <c r="C186" s="1306" t="s">
        <v>235</v>
      </c>
      <c r="D186" s="1306" t="s">
        <v>235</v>
      </c>
      <c r="E186" s="1306" t="s">
        <v>235</v>
      </c>
      <c r="F186" s="1306" t="s">
        <v>235</v>
      </c>
      <c r="G186" s="1306"/>
      <c r="H186" s="1306"/>
      <c r="I186" s="1460" t="s">
        <v>235</v>
      </c>
      <c r="J186" s="1460" t="s">
        <v>391</v>
      </c>
      <c r="K186" s="1725" t="s">
        <v>235</v>
      </c>
      <c r="L186" s="1725" t="s">
        <v>235</v>
      </c>
      <c r="M186" s="2057" t="s">
        <v>235</v>
      </c>
      <c r="N186" s="1306"/>
      <c r="O186" s="1306"/>
      <c r="P186" s="2057" t="s">
        <v>235</v>
      </c>
      <c r="Q186" s="2057" t="s">
        <v>391</v>
      </c>
      <c r="R186" s="1306" t="s">
        <v>235</v>
      </c>
      <c r="S186" s="1306" t="s">
        <v>235</v>
      </c>
      <c r="T186" s="1306" t="s">
        <v>235</v>
      </c>
      <c r="U186" s="1306"/>
      <c r="V186" s="1306"/>
      <c r="W186" s="1306" t="s">
        <v>235</v>
      </c>
      <c r="X186" s="1306" t="s">
        <v>235</v>
      </c>
      <c r="Y186" s="1306" t="s">
        <v>235</v>
      </c>
      <c r="Z186" s="1306" t="s">
        <v>235</v>
      </c>
      <c r="AA186" s="1306" t="s">
        <v>235</v>
      </c>
      <c r="AB186" s="1306"/>
      <c r="AC186" s="1306"/>
      <c r="AD186" s="2058" t="s">
        <v>392</v>
      </c>
      <c r="AE186" s="2058" t="s">
        <v>392</v>
      </c>
      <c r="AF186" s="2058" t="s">
        <v>392</v>
      </c>
      <c r="AG186" s="1842"/>
      <c r="AH186" s="190"/>
      <c r="AI186" s="190"/>
    </row>
    <row r="187" spans="1:36" ht="22.15" customHeight="1" x14ac:dyDescent="0.2">
      <c r="A187" s="109"/>
      <c r="B187" s="1459" t="s">
        <v>257</v>
      </c>
      <c r="C187" s="1306" t="s">
        <v>236</v>
      </c>
      <c r="D187" s="1306" t="s">
        <v>236</v>
      </c>
      <c r="E187" s="1306" t="s">
        <v>236</v>
      </c>
      <c r="F187" s="1306" t="s">
        <v>236</v>
      </c>
      <c r="G187" s="1306"/>
      <c r="H187" s="1306"/>
      <c r="I187" s="1306" t="s">
        <v>236</v>
      </c>
      <c r="J187" s="1306" t="s">
        <v>236</v>
      </c>
      <c r="K187" s="1306" t="s">
        <v>236</v>
      </c>
      <c r="L187" s="1306" t="s">
        <v>236</v>
      </c>
      <c r="M187" s="1306" t="s">
        <v>236</v>
      </c>
      <c r="N187" s="1306"/>
      <c r="O187" s="1306"/>
      <c r="P187" s="1306" t="s">
        <v>236</v>
      </c>
      <c r="Q187" s="1306" t="s">
        <v>236</v>
      </c>
      <c r="R187" s="1734" t="s">
        <v>236</v>
      </c>
      <c r="S187" s="1430" t="s">
        <v>236</v>
      </c>
      <c r="T187" s="1430" t="s">
        <v>236</v>
      </c>
      <c r="U187" s="1306"/>
      <c r="V187" s="1306"/>
      <c r="W187" s="1430" t="s">
        <v>236</v>
      </c>
      <c r="X187" s="1430" t="s">
        <v>354</v>
      </c>
      <c r="Y187" s="1306" t="s">
        <v>236</v>
      </c>
      <c r="Z187" s="1306" t="s">
        <v>236</v>
      </c>
      <c r="AA187" s="1465" t="s">
        <v>236</v>
      </c>
      <c r="AB187" s="1306"/>
      <c r="AC187" s="1306"/>
      <c r="AD187" s="1306" t="s">
        <v>236</v>
      </c>
      <c r="AE187" s="1306" t="s">
        <v>236</v>
      </c>
      <c r="AF187" s="1306" t="s">
        <v>236</v>
      </c>
      <c r="AG187" s="1842"/>
      <c r="AH187" s="190"/>
      <c r="AI187" s="190"/>
    </row>
    <row r="188" spans="1:36" ht="22.15" customHeight="1" x14ac:dyDescent="0.2">
      <c r="A188" s="109"/>
      <c r="B188" s="1459" t="s">
        <v>258</v>
      </c>
      <c r="C188" s="1306" t="s">
        <v>238</v>
      </c>
      <c r="D188" s="1306" t="s">
        <v>238</v>
      </c>
      <c r="E188" s="1306" t="s">
        <v>238</v>
      </c>
      <c r="F188" s="1306" t="s">
        <v>238</v>
      </c>
      <c r="G188" s="1306"/>
      <c r="H188" s="1306"/>
      <c r="I188" s="1306" t="s">
        <v>238</v>
      </c>
      <c r="J188" s="1306" t="s">
        <v>238</v>
      </c>
      <c r="K188" s="1430" t="s">
        <v>238</v>
      </c>
      <c r="L188" s="1430" t="s">
        <v>259</v>
      </c>
      <c r="M188" s="1734" t="s">
        <v>238</v>
      </c>
      <c r="N188" s="1734"/>
      <c r="O188" s="1734"/>
      <c r="P188" s="1306" t="s">
        <v>238</v>
      </c>
      <c r="Q188" s="1306" t="s">
        <v>238</v>
      </c>
      <c r="R188" s="1306" t="s">
        <v>238</v>
      </c>
      <c r="S188" s="1306" t="s">
        <v>238</v>
      </c>
      <c r="T188" s="1306" t="s">
        <v>238</v>
      </c>
      <c r="U188" s="1306"/>
      <c r="V188" s="1306"/>
      <c r="W188" s="1306" t="s">
        <v>238</v>
      </c>
      <c r="X188" s="1306" t="s">
        <v>238</v>
      </c>
      <c r="Y188" s="1306" t="s">
        <v>238</v>
      </c>
      <c r="Z188" s="1306" t="s">
        <v>238</v>
      </c>
      <c r="AA188" s="1306" t="s">
        <v>238</v>
      </c>
      <c r="AB188" s="1306"/>
      <c r="AC188" s="1306"/>
      <c r="AD188" s="1306" t="s">
        <v>238</v>
      </c>
      <c r="AE188" s="1306" t="s">
        <v>238</v>
      </c>
      <c r="AF188" s="1306" t="s">
        <v>238</v>
      </c>
      <c r="AG188" s="1842"/>
      <c r="AH188" s="190"/>
      <c r="AI188" s="190"/>
    </row>
    <row r="189" spans="1:36" ht="22.15" customHeight="1" x14ac:dyDescent="0.2">
      <c r="A189" s="109"/>
      <c r="B189" s="1715" t="s">
        <v>260</v>
      </c>
      <c r="C189" s="1306" t="s">
        <v>80</v>
      </c>
      <c r="D189" s="1306" t="s">
        <v>80</v>
      </c>
      <c r="E189" s="1306" t="s">
        <v>80</v>
      </c>
      <c r="F189" s="1306" t="s">
        <v>80</v>
      </c>
      <c r="G189" s="1306"/>
      <c r="H189" s="1306"/>
      <c r="I189" s="1712" t="s">
        <v>80</v>
      </c>
      <c r="J189" s="1712" t="s">
        <v>80</v>
      </c>
      <c r="K189" s="1712" t="s">
        <v>80</v>
      </c>
      <c r="L189" s="1712" t="s">
        <v>80</v>
      </c>
      <c r="M189" s="1712" t="s">
        <v>80</v>
      </c>
      <c r="N189" s="1712"/>
      <c r="O189" s="1712"/>
      <c r="P189" s="1712" t="s">
        <v>80</v>
      </c>
      <c r="Q189" s="1712" t="s">
        <v>80</v>
      </c>
      <c r="R189" s="1712" t="s">
        <v>80</v>
      </c>
      <c r="S189" s="1712" t="s">
        <v>80</v>
      </c>
      <c r="T189" s="1712" t="s">
        <v>80</v>
      </c>
      <c r="U189" s="1712"/>
      <c r="V189" s="1712"/>
      <c r="W189" s="1306" t="s">
        <v>80</v>
      </c>
      <c r="X189" s="1306" t="s">
        <v>80</v>
      </c>
      <c r="Y189" s="1306" t="s">
        <v>80</v>
      </c>
      <c r="Z189" s="1306" t="s">
        <v>80</v>
      </c>
      <c r="AA189" s="1306" t="s">
        <v>80</v>
      </c>
      <c r="AB189" s="1306"/>
      <c r="AC189" s="1306"/>
      <c r="AD189" s="1306" t="s">
        <v>80</v>
      </c>
      <c r="AE189" s="1306" t="s">
        <v>80</v>
      </c>
      <c r="AF189" s="1306" t="s">
        <v>80</v>
      </c>
      <c r="AG189" s="1842"/>
      <c r="AH189" s="190"/>
      <c r="AI189" s="190"/>
    </row>
    <row r="190" spans="1:36" ht="22.15" customHeight="1" x14ac:dyDescent="0.2">
      <c r="A190" s="109"/>
      <c r="B190" s="1459" t="s">
        <v>261</v>
      </c>
      <c r="C190" s="1712" t="s">
        <v>132</v>
      </c>
      <c r="D190" s="1712" t="s">
        <v>132</v>
      </c>
      <c r="E190" s="1712" t="s">
        <v>132</v>
      </c>
      <c r="F190" s="1712" t="s">
        <v>132</v>
      </c>
      <c r="G190" s="1712"/>
      <c r="H190" s="1712"/>
      <c r="I190" s="1465" t="s">
        <v>132</v>
      </c>
      <c r="J190" s="1465" t="s">
        <v>132</v>
      </c>
      <c r="K190" s="1465" t="s">
        <v>132</v>
      </c>
      <c r="L190" s="1465" t="s">
        <v>132</v>
      </c>
      <c r="M190" s="1465" t="s">
        <v>132</v>
      </c>
      <c r="N190" s="1306"/>
      <c r="O190" s="1306"/>
      <c r="P190" s="1306" t="s">
        <v>132</v>
      </c>
      <c r="Q190" s="1306" t="s">
        <v>132</v>
      </c>
      <c r="R190" s="1306" t="s">
        <v>132</v>
      </c>
      <c r="S190" s="1306" t="s">
        <v>132</v>
      </c>
      <c r="T190" s="1306" t="s">
        <v>132</v>
      </c>
      <c r="U190" s="1306"/>
      <c r="V190" s="1306"/>
      <c r="W190" s="1306" t="s">
        <v>132</v>
      </c>
      <c r="X190" s="1306" t="s">
        <v>132</v>
      </c>
      <c r="Y190" s="1306" t="s">
        <v>132</v>
      </c>
      <c r="Z190" s="1306" t="s">
        <v>132</v>
      </c>
      <c r="AA190" s="1306" t="s">
        <v>132</v>
      </c>
      <c r="AB190" s="1306"/>
      <c r="AC190" s="1306"/>
      <c r="AD190" s="1306" t="s">
        <v>132</v>
      </c>
      <c r="AE190" s="1306" t="s">
        <v>132</v>
      </c>
      <c r="AF190" s="1306" t="s">
        <v>132</v>
      </c>
      <c r="AG190" s="1842"/>
      <c r="AH190" s="190"/>
      <c r="AI190" s="190"/>
    </row>
    <row r="191" spans="1:36" ht="22.15" customHeight="1" x14ac:dyDescent="0.2">
      <c r="A191" s="109"/>
      <c r="B191" s="1715" t="s">
        <v>355</v>
      </c>
      <c r="C191" s="1623" t="s">
        <v>243</v>
      </c>
      <c r="D191" s="1623" t="s">
        <v>243</v>
      </c>
      <c r="E191" s="1623" t="s">
        <v>243</v>
      </c>
      <c r="F191" s="1623" t="s">
        <v>243</v>
      </c>
      <c r="G191" s="1460"/>
      <c r="H191" s="1460"/>
      <c r="I191" s="1460" t="s">
        <v>243</v>
      </c>
      <c r="J191" s="1460" t="s">
        <v>243</v>
      </c>
      <c r="K191" s="1460" t="s">
        <v>243</v>
      </c>
      <c r="L191" s="1460" t="s">
        <v>243</v>
      </c>
      <c r="M191" s="1460" t="s">
        <v>379</v>
      </c>
      <c r="N191" s="1306"/>
      <c r="O191" s="1306"/>
      <c r="P191" s="1306"/>
      <c r="Q191" s="1306"/>
      <c r="R191" s="1306"/>
      <c r="S191" s="1306"/>
      <c r="T191" s="1306"/>
      <c r="U191" s="1306"/>
      <c r="V191" s="1306"/>
      <c r="W191" s="1306"/>
      <c r="X191" s="1306"/>
      <c r="Y191" s="1306"/>
      <c r="Z191" s="1734"/>
      <c r="AA191" s="1734"/>
      <c r="AB191" s="1306"/>
      <c r="AC191" s="1306"/>
      <c r="AD191" s="1734"/>
      <c r="AE191" s="1734"/>
      <c r="AF191" s="1734"/>
      <c r="AG191" s="1842"/>
      <c r="AH191" s="190"/>
      <c r="AI191" s="190"/>
    </row>
    <row r="192" spans="1:36" ht="22.15" customHeight="1" x14ac:dyDescent="0.2">
      <c r="A192" s="109"/>
      <c r="B192" s="1715" t="s">
        <v>263</v>
      </c>
      <c r="C192" s="1306" t="s">
        <v>246</v>
      </c>
      <c r="D192" s="1306" t="s">
        <v>246</v>
      </c>
      <c r="E192" s="1306" t="s">
        <v>246</v>
      </c>
      <c r="F192" s="1306" t="s">
        <v>246</v>
      </c>
      <c r="G192" s="1306"/>
      <c r="H192" s="1306"/>
      <c r="I192" s="1306" t="s">
        <v>246</v>
      </c>
      <c r="J192" s="1306" t="s">
        <v>246</v>
      </c>
      <c r="K192" s="1306" t="s">
        <v>246</v>
      </c>
      <c r="L192" s="1306" t="s">
        <v>246</v>
      </c>
      <c r="M192" s="1306" t="s">
        <v>246</v>
      </c>
      <c r="N192" s="1306"/>
      <c r="O192" s="1306"/>
      <c r="P192" s="1306" t="s">
        <v>246</v>
      </c>
      <c r="Q192" s="1306" t="s">
        <v>246</v>
      </c>
      <c r="R192" s="1306" t="s">
        <v>246</v>
      </c>
      <c r="S192" s="1306" t="s">
        <v>246</v>
      </c>
      <c r="T192" s="1306" t="s">
        <v>246</v>
      </c>
      <c r="U192" s="1306"/>
      <c r="V192" s="1306"/>
      <c r="W192" s="1306" t="s">
        <v>246</v>
      </c>
      <c r="X192" s="1306" t="s">
        <v>246</v>
      </c>
      <c r="Y192" s="1306" t="s">
        <v>246</v>
      </c>
      <c r="Z192" s="1306" t="s">
        <v>246</v>
      </c>
      <c r="AA192" s="1306" t="s">
        <v>246</v>
      </c>
      <c r="AB192" s="1306"/>
      <c r="AC192" s="1306"/>
      <c r="AD192" s="1306" t="s">
        <v>246</v>
      </c>
      <c r="AE192" s="1306" t="s">
        <v>246</v>
      </c>
      <c r="AF192" s="1306" t="s">
        <v>246</v>
      </c>
      <c r="AG192" s="1842"/>
      <c r="AH192" s="107"/>
      <c r="AI192" s="107"/>
    </row>
    <row r="193" spans="1:35" ht="21" customHeight="1" thickBot="1" x14ac:dyDescent="0.25">
      <c r="A193" s="148"/>
      <c r="B193" s="692" t="s">
        <v>264</v>
      </c>
      <c r="C193" s="696" t="s">
        <v>248</v>
      </c>
      <c r="D193" s="696" t="s">
        <v>248</v>
      </c>
      <c r="E193" s="696" t="s">
        <v>248</v>
      </c>
      <c r="F193" s="696" t="s">
        <v>248</v>
      </c>
      <c r="G193" s="696"/>
      <c r="H193" s="696"/>
      <c r="I193" s="696" t="s">
        <v>248</v>
      </c>
      <c r="J193" s="696" t="s">
        <v>248</v>
      </c>
      <c r="K193" s="696" t="s">
        <v>248</v>
      </c>
      <c r="L193" s="696" t="s">
        <v>248</v>
      </c>
      <c r="M193" s="696" t="s">
        <v>248</v>
      </c>
      <c r="N193" s="696"/>
      <c r="O193" s="696"/>
      <c r="P193" s="696" t="s">
        <v>248</v>
      </c>
      <c r="Q193" s="696" t="s">
        <v>248</v>
      </c>
      <c r="R193" s="696" t="s">
        <v>248</v>
      </c>
      <c r="S193" s="696" t="s">
        <v>248</v>
      </c>
      <c r="T193" s="696" t="s">
        <v>248</v>
      </c>
      <c r="U193" s="696"/>
      <c r="V193" s="696"/>
      <c r="W193" s="696" t="s">
        <v>248</v>
      </c>
      <c r="X193" s="696" t="s">
        <v>248</v>
      </c>
      <c r="Y193" s="696" t="s">
        <v>248</v>
      </c>
      <c r="Z193" s="696" t="s">
        <v>248</v>
      </c>
      <c r="AA193" s="696" t="s">
        <v>248</v>
      </c>
      <c r="AB193" s="696"/>
      <c r="AC193" s="696"/>
      <c r="AD193" s="696" t="s">
        <v>248</v>
      </c>
      <c r="AE193" s="696" t="s">
        <v>248</v>
      </c>
      <c r="AF193" s="696" t="s">
        <v>248</v>
      </c>
      <c r="AG193" s="217"/>
      <c r="AH193" s="115"/>
    </row>
    <row r="194" spans="1:35" ht="21" customHeight="1" x14ac:dyDescent="0.2">
      <c r="A194" s="148"/>
      <c r="B194" s="257"/>
      <c r="C194" s="255"/>
      <c r="D194" s="255"/>
      <c r="E194" s="255"/>
      <c r="F194" s="255"/>
      <c r="G194" s="255"/>
      <c r="H194" s="255"/>
      <c r="I194" s="255"/>
      <c r="J194" s="255"/>
      <c r="K194" s="255"/>
      <c r="L194" s="255"/>
      <c r="M194" s="255"/>
      <c r="N194" s="255"/>
      <c r="O194" s="255"/>
      <c r="P194" s="255"/>
      <c r="Q194" s="255"/>
      <c r="R194" s="255"/>
      <c r="S194" s="255"/>
      <c r="T194" s="255"/>
      <c r="U194" s="255"/>
      <c r="V194" s="255"/>
      <c r="W194" s="255"/>
      <c r="X194" s="255"/>
      <c r="Y194" s="255"/>
      <c r="Z194" s="255"/>
      <c r="AA194" s="255"/>
      <c r="AB194" s="255"/>
      <c r="AC194" s="255"/>
      <c r="AD194" s="255"/>
      <c r="AE194" s="255"/>
      <c r="AF194" s="255"/>
      <c r="AG194" s="255"/>
      <c r="AH194" s="115"/>
    </row>
    <row r="195" spans="1:35" ht="22.15" customHeight="1" x14ac:dyDescent="0.2"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  <c r="AF195" s="37"/>
      <c r="AG195" s="37"/>
    </row>
    <row r="196" spans="1:35" ht="22.15" customHeight="1" thickBot="1" x14ac:dyDescent="0.25">
      <c r="A196" s="1" t="s">
        <v>266</v>
      </c>
      <c r="B196" s="59"/>
    </row>
    <row r="197" spans="1:35" ht="22.15" customHeight="1" x14ac:dyDescent="0.2">
      <c r="A197" s="1"/>
      <c r="B197" s="1466" t="s">
        <v>267</v>
      </c>
      <c r="C197" s="525" t="s">
        <v>90</v>
      </c>
      <c r="D197" s="525"/>
      <c r="E197" s="525"/>
      <c r="F197" s="525"/>
      <c r="G197" s="526" t="s">
        <v>91</v>
      </c>
      <c r="H197" s="525"/>
      <c r="I197" s="525"/>
      <c r="J197" s="525"/>
      <c r="K197" s="526" t="s">
        <v>92</v>
      </c>
      <c r="L197" s="525"/>
      <c r="M197" s="525"/>
      <c r="N197" s="525"/>
      <c r="O197" s="526" t="s">
        <v>93</v>
      </c>
      <c r="P197" s="525"/>
      <c r="Q197" s="525"/>
      <c r="R197" s="525"/>
      <c r="S197" s="526" t="s">
        <v>94</v>
      </c>
      <c r="T197" s="525"/>
      <c r="U197" s="525"/>
      <c r="V197" s="525"/>
      <c r="W197" s="527" t="s">
        <v>95</v>
      </c>
      <c r="X197" s="473"/>
      <c r="Y197" s="525"/>
      <c r="Z197" s="528"/>
      <c r="AA197" s="527" t="s">
        <v>96</v>
      </c>
      <c r="AB197" s="473"/>
      <c r="AC197" s="525"/>
      <c r="AD197" s="528"/>
      <c r="AE197" s="529" t="s">
        <v>97</v>
      </c>
      <c r="AF197" s="525"/>
      <c r="AG197" s="525"/>
      <c r="AH197" s="525"/>
      <c r="AI197" s="474"/>
    </row>
    <row r="198" spans="1:35" ht="22.15" customHeight="1" x14ac:dyDescent="0.2">
      <c r="A198" s="1"/>
      <c r="B198" s="1467">
        <v>3701</v>
      </c>
      <c r="C198" s="110" t="s">
        <v>268</v>
      </c>
      <c r="D198" s="110"/>
      <c r="E198" s="110"/>
      <c r="F198" s="110"/>
      <c r="G198" s="2009" t="s">
        <v>269</v>
      </c>
      <c r="H198" s="110"/>
      <c r="I198" s="110"/>
      <c r="J198" s="110"/>
      <c r="K198" s="2009" t="s">
        <v>269</v>
      </c>
      <c r="L198" s="110"/>
      <c r="M198" s="110"/>
      <c r="N198" s="110"/>
      <c r="O198" s="2009" t="s">
        <v>269</v>
      </c>
      <c r="P198" s="110"/>
      <c r="Q198" s="110"/>
      <c r="R198" s="110"/>
      <c r="S198" s="2009" t="s">
        <v>270</v>
      </c>
      <c r="T198" s="110"/>
      <c r="U198" s="110"/>
      <c r="V198" s="110"/>
      <c r="W198" s="1865"/>
      <c r="X198" s="1866"/>
      <c r="Y198" s="1235"/>
      <c r="Z198" s="1867"/>
      <c r="AA198" s="1865"/>
      <c r="AB198" s="1866"/>
      <c r="AC198" s="1235"/>
      <c r="AD198" s="1867"/>
      <c r="AE198" s="1391"/>
      <c r="AF198" s="1235"/>
      <c r="AG198" s="1235"/>
      <c r="AH198" s="1235"/>
      <c r="AI198" s="1176"/>
    </row>
    <row r="199" spans="1:35" ht="22.15" customHeight="1" x14ac:dyDescent="0.2">
      <c r="A199" s="2010"/>
      <c r="B199" s="1466"/>
      <c r="C199" s="2011"/>
      <c r="D199" s="1474"/>
      <c r="E199" s="1474"/>
      <c r="F199" s="1868"/>
      <c r="G199" s="2011"/>
      <c r="H199" s="1474"/>
      <c r="I199" s="1474"/>
      <c r="J199" s="1868"/>
      <c r="K199" s="2011"/>
      <c r="L199" s="1474"/>
      <c r="M199" s="1474"/>
      <c r="N199" s="1868"/>
      <c r="O199" s="2011"/>
      <c r="P199" s="1474"/>
      <c r="Q199" s="1474"/>
      <c r="R199" s="1868"/>
      <c r="S199" s="2011"/>
      <c r="T199" s="1474"/>
      <c r="U199" s="1474"/>
      <c r="V199" s="1474"/>
      <c r="W199" s="1865"/>
      <c r="X199" s="1866"/>
      <c r="Y199" s="1235"/>
      <c r="Z199" s="1867"/>
      <c r="AA199" s="1865"/>
      <c r="AB199" s="1866"/>
      <c r="AC199" s="1235"/>
      <c r="AD199" s="1867"/>
      <c r="AE199" s="1391"/>
      <c r="AF199" s="1235"/>
      <c r="AG199" s="1235"/>
      <c r="AH199" s="1235"/>
      <c r="AI199" s="1176"/>
    </row>
    <row r="200" spans="1:35" ht="22.15" customHeight="1" x14ac:dyDescent="0.2">
      <c r="A200" s="2010"/>
      <c r="B200" s="1466"/>
      <c r="C200" s="2011"/>
      <c r="D200" s="1474"/>
      <c r="E200" s="1474"/>
      <c r="F200" s="1868"/>
      <c r="G200" s="2011"/>
      <c r="H200" s="1474"/>
      <c r="I200" s="1474"/>
      <c r="J200" s="1868"/>
      <c r="K200" s="2011"/>
      <c r="L200" s="1474"/>
      <c r="M200" s="1474"/>
      <c r="N200" s="1868"/>
      <c r="O200" s="2011"/>
      <c r="P200" s="1474"/>
      <c r="Q200" s="1474"/>
      <c r="R200" s="1868"/>
      <c r="S200" s="2011"/>
      <c r="T200" s="1474"/>
      <c r="U200" s="1474"/>
      <c r="V200" s="1474"/>
      <c r="W200" s="1865"/>
      <c r="X200" s="1866"/>
      <c r="Y200" s="1235"/>
      <c r="Z200" s="1867"/>
      <c r="AA200" s="1865"/>
      <c r="AB200" s="1866"/>
      <c r="AC200" s="1235"/>
      <c r="AD200" s="1867"/>
      <c r="AE200" s="1391"/>
      <c r="AF200" s="1235"/>
      <c r="AG200" s="1235"/>
      <c r="AH200" s="1235"/>
      <c r="AI200" s="1176"/>
    </row>
    <row r="201" spans="1:35" ht="22.15" customHeight="1" thickBot="1" x14ac:dyDescent="0.25">
      <c r="A201" s="2012"/>
      <c r="B201" s="2013"/>
      <c r="C201" s="1869"/>
      <c r="D201" s="1870"/>
      <c r="E201" s="1870"/>
      <c r="F201" s="1871"/>
      <c r="G201" s="1869"/>
      <c r="H201" s="1870"/>
      <c r="I201" s="1870"/>
      <c r="J201" s="1871"/>
      <c r="K201" s="1869"/>
      <c r="L201" s="1870"/>
      <c r="M201" s="1870"/>
      <c r="N201" s="1871"/>
      <c r="O201" s="1869"/>
      <c r="P201" s="1870"/>
      <c r="Q201" s="1870"/>
      <c r="R201" s="1871"/>
      <c r="S201" s="1869"/>
      <c r="T201" s="1870"/>
      <c r="U201" s="1870"/>
      <c r="V201" s="1870"/>
      <c r="W201" s="1872"/>
      <c r="X201" s="1873"/>
      <c r="Y201" s="1874"/>
      <c r="Z201" s="1875"/>
      <c r="AA201" s="1872"/>
      <c r="AB201" s="1873"/>
      <c r="AC201" s="1874"/>
      <c r="AD201" s="1875"/>
      <c r="AE201" s="1404"/>
      <c r="AF201" s="1242"/>
      <c r="AG201" s="1242"/>
      <c r="AH201" s="1242"/>
      <c r="AI201" s="1245"/>
    </row>
    <row r="202" spans="1:35" ht="22.15" customHeight="1" x14ac:dyDescent="0.2">
      <c r="AG202" s="110"/>
      <c r="AH202" s="110"/>
    </row>
    <row r="203" spans="1:35" ht="22.15" customHeight="1" x14ac:dyDescent="0.2">
      <c r="B203" s="1466">
        <v>3700</v>
      </c>
      <c r="C203" s="1235" t="s">
        <v>162</v>
      </c>
      <c r="D203" s="1235"/>
      <c r="E203" s="1235"/>
      <c r="F203" s="1235"/>
      <c r="G203" s="1876" t="s">
        <v>162</v>
      </c>
      <c r="H203" s="1235"/>
      <c r="I203" s="1235"/>
      <c r="J203" s="1235"/>
      <c r="K203" s="1876" t="s">
        <v>162</v>
      </c>
      <c r="L203" s="1235"/>
      <c r="M203" s="1235"/>
      <c r="N203" s="1235"/>
      <c r="O203" s="1876" t="s">
        <v>162</v>
      </c>
      <c r="P203" s="1235"/>
      <c r="Q203" s="1235"/>
      <c r="R203" s="1235"/>
      <c r="S203" s="1876" t="s">
        <v>163</v>
      </c>
      <c r="T203" s="1235"/>
      <c r="U203" s="1235"/>
      <c r="V203" s="1235"/>
      <c r="W203" s="1235"/>
      <c r="X203" s="1876"/>
      <c r="Y203" s="1235"/>
      <c r="Z203" s="1393"/>
      <c r="AA203" s="1391"/>
      <c r="AB203" s="1235"/>
      <c r="AC203" s="1235"/>
      <c r="AD203" s="1284"/>
      <c r="AE203" s="1877"/>
      <c r="AF203" s="1235"/>
      <c r="AG203" s="1235"/>
      <c r="AH203" s="1284"/>
      <c r="AI203" s="1176"/>
    </row>
    <row r="204" spans="1:35" ht="22.15" customHeight="1" x14ac:dyDescent="0.2">
      <c r="A204" s="1"/>
      <c r="B204" s="1466">
        <v>8514</v>
      </c>
      <c r="C204" s="1235" t="s">
        <v>269</v>
      </c>
      <c r="D204" s="1235"/>
      <c r="E204" s="1235"/>
      <c r="F204" s="1235"/>
      <c r="G204" s="1876" t="s">
        <v>269</v>
      </c>
      <c r="H204" s="1235"/>
      <c r="I204" s="1235"/>
      <c r="J204" s="1235"/>
      <c r="K204" s="1876" t="s">
        <v>269</v>
      </c>
      <c r="L204" s="1235"/>
      <c r="M204" s="1235"/>
      <c r="N204" s="1235"/>
      <c r="O204" s="1876" t="s">
        <v>269</v>
      </c>
      <c r="P204" s="1235"/>
      <c r="Q204" s="1235"/>
      <c r="R204" s="1235"/>
      <c r="S204" s="1876" t="s">
        <v>271</v>
      </c>
      <c r="T204" s="1235"/>
      <c r="U204" s="1235"/>
      <c r="V204" s="1235"/>
      <c r="W204" s="1235"/>
      <c r="X204" s="1876"/>
      <c r="Y204" s="1235"/>
      <c r="Z204" s="1393"/>
      <c r="AA204" s="1283"/>
      <c r="AB204" s="1235"/>
      <c r="AC204" s="1235"/>
      <c r="AD204" s="1284"/>
      <c r="AE204" s="1283"/>
      <c r="AF204" s="1235"/>
      <c r="AG204" s="1235"/>
      <c r="AH204" s="1284"/>
      <c r="AI204" s="1176"/>
    </row>
    <row r="205" spans="1:35" ht="22.15" customHeight="1" x14ac:dyDescent="0.2">
      <c r="A205" s="1"/>
      <c r="B205" s="1466">
        <v>8500</v>
      </c>
      <c r="C205" s="166" t="s">
        <v>272</v>
      </c>
      <c r="D205" s="166"/>
      <c r="E205" s="166"/>
      <c r="F205" s="166"/>
      <c r="G205" s="167" t="s">
        <v>272</v>
      </c>
      <c r="H205" s="166"/>
      <c r="I205" s="166"/>
      <c r="J205" s="166"/>
      <c r="K205" s="167" t="s">
        <v>272</v>
      </c>
      <c r="L205" s="166"/>
      <c r="M205" s="166"/>
      <c r="N205" s="166"/>
      <c r="O205" s="167" t="s">
        <v>272</v>
      </c>
      <c r="P205" s="166"/>
      <c r="Q205" s="166"/>
      <c r="R205" s="166"/>
      <c r="S205" s="167" t="s">
        <v>273</v>
      </c>
      <c r="T205" s="166"/>
      <c r="U205" s="166"/>
      <c r="V205" s="166"/>
      <c r="W205" s="166"/>
      <c r="X205" s="167"/>
      <c r="Y205" s="166"/>
      <c r="Z205" s="121"/>
      <c r="AA205" s="120"/>
      <c r="AB205" s="166"/>
      <c r="AC205" s="166"/>
      <c r="AD205" s="121"/>
      <c r="AE205" s="120"/>
      <c r="AF205" s="166"/>
      <c r="AG205" s="166"/>
      <c r="AH205" s="113"/>
      <c r="AI205" s="119"/>
    </row>
    <row r="206" spans="1:35" ht="22.15" customHeight="1" x14ac:dyDescent="0.2">
      <c r="A206" s="1"/>
      <c r="B206" s="1466">
        <v>8514</v>
      </c>
      <c r="C206" s="169" t="s">
        <v>269</v>
      </c>
      <c r="D206" s="169"/>
      <c r="E206" s="169"/>
      <c r="F206" s="169"/>
      <c r="G206" s="170" t="s">
        <v>269</v>
      </c>
      <c r="H206" s="169"/>
      <c r="I206" s="169"/>
      <c r="J206" s="169"/>
      <c r="K206" s="170" t="s">
        <v>269</v>
      </c>
      <c r="L206" s="169"/>
      <c r="M206" s="169"/>
      <c r="N206" s="169"/>
      <c r="O206" s="170" t="s">
        <v>269</v>
      </c>
      <c r="P206" s="169"/>
      <c r="Q206" s="169"/>
      <c r="R206" s="169"/>
      <c r="S206" s="170" t="s">
        <v>271</v>
      </c>
      <c r="T206" s="169"/>
      <c r="U206" s="169"/>
      <c r="V206" s="169"/>
      <c r="W206" s="169"/>
      <c r="X206" s="149"/>
      <c r="Y206" s="166"/>
      <c r="Z206" s="168"/>
      <c r="AA206" s="156"/>
      <c r="AB206" s="117"/>
      <c r="AC206" s="166"/>
      <c r="AD206" s="166"/>
      <c r="AE206" s="118"/>
      <c r="AF206" s="166"/>
      <c r="AG206" s="166"/>
      <c r="AH206" s="166"/>
      <c r="AI206" s="119"/>
    </row>
    <row r="207" spans="1:35" ht="22.15" customHeight="1" thickBot="1" x14ac:dyDescent="0.25">
      <c r="A207" s="1"/>
      <c r="B207" s="2014" t="s">
        <v>274</v>
      </c>
      <c r="C207" s="1242" t="s">
        <v>275</v>
      </c>
      <c r="D207" s="1242"/>
      <c r="E207" s="1242"/>
      <c r="F207" s="1242"/>
      <c r="G207" s="1067" t="s">
        <v>275</v>
      </c>
      <c r="H207" s="1242"/>
      <c r="I207" s="1242"/>
      <c r="J207" s="1242"/>
      <c r="K207" s="1879" t="s">
        <v>275</v>
      </c>
      <c r="L207" s="1242"/>
      <c r="M207" s="1242"/>
      <c r="N207" s="1242"/>
      <c r="O207" s="1067" t="s">
        <v>275</v>
      </c>
      <c r="P207" s="1242"/>
      <c r="Q207" s="1242"/>
      <c r="R207" s="1242"/>
      <c r="S207" s="1067" t="s">
        <v>276</v>
      </c>
      <c r="T207" s="1242"/>
      <c r="U207" s="1242"/>
      <c r="V207" s="1242"/>
      <c r="W207" s="1242"/>
      <c r="X207" s="1067"/>
      <c r="Y207" s="1242"/>
      <c r="Z207" s="1425"/>
      <c r="AA207" s="1404"/>
      <c r="AB207" s="1242"/>
      <c r="AC207" s="1242"/>
      <c r="AD207" s="1411"/>
      <c r="AE207" s="1880"/>
      <c r="AF207" s="1242"/>
      <c r="AG207" s="1242"/>
      <c r="AH207" s="1411"/>
      <c r="AI207" s="1245"/>
    </row>
    <row r="208" spans="1:35" ht="22.15" customHeight="1" x14ac:dyDescent="0.2">
      <c r="A208" s="1"/>
      <c r="B208" s="18"/>
      <c r="C208" s="64"/>
      <c r="D208" s="110"/>
      <c r="E208" s="110"/>
      <c r="F208" s="69"/>
      <c r="G208" s="64"/>
      <c r="H208" s="110"/>
      <c r="I208" s="110"/>
      <c r="J208" s="69"/>
      <c r="K208" s="64"/>
      <c r="L208" s="110"/>
      <c r="M208" s="110"/>
      <c r="N208" s="69"/>
      <c r="O208" s="64"/>
      <c r="P208" s="110"/>
      <c r="Q208" s="110"/>
      <c r="R208" s="69"/>
      <c r="S208" s="64"/>
      <c r="T208" s="110"/>
      <c r="U208" s="110"/>
      <c r="V208" s="69"/>
      <c r="W208" s="69"/>
      <c r="Z208" s="69"/>
      <c r="AA208" s="69"/>
      <c r="AD208" s="69"/>
      <c r="AE208" s="69"/>
      <c r="AH208" s="69"/>
    </row>
    <row r="209" spans="1:35" ht="22.15" customHeight="1" x14ac:dyDescent="0.2">
      <c r="A209" s="1" t="s">
        <v>277</v>
      </c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15" customHeight="1" thickBot="1" x14ac:dyDescent="0.25">
      <c r="A210" s="1343"/>
      <c r="B210" s="1247" t="s">
        <v>29</v>
      </c>
      <c r="C210" s="1186">
        <v>1</v>
      </c>
      <c r="D210" s="1186">
        <v>2</v>
      </c>
      <c r="E210" s="1186">
        <v>3</v>
      </c>
      <c r="F210" s="1186">
        <v>4</v>
      </c>
      <c r="G210" s="1185">
        <v>5</v>
      </c>
      <c r="H210" s="1185">
        <v>6</v>
      </c>
      <c r="I210" s="1186">
        <v>7</v>
      </c>
      <c r="J210" s="1186">
        <v>8</v>
      </c>
      <c r="K210" s="1186">
        <v>9</v>
      </c>
      <c r="L210" s="1186">
        <v>10</v>
      </c>
      <c r="M210" s="1186">
        <v>11</v>
      </c>
      <c r="N210" s="1185">
        <v>12</v>
      </c>
      <c r="O210" s="1185">
        <v>13</v>
      </c>
      <c r="P210" s="1186">
        <v>14</v>
      </c>
      <c r="Q210" s="1186">
        <v>15</v>
      </c>
      <c r="R210" s="1186">
        <v>16</v>
      </c>
      <c r="S210" s="1186">
        <v>17</v>
      </c>
      <c r="T210" s="1186">
        <v>18</v>
      </c>
      <c r="U210" s="1185">
        <v>19</v>
      </c>
      <c r="V210" s="1185">
        <v>20</v>
      </c>
      <c r="W210" s="1186">
        <v>21</v>
      </c>
      <c r="X210" s="1186">
        <v>22</v>
      </c>
      <c r="Y210" s="1186">
        <v>23</v>
      </c>
      <c r="Z210" s="1186">
        <v>24</v>
      </c>
      <c r="AA210" s="1186">
        <v>25</v>
      </c>
      <c r="AB210" s="1185">
        <v>26</v>
      </c>
      <c r="AC210" s="1185">
        <v>27</v>
      </c>
      <c r="AD210" s="1186">
        <v>28</v>
      </c>
      <c r="AE210" s="1186">
        <v>29</v>
      </c>
      <c r="AF210" s="1186">
        <v>30</v>
      </c>
      <c r="AG210" s="1945"/>
      <c r="AH210" s="184"/>
      <c r="AI210" s="185"/>
    </row>
    <row r="211" spans="1:35" ht="22.15" customHeight="1" x14ac:dyDescent="0.2">
      <c r="A211" s="305"/>
      <c r="B211" s="306" t="s">
        <v>278</v>
      </c>
      <c r="C211" s="1629" t="s">
        <v>31</v>
      </c>
      <c r="D211" s="1629" t="s">
        <v>31</v>
      </c>
      <c r="E211" s="1629" t="s">
        <v>31</v>
      </c>
      <c r="F211" s="1636" t="s">
        <v>31</v>
      </c>
      <c r="G211" s="1636"/>
      <c r="H211" s="1629"/>
      <c r="I211" s="1629" t="s">
        <v>31</v>
      </c>
      <c r="J211" s="1629" t="s">
        <v>31</v>
      </c>
      <c r="K211" s="1629" t="s">
        <v>31</v>
      </c>
      <c r="L211" s="1629" t="s">
        <v>31</v>
      </c>
      <c r="M211" s="1629" t="s">
        <v>31</v>
      </c>
      <c r="N211" s="1612"/>
      <c r="O211" s="1629"/>
      <c r="P211" s="1629" t="s">
        <v>31</v>
      </c>
      <c r="Q211" s="1629" t="s">
        <v>31</v>
      </c>
      <c r="R211" s="1629" t="s">
        <v>31</v>
      </c>
      <c r="S211" s="1629" t="s">
        <v>31</v>
      </c>
      <c r="T211" s="1629" t="s">
        <v>31</v>
      </c>
      <c r="U211" s="1629"/>
      <c r="V211" s="1629"/>
      <c r="W211" s="1629" t="s">
        <v>31</v>
      </c>
      <c r="X211" s="1629" t="s">
        <v>31</v>
      </c>
      <c r="Y211" s="1628" t="s">
        <v>31</v>
      </c>
      <c r="Z211" s="1628" t="s">
        <v>31</v>
      </c>
      <c r="AA211" s="1628" t="s">
        <v>31</v>
      </c>
      <c r="AB211" s="1629"/>
      <c r="AC211" s="1629"/>
      <c r="AD211" s="1629" t="s">
        <v>31</v>
      </c>
      <c r="AE211" s="1629" t="s">
        <v>31</v>
      </c>
      <c r="AF211" s="1629" t="s">
        <v>31</v>
      </c>
      <c r="AG211" s="274"/>
      <c r="AH211" s="184"/>
      <c r="AI211" s="185"/>
    </row>
    <row r="212" spans="1:35" ht="22.15" customHeight="1" x14ac:dyDescent="0.2">
      <c r="A212" s="1488"/>
      <c r="B212" s="1489" t="s">
        <v>279</v>
      </c>
      <c r="C212" s="1629" t="s">
        <v>31</v>
      </c>
      <c r="D212" s="1629" t="s">
        <v>31</v>
      </c>
      <c r="E212" s="1629" t="s">
        <v>31</v>
      </c>
      <c r="F212" s="1636" t="s">
        <v>31</v>
      </c>
      <c r="G212" s="1636"/>
      <c r="H212" s="1629"/>
      <c r="I212" s="1629" t="s">
        <v>31</v>
      </c>
      <c r="J212" s="1629" t="s">
        <v>31</v>
      </c>
      <c r="K212" s="1629" t="s">
        <v>31</v>
      </c>
      <c r="L212" s="1629" t="s">
        <v>31</v>
      </c>
      <c r="M212" s="1629" t="s">
        <v>31</v>
      </c>
      <c r="N212" s="1612"/>
      <c r="O212" s="1629"/>
      <c r="P212" s="1629" t="s">
        <v>31</v>
      </c>
      <c r="Q212" s="1629" t="s">
        <v>31</v>
      </c>
      <c r="R212" s="1629" t="s">
        <v>31</v>
      </c>
      <c r="S212" s="1629" t="s">
        <v>31</v>
      </c>
      <c r="T212" s="1629" t="s">
        <v>31</v>
      </c>
      <c r="U212" s="1629"/>
      <c r="V212" s="1629"/>
      <c r="W212" s="1958" t="s">
        <v>31</v>
      </c>
      <c r="X212" s="1629" t="s">
        <v>31</v>
      </c>
      <c r="Y212" s="1628" t="s">
        <v>31</v>
      </c>
      <c r="Z212" s="1628" t="s">
        <v>31</v>
      </c>
      <c r="AA212" s="1628" t="s">
        <v>31</v>
      </c>
      <c r="AB212" s="1629"/>
      <c r="AC212" s="1629"/>
      <c r="AD212" s="1629" t="s">
        <v>31</v>
      </c>
      <c r="AE212" s="1629" t="s">
        <v>31</v>
      </c>
      <c r="AF212" s="1629" t="s">
        <v>31</v>
      </c>
      <c r="AG212" s="1490"/>
      <c r="AH212" s="184"/>
      <c r="AI212" s="185"/>
    </row>
    <row r="213" spans="1:35" ht="22.15" customHeight="1" x14ac:dyDescent="0.2">
      <c r="A213" s="1491">
        <v>8514</v>
      </c>
      <c r="B213" s="1665" t="s">
        <v>280</v>
      </c>
      <c r="C213" s="1629" t="s">
        <v>31</v>
      </c>
      <c r="D213" s="1629" t="s">
        <v>31</v>
      </c>
      <c r="E213" s="1297" t="s">
        <v>31</v>
      </c>
      <c r="F213" s="1636" t="s">
        <v>31</v>
      </c>
      <c r="G213" s="1636"/>
      <c r="H213" s="1629"/>
      <c r="I213" s="1629" t="s">
        <v>31</v>
      </c>
      <c r="J213" s="1629" t="s">
        <v>31</v>
      </c>
      <c r="K213" s="1629" t="s">
        <v>31</v>
      </c>
      <c r="L213" s="1629" t="s">
        <v>31</v>
      </c>
      <c r="M213" s="1629" t="s">
        <v>31</v>
      </c>
      <c r="N213" s="1612"/>
      <c r="O213" s="1629"/>
      <c r="P213" s="1629" t="s">
        <v>31</v>
      </c>
      <c r="Q213" s="1629" t="s">
        <v>31</v>
      </c>
      <c r="R213" s="1629" t="s">
        <v>31</v>
      </c>
      <c r="S213" s="1629" t="s">
        <v>31</v>
      </c>
      <c r="T213" s="1629" t="s">
        <v>31</v>
      </c>
      <c r="U213" s="1629"/>
      <c r="V213" s="1629"/>
      <c r="W213" s="1629" t="s">
        <v>31</v>
      </c>
      <c r="X213" s="1629" t="s">
        <v>31</v>
      </c>
      <c r="Y213" s="1628" t="s">
        <v>31</v>
      </c>
      <c r="Z213" s="1628" t="s">
        <v>31</v>
      </c>
      <c r="AA213" s="1628" t="s">
        <v>31</v>
      </c>
      <c r="AB213" s="1629"/>
      <c r="AC213" s="1629"/>
      <c r="AD213" s="1957" t="s">
        <v>31</v>
      </c>
      <c r="AE213" s="1629" t="s">
        <v>31</v>
      </c>
      <c r="AF213" s="1629" t="s">
        <v>31</v>
      </c>
      <c r="AG213" s="1490"/>
      <c r="AH213" s="189"/>
      <c r="AI213" s="190"/>
    </row>
    <row r="214" spans="1:35" ht="21" customHeight="1" x14ac:dyDescent="0.2">
      <c r="A214" s="1491">
        <v>3701</v>
      </c>
      <c r="B214" s="1665" t="s">
        <v>281</v>
      </c>
      <c r="C214" s="1629" t="s">
        <v>31</v>
      </c>
      <c r="D214" s="1629" t="s">
        <v>31</v>
      </c>
      <c r="E214" s="1629" t="s">
        <v>31</v>
      </c>
      <c r="F214" s="1636" t="s">
        <v>31</v>
      </c>
      <c r="G214" s="1636"/>
      <c r="H214" s="1629"/>
      <c r="I214" s="1629" t="s">
        <v>31</v>
      </c>
      <c r="J214" s="1629" t="s">
        <v>31</v>
      </c>
      <c r="K214" s="1629" t="s">
        <v>31</v>
      </c>
      <c r="L214" s="1629" t="s">
        <v>31</v>
      </c>
      <c r="M214" s="1629" t="s">
        <v>31</v>
      </c>
      <c r="N214" s="1612"/>
      <c r="O214" s="1629"/>
      <c r="P214" s="1623" t="s">
        <v>289</v>
      </c>
      <c r="Q214" s="1734" t="s">
        <v>31</v>
      </c>
      <c r="R214" s="1957" t="s">
        <v>31</v>
      </c>
      <c r="S214" s="1957" t="s">
        <v>31</v>
      </c>
      <c r="T214" s="1712" t="s">
        <v>31</v>
      </c>
      <c r="U214" s="1712"/>
      <c r="V214" s="1712"/>
      <c r="W214" s="1957" t="s">
        <v>31</v>
      </c>
      <c r="X214" s="1629" t="s">
        <v>31</v>
      </c>
      <c r="Y214" s="1628" t="s">
        <v>31</v>
      </c>
      <c r="Z214" s="1628" t="s">
        <v>31</v>
      </c>
      <c r="AA214" s="1628" t="s">
        <v>31</v>
      </c>
      <c r="AB214" s="1629"/>
      <c r="AC214" s="1629"/>
      <c r="AD214" s="1629" t="s">
        <v>31</v>
      </c>
      <c r="AE214" s="1629" t="s">
        <v>31</v>
      </c>
      <c r="AF214" s="1629" t="s">
        <v>31</v>
      </c>
      <c r="AG214" s="1490"/>
      <c r="AH214" s="189"/>
      <c r="AI214" s="190"/>
    </row>
    <row r="215" spans="1:35" ht="21" customHeight="1" x14ac:dyDescent="0.2">
      <c r="A215" s="1491">
        <v>3701</v>
      </c>
      <c r="B215" s="1665" t="s">
        <v>282</v>
      </c>
      <c r="C215" s="1623" t="s">
        <v>31</v>
      </c>
      <c r="D215" s="1623" t="s">
        <v>31</v>
      </c>
      <c r="E215" s="1623" t="s">
        <v>31</v>
      </c>
      <c r="F215" s="1623" t="s">
        <v>31</v>
      </c>
      <c r="G215" s="1623"/>
      <c r="H215" s="1623"/>
      <c r="I215" s="1623" t="s">
        <v>31</v>
      </c>
      <c r="J215" s="1623" t="s">
        <v>31</v>
      </c>
      <c r="K215" s="1623" t="s">
        <v>31</v>
      </c>
      <c r="L215" s="1623" t="s">
        <v>31</v>
      </c>
      <c r="M215" s="1623" t="s">
        <v>31</v>
      </c>
      <c r="N215" s="1623"/>
      <c r="O215" s="1623"/>
      <c r="P215" s="1623" t="s">
        <v>31</v>
      </c>
      <c r="Q215" s="1623" t="s">
        <v>31</v>
      </c>
      <c r="R215" s="1623" t="s">
        <v>31</v>
      </c>
      <c r="S215" s="1623" t="s">
        <v>31</v>
      </c>
      <c r="T215" s="1623" t="s">
        <v>31</v>
      </c>
      <c r="U215" s="1623"/>
      <c r="V215" s="1623"/>
      <c r="W215" s="1623" t="s">
        <v>31</v>
      </c>
      <c r="X215" s="1623" t="s">
        <v>31</v>
      </c>
      <c r="Y215" s="1623" t="s">
        <v>31</v>
      </c>
      <c r="Z215" s="1623" t="s">
        <v>31</v>
      </c>
      <c r="AA215" s="1623" t="s">
        <v>31</v>
      </c>
      <c r="AB215" s="1623"/>
      <c r="AC215" s="1623"/>
      <c r="AD215" s="1623" t="s">
        <v>31</v>
      </c>
      <c r="AE215" s="1623" t="s">
        <v>31</v>
      </c>
      <c r="AF215" s="1623" t="s">
        <v>31</v>
      </c>
      <c r="AG215" s="1497"/>
      <c r="AH215" s="189"/>
      <c r="AI215" s="190"/>
    </row>
    <row r="216" spans="1:35" ht="21" customHeight="1" x14ac:dyDescent="0.2">
      <c r="A216" s="1491">
        <v>3701</v>
      </c>
      <c r="B216" s="1665" t="s">
        <v>283</v>
      </c>
      <c r="C216" s="1629" t="s">
        <v>31</v>
      </c>
      <c r="D216" s="1629" t="s">
        <v>31</v>
      </c>
      <c r="E216" s="1629" t="s">
        <v>31</v>
      </c>
      <c r="F216" s="1636" t="s">
        <v>31</v>
      </c>
      <c r="G216" s="1636"/>
      <c r="H216" s="1629"/>
      <c r="I216" s="1629" t="s">
        <v>31</v>
      </c>
      <c r="J216" s="1629" t="s">
        <v>31</v>
      </c>
      <c r="K216" s="1629" t="s">
        <v>31</v>
      </c>
      <c r="L216" s="1629" t="s">
        <v>31</v>
      </c>
      <c r="M216" s="1623" t="s">
        <v>31</v>
      </c>
      <c r="N216" s="1623"/>
      <c r="O216" s="1623"/>
      <c r="P216" s="1623" t="s">
        <v>289</v>
      </c>
      <c r="Q216" s="1734" t="s">
        <v>31</v>
      </c>
      <c r="R216" s="1734" t="s">
        <v>31</v>
      </c>
      <c r="S216" s="1734" t="s">
        <v>31</v>
      </c>
      <c r="T216" s="1734" t="s">
        <v>31</v>
      </c>
      <c r="U216" s="1629"/>
      <c r="V216" s="1629"/>
      <c r="W216" s="1629" t="s">
        <v>31</v>
      </c>
      <c r="X216" s="1629" t="s">
        <v>31</v>
      </c>
      <c r="Y216" s="1628" t="s">
        <v>31</v>
      </c>
      <c r="Z216" s="1628" t="s">
        <v>31</v>
      </c>
      <c r="AA216" s="1958" t="s">
        <v>31</v>
      </c>
      <c r="AB216" s="1629"/>
      <c r="AC216" s="1629"/>
      <c r="AD216" s="1629" t="s">
        <v>31</v>
      </c>
      <c r="AE216" s="1629" t="s">
        <v>31</v>
      </c>
      <c r="AF216" s="1629" t="s">
        <v>31</v>
      </c>
      <c r="AG216" s="1490"/>
      <c r="AH216" s="189"/>
      <c r="AI216" s="190"/>
    </row>
    <row r="217" spans="1:35" ht="21" customHeight="1" x14ac:dyDescent="0.2">
      <c r="A217" s="1491">
        <v>3701</v>
      </c>
      <c r="B217" s="1665" t="s">
        <v>284</v>
      </c>
      <c r="C217" s="1957" t="s">
        <v>31</v>
      </c>
      <c r="D217" s="1957" t="s">
        <v>31</v>
      </c>
      <c r="E217" s="1957" t="s">
        <v>31</v>
      </c>
      <c r="F217" s="1957" t="s">
        <v>31</v>
      </c>
      <c r="G217" s="1636"/>
      <c r="H217" s="1629"/>
      <c r="I217" s="1629" t="s">
        <v>31</v>
      </c>
      <c r="J217" s="1629" t="s">
        <v>31</v>
      </c>
      <c r="K217" s="1629" t="s">
        <v>31</v>
      </c>
      <c r="L217" s="1629" t="s">
        <v>31</v>
      </c>
      <c r="M217" s="1629" t="s">
        <v>31</v>
      </c>
      <c r="N217" s="1612"/>
      <c r="O217" s="1629"/>
      <c r="P217" s="1629" t="s">
        <v>31</v>
      </c>
      <c r="Q217" s="1629" t="s">
        <v>31</v>
      </c>
      <c r="R217" s="1629" t="s">
        <v>31</v>
      </c>
      <c r="S217" s="1629" t="s">
        <v>31</v>
      </c>
      <c r="T217" s="1629" t="s">
        <v>31</v>
      </c>
      <c r="U217" s="1629"/>
      <c r="V217" s="1629"/>
      <c r="W217" s="1629" t="s">
        <v>31</v>
      </c>
      <c r="X217" s="1629" t="s">
        <v>31</v>
      </c>
      <c r="Y217" s="1628" t="s">
        <v>31</v>
      </c>
      <c r="Z217" s="1628" t="s">
        <v>31</v>
      </c>
      <c r="AA217" s="1628" t="s">
        <v>31</v>
      </c>
      <c r="AB217" s="1629"/>
      <c r="AC217" s="1629"/>
      <c r="AD217" s="1629" t="s">
        <v>31</v>
      </c>
      <c r="AE217" s="1629" t="s">
        <v>31</v>
      </c>
      <c r="AF217" s="1629" t="s">
        <v>31</v>
      </c>
      <c r="AG217" s="1490"/>
      <c r="AH217" s="189"/>
      <c r="AI217" s="190"/>
    </row>
    <row r="218" spans="1:35" ht="22.15" customHeight="1" x14ac:dyDescent="0.2">
      <c r="A218" s="1491">
        <v>3701</v>
      </c>
      <c r="B218" s="1665" t="s">
        <v>285</v>
      </c>
      <c r="C218" s="1629" t="s">
        <v>31</v>
      </c>
      <c r="D218" s="1629" t="s">
        <v>31</v>
      </c>
      <c r="E218" s="1629" t="s">
        <v>31</v>
      </c>
      <c r="F218" s="1636" t="s">
        <v>31</v>
      </c>
      <c r="G218" s="1636"/>
      <c r="H218" s="1629"/>
      <c r="I218" s="1629" t="s">
        <v>31</v>
      </c>
      <c r="J218" s="1629" t="s">
        <v>31</v>
      </c>
      <c r="K218" s="1629" t="s">
        <v>31</v>
      </c>
      <c r="L218" s="1629" t="s">
        <v>31</v>
      </c>
      <c r="M218" s="1629" t="s">
        <v>31</v>
      </c>
      <c r="N218" s="1612"/>
      <c r="O218" s="1629"/>
      <c r="P218" s="1623" t="s">
        <v>31</v>
      </c>
      <c r="Q218" s="1623" t="s">
        <v>31</v>
      </c>
      <c r="R218" s="1623" t="s">
        <v>31</v>
      </c>
      <c r="S218" s="1623" t="s">
        <v>31</v>
      </c>
      <c r="T218" s="1623" t="s">
        <v>289</v>
      </c>
      <c r="U218" s="1629"/>
      <c r="V218" s="1629"/>
      <c r="W218" s="1629" t="s">
        <v>31</v>
      </c>
      <c r="X218" s="1629" t="s">
        <v>31</v>
      </c>
      <c r="Y218" s="1628" t="s">
        <v>31</v>
      </c>
      <c r="Z218" s="1628" t="s">
        <v>31</v>
      </c>
      <c r="AA218" s="1628" t="s">
        <v>31</v>
      </c>
      <c r="AB218" s="1629"/>
      <c r="AC218" s="1629"/>
      <c r="AD218" s="1629" t="s">
        <v>31</v>
      </c>
      <c r="AE218" s="1629" t="s">
        <v>31</v>
      </c>
      <c r="AF218" s="1629" t="s">
        <v>31</v>
      </c>
      <c r="AG218" s="1490"/>
      <c r="AH218" s="189"/>
      <c r="AI218" s="190"/>
    </row>
    <row r="219" spans="1:35" ht="22.15" customHeight="1" x14ac:dyDescent="0.2">
      <c r="A219" s="1491">
        <v>3701</v>
      </c>
      <c r="B219" s="1665" t="s">
        <v>286</v>
      </c>
      <c r="C219" s="1629" t="s">
        <v>31</v>
      </c>
      <c r="D219" s="1629" t="s">
        <v>31</v>
      </c>
      <c r="E219" s="1629" t="s">
        <v>31</v>
      </c>
      <c r="F219" s="1636" t="s">
        <v>31</v>
      </c>
      <c r="G219" s="1636"/>
      <c r="H219" s="1629"/>
      <c r="I219" s="1629" t="s">
        <v>31</v>
      </c>
      <c r="J219" s="1629" t="s">
        <v>31</v>
      </c>
      <c r="K219" s="1629" t="s">
        <v>31</v>
      </c>
      <c r="L219" s="1629" t="s">
        <v>31</v>
      </c>
      <c r="M219" s="1629" t="s">
        <v>31</v>
      </c>
      <c r="N219" s="1612"/>
      <c r="O219" s="1629"/>
      <c r="P219" s="1629" t="s">
        <v>31</v>
      </c>
      <c r="Q219" s="1629" t="s">
        <v>31</v>
      </c>
      <c r="R219" s="1629" t="s">
        <v>31</v>
      </c>
      <c r="S219" s="1629" t="s">
        <v>31</v>
      </c>
      <c r="T219" s="1712" t="s">
        <v>31</v>
      </c>
      <c r="U219" s="1629"/>
      <c r="V219" s="1629"/>
      <c r="W219" s="1629" t="s">
        <v>31</v>
      </c>
      <c r="X219" s="1712" t="s">
        <v>31</v>
      </c>
      <c r="Y219" s="1628" t="s">
        <v>31</v>
      </c>
      <c r="Z219" s="1628" t="s">
        <v>31</v>
      </c>
      <c r="AA219" s="1628" t="s">
        <v>31</v>
      </c>
      <c r="AB219" s="1629"/>
      <c r="AC219" s="1629"/>
      <c r="AD219" s="1629" t="s">
        <v>31</v>
      </c>
      <c r="AE219" s="1629" t="s">
        <v>31</v>
      </c>
      <c r="AF219" s="1629" t="s">
        <v>31</v>
      </c>
      <c r="AG219" s="1490"/>
      <c r="AH219" s="189"/>
      <c r="AI219" s="190"/>
    </row>
    <row r="220" spans="1:35" ht="22.15" customHeight="1" x14ac:dyDescent="0.2">
      <c r="A220" s="1491">
        <v>3701</v>
      </c>
      <c r="B220" s="1665" t="s">
        <v>287</v>
      </c>
      <c r="C220" s="1629" t="s">
        <v>31</v>
      </c>
      <c r="D220" s="1629" t="s">
        <v>31</v>
      </c>
      <c r="E220" s="1297" t="s">
        <v>31</v>
      </c>
      <c r="F220" s="1714" t="s">
        <v>31</v>
      </c>
      <c r="G220" s="1636"/>
      <c r="H220" s="1629"/>
      <c r="I220" s="1629" t="s">
        <v>31</v>
      </c>
      <c r="J220" s="1629" t="s">
        <v>31</v>
      </c>
      <c r="K220" s="1629" t="s">
        <v>31</v>
      </c>
      <c r="L220" s="1629" t="s">
        <v>31</v>
      </c>
      <c r="M220" s="1629" t="s">
        <v>31</v>
      </c>
      <c r="N220" s="1612"/>
      <c r="O220" s="1629"/>
      <c r="P220" s="1629" t="s">
        <v>31</v>
      </c>
      <c r="Q220" s="1629" t="s">
        <v>31</v>
      </c>
      <c r="R220" s="1629" t="s">
        <v>31</v>
      </c>
      <c r="S220" s="1629" t="s">
        <v>31</v>
      </c>
      <c r="T220" s="1629" t="s">
        <v>31</v>
      </c>
      <c r="U220" s="1629"/>
      <c r="V220" s="1629"/>
      <c r="W220" s="1629" t="s">
        <v>31</v>
      </c>
      <c r="X220" s="1629" t="s">
        <v>31</v>
      </c>
      <c r="Y220" s="1628" t="s">
        <v>31</v>
      </c>
      <c r="Z220" s="1628" t="s">
        <v>31</v>
      </c>
      <c r="AA220" s="1628" t="s">
        <v>31</v>
      </c>
      <c r="AB220" s="1629"/>
      <c r="AC220" s="1629"/>
      <c r="AD220" s="1629" t="s">
        <v>31</v>
      </c>
      <c r="AE220" s="1629" t="s">
        <v>31</v>
      </c>
      <c r="AF220" s="1629" t="s">
        <v>31</v>
      </c>
      <c r="AG220" s="1490"/>
      <c r="AH220" s="189"/>
      <c r="AI220" s="190"/>
    </row>
    <row r="221" spans="1:35" ht="22.15" customHeight="1" x14ac:dyDescent="0.2">
      <c r="A221" s="1493">
        <v>3701</v>
      </c>
      <c r="B221" s="1665" t="s">
        <v>290</v>
      </c>
      <c r="C221" s="1629" t="s">
        <v>31</v>
      </c>
      <c r="D221" s="1629" t="s">
        <v>31</v>
      </c>
      <c r="E221" s="1629" t="s">
        <v>31</v>
      </c>
      <c r="F221" s="1636" t="s">
        <v>31</v>
      </c>
      <c r="G221" s="1636"/>
      <c r="H221" s="1629"/>
      <c r="I221" s="1629" t="s">
        <v>31</v>
      </c>
      <c r="J221" s="1629" t="s">
        <v>31</v>
      </c>
      <c r="K221" s="1629" t="s">
        <v>31</v>
      </c>
      <c r="L221" s="1629" t="s">
        <v>31</v>
      </c>
      <c r="M221" s="1629" t="s">
        <v>31</v>
      </c>
      <c r="N221" s="1612"/>
      <c r="O221" s="1629"/>
      <c r="P221" s="1629" t="s">
        <v>31</v>
      </c>
      <c r="Q221" s="1629" t="s">
        <v>31</v>
      </c>
      <c r="R221" s="1629" t="s">
        <v>31</v>
      </c>
      <c r="S221" s="1629" t="s">
        <v>31</v>
      </c>
      <c r="T221" s="1629" t="s">
        <v>31</v>
      </c>
      <c r="U221" s="1629"/>
      <c r="V221" s="1629"/>
      <c r="W221" s="1629" t="s">
        <v>31</v>
      </c>
      <c r="X221" s="1629" t="s">
        <v>31</v>
      </c>
      <c r="Y221" s="1628" t="s">
        <v>31</v>
      </c>
      <c r="Z221" s="1628" t="s">
        <v>31</v>
      </c>
      <c r="AA221" s="1628" t="s">
        <v>31</v>
      </c>
      <c r="AB221" s="1629"/>
      <c r="AC221" s="1629"/>
      <c r="AD221" s="1623" t="s">
        <v>31</v>
      </c>
      <c r="AE221" s="1623" t="s">
        <v>31</v>
      </c>
      <c r="AF221" s="1623" t="s">
        <v>31</v>
      </c>
      <c r="AG221" s="1490"/>
      <c r="AH221" s="189"/>
      <c r="AI221" s="190"/>
    </row>
    <row r="222" spans="1:35" ht="22.15" customHeight="1" x14ac:dyDescent="0.2">
      <c r="A222" s="1491">
        <v>3701</v>
      </c>
      <c r="B222" s="1665" t="s">
        <v>291</v>
      </c>
      <c r="C222" s="1629" t="s">
        <v>31</v>
      </c>
      <c r="D222" s="1629" t="s">
        <v>31</v>
      </c>
      <c r="E222" s="1629" t="s">
        <v>31</v>
      </c>
      <c r="F222" s="1636" t="s">
        <v>31</v>
      </c>
      <c r="G222" s="1636"/>
      <c r="H222" s="1629"/>
      <c r="I222" s="1629" t="s">
        <v>31</v>
      </c>
      <c r="J222" s="1629" t="s">
        <v>31</v>
      </c>
      <c r="K222" s="1629" t="s">
        <v>31</v>
      </c>
      <c r="L222" s="1629" t="s">
        <v>31</v>
      </c>
      <c r="M222" s="1629" t="s">
        <v>31</v>
      </c>
      <c r="N222" s="1612"/>
      <c r="O222" s="1629"/>
      <c r="P222" s="1629" t="s">
        <v>31</v>
      </c>
      <c r="Q222" s="1629" t="s">
        <v>31</v>
      </c>
      <c r="R222" s="1629" t="s">
        <v>31</v>
      </c>
      <c r="S222" s="1629" t="s">
        <v>31</v>
      </c>
      <c r="T222" s="1629" t="s">
        <v>31</v>
      </c>
      <c r="U222" s="1629"/>
      <c r="V222" s="1629"/>
      <c r="W222" s="1712" t="s">
        <v>31</v>
      </c>
      <c r="X222" s="1712" t="s">
        <v>31</v>
      </c>
      <c r="Y222" s="1712" t="s">
        <v>31</v>
      </c>
      <c r="Z222" s="1712" t="s">
        <v>31</v>
      </c>
      <c r="AA222" s="1712" t="s">
        <v>31</v>
      </c>
      <c r="AB222" s="1712"/>
      <c r="AC222" s="1712"/>
      <c r="AD222" s="1712" t="s">
        <v>31</v>
      </c>
      <c r="AE222" s="1712" t="s">
        <v>31</v>
      </c>
      <c r="AF222" s="1712" t="s">
        <v>31</v>
      </c>
      <c r="AG222" s="1492"/>
      <c r="AH222" s="189"/>
      <c r="AI222" s="190"/>
    </row>
    <row r="223" spans="1:35" ht="22.15" customHeight="1" x14ac:dyDescent="0.2">
      <c r="A223" s="1491">
        <v>3701</v>
      </c>
      <c r="B223" s="1665" t="s">
        <v>292</v>
      </c>
      <c r="C223" s="1712" t="s">
        <v>31</v>
      </c>
      <c r="D223" s="1712" t="s">
        <v>31</v>
      </c>
      <c r="E223" s="1712" t="s">
        <v>31</v>
      </c>
      <c r="F223" s="1712" t="s">
        <v>31</v>
      </c>
      <c r="G223" s="1712"/>
      <c r="H223" s="1712"/>
      <c r="I223" s="1712" t="s">
        <v>31</v>
      </c>
      <c r="J223" s="1712" t="s">
        <v>31</v>
      </c>
      <c r="K223" s="1712" t="s">
        <v>31</v>
      </c>
      <c r="L223" s="1712" t="s">
        <v>31</v>
      </c>
      <c r="M223" s="1712" t="s">
        <v>31</v>
      </c>
      <c r="N223" s="1712"/>
      <c r="O223" s="1712"/>
      <c r="P223" s="1623" t="s">
        <v>31</v>
      </c>
      <c r="Q223" s="1623" t="s">
        <v>31</v>
      </c>
      <c r="R223" s="1623" t="s">
        <v>31</v>
      </c>
      <c r="S223" s="1623" t="s">
        <v>289</v>
      </c>
      <c r="T223" s="1734" t="s">
        <v>31</v>
      </c>
      <c r="U223" s="1629"/>
      <c r="V223" s="1629"/>
      <c r="W223" s="1629" t="s">
        <v>31</v>
      </c>
      <c r="X223" s="1629" t="s">
        <v>31</v>
      </c>
      <c r="Y223" s="1628" t="s">
        <v>31</v>
      </c>
      <c r="Z223" s="1628" t="s">
        <v>31</v>
      </c>
      <c r="AA223" s="1628" t="s">
        <v>31</v>
      </c>
      <c r="AB223" s="1629"/>
      <c r="AC223" s="1629"/>
      <c r="AD223" s="1629" t="s">
        <v>31</v>
      </c>
      <c r="AE223" s="1629" t="s">
        <v>31</v>
      </c>
      <c r="AF223" s="1629" t="s">
        <v>31</v>
      </c>
      <c r="AG223" s="1495"/>
      <c r="AH223" s="189"/>
      <c r="AI223" s="190"/>
    </row>
    <row r="224" spans="1:35" ht="22.15" customHeight="1" x14ac:dyDescent="0.2">
      <c r="A224" s="1491"/>
      <c r="B224" s="1496" t="s">
        <v>393</v>
      </c>
      <c r="C224" s="1629" t="s">
        <v>31</v>
      </c>
      <c r="D224" s="1629" t="s">
        <v>31</v>
      </c>
      <c r="E224" s="1629" t="s">
        <v>31</v>
      </c>
      <c r="F224" s="1636" t="s">
        <v>31</v>
      </c>
      <c r="G224" s="1636"/>
      <c r="H224" s="1629"/>
      <c r="I224" s="1629" t="s">
        <v>31</v>
      </c>
      <c r="J224" s="1629" t="s">
        <v>31</v>
      </c>
      <c r="K224" s="1629" t="s">
        <v>31</v>
      </c>
      <c r="L224" s="1629" t="s">
        <v>31</v>
      </c>
      <c r="M224" s="1629" t="s">
        <v>31</v>
      </c>
      <c r="N224" s="1612"/>
      <c r="O224" s="1629"/>
      <c r="P224" s="1629" t="s">
        <v>31</v>
      </c>
      <c r="Q224" s="1629" t="s">
        <v>31</v>
      </c>
      <c r="R224" s="1629" t="s">
        <v>31</v>
      </c>
      <c r="S224" s="1629" t="s">
        <v>31</v>
      </c>
      <c r="T224" s="1629" t="s">
        <v>31</v>
      </c>
      <c r="U224" s="1629"/>
      <c r="V224" s="1629"/>
      <c r="W224" s="1629" t="s">
        <v>31</v>
      </c>
      <c r="X224" s="1629" t="s">
        <v>31</v>
      </c>
      <c r="Y224" s="1628" t="s">
        <v>31</v>
      </c>
      <c r="Z224" s="1628" t="s">
        <v>31</v>
      </c>
      <c r="AA224" s="1628" t="s">
        <v>31</v>
      </c>
      <c r="AB224" s="1629"/>
      <c r="AC224" s="1629"/>
      <c r="AD224" s="1629" t="s">
        <v>31</v>
      </c>
      <c r="AE224" s="1629" t="s">
        <v>31</v>
      </c>
      <c r="AF224" s="1629" t="s">
        <v>31</v>
      </c>
      <c r="AG224" s="1490"/>
      <c r="AH224" s="189"/>
      <c r="AI224" s="190"/>
    </row>
    <row r="225" spans="1:35" ht="22.15" customHeight="1" x14ac:dyDescent="0.2">
      <c r="A225" s="1491"/>
      <c r="B225" s="1665" t="s">
        <v>293</v>
      </c>
      <c r="C225" s="1623" t="s">
        <v>31</v>
      </c>
      <c r="D225" s="1623" t="s">
        <v>31</v>
      </c>
      <c r="E225" s="1623" t="s">
        <v>31</v>
      </c>
      <c r="F225" s="1623" t="s">
        <v>31</v>
      </c>
      <c r="G225" s="1623"/>
      <c r="H225" s="1623"/>
      <c r="I225" s="1623" t="s">
        <v>289</v>
      </c>
      <c r="J225" s="1629" t="s">
        <v>31</v>
      </c>
      <c r="K225" s="1629" t="s">
        <v>31</v>
      </c>
      <c r="L225" s="1629" t="s">
        <v>31</v>
      </c>
      <c r="M225" s="1629" t="s">
        <v>31</v>
      </c>
      <c r="N225" s="1612"/>
      <c r="O225" s="1629"/>
      <c r="P225" s="1629" t="s">
        <v>31</v>
      </c>
      <c r="Q225" s="1629" t="s">
        <v>31</v>
      </c>
      <c r="R225" s="1629" t="s">
        <v>31</v>
      </c>
      <c r="S225" s="1629" t="s">
        <v>31</v>
      </c>
      <c r="T225" s="1629" t="s">
        <v>31</v>
      </c>
      <c r="U225" s="1629"/>
      <c r="V225" s="1629"/>
      <c r="W225" s="1629" t="s">
        <v>31</v>
      </c>
      <c r="X225" s="1629" t="s">
        <v>31</v>
      </c>
      <c r="Y225" s="1628" t="s">
        <v>31</v>
      </c>
      <c r="Z225" s="1628" t="s">
        <v>31</v>
      </c>
      <c r="AA225" s="1628" t="s">
        <v>31</v>
      </c>
      <c r="AB225" s="1629"/>
      <c r="AC225" s="1629"/>
      <c r="AD225" s="1629" t="s">
        <v>31</v>
      </c>
      <c r="AE225" s="1629" t="s">
        <v>31</v>
      </c>
      <c r="AF225" s="1629" t="s">
        <v>31</v>
      </c>
      <c r="AG225" s="1490"/>
      <c r="AH225" s="189"/>
      <c r="AI225" s="190"/>
    </row>
    <row r="226" spans="1:35" ht="22.15" customHeight="1" x14ac:dyDescent="0.2">
      <c r="A226" s="1491"/>
      <c r="B226" s="1665" t="s">
        <v>294</v>
      </c>
      <c r="C226" s="1623" t="s">
        <v>31</v>
      </c>
      <c r="D226" s="1623" t="s">
        <v>31</v>
      </c>
      <c r="E226" s="1623" t="s">
        <v>31</v>
      </c>
      <c r="F226" s="1623" t="s">
        <v>31</v>
      </c>
      <c r="G226" s="1623"/>
      <c r="H226" s="1623"/>
      <c r="I226" s="1623" t="s">
        <v>31</v>
      </c>
      <c r="J226" s="1623" t="s">
        <v>31</v>
      </c>
      <c r="K226" s="1623" t="s">
        <v>31</v>
      </c>
      <c r="L226" s="1623" t="s">
        <v>31</v>
      </c>
      <c r="M226" s="1623" t="s">
        <v>31</v>
      </c>
      <c r="N226" s="1623"/>
      <c r="O226" s="1623"/>
      <c r="P226" s="1623" t="s">
        <v>31</v>
      </c>
      <c r="Q226" s="1623" t="s">
        <v>31</v>
      </c>
      <c r="R226" s="1623" t="s">
        <v>31</v>
      </c>
      <c r="S226" s="1623" t="s">
        <v>31</v>
      </c>
      <c r="T226" s="1623" t="s">
        <v>31</v>
      </c>
      <c r="U226" s="1623"/>
      <c r="V226" s="1623"/>
      <c r="W226" s="1623" t="s">
        <v>31</v>
      </c>
      <c r="X226" s="1623" t="s">
        <v>31</v>
      </c>
      <c r="Y226" s="1623" t="s">
        <v>31</v>
      </c>
      <c r="Z226" s="1623" t="s">
        <v>31</v>
      </c>
      <c r="AA226" s="1623" t="s">
        <v>31</v>
      </c>
      <c r="AB226" s="1623"/>
      <c r="AC226" s="1623"/>
      <c r="AD226" s="1623" t="s">
        <v>31</v>
      </c>
      <c r="AE226" s="1623" t="s">
        <v>31</v>
      </c>
      <c r="AF226" s="1623" t="s">
        <v>31</v>
      </c>
      <c r="AG226" s="1497"/>
      <c r="AH226" s="189"/>
      <c r="AI226" s="190"/>
    </row>
    <row r="227" spans="1:35" ht="22.15" customHeight="1" x14ac:dyDescent="0.2">
      <c r="A227" s="1491"/>
      <c r="B227" s="1665" t="s">
        <v>295</v>
      </c>
      <c r="C227" s="1629" t="s">
        <v>31</v>
      </c>
      <c r="D227" s="1629" t="s">
        <v>31</v>
      </c>
      <c r="E227" s="1629" t="s">
        <v>31</v>
      </c>
      <c r="F227" s="1636" t="s">
        <v>31</v>
      </c>
      <c r="G227" s="1636"/>
      <c r="H227" s="1629"/>
      <c r="I227" s="1629" t="s">
        <v>31</v>
      </c>
      <c r="J227" s="1629" t="s">
        <v>31</v>
      </c>
      <c r="K227" s="1629" t="s">
        <v>31</v>
      </c>
      <c r="L227" s="1629" t="s">
        <v>31</v>
      </c>
      <c r="M227" s="1629" t="s">
        <v>31</v>
      </c>
      <c r="N227" s="1612"/>
      <c r="O227" s="1629"/>
      <c r="P227" s="1629" t="s">
        <v>31</v>
      </c>
      <c r="Q227" s="1629" t="s">
        <v>31</v>
      </c>
      <c r="R227" s="1629" t="s">
        <v>31</v>
      </c>
      <c r="S227" s="1629" t="s">
        <v>31</v>
      </c>
      <c r="T227" s="1629" t="s">
        <v>31</v>
      </c>
      <c r="U227" s="1629"/>
      <c r="V227" s="1629"/>
      <c r="W227" s="1629" t="s">
        <v>31</v>
      </c>
      <c r="X227" s="1629" t="s">
        <v>31</v>
      </c>
      <c r="Y227" s="1628" t="s">
        <v>31</v>
      </c>
      <c r="Z227" s="1628" t="s">
        <v>31</v>
      </c>
      <c r="AA227" s="1628" t="s">
        <v>31</v>
      </c>
      <c r="AB227" s="1629"/>
      <c r="AC227" s="1629"/>
      <c r="AD227" s="1629" t="s">
        <v>31</v>
      </c>
      <c r="AE227" s="1629" t="s">
        <v>31</v>
      </c>
      <c r="AF227" s="1629" t="s">
        <v>31</v>
      </c>
      <c r="AG227" s="1490"/>
      <c r="AH227" s="189"/>
      <c r="AI227" s="190"/>
    </row>
    <row r="228" spans="1:35" ht="22.15" customHeight="1" x14ac:dyDescent="0.2">
      <c r="A228" s="1491"/>
      <c r="B228" s="1665" t="s">
        <v>296</v>
      </c>
      <c r="C228" s="1629" t="s">
        <v>31</v>
      </c>
      <c r="D228" s="1629" t="s">
        <v>31</v>
      </c>
      <c r="E228" s="1629" t="s">
        <v>31</v>
      </c>
      <c r="F228" s="1636" t="s">
        <v>31</v>
      </c>
      <c r="G228" s="1636"/>
      <c r="H228" s="1629"/>
      <c r="I228" s="1629" t="s">
        <v>31</v>
      </c>
      <c r="J228" s="1629" t="s">
        <v>31</v>
      </c>
      <c r="K228" s="1629" t="s">
        <v>31</v>
      </c>
      <c r="L228" s="1629" t="s">
        <v>31</v>
      </c>
      <c r="M228" s="1629" t="s">
        <v>31</v>
      </c>
      <c r="N228" s="1612"/>
      <c r="O228" s="1629"/>
      <c r="P228" s="1629" t="s">
        <v>31</v>
      </c>
      <c r="Q228" s="1629" t="s">
        <v>31</v>
      </c>
      <c r="R228" s="1629" t="s">
        <v>31</v>
      </c>
      <c r="S228" s="1629" t="s">
        <v>31</v>
      </c>
      <c r="T228" s="1629" t="s">
        <v>31</v>
      </c>
      <c r="U228" s="1629"/>
      <c r="V228" s="1629"/>
      <c r="W228" s="1629" t="s">
        <v>31</v>
      </c>
      <c r="X228" s="1629" t="s">
        <v>31</v>
      </c>
      <c r="Y228" s="1628" t="s">
        <v>31</v>
      </c>
      <c r="Z228" s="1628" t="s">
        <v>31</v>
      </c>
      <c r="AA228" s="1628" t="s">
        <v>31</v>
      </c>
      <c r="AB228" s="1629"/>
      <c r="AC228" s="1629"/>
      <c r="AD228" s="1629" t="s">
        <v>31</v>
      </c>
      <c r="AE228" s="1629" t="s">
        <v>31</v>
      </c>
      <c r="AF228" s="1629" t="s">
        <v>31</v>
      </c>
      <c r="AG228" s="1494"/>
      <c r="AH228" s="189"/>
      <c r="AI228" s="190"/>
    </row>
    <row r="229" spans="1:35" ht="22.15" customHeight="1" x14ac:dyDescent="0.2">
      <c r="A229" s="1491"/>
      <c r="B229" s="1498" t="s">
        <v>297</v>
      </c>
      <c r="C229" s="1629"/>
      <c r="D229" s="1629"/>
      <c r="E229" s="1629"/>
      <c r="F229" s="1306"/>
      <c r="G229" s="1633"/>
      <c r="H229" s="1633"/>
      <c r="I229" s="1629"/>
      <c r="J229" s="1629"/>
      <c r="K229" s="1629"/>
      <c r="L229" s="1629"/>
      <c r="M229" s="1629"/>
      <c r="N229" s="1612"/>
      <c r="O229" s="1629"/>
      <c r="P229" s="1629"/>
      <c r="Q229" s="1629"/>
      <c r="R229" s="1629"/>
      <c r="S229" s="1629"/>
      <c r="T229" s="1629"/>
      <c r="U229" s="1629"/>
      <c r="V229" s="1629"/>
      <c r="W229" s="1629"/>
      <c r="X229" s="1629"/>
      <c r="Y229" s="1628"/>
      <c r="Z229" s="1628"/>
      <c r="AA229" s="1628"/>
      <c r="AB229" s="1629"/>
      <c r="AC229" s="1629"/>
      <c r="AD229" s="1629"/>
      <c r="AE229" s="1629"/>
      <c r="AF229" s="1612"/>
      <c r="AG229" s="1490"/>
      <c r="AH229" s="186"/>
      <c r="AI229" s="107"/>
    </row>
    <row r="230" spans="1:35" ht="22.15" customHeight="1" x14ac:dyDescent="0.2">
      <c r="A230" s="1491"/>
      <c r="B230" s="1665"/>
      <c r="C230" s="1629"/>
      <c r="D230" s="1629"/>
      <c r="E230" s="1629"/>
      <c r="F230" s="1306"/>
      <c r="G230" s="1633"/>
      <c r="H230" s="1633"/>
      <c r="I230" s="1629"/>
      <c r="J230" s="1629"/>
      <c r="K230" s="1629"/>
      <c r="L230" s="1629"/>
      <c r="M230" s="1629"/>
      <c r="N230" s="1612"/>
      <c r="O230" s="1629"/>
      <c r="P230" s="1629"/>
      <c r="Q230" s="1629"/>
      <c r="R230" s="1629"/>
      <c r="S230" s="1629"/>
      <c r="T230" s="1629"/>
      <c r="U230" s="1629"/>
      <c r="V230" s="1629"/>
      <c r="W230" s="1629"/>
      <c r="X230" s="1629"/>
      <c r="Y230" s="1628"/>
      <c r="Z230" s="1628"/>
      <c r="AA230" s="1628"/>
      <c r="AB230" s="1629"/>
      <c r="AC230" s="1629"/>
      <c r="AD230" s="1629"/>
      <c r="AE230" s="1629"/>
      <c r="AF230" s="1612"/>
      <c r="AG230" s="1499"/>
      <c r="AH230" s="186"/>
      <c r="AI230" s="107"/>
    </row>
    <row r="231" spans="1:35" ht="22.15" customHeight="1" x14ac:dyDescent="0.2">
      <c r="A231" s="1734"/>
      <c r="B231" s="1889" t="s">
        <v>298</v>
      </c>
      <c r="C231" s="1629"/>
      <c r="D231" s="1629"/>
      <c r="E231" s="1629"/>
      <c r="F231" s="1629"/>
      <c r="G231" s="1629"/>
      <c r="H231" s="1629"/>
      <c r="I231" s="1629"/>
      <c r="J231" s="1629"/>
      <c r="K231" s="1629"/>
      <c r="L231" s="1629"/>
      <c r="M231" s="1629"/>
      <c r="N231" s="1629"/>
      <c r="O231" s="1629"/>
      <c r="P231" s="1629"/>
      <c r="Q231" s="1629"/>
      <c r="R231" s="1629"/>
      <c r="S231" s="1629"/>
      <c r="T231" s="1629"/>
      <c r="U231" s="1629"/>
      <c r="V231" s="1629"/>
      <c r="W231" s="1629"/>
      <c r="X231" s="1629"/>
      <c r="Y231" s="1629"/>
      <c r="Z231" s="1629"/>
      <c r="AA231" s="1629"/>
      <c r="AB231" s="1629"/>
      <c r="AC231" s="1629"/>
      <c r="AD231" s="1629"/>
      <c r="AE231" s="1629"/>
      <c r="AF231" s="1629"/>
      <c r="AG231" s="1490"/>
      <c r="AH231" s="186"/>
      <c r="AI231" s="107"/>
    </row>
    <row r="232" spans="1:35" ht="22.15" customHeight="1" x14ac:dyDescent="0.2">
      <c r="A232" s="1734"/>
      <c r="B232" s="1665"/>
      <c r="C232" s="1629" t="s">
        <v>31</v>
      </c>
      <c r="D232" s="1629" t="s">
        <v>31</v>
      </c>
      <c r="E232" s="1629" t="s">
        <v>31</v>
      </c>
      <c r="F232" s="1636" t="s">
        <v>31</v>
      </c>
      <c r="G232" s="1636"/>
      <c r="H232" s="1629"/>
      <c r="I232" s="1629" t="s">
        <v>31</v>
      </c>
      <c r="J232" s="1629" t="s">
        <v>31</v>
      </c>
      <c r="K232" s="1629" t="s">
        <v>31</v>
      </c>
      <c r="L232" s="1629" t="s">
        <v>31</v>
      </c>
      <c r="M232" s="1629" t="s">
        <v>31</v>
      </c>
      <c r="N232" s="1612"/>
      <c r="O232" s="1629"/>
      <c r="P232" s="1629" t="s">
        <v>31</v>
      </c>
      <c r="Q232" s="1629" t="s">
        <v>31</v>
      </c>
      <c r="R232" s="1629" t="s">
        <v>31</v>
      </c>
      <c r="S232" s="1629" t="s">
        <v>31</v>
      </c>
      <c r="T232" s="1629" t="s">
        <v>31</v>
      </c>
      <c r="U232" s="1629"/>
      <c r="V232" s="1629"/>
      <c r="W232" s="1629" t="s">
        <v>31</v>
      </c>
      <c r="X232" s="1629" t="s">
        <v>31</v>
      </c>
      <c r="Y232" s="1628" t="s">
        <v>31</v>
      </c>
      <c r="Z232" s="1628" t="s">
        <v>31</v>
      </c>
      <c r="AA232" s="1628" t="s">
        <v>31</v>
      </c>
      <c r="AB232" s="1629"/>
      <c r="AC232" s="1629"/>
      <c r="AD232" s="1629" t="s">
        <v>31</v>
      </c>
      <c r="AE232" s="1629" t="s">
        <v>31</v>
      </c>
      <c r="AF232" s="1629" t="s">
        <v>31</v>
      </c>
      <c r="AG232" s="1499"/>
      <c r="AH232" s="186"/>
      <c r="AI232" s="107"/>
    </row>
    <row r="233" spans="1:35" ht="22.15" customHeight="1" x14ac:dyDescent="0.2">
      <c r="A233" s="1734"/>
      <c r="B233" s="1734"/>
      <c r="C233" s="1629"/>
      <c r="D233" s="1629"/>
      <c r="E233" s="1629"/>
      <c r="F233" s="1629"/>
      <c r="G233" s="1629"/>
      <c r="H233" s="1629"/>
      <c r="I233" s="1629"/>
      <c r="J233" s="1629"/>
      <c r="K233" s="1629"/>
      <c r="L233" s="1629"/>
      <c r="M233" s="1629"/>
      <c r="N233" s="1629"/>
      <c r="O233" s="1629"/>
      <c r="P233" s="1629"/>
      <c r="Q233" s="1629"/>
      <c r="R233" s="1629"/>
      <c r="S233" s="1629"/>
      <c r="T233" s="1629"/>
      <c r="U233" s="1629"/>
      <c r="V233" s="1629"/>
      <c r="W233" s="1629"/>
      <c r="X233" s="1629"/>
      <c r="Y233" s="1629"/>
      <c r="Z233" s="1629"/>
      <c r="AA233" s="1629"/>
      <c r="AB233" s="1629"/>
      <c r="AC233" s="1629"/>
      <c r="AD233" s="1629"/>
      <c r="AE233" s="1629"/>
      <c r="AF233" s="1629"/>
      <c r="AG233" s="1490"/>
      <c r="AH233" s="186"/>
      <c r="AI233" s="107"/>
    </row>
    <row r="234" spans="1:35" ht="22.15" customHeight="1" x14ac:dyDescent="0.2">
      <c r="A234" s="1734"/>
      <c r="B234" s="1734"/>
      <c r="C234" s="1629"/>
      <c r="D234" s="1629"/>
      <c r="E234" s="1629"/>
      <c r="F234" s="1629"/>
      <c r="G234" s="1629"/>
      <c r="H234" s="1501"/>
      <c r="I234" s="1629"/>
      <c r="J234" s="1629"/>
      <c r="K234" s="1629"/>
      <c r="L234" s="1629"/>
      <c r="M234" s="1629"/>
      <c r="N234" s="1629"/>
      <c r="O234" s="1629"/>
      <c r="P234" s="1629"/>
      <c r="Q234" s="1629"/>
      <c r="R234" s="1629"/>
      <c r="S234" s="1629"/>
      <c r="T234" s="1629"/>
      <c r="U234" s="1629"/>
      <c r="V234" s="1629"/>
      <c r="W234" s="1629"/>
      <c r="X234" s="1629"/>
      <c r="Y234" s="1629"/>
      <c r="Z234" s="1629"/>
      <c r="AA234" s="1629"/>
      <c r="AB234" s="1629"/>
      <c r="AC234" s="1629"/>
      <c r="AD234" s="1629"/>
      <c r="AE234" s="1629"/>
      <c r="AF234" s="1629"/>
      <c r="AG234" s="1499"/>
      <c r="AH234" s="186"/>
      <c r="AI234" s="107"/>
    </row>
    <row r="235" spans="1:35" ht="22.15" customHeight="1" x14ac:dyDescent="0.2">
      <c r="A235" s="1491"/>
      <c r="B235" s="1496"/>
      <c r="C235" s="1629"/>
      <c r="D235" s="1629"/>
      <c r="E235" s="1629"/>
      <c r="F235" s="1629"/>
      <c r="G235" s="1629"/>
      <c r="H235" s="1629"/>
      <c r="I235" s="1629"/>
      <c r="J235" s="1629"/>
      <c r="K235" s="1629"/>
      <c r="L235" s="1629"/>
      <c r="M235" s="1629"/>
      <c r="N235" s="1629"/>
      <c r="O235" s="1629"/>
      <c r="P235" s="1629"/>
      <c r="Q235" s="1629"/>
      <c r="R235" s="1629"/>
      <c r="S235" s="1629"/>
      <c r="T235" s="1629"/>
      <c r="U235" s="1629"/>
      <c r="V235" s="1629"/>
      <c r="W235" s="1629"/>
      <c r="X235" s="1629"/>
      <c r="Y235" s="1629"/>
      <c r="Z235" s="1629"/>
      <c r="AA235" s="1629"/>
      <c r="AB235" s="1629"/>
      <c r="AC235" s="1629"/>
      <c r="AD235" s="1629"/>
      <c r="AE235" s="1629"/>
      <c r="AF235" s="1629"/>
      <c r="AG235" s="1499"/>
      <c r="AH235" s="186"/>
      <c r="AI235" s="107"/>
    </row>
    <row r="236" spans="1:35" ht="22.15" customHeight="1" x14ac:dyDescent="0.2">
      <c r="A236" s="1491"/>
      <c r="B236" s="1502"/>
      <c r="C236" s="1629"/>
      <c r="D236" s="1629"/>
      <c r="E236" s="1629"/>
      <c r="F236" s="1629"/>
      <c r="G236" s="1629"/>
      <c r="H236" s="1629"/>
      <c r="I236" s="1629"/>
      <c r="J236" s="1629"/>
      <c r="K236" s="1629"/>
      <c r="L236" s="1629"/>
      <c r="M236" s="1629"/>
      <c r="N236" s="1629"/>
      <c r="O236" s="1629"/>
      <c r="P236" s="1629"/>
      <c r="Q236" s="1629"/>
      <c r="R236" s="1629"/>
      <c r="S236" s="1629"/>
      <c r="T236" s="1629"/>
      <c r="U236" s="1629"/>
      <c r="V236" s="1629"/>
      <c r="W236" s="1629"/>
      <c r="X236" s="1629"/>
      <c r="Y236" s="1629"/>
      <c r="Z236" s="1629"/>
      <c r="AA236" s="1629"/>
      <c r="AB236" s="1629"/>
      <c r="AC236" s="1629"/>
      <c r="AD236" s="1629"/>
      <c r="AE236" s="1629"/>
      <c r="AF236" s="1629"/>
      <c r="AG236" s="1499"/>
      <c r="AH236" s="186"/>
      <c r="AI236" s="107"/>
    </row>
    <row r="237" spans="1:35" ht="22.15" customHeight="1" x14ac:dyDescent="0.2">
      <c r="A237" s="108"/>
      <c r="B237" s="122"/>
      <c r="C237" s="106"/>
      <c r="D237" s="106"/>
      <c r="E237" s="106"/>
      <c r="F237" s="106"/>
      <c r="G237" s="106"/>
      <c r="H237" s="106"/>
      <c r="I237" s="106"/>
      <c r="J237" s="106"/>
      <c r="L237" s="106"/>
      <c r="M237" s="106"/>
      <c r="N237" s="106"/>
      <c r="O237" s="106"/>
      <c r="P237" s="72"/>
      <c r="Q237" s="72"/>
      <c r="R237" s="72"/>
      <c r="S237" s="106"/>
      <c r="T237" s="106"/>
      <c r="U237" s="106"/>
      <c r="V237" s="106"/>
      <c r="W237" s="106"/>
      <c r="X237" s="106"/>
      <c r="Y237" s="106"/>
      <c r="Z237" s="106"/>
      <c r="AA237" s="106"/>
      <c r="AB237" s="106"/>
      <c r="AC237" s="106"/>
      <c r="AD237" s="106"/>
      <c r="AE237" s="106"/>
      <c r="AF237" s="106"/>
      <c r="AG237" s="106"/>
      <c r="AH237" s="107"/>
      <c r="AI237" s="107"/>
    </row>
    <row r="241" spans="1:35" ht="21" customHeight="1" thickBot="1" x14ac:dyDescent="0.25">
      <c r="A241" s="162" t="s">
        <v>300</v>
      </c>
    </row>
    <row r="242" spans="1:35" ht="21" customHeight="1" x14ac:dyDescent="0.2">
      <c r="B242" s="530" t="s">
        <v>267</v>
      </c>
      <c r="C242" s="500"/>
      <c r="D242" s="516" t="s">
        <v>90</v>
      </c>
      <c r="E242" s="473"/>
      <c r="F242" s="504"/>
      <c r="G242" s="500"/>
      <c r="H242" s="516" t="s">
        <v>91</v>
      </c>
      <c r="I242" s="473"/>
      <c r="J242" s="504"/>
      <c r="K242" s="500"/>
      <c r="L242" s="516" t="s">
        <v>92</v>
      </c>
      <c r="M242" s="473"/>
      <c r="N242" s="504"/>
      <c r="O242" s="500"/>
      <c r="P242" s="516" t="s">
        <v>93</v>
      </c>
      <c r="Q242" s="473"/>
      <c r="R242" s="504"/>
      <c r="S242" s="500"/>
      <c r="T242" s="516" t="s">
        <v>94</v>
      </c>
      <c r="U242" s="473"/>
      <c r="V242" s="504"/>
      <c r="W242" s="500"/>
      <c r="X242" s="516" t="s">
        <v>95</v>
      </c>
      <c r="Y242" s="473"/>
      <c r="Z242" s="504"/>
      <c r="AA242" s="500"/>
      <c r="AB242" s="516" t="s">
        <v>96</v>
      </c>
      <c r="AC242" s="473"/>
      <c r="AD242" s="473"/>
      <c r="AE242" s="519" t="s">
        <v>97</v>
      </c>
      <c r="AF242" s="473"/>
      <c r="AG242" s="473"/>
      <c r="AH242" s="473"/>
      <c r="AI242" s="474"/>
    </row>
    <row r="243" spans="1:35" ht="21" customHeight="1" x14ac:dyDescent="0.2">
      <c r="B243" s="3"/>
      <c r="C243" s="156"/>
      <c r="D243" s="117"/>
      <c r="E243" s="166"/>
      <c r="F243" s="168"/>
      <c r="G243" s="156"/>
      <c r="H243" s="117"/>
      <c r="I243" s="166"/>
      <c r="J243" s="168"/>
      <c r="K243" s="156"/>
      <c r="L243" s="117"/>
      <c r="M243" s="166"/>
      <c r="N243" s="168"/>
      <c r="O243" s="156"/>
      <c r="P243" s="117"/>
      <c r="Q243" s="166"/>
      <c r="R243" s="168"/>
      <c r="S243" s="156"/>
      <c r="T243" s="117"/>
      <c r="U243" s="166"/>
      <c r="V243" s="168"/>
      <c r="W243" s="156"/>
      <c r="X243" s="117"/>
      <c r="Y243" s="166"/>
      <c r="Z243" s="168"/>
      <c r="AA243" s="156"/>
      <c r="AB243" s="117"/>
      <c r="AC243" s="166"/>
      <c r="AD243" s="166"/>
      <c r="AE243" s="118"/>
      <c r="AF243" s="166"/>
      <c r="AG243" s="14"/>
      <c r="AH243" s="14"/>
      <c r="AI243" s="119"/>
    </row>
    <row r="244" spans="1:35" ht="21" customHeight="1" x14ac:dyDescent="0.2">
      <c r="A244" s="110"/>
      <c r="B244" s="1890">
        <v>3701</v>
      </c>
      <c r="C244" s="1283" t="s">
        <v>272</v>
      </c>
      <c r="D244" s="1284"/>
      <c r="E244" s="166"/>
      <c r="F244" s="168"/>
      <c r="G244" s="1283" t="s">
        <v>272</v>
      </c>
      <c r="H244" s="117"/>
      <c r="I244" s="166"/>
      <c r="J244" s="168"/>
      <c r="K244" s="1283" t="s">
        <v>272</v>
      </c>
      <c r="L244" s="117"/>
      <c r="M244" s="166"/>
      <c r="N244" s="168"/>
      <c r="O244" s="1283" t="s">
        <v>272</v>
      </c>
      <c r="P244" s="117"/>
      <c r="Q244" s="166"/>
      <c r="R244" s="168"/>
      <c r="S244" s="156" t="s">
        <v>273</v>
      </c>
      <c r="T244" s="117"/>
      <c r="U244" s="166"/>
      <c r="V244" s="168"/>
      <c r="W244" s="156"/>
      <c r="X244" s="117"/>
      <c r="Y244" s="166"/>
      <c r="Z244" s="168"/>
      <c r="AA244" s="156"/>
      <c r="AB244" s="117"/>
      <c r="AC244" s="166"/>
      <c r="AD244" s="166"/>
      <c r="AE244" s="118"/>
      <c r="AF244" s="166"/>
      <c r="AG244" s="14"/>
      <c r="AH244" s="14"/>
      <c r="AI244" s="119"/>
    </row>
    <row r="245" spans="1:35" ht="21" customHeight="1" x14ac:dyDescent="0.2">
      <c r="B245" s="1890"/>
      <c r="C245" s="1283"/>
      <c r="D245" s="1284"/>
      <c r="E245" s="166"/>
      <c r="F245" s="168"/>
      <c r="G245" s="1283"/>
      <c r="H245" s="117"/>
      <c r="I245" s="166"/>
      <c r="J245" s="168"/>
      <c r="K245" s="1283"/>
      <c r="L245" s="117"/>
      <c r="M245" s="166"/>
      <c r="N245" s="168"/>
      <c r="O245" s="1283"/>
      <c r="P245" s="117"/>
      <c r="Q245" s="166"/>
      <c r="R245" s="168"/>
      <c r="S245" s="1283"/>
      <c r="T245" s="117"/>
      <c r="U245" s="166"/>
      <c r="V245" s="168"/>
      <c r="W245" s="156"/>
      <c r="X245" s="117"/>
      <c r="Y245" s="166"/>
      <c r="Z245" s="168"/>
      <c r="AA245" s="156"/>
      <c r="AB245" s="117"/>
      <c r="AC245" s="166"/>
      <c r="AD245" s="166"/>
      <c r="AE245" s="118"/>
      <c r="AF245" s="166"/>
      <c r="AG245" s="14"/>
      <c r="AH245" s="14"/>
      <c r="AI245" s="119"/>
    </row>
    <row r="246" spans="1:35" ht="21" customHeight="1" x14ac:dyDescent="0.2">
      <c r="B246" s="1890">
        <v>3702</v>
      </c>
      <c r="C246" s="1283" t="s">
        <v>301</v>
      </c>
      <c r="D246" s="1284"/>
      <c r="E246" s="166"/>
      <c r="F246" s="168"/>
      <c r="G246" s="1283" t="s">
        <v>301</v>
      </c>
      <c r="H246" s="1284"/>
      <c r="I246" s="166"/>
      <c r="J246" s="168"/>
      <c r="K246" s="1283" t="s">
        <v>301</v>
      </c>
      <c r="L246" s="1284"/>
      <c r="M246" s="166"/>
      <c r="N246" s="168"/>
      <c r="O246" s="1283" t="s">
        <v>301</v>
      </c>
      <c r="P246" s="1284"/>
      <c r="Q246" s="166"/>
      <c r="R246" s="168"/>
      <c r="S246" s="1283" t="s">
        <v>302</v>
      </c>
      <c r="T246" s="1284"/>
      <c r="U246" s="166"/>
      <c r="V246" s="168"/>
      <c r="W246" s="156"/>
      <c r="X246" s="117"/>
      <c r="Y246" s="166"/>
      <c r="Z246" s="168"/>
      <c r="AA246" s="156"/>
      <c r="AB246" s="117"/>
      <c r="AC246" s="166"/>
      <c r="AD246" s="166"/>
      <c r="AE246" s="118"/>
      <c r="AF246" s="166"/>
      <c r="AG246" s="14"/>
      <c r="AH246" s="14"/>
      <c r="AI246" s="119"/>
    </row>
    <row r="247" spans="1:35" ht="21" customHeight="1" x14ac:dyDescent="0.2">
      <c r="B247" s="1890"/>
      <c r="C247" s="1391"/>
      <c r="D247" s="1284"/>
      <c r="E247" s="166"/>
      <c r="F247" s="168"/>
      <c r="G247" s="117"/>
      <c r="H247" s="117"/>
      <c r="I247" s="166"/>
      <c r="J247" s="168"/>
      <c r="K247" s="117"/>
      <c r="L247" s="117"/>
      <c r="M247" s="166"/>
      <c r="N247" s="168"/>
      <c r="O247" s="117"/>
      <c r="P247" s="117"/>
      <c r="Q247" s="166"/>
      <c r="R247" s="168"/>
      <c r="S247" s="117"/>
      <c r="T247" s="117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B248" s="1890" t="s">
        <v>139</v>
      </c>
      <c r="C248" s="1391" t="s">
        <v>303</v>
      </c>
      <c r="D248" s="1284"/>
      <c r="E248" s="166"/>
      <c r="F248" s="168"/>
      <c r="G248" s="1391" t="s">
        <v>303</v>
      </c>
      <c r="H248" s="1284"/>
      <c r="I248" s="166"/>
      <c r="J248" s="168"/>
      <c r="K248" s="1391" t="s">
        <v>303</v>
      </c>
      <c r="L248" s="1284"/>
      <c r="M248" s="166"/>
      <c r="N248" s="168"/>
      <c r="O248" s="1391" t="s">
        <v>303</v>
      </c>
      <c r="P248" s="1284"/>
      <c r="Q248" s="166"/>
      <c r="R248" s="168"/>
      <c r="S248" s="117" t="s">
        <v>304</v>
      </c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1890" t="s">
        <v>143</v>
      </c>
      <c r="C249" s="1391" t="s">
        <v>305</v>
      </c>
      <c r="D249" s="1284"/>
      <c r="E249" s="166"/>
      <c r="F249" s="168"/>
      <c r="G249" s="1391" t="s">
        <v>305</v>
      </c>
      <c r="H249" s="1284"/>
      <c r="I249" s="166"/>
      <c r="J249" s="168"/>
      <c r="K249" s="1391" t="s">
        <v>305</v>
      </c>
      <c r="L249" s="1284"/>
      <c r="M249" s="166"/>
      <c r="N249" s="168"/>
      <c r="O249" s="1391" t="s">
        <v>305</v>
      </c>
      <c r="P249" s="1284"/>
      <c r="Q249" s="166"/>
      <c r="R249" s="168"/>
      <c r="S249" s="117" t="s">
        <v>306</v>
      </c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thickBot="1" x14ac:dyDescent="0.25">
      <c r="B250" s="1089" t="s">
        <v>153</v>
      </c>
      <c r="C250" s="1404" t="s">
        <v>307</v>
      </c>
      <c r="D250" s="1892"/>
      <c r="E250" s="1506"/>
      <c r="F250" s="1507"/>
      <c r="G250" s="1404" t="s">
        <v>307</v>
      </c>
      <c r="H250" s="1892"/>
      <c r="I250" s="1506"/>
      <c r="J250" s="1507"/>
      <c r="K250" s="1404" t="s">
        <v>307</v>
      </c>
      <c r="L250" s="1892"/>
      <c r="M250" s="1506"/>
      <c r="N250" s="1507"/>
      <c r="O250" s="1404" t="s">
        <v>307</v>
      </c>
      <c r="P250" s="1892"/>
      <c r="Q250" s="1506"/>
      <c r="R250" s="1507"/>
      <c r="S250" s="1508" t="s">
        <v>308</v>
      </c>
      <c r="T250" s="1508"/>
      <c r="U250" s="1506"/>
      <c r="V250" s="1507"/>
      <c r="W250" s="1094"/>
      <c r="X250" s="1508"/>
      <c r="Y250" s="1510"/>
      <c r="Z250" s="1511"/>
      <c r="AA250" s="1097"/>
      <c r="AB250" s="1508"/>
      <c r="AC250" s="1510"/>
      <c r="AD250" s="1510"/>
      <c r="AE250" s="1098"/>
      <c r="AF250" s="1510"/>
      <c r="AG250" s="1506"/>
      <c r="AH250" s="1506"/>
      <c r="AI250" s="1099"/>
    </row>
    <row r="251" spans="1:35" ht="21" customHeight="1" x14ac:dyDescent="0.2">
      <c r="B251" s="59"/>
      <c r="C251" s="64"/>
      <c r="D251" s="18"/>
      <c r="G251" s="64"/>
      <c r="H251" s="18"/>
      <c r="K251" s="64"/>
      <c r="L251" s="18"/>
      <c r="O251" s="64"/>
      <c r="P251" s="18"/>
      <c r="S251" s="64"/>
      <c r="T251" s="64"/>
      <c r="X251" s="64"/>
      <c r="AB251" s="64"/>
      <c r="AE251" s="64"/>
    </row>
    <row r="252" spans="1:35" ht="21" customHeight="1" x14ac:dyDescent="0.2">
      <c r="A252" s="123" t="s">
        <v>309</v>
      </c>
    </row>
    <row r="253" spans="1:35" ht="21" customHeight="1" thickBot="1" x14ac:dyDescent="0.25">
      <c r="A253" s="1343"/>
      <c r="B253" s="1247" t="s">
        <v>29</v>
      </c>
      <c r="C253" s="1186">
        <v>1</v>
      </c>
      <c r="D253" s="1186">
        <v>2</v>
      </c>
      <c r="E253" s="1186">
        <v>3</v>
      </c>
      <c r="F253" s="1186">
        <v>4</v>
      </c>
      <c r="G253" s="1185">
        <v>5</v>
      </c>
      <c r="H253" s="1185">
        <v>6</v>
      </c>
      <c r="I253" s="1186">
        <v>7</v>
      </c>
      <c r="J253" s="1186">
        <v>8</v>
      </c>
      <c r="K253" s="1186">
        <v>9</v>
      </c>
      <c r="L253" s="1186">
        <v>10</v>
      </c>
      <c r="M253" s="1186">
        <v>11</v>
      </c>
      <c r="N253" s="1185">
        <v>12</v>
      </c>
      <c r="O253" s="1185">
        <v>13</v>
      </c>
      <c r="P253" s="1186">
        <v>14</v>
      </c>
      <c r="Q253" s="1186">
        <v>15</v>
      </c>
      <c r="R253" s="1186">
        <v>16</v>
      </c>
      <c r="S253" s="1186">
        <v>17</v>
      </c>
      <c r="T253" s="1186">
        <v>18</v>
      </c>
      <c r="U253" s="1185">
        <v>19</v>
      </c>
      <c r="V253" s="1185">
        <v>20</v>
      </c>
      <c r="W253" s="1186">
        <v>21</v>
      </c>
      <c r="X253" s="1186">
        <v>22</v>
      </c>
      <c r="Y253" s="1186">
        <v>23</v>
      </c>
      <c r="Z253" s="1186">
        <v>24</v>
      </c>
      <c r="AA253" s="1186">
        <v>25</v>
      </c>
      <c r="AB253" s="1185">
        <v>26</v>
      </c>
      <c r="AC253" s="1185">
        <v>27</v>
      </c>
      <c r="AD253" s="1186">
        <v>28</v>
      </c>
      <c r="AE253" s="1186">
        <v>29</v>
      </c>
      <c r="AF253" s="1186">
        <v>30</v>
      </c>
      <c r="AG253" s="1945"/>
      <c r="AH253" s="184"/>
      <c r="AI253" s="185"/>
    </row>
    <row r="254" spans="1:35" ht="21" customHeight="1" x14ac:dyDescent="0.2">
      <c r="A254" s="531">
        <v>3701</v>
      </c>
      <c r="B254" s="476"/>
      <c r="C254" s="1629" t="s">
        <v>31</v>
      </c>
      <c r="D254" s="1629" t="s">
        <v>31</v>
      </c>
      <c r="E254" s="1629" t="s">
        <v>31</v>
      </c>
      <c r="F254" s="1636" t="s">
        <v>31</v>
      </c>
      <c r="G254" s="1636"/>
      <c r="H254" s="1629"/>
      <c r="I254" s="1629" t="s">
        <v>31</v>
      </c>
      <c r="J254" s="1629" t="s">
        <v>31</v>
      </c>
      <c r="K254" s="1629" t="s">
        <v>31</v>
      </c>
      <c r="L254" s="1629" t="s">
        <v>31</v>
      </c>
      <c r="M254" s="1629" t="s">
        <v>31</v>
      </c>
      <c r="N254" s="1612"/>
      <c r="O254" s="1629"/>
      <c r="P254" s="1629" t="s">
        <v>31</v>
      </c>
      <c r="Q254" s="1629" t="s">
        <v>31</v>
      </c>
      <c r="R254" s="1629" t="s">
        <v>31</v>
      </c>
      <c r="S254" s="1629" t="s">
        <v>31</v>
      </c>
      <c r="T254" s="1629" t="s">
        <v>31</v>
      </c>
      <c r="U254" s="1629"/>
      <c r="V254" s="1629"/>
      <c r="W254" s="1629" t="s">
        <v>31</v>
      </c>
      <c r="X254" s="1629" t="s">
        <v>31</v>
      </c>
      <c r="Y254" s="1628" t="s">
        <v>31</v>
      </c>
      <c r="Z254" s="1628" t="s">
        <v>31</v>
      </c>
      <c r="AA254" s="1628" t="s">
        <v>31</v>
      </c>
      <c r="AB254" s="1629"/>
      <c r="AC254" s="1629"/>
      <c r="AD254" s="1629" t="s">
        <v>31</v>
      </c>
      <c r="AE254" s="1629" t="s">
        <v>31</v>
      </c>
      <c r="AF254" s="1629" t="s">
        <v>31</v>
      </c>
      <c r="AG254" s="478"/>
      <c r="AH254" s="189"/>
      <c r="AI254" s="190"/>
    </row>
    <row r="255" spans="1:35" ht="21" customHeight="1" x14ac:dyDescent="0.2">
      <c r="A255" s="1893">
        <v>3702</v>
      </c>
      <c r="B255" s="1202" t="s">
        <v>310</v>
      </c>
      <c r="C255" s="1629" t="s">
        <v>31</v>
      </c>
      <c r="D255" s="1629" t="s">
        <v>31</v>
      </c>
      <c r="E255" s="1629" t="s">
        <v>31</v>
      </c>
      <c r="F255" s="1636" t="s">
        <v>31</v>
      </c>
      <c r="G255" s="1636"/>
      <c r="H255" s="1629"/>
      <c r="I255" s="1629" t="s">
        <v>31</v>
      </c>
      <c r="J255" s="1629" t="s">
        <v>31</v>
      </c>
      <c r="K255" s="1629" t="s">
        <v>31</v>
      </c>
      <c r="L255" s="1629" t="s">
        <v>31</v>
      </c>
      <c r="M255" s="1629" t="s">
        <v>31</v>
      </c>
      <c r="N255" s="1612"/>
      <c r="O255" s="1629"/>
      <c r="P255" s="1629" t="s">
        <v>31</v>
      </c>
      <c r="Q255" s="1629" t="s">
        <v>31</v>
      </c>
      <c r="R255" s="1629" t="s">
        <v>31</v>
      </c>
      <c r="S255" s="1629" t="s">
        <v>31</v>
      </c>
      <c r="T255" s="1629" t="s">
        <v>31</v>
      </c>
      <c r="U255" s="1629"/>
      <c r="V255" s="1629"/>
      <c r="W255" s="1629" t="s">
        <v>31</v>
      </c>
      <c r="X255" s="1629" t="s">
        <v>31</v>
      </c>
      <c r="Y255" s="1628" t="s">
        <v>31</v>
      </c>
      <c r="Z255" s="1628" t="s">
        <v>31</v>
      </c>
      <c r="AA255" s="1628" t="s">
        <v>31</v>
      </c>
      <c r="AB255" s="1629"/>
      <c r="AC255" s="1629"/>
      <c r="AD255" s="1629" t="s">
        <v>31</v>
      </c>
      <c r="AE255" s="1629" t="s">
        <v>31</v>
      </c>
      <c r="AF255" s="1629" t="s">
        <v>31</v>
      </c>
      <c r="AG255" s="1261"/>
      <c r="AH255" s="189"/>
      <c r="AI255" s="190"/>
    </row>
    <row r="256" spans="1:35" ht="21" customHeight="1" x14ac:dyDescent="0.2">
      <c r="A256" s="1893"/>
      <c r="B256" s="1202"/>
      <c r="C256" s="1259"/>
      <c r="D256" s="1259"/>
      <c r="E256" s="1259"/>
      <c r="F256" s="1259"/>
      <c r="G256" s="1259"/>
      <c r="H256" s="1259"/>
      <c r="I256" s="1259"/>
      <c r="J256" s="1259"/>
      <c r="K256" s="1259"/>
      <c r="L256" s="1259"/>
      <c r="M256" s="1894"/>
      <c r="N256" s="1259"/>
      <c r="O256" s="1259"/>
      <c r="P256" s="1259"/>
      <c r="Q256" s="1259"/>
      <c r="R256" s="1259"/>
      <c r="S256" s="1259"/>
      <c r="T256" s="1259"/>
      <c r="U256" s="1259"/>
      <c r="V256" s="1259"/>
      <c r="W256" s="1259"/>
      <c r="X256" s="1259"/>
      <c r="Y256" s="1259"/>
      <c r="Z256" s="1259"/>
      <c r="AA256" s="1259"/>
      <c r="AB256" s="1259"/>
      <c r="AC256" s="1259"/>
      <c r="AD256" s="1259"/>
      <c r="AE256" s="1259"/>
      <c r="AF256" s="1259"/>
      <c r="AG256" s="1261"/>
      <c r="AH256" s="189"/>
      <c r="AI256" s="190"/>
    </row>
    <row r="257" spans="1:35" ht="21" customHeight="1" thickBot="1" x14ac:dyDescent="0.25">
      <c r="A257" s="1895"/>
      <c r="B257" s="1896"/>
      <c r="C257" s="1254"/>
      <c r="D257" s="1254"/>
      <c r="E257" s="1254"/>
      <c r="F257" s="1254"/>
      <c r="G257" s="1254"/>
      <c r="H257" s="1254"/>
      <c r="I257" s="1254"/>
      <c r="J257" s="1254"/>
      <c r="K257" s="1254"/>
      <c r="L257" s="1254"/>
      <c r="M257" s="1254"/>
      <c r="N257" s="1254"/>
      <c r="O257" s="1254"/>
      <c r="P257" s="1254"/>
      <c r="Q257" s="1254"/>
      <c r="R257" s="1254"/>
      <c r="S257" s="1254"/>
      <c r="T257" s="1254"/>
      <c r="U257" s="1254"/>
      <c r="V257" s="1254"/>
      <c r="W257" s="1254"/>
      <c r="X257" s="1254"/>
      <c r="Y257" s="1254"/>
      <c r="Z257" s="1254"/>
      <c r="AA257" s="1254"/>
      <c r="AB257" s="1254"/>
      <c r="AC257" s="1254"/>
      <c r="AD257" s="1254"/>
      <c r="AE257" s="1254"/>
      <c r="AF257" s="1254"/>
      <c r="AG257" s="1945"/>
      <c r="AH257" s="189"/>
      <c r="AI257" s="190"/>
    </row>
    <row r="258" spans="1:35" ht="21" customHeight="1" x14ac:dyDescent="0.2">
      <c r="A258" s="251"/>
      <c r="B258" s="2059" t="s">
        <v>311</v>
      </c>
      <c r="C258" s="2060"/>
      <c r="D258" s="2060"/>
      <c r="E258" s="2060"/>
      <c r="F258" s="2060"/>
      <c r="G258" s="2060"/>
      <c r="H258" s="2060"/>
      <c r="I258" s="2060"/>
      <c r="J258" s="2060"/>
      <c r="K258" s="2060"/>
      <c r="L258" s="2060"/>
      <c r="M258" s="2060"/>
      <c r="N258" s="2060"/>
      <c r="O258" s="2060"/>
      <c r="P258" s="2060"/>
      <c r="Q258" s="2060"/>
      <c r="R258" s="2060"/>
      <c r="S258" s="2060"/>
      <c r="T258" s="2060"/>
      <c r="U258" s="2060"/>
      <c r="V258" s="2060"/>
      <c r="W258" s="2060"/>
      <c r="X258" s="2060"/>
      <c r="Y258" s="2060"/>
      <c r="Z258" s="2060"/>
      <c r="AA258" s="2060"/>
      <c r="AB258" s="2060"/>
      <c r="AC258" s="2060"/>
      <c r="AD258" s="2060"/>
      <c r="AE258" s="2060"/>
      <c r="AF258" s="2060"/>
      <c r="AG258" s="2061"/>
      <c r="AH258" s="187"/>
      <c r="AI258" s="188"/>
    </row>
    <row r="259" spans="1:35" ht="21" customHeight="1" x14ac:dyDescent="0.2">
      <c r="A259" s="1893">
        <v>3702</v>
      </c>
      <c r="B259" s="2011" t="s">
        <v>312</v>
      </c>
      <c r="C259" s="1200" t="s">
        <v>313</v>
      </c>
      <c r="D259" s="1200" t="s">
        <v>313</v>
      </c>
      <c r="E259" s="1200" t="s">
        <v>313</v>
      </c>
      <c r="F259" s="1200" t="s">
        <v>313</v>
      </c>
      <c r="G259" s="1200"/>
      <c r="H259" s="1200"/>
      <c r="I259" s="1200" t="s">
        <v>313</v>
      </c>
      <c r="J259" s="1200" t="s">
        <v>313</v>
      </c>
      <c r="K259" s="1200" t="s">
        <v>313</v>
      </c>
      <c r="L259" s="1200" t="s">
        <v>313</v>
      </c>
      <c r="M259" s="1200" t="s">
        <v>313</v>
      </c>
      <c r="N259" s="1200"/>
      <c r="O259" s="1200"/>
      <c r="P259" s="1200" t="s">
        <v>313</v>
      </c>
      <c r="Q259" s="1200" t="s">
        <v>313</v>
      </c>
      <c r="R259" s="1200" t="s">
        <v>313</v>
      </c>
      <c r="S259" s="1200" t="s">
        <v>313</v>
      </c>
      <c r="T259" s="1200" t="s">
        <v>313</v>
      </c>
      <c r="U259" s="1200"/>
      <c r="V259" s="1200"/>
      <c r="W259" s="1259" t="s">
        <v>313</v>
      </c>
      <c r="X259" s="1259" t="s">
        <v>313</v>
      </c>
      <c r="Y259" s="1259" t="s">
        <v>313</v>
      </c>
      <c r="Z259" s="1259" t="s">
        <v>313</v>
      </c>
      <c r="AA259" s="1259" t="s">
        <v>313</v>
      </c>
      <c r="AB259" s="1259"/>
      <c r="AC259" s="1259"/>
      <c r="AD259" s="1259" t="s">
        <v>313</v>
      </c>
      <c r="AE259" s="1259" t="s">
        <v>313</v>
      </c>
      <c r="AF259" s="1259" t="s">
        <v>313</v>
      </c>
      <c r="AG259" s="2062"/>
      <c r="AH259" s="189"/>
      <c r="AI259" s="190"/>
    </row>
    <row r="260" spans="1:35" ht="21" customHeight="1" x14ac:dyDescent="0.2">
      <c r="A260" s="1893"/>
      <c r="B260" s="1865" t="s">
        <v>314</v>
      </c>
      <c r="C260" s="1259" t="s">
        <v>315</v>
      </c>
      <c r="D260" s="1259" t="s">
        <v>315</v>
      </c>
      <c r="E260" s="1259" t="s">
        <v>315</v>
      </c>
      <c r="F260" s="1259" t="s">
        <v>315</v>
      </c>
      <c r="G260" s="1259"/>
      <c r="H260" s="1259"/>
      <c r="I260" s="1259" t="s">
        <v>315</v>
      </c>
      <c r="J260" s="1259" t="s">
        <v>315</v>
      </c>
      <c r="K260" s="1259" t="s">
        <v>315</v>
      </c>
      <c r="L260" s="1259" t="s">
        <v>315</v>
      </c>
      <c r="M260" s="1259" t="s">
        <v>315</v>
      </c>
      <c r="N260" s="1259"/>
      <c r="O260" s="1259"/>
      <c r="P260" s="1259" t="s">
        <v>315</v>
      </c>
      <c r="Q260" s="1259" t="s">
        <v>315</v>
      </c>
      <c r="R260" s="1259" t="s">
        <v>315</v>
      </c>
      <c r="S260" s="1259" t="s">
        <v>315</v>
      </c>
      <c r="T260" s="1270" t="s">
        <v>315</v>
      </c>
      <c r="U260" s="1259"/>
      <c r="V260" s="1259"/>
      <c r="W260" s="1270" t="s">
        <v>315</v>
      </c>
      <c r="X260" s="1259" t="s">
        <v>315</v>
      </c>
      <c r="Y260" s="1259" t="s">
        <v>315</v>
      </c>
      <c r="Z260" s="1259" t="s">
        <v>315</v>
      </c>
      <c r="AA260" s="1259" t="s">
        <v>315</v>
      </c>
      <c r="AB260" s="1259"/>
      <c r="AC260" s="1259"/>
      <c r="AD260" s="1259" t="s">
        <v>315</v>
      </c>
      <c r="AE260" s="1259" t="s">
        <v>315</v>
      </c>
      <c r="AF260" s="1259" t="s">
        <v>315</v>
      </c>
      <c r="AG260" s="2062"/>
      <c r="AH260" s="189"/>
      <c r="AI260" s="190"/>
    </row>
    <row r="261" spans="1:35" ht="21" customHeight="1" thickBot="1" x14ac:dyDescent="0.25">
      <c r="A261" s="1112"/>
      <c r="B261" s="1872" t="s">
        <v>316</v>
      </c>
      <c r="C261" s="1255" t="s">
        <v>317</v>
      </c>
      <c r="D261" s="1255" t="s">
        <v>317</v>
      </c>
      <c r="E261" s="1255" t="s">
        <v>317</v>
      </c>
      <c r="F261" s="1255" t="s">
        <v>317</v>
      </c>
      <c r="G261" s="1255"/>
      <c r="H261" s="1255"/>
      <c r="I261" s="1255" t="s">
        <v>317</v>
      </c>
      <c r="J261" s="1255" t="s">
        <v>317</v>
      </c>
      <c r="K261" s="1255" t="s">
        <v>317</v>
      </c>
      <c r="L261" s="1255" t="s">
        <v>317</v>
      </c>
      <c r="M261" s="1255" t="s">
        <v>317</v>
      </c>
      <c r="N261" s="1255"/>
      <c r="O261" s="1255"/>
      <c r="P261" s="1255" t="s">
        <v>317</v>
      </c>
      <c r="Q261" s="1255" t="s">
        <v>317</v>
      </c>
      <c r="R261" s="1255" t="s">
        <v>317</v>
      </c>
      <c r="S261" s="1255" t="s">
        <v>317</v>
      </c>
      <c r="T261" s="1255" t="s">
        <v>317</v>
      </c>
      <c r="U261" s="1255"/>
      <c r="V261" s="1255"/>
      <c r="W261" s="1255" t="s">
        <v>317</v>
      </c>
      <c r="X261" s="1255" t="s">
        <v>317</v>
      </c>
      <c r="Y261" s="1255" t="s">
        <v>317</v>
      </c>
      <c r="Z261" s="1255" t="s">
        <v>317</v>
      </c>
      <c r="AA261" s="1255" t="s">
        <v>317</v>
      </c>
      <c r="AB261" s="1255"/>
      <c r="AC261" s="1255"/>
      <c r="AD261" s="1255" t="s">
        <v>317</v>
      </c>
      <c r="AE261" s="1255" t="s">
        <v>317</v>
      </c>
      <c r="AF261" s="1255" t="s">
        <v>317</v>
      </c>
      <c r="AG261" s="2063"/>
      <c r="AH261" s="189"/>
      <c r="AI261" s="190"/>
    </row>
    <row r="262" spans="1:35" ht="21" customHeight="1" x14ac:dyDescent="0.2"/>
    <row r="263" spans="1:35" ht="21" customHeight="1" x14ac:dyDescent="0.2"/>
    <row r="264" spans="1:35" ht="21" customHeight="1" thickBot="1" x14ac:dyDescent="0.25">
      <c r="A264" s="162" t="s">
        <v>318</v>
      </c>
    </row>
    <row r="265" spans="1:35" ht="21" customHeight="1" x14ac:dyDescent="0.2">
      <c r="B265" s="530" t="s">
        <v>267</v>
      </c>
      <c r="C265" s="500"/>
      <c r="D265" s="516" t="s">
        <v>90</v>
      </c>
      <c r="E265" s="473"/>
      <c r="F265" s="504"/>
      <c r="G265" s="500"/>
      <c r="H265" s="516" t="s">
        <v>91</v>
      </c>
      <c r="I265" s="473"/>
      <c r="J265" s="504"/>
      <c r="K265" s="500"/>
      <c r="L265" s="516" t="s">
        <v>92</v>
      </c>
      <c r="M265" s="473"/>
      <c r="N265" s="504"/>
      <c r="O265" s="500"/>
      <c r="P265" s="516" t="s">
        <v>93</v>
      </c>
      <c r="Q265" s="473"/>
      <c r="R265" s="504"/>
      <c r="S265" s="500"/>
      <c r="T265" s="516" t="s">
        <v>94</v>
      </c>
      <c r="U265" s="473"/>
      <c r="V265" s="504"/>
      <c r="W265" s="500"/>
      <c r="X265" s="516" t="s">
        <v>95</v>
      </c>
      <c r="Y265" s="473"/>
      <c r="Z265" s="504"/>
      <c r="AA265" s="500"/>
      <c r="AB265" s="516" t="s">
        <v>96</v>
      </c>
      <c r="AC265" s="473"/>
      <c r="AD265" s="473"/>
      <c r="AE265" s="519" t="s">
        <v>97</v>
      </c>
      <c r="AF265" s="473"/>
      <c r="AG265" s="473"/>
      <c r="AH265" s="473"/>
      <c r="AI265" s="474"/>
    </row>
    <row r="266" spans="1:35" ht="21" customHeight="1" x14ac:dyDescent="0.2">
      <c r="B266" s="3">
        <v>8500</v>
      </c>
      <c r="C266" s="1283" t="s">
        <v>319</v>
      </c>
      <c r="D266" s="117"/>
      <c r="E266" s="14"/>
      <c r="F266" s="116"/>
      <c r="G266" s="1283" t="s">
        <v>319</v>
      </c>
      <c r="H266" s="117"/>
      <c r="I266" s="14"/>
      <c r="J266" s="116"/>
      <c r="K266" s="1283" t="s">
        <v>319</v>
      </c>
      <c r="L266" s="117"/>
      <c r="M266" s="14"/>
      <c r="N266" s="116"/>
      <c r="O266" s="1283" t="s">
        <v>319</v>
      </c>
      <c r="P266" s="117"/>
      <c r="Q266" s="14"/>
      <c r="R266" s="116"/>
      <c r="S266" s="1283" t="s">
        <v>320</v>
      </c>
      <c r="T266" s="117"/>
      <c r="U266" s="14"/>
      <c r="V266" s="116"/>
      <c r="W266" s="8"/>
      <c r="X266" s="117"/>
      <c r="Y266" s="14"/>
      <c r="Z266" s="116"/>
      <c r="AA266" s="8"/>
      <c r="AB266" s="117"/>
      <c r="AC266" s="14"/>
      <c r="AD266" s="14"/>
      <c r="AE266" s="118"/>
      <c r="AF266" s="14"/>
      <c r="AG266" s="14"/>
      <c r="AH266" s="14"/>
      <c r="AI266" s="119"/>
    </row>
    <row r="267" spans="1:35" ht="21" customHeight="1" thickBot="1" x14ac:dyDescent="0.25">
      <c r="A267" s="110"/>
      <c r="B267" s="1115"/>
      <c r="C267" s="1116"/>
      <c r="D267" s="1528"/>
      <c r="E267" s="1506"/>
      <c r="F267" s="1507"/>
      <c r="G267" s="1116"/>
      <c r="H267" s="1508"/>
      <c r="I267" s="1506"/>
      <c r="J267" s="1507"/>
      <c r="K267" s="1116"/>
      <c r="L267" s="1508"/>
      <c r="M267" s="1506"/>
      <c r="N267" s="1507"/>
      <c r="O267" s="1116"/>
      <c r="P267" s="1508"/>
      <c r="Q267" s="1506"/>
      <c r="R267" s="1507"/>
      <c r="S267" s="1116"/>
      <c r="T267" s="1508"/>
      <c r="U267" s="1506"/>
      <c r="V267" s="1507"/>
      <c r="W267" s="1094"/>
      <c r="X267" s="1508"/>
      <c r="Y267" s="1506"/>
      <c r="Z267" s="1507"/>
      <c r="AA267" s="1094"/>
      <c r="AB267" s="1508"/>
      <c r="AC267" s="1506"/>
      <c r="AD267" s="1506"/>
      <c r="AE267" s="1098"/>
      <c r="AF267" s="1506"/>
      <c r="AG267" s="1506"/>
      <c r="AH267" s="1506"/>
      <c r="AI267" s="1099"/>
    </row>
    <row r="268" spans="1:35" ht="21" customHeight="1" x14ac:dyDescent="0.2">
      <c r="A268" s="16" t="s">
        <v>321</v>
      </c>
    </row>
    <row r="269" spans="1:35" ht="21" customHeight="1" thickBot="1" x14ac:dyDescent="0.25">
      <c r="A269" s="1118"/>
      <c r="B269" s="1119" t="s">
        <v>29</v>
      </c>
      <c r="C269" s="1186">
        <v>1</v>
      </c>
      <c r="D269" s="1186">
        <v>2</v>
      </c>
      <c r="E269" s="1186">
        <v>3</v>
      </c>
      <c r="F269" s="1186">
        <v>4</v>
      </c>
      <c r="G269" s="1185">
        <v>5</v>
      </c>
      <c r="H269" s="1185">
        <v>6</v>
      </c>
      <c r="I269" s="1186">
        <v>7</v>
      </c>
      <c r="J269" s="1186">
        <v>8</v>
      </c>
      <c r="K269" s="1186">
        <v>9</v>
      </c>
      <c r="L269" s="1186">
        <v>10</v>
      </c>
      <c r="M269" s="1186">
        <v>11</v>
      </c>
      <c r="N269" s="1185">
        <v>12</v>
      </c>
      <c r="O269" s="1185">
        <v>13</v>
      </c>
      <c r="P269" s="1186">
        <v>14</v>
      </c>
      <c r="Q269" s="1186">
        <v>15</v>
      </c>
      <c r="R269" s="1186">
        <v>16</v>
      </c>
      <c r="S269" s="1186">
        <v>17</v>
      </c>
      <c r="T269" s="1186">
        <v>18</v>
      </c>
      <c r="U269" s="1185">
        <v>19</v>
      </c>
      <c r="V269" s="1185">
        <v>20</v>
      </c>
      <c r="W269" s="1186">
        <v>21</v>
      </c>
      <c r="X269" s="1186">
        <v>22</v>
      </c>
      <c r="Y269" s="1186">
        <v>23</v>
      </c>
      <c r="Z269" s="1186">
        <v>24</v>
      </c>
      <c r="AA269" s="1186">
        <v>25</v>
      </c>
      <c r="AB269" s="1185">
        <v>26</v>
      </c>
      <c r="AC269" s="1185">
        <v>27</v>
      </c>
      <c r="AD269" s="1186">
        <v>28</v>
      </c>
      <c r="AE269" s="1186">
        <v>29</v>
      </c>
      <c r="AF269" s="1186">
        <v>30</v>
      </c>
      <c r="AG269" s="1945"/>
      <c r="AH269" s="184"/>
      <c r="AI269" s="185"/>
    </row>
    <row r="270" spans="1:35" ht="21" customHeight="1" x14ac:dyDescent="0.2">
      <c r="A270" s="8">
        <v>8500</v>
      </c>
      <c r="B270" s="157" t="s">
        <v>322</v>
      </c>
      <c r="C270" s="1629" t="s">
        <v>31</v>
      </c>
      <c r="D270" s="1629" t="s">
        <v>31</v>
      </c>
      <c r="E270" s="1629" t="s">
        <v>31</v>
      </c>
      <c r="F270" s="1636" t="s">
        <v>31</v>
      </c>
      <c r="G270" s="1636"/>
      <c r="H270" s="1629"/>
      <c r="I270" s="1629" t="s">
        <v>31</v>
      </c>
      <c r="J270" s="1629" t="s">
        <v>31</v>
      </c>
      <c r="K270" s="1629" t="s">
        <v>31</v>
      </c>
      <c r="L270" s="1629" t="s">
        <v>31</v>
      </c>
      <c r="M270" s="1629" t="s">
        <v>31</v>
      </c>
      <c r="N270" s="1612"/>
      <c r="O270" s="1629"/>
      <c r="P270" s="1629" t="s">
        <v>31</v>
      </c>
      <c r="Q270" s="1629" t="s">
        <v>31</v>
      </c>
      <c r="R270" s="1629" t="s">
        <v>31</v>
      </c>
      <c r="S270" s="1629" t="s">
        <v>31</v>
      </c>
      <c r="T270" s="1629" t="s">
        <v>31</v>
      </c>
      <c r="U270" s="1629"/>
      <c r="V270" s="1629"/>
      <c r="W270" s="1629" t="s">
        <v>31</v>
      </c>
      <c r="X270" s="1629" t="s">
        <v>31</v>
      </c>
      <c r="Y270" s="1628" t="s">
        <v>31</v>
      </c>
      <c r="Z270" s="1628" t="s">
        <v>31</v>
      </c>
      <c r="AA270" s="1628" t="s">
        <v>31</v>
      </c>
      <c r="AB270" s="1629"/>
      <c r="AC270" s="1629"/>
      <c r="AD270" s="1629" t="s">
        <v>31</v>
      </c>
      <c r="AE270" s="1629" t="s">
        <v>31</v>
      </c>
      <c r="AF270" s="1629" t="s">
        <v>31</v>
      </c>
      <c r="AG270" s="1629"/>
      <c r="AH270" s="196"/>
      <c r="AI270" s="197"/>
    </row>
    <row r="271" spans="1:35" ht="21" customHeight="1" x14ac:dyDescent="0.2">
      <c r="A271" s="1191"/>
      <c r="B271" s="1901" t="s">
        <v>323</v>
      </c>
      <c r="C271" s="1712" t="s">
        <v>31</v>
      </c>
      <c r="D271" s="1712" t="s">
        <v>31</v>
      </c>
      <c r="E271" s="1712" t="s">
        <v>31</v>
      </c>
      <c r="F271" s="1712" t="s">
        <v>31</v>
      </c>
      <c r="G271" s="1712"/>
      <c r="H271" s="1712"/>
      <c r="I271" s="1629" t="s">
        <v>31</v>
      </c>
      <c r="J271" s="1629" t="s">
        <v>31</v>
      </c>
      <c r="K271" s="1629" t="s">
        <v>31</v>
      </c>
      <c r="L271" s="1629" t="s">
        <v>31</v>
      </c>
      <c r="M271" s="1629" t="s">
        <v>31</v>
      </c>
      <c r="N271" s="1612"/>
      <c r="O271" s="1629"/>
      <c r="P271" s="1629" t="s">
        <v>31</v>
      </c>
      <c r="Q271" s="1629" t="s">
        <v>31</v>
      </c>
      <c r="R271" s="1629" t="s">
        <v>31</v>
      </c>
      <c r="S271" s="1629" t="s">
        <v>31</v>
      </c>
      <c r="T271" s="1629" t="s">
        <v>31</v>
      </c>
      <c r="U271" s="1629"/>
      <c r="V271" s="1629"/>
      <c r="W271" s="1629" t="s">
        <v>31</v>
      </c>
      <c r="X271" s="1629" t="s">
        <v>31</v>
      </c>
      <c r="Y271" s="1628" t="s">
        <v>31</v>
      </c>
      <c r="Z271" s="1628" t="s">
        <v>31</v>
      </c>
      <c r="AA271" s="1628" t="s">
        <v>31</v>
      </c>
      <c r="AB271" s="1629"/>
      <c r="AC271" s="1629"/>
      <c r="AD271" s="1629" t="s">
        <v>31</v>
      </c>
      <c r="AE271" s="1629" t="s">
        <v>31</v>
      </c>
      <c r="AF271" s="1629" t="s">
        <v>31</v>
      </c>
      <c r="AG271" s="1629"/>
      <c r="AH271" s="196"/>
      <c r="AI271" s="197"/>
    </row>
    <row r="272" spans="1:35" ht="22.15" customHeight="1" x14ac:dyDescent="0.2">
      <c r="A272" s="1902"/>
      <c r="B272" s="1901" t="s">
        <v>324</v>
      </c>
      <c r="C272" s="1623" t="s">
        <v>31</v>
      </c>
      <c r="D272" s="1735" t="s">
        <v>31</v>
      </c>
      <c r="E272" s="1623" t="s">
        <v>31</v>
      </c>
      <c r="F272" s="1623" t="s">
        <v>289</v>
      </c>
      <c r="G272" s="1636"/>
      <c r="H272" s="1629"/>
      <c r="I272" s="1629" t="s">
        <v>31</v>
      </c>
      <c r="J272" s="1629" t="s">
        <v>31</v>
      </c>
      <c r="K272" s="1629" t="s">
        <v>31</v>
      </c>
      <c r="L272" s="1629" t="s">
        <v>31</v>
      </c>
      <c r="M272" s="1629" t="s">
        <v>31</v>
      </c>
      <c r="N272" s="1612"/>
      <c r="O272" s="1629"/>
      <c r="P272" s="1629" t="s">
        <v>31</v>
      </c>
      <c r="Q272" s="1629" t="s">
        <v>31</v>
      </c>
      <c r="R272" s="1629" t="s">
        <v>31</v>
      </c>
      <c r="S272" s="1629" t="s">
        <v>31</v>
      </c>
      <c r="T272" s="1629" t="s">
        <v>31</v>
      </c>
      <c r="U272" s="1629"/>
      <c r="V272" s="1629"/>
      <c r="W272" s="1629" t="s">
        <v>31</v>
      </c>
      <c r="X272" s="1629" t="s">
        <v>31</v>
      </c>
      <c r="Y272" s="1628" t="s">
        <v>31</v>
      </c>
      <c r="Z272" s="1628" t="s">
        <v>31</v>
      </c>
      <c r="AA272" s="1628" t="s">
        <v>31</v>
      </c>
      <c r="AB272" s="1629"/>
      <c r="AC272" s="1629"/>
      <c r="AD272" s="1629" t="s">
        <v>31</v>
      </c>
      <c r="AE272" s="1629" t="s">
        <v>31</v>
      </c>
      <c r="AF272" s="1629" t="s">
        <v>31</v>
      </c>
      <c r="AG272" s="1629"/>
      <c r="AH272" s="196"/>
      <c r="AI272" s="197"/>
    </row>
    <row r="273" spans="1:35" ht="22.15" customHeight="1" x14ac:dyDescent="0.2">
      <c r="A273" s="102"/>
      <c r="B273" s="1904"/>
      <c r="C273" s="1629"/>
      <c r="D273" s="1629"/>
      <c r="E273" s="1629"/>
      <c r="F273" s="1629"/>
      <c r="G273" s="1629"/>
      <c r="H273" s="1629"/>
      <c r="I273" s="1629"/>
      <c r="J273" s="1629"/>
      <c r="K273" s="1629"/>
      <c r="L273" s="1629"/>
      <c r="M273" s="1629"/>
      <c r="N273" s="1629"/>
      <c r="O273" s="1629"/>
      <c r="P273" s="1629"/>
      <c r="Q273" s="1629"/>
      <c r="R273" s="1629"/>
      <c r="S273" s="1629"/>
      <c r="T273" s="1629"/>
      <c r="U273" s="1629"/>
      <c r="V273" s="1629"/>
      <c r="W273" s="1629"/>
      <c r="X273" s="1629"/>
      <c r="Y273" s="1629"/>
      <c r="Z273" s="1629"/>
      <c r="AA273" s="1629"/>
      <c r="AB273" s="1629"/>
      <c r="AC273" s="1629"/>
      <c r="AD273" s="1629"/>
      <c r="AE273" s="1629"/>
      <c r="AF273" s="1629"/>
      <c r="AG273" s="1636"/>
      <c r="AH273" s="196"/>
      <c r="AI273" s="197"/>
    </row>
    <row r="274" spans="1:35" ht="21" customHeight="1" x14ac:dyDescent="0.2">
      <c r="A274" s="1851"/>
      <c r="B274" s="1904"/>
      <c r="C274" s="1259"/>
      <c r="D274" s="1259"/>
      <c r="E274" s="1259"/>
      <c r="F274" s="1259"/>
      <c r="G274" s="1259"/>
      <c r="H274" s="1259"/>
      <c r="I274" s="1259"/>
      <c r="J274" s="1259"/>
      <c r="K274" s="1259"/>
      <c r="L274" s="1259"/>
      <c r="M274" s="1259"/>
      <c r="N274" s="1258"/>
      <c r="O274" s="1258"/>
      <c r="P274" s="1259"/>
      <c r="Q274" s="1259"/>
      <c r="R274" s="1259"/>
      <c r="S274" s="1259"/>
      <c r="T274" s="1259"/>
      <c r="U274" s="1259"/>
      <c r="V274" s="1259"/>
      <c r="W274" s="1259"/>
      <c r="X274" s="1259"/>
      <c r="Y274" s="1259"/>
      <c r="Z274" s="1259"/>
      <c r="AA274" s="1259"/>
      <c r="AB274" s="1258"/>
      <c r="AC274" s="1258"/>
      <c r="AD274" s="1259"/>
      <c r="AE274" s="1259"/>
      <c r="AF274" s="1259"/>
      <c r="AG274" s="1259"/>
      <c r="AH274" s="198"/>
      <c r="AI274" s="199"/>
    </row>
    <row r="275" spans="1:35" ht="22.15" customHeight="1" x14ac:dyDescent="0.2">
      <c r="A275" s="1534"/>
      <c r="B275" s="1905"/>
      <c r="C275" s="1259"/>
      <c r="D275" s="1259"/>
      <c r="E275" s="1259"/>
      <c r="F275" s="1259"/>
      <c r="G275" s="1259"/>
      <c r="H275" s="1259"/>
      <c r="I275" s="1259"/>
      <c r="J275" s="1259"/>
      <c r="K275" s="1259"/>
      <c r="L275" s="1259"/>
      <c r="M275" s="1259"/>
      <c r="N275" s="1258"/>
      <c r="O275" s="1258"/>
      <c r="P275" s="1259"/>
      <c r="Q275" s="1259"/>
      <c r="R275" s="1259"/>
      <c r="S275" s="1259"/>
      <c r="T275" s="1259"/>
      <c r="U275" s="1259"/>
      <c r="V275" s="1259"/>
      <c r="W275" s="1259"/>
      <c r="X275" s="1259"/>
      <c r="Y275" s="1259"/>
      <c r="Z275" s="1259"/>
      <c r="AA275" s="1259"/>
      <c r="AB275" s="1258"/>
      <c r="AC275" s="1258"/>
      <c r="AD275" s="1259"/>
      <c r="AE275" s="1259"/>
      <c r="AF275" s="1259"/>
      <c r="AG275" s="1259"/>
      <c r="AH275" s="198"/>
      <c r="AI275" s="199"/>
    </row>
    <row r="276" spans="1:35" ht="22.15" customHeight="1" thickBot="1" x14ac:dyDescent="0.25">
      <c r="A276" s="688"/>
      <c r="B276" s="685"/>
      <c r="C276" s="1126"/>
      <c r="D276" s="1127"/>
      <c r="E276" s="1127"/>
      <c r="F276" s="1127"/>
      <c r="G276" s="1127"/>
      <c r="H276" s="1127"/>
      <c r="I276" s="1127"/>
      <c r="J276" s="1127"/>
      <c r="K276" s="1127"/>
      <c r="L276" s="1127"/>
      <c r="M276" s="1127"/>
      <c r="N276" s="1128"/>
      <c r="O276" s="1128"/>
      <c r="P276" s="1127"/>
      <c r="Q276" s="1127"/>
      <c r="R276" s="1127"/>
      <c r="S276" s="1127"/>
      <c r="T276" s="1127"/>
      <c r="U276" s="1127"/>
      <c r="V276" s="1127"/>
      <c r="W276" s="1127"/>
      <c r="X276" s="1127"/>
      <c r="Y276" s="1127"/>
      <c r="Z276" s="1127"/>
      <c r="AA276" s="1127"/>
      <c r="AB276" s="1128"/>
      <c r="AC276" s="1128"/>
      <c r="AD276" s="1127"/>
      <c r="AE276" s="1127"/>
      <c r="AF276" s="1127"/>
      <c r="AG276" s="1129"/>
      <c r="AH276" s="198"/>
      <c r="AI276" s="199"/>
    </row>
    <row r="277" spans="1:35" ht="22.15" customHeight="1" x14ac:dyDescent="0.2">
      <c r="A277" s="262"/>
      <c r="B277" s="263"/>
      <c r="C277" s="255"/>
      <c r="D277" s="255"/>
      <c r="E277" s="255"/>
      <c r="F277" s="255"/>
      <c r="G277" s="255"/>
      <c r="H277" s="255"/>
      <c r="I277" s="255"/>
      <c r="J277" s="255"/>
      <c r="K277" s="255"/>
      <c r="L277" s="255"/>
      <c r="M277" s="255"/>
      <c r="N277" s="229"/>
      <c r="O277" s="229"/>
      <c r="P277" s="255"/>
      <c r="Q277" s="255"/>
      <c r="R277" s="255"/>
      <c r="S277" s="255"/>
      <c r="T277" s="255"/>
      <c r="U277" s="255"/>
      <c r="V277" s="255"/>
      <c r="W277" s="255"/>
      <c r="X277" s="255"/>
      <c r="Y277" s="255"/>
      <c r="Z277" s="255"/>
      <c r="AA277" s="255"/>
      <c r="AB277" s="229"/>
      <c r="AC277" s="229"/>
      <c r="AD277" s="255"/>
      <c r="AE277" s="255"/>
      <c r="AF277" s="255"/>
      <c r="AG277" s="255"/>
      <c r="AH277" s="264"/>
      <c r="AI277" s="199"/>
    </row>
    <row r="278" spans="1:35" ht="24" customHeight="1" x14ac:dyDescent="0.2"/>
    <row r="279" spans="1:35" ht="25.5" customHeight="1" thickBot="1" x14ac:dyDescent="0.25">
      <c r="A279" s="162" t="s">
        <v>325</v>
      </c>
    </row>
    <row r="280" spans="1:35" ht="21" customHeight="1" x14ac:dyDescent="0.2">
      <c r="A280" s="1"/>
      <c r="B280" s="530" t="s">
        <v>267</v>
      </c>
      <c r="C280" s="500"/>
      <c r="D280" s="516" t="s">
        <v>90</v>
      </c>
      <c r="E280" s="473"/>
      <c r="F280" s="504"/>
      <c r="G280" s="500"/>
      <c r="H280" s="516" t="s">
        <v>91</v>
      </c>
      <c r="I280" s="473"/>
      <c r="J280" s="504"/>
      <c r="K280" s="500"/>
      <c r="L280" s="516" t="s">
        <v>92</v>
      </c>
      <c r="M280" s="473"/>
      <c r="N280" s="504"/>
      <c r="O280" s="500"/>
      <c r="P280" s="516" t="s">
        <v>93</v>
      </c>
      <c r="Q280" s="473"/>
      <c r="R280" s="504"/>
      <c r="S280" s="500"/>
      <c r="T280" s="516" t="s">
        <v>94</v>
      </c>
      <c r="U280" s="473"/>
      <c r="V280" s="504"/>
      <c r="W280" s="500"/>
      <c r="X280" s="516" t="s">
        <v>95</v>
      </c>
      <c r="Y280" s="473"/>
      <c r="Z280" s="504"/>
      <c r="AA280" s="500"/>
      <c r="AB280" s="516" t="s">
        <v>96</v>
      </c>
      <c r="AC280" s="473"/>
      <c r="AD280" s="473"/>
      <c r="AE280" s="519" t="s">
        <v>97</v>
      </c>
      <c r="AF280" s="473"/>
      <c r="AG280" s="473"/>
      <c r="AH280" s="473"/>
      <c r="AI280" s="474"/>
    </row>
    <row r="281" spans="1:35" ht="21" customHeight="1" x14ac:dyDescent="0.2">
      <c r="A281" s="1"/>
      <c r="B281" s="3"/>
      <c r="C281" s="8"/>
      <c r="D281" s="117"/>
      <c r="E281" s="14"/>
      <c r="F281" s="116"/>
      <c r="G281" s="8"/>
      <c r="H281" s="117"/>
      <c r="I281" s="14"/>
      <c r="J281" s="116"/>
      <c r="K281" s="8"/>
      <c r="L281" s="117"/>
      <c r="M281" s="14"/>
      <c r="N281" s="116"/>
      <c r="O281" s="8"/>
      <c r="P281" s="117"/>
      <c r="Q281" s="14"/>
      <c r="R281" s="116"/>
      <c r="S281" s="8"/>
      <c r="T281" s="117"/>
      <c r="U281" s="14"/>
      <c r="V281" s="116"/>
      <c r="W281" s="8"/>
      <c r="X281" s="117"/>
      <c r="Y281" s="14"/>
      <c r="Z281" s="116"/>
      <c r="AA281" s="8"/>
      <c r="AB281" s="117"/>
      <c r="AC281" s="14"/>
      <c r="AD281" s="14"/>
      <c r="AE281" s="118"/>
      <c r="AF281" s="14"/>
      <c r="AG281" s="14"/>
      <c r="AH281" s="14"/>
      <c r="AI281" s="119"/>
    </row>
    <row r="282" spans="1:35" ht="21" customHeight="1" x14ac:dyDescent="0.2">
      <c r="A282" s="110"/>
      <c r="B282" s="1890"/>
      <c r="C282" s="1283"/>
      <c r="D282" s="1167"/>
      <c r="E282" s="1167"/>
      <c r="F282" s="1393"/>
      <c r="G282" s="1283"/>
      <c r="H282" s="1167"/>
      <c r="I282" s="1167"/>
      <c r="J282" s="1393"/>
      <c r="K282" s="1283"/>
      <c r="L282" s="1167"/>
      <c r="M282" s="1167"/>
      <c r="N282" s="1393"/>
      <c r="O282" s="1283"/>
      <c r="P282" s="1167"/>
      <c r="Q282" s="1167"/>
      <c r="R282" s="1393"/>
      <c r="S282" s="1283"/>
      <c r="T282" s="1167"/>
      <c r="U282" s="1167"/>
      <c r="V282" s="1393"/>
      <c r="W282" s="1283"/>
      <c r="X282" s="1167"/>
      <c r="Y282" s="1167"/>
      <c r="Z282" s="1393"/>
      <c r="AA282" s="1391"/>
      <c r="AB282" s="1167"/>
      <c r="AC282" s="1167"/>
      <c r="AD282" s="1284"/>
      <c r="AE282" s="1906"/>
      <c r="AF282" s="1167"/>
      <c r="AG282" s="1167"/>
      <c r="AH282" s="1284"/>
      <c r="AI282" s="1176"/>
    </row>
    <row r="283" spans="1:35" ht="21" customHeight="1" thickBot="1" x14ac:dyDescent="0.25">
      <c r="A283" s="1"/>
      <c r="B283" s="1989"/>
      <c r="C283" s="1404"/>
      <c r="D283" s="1238"/>
      <c r="E283" s="1238"/>
      <c r="F283" s="1425"/>
      <c r="G283" s="1404"/>
      <c r="H283" s="1238"/>
      <c r="I283" s="1238"/>
      <c r="J283" s="1425"/>
      <c r="K283" s="1404"/>
      <c r="L283" s="1238"/>
      <c r="M283" s="1238"/>
      <c r="N283" s="1425"/>
      <c r="O283" s="1404"/>
      <c r="P283" s="1238"/>
      <c r="Q283" s="1238"/>
      <c r="R283" s="1425"/>
      <c r="S283" s="1404"/>
      <c r="T283" s="1238"/>
      <c r="U283" s="1238"/>
      <c r="V283" s="1425"/>
      <c r="W283" s="1423"/>
      <c r="X283" s="1238"/>
      <c r="Y283" s="1238"/>
      <c r="Z283" s="1425"/>
      <c r="AA283" s="1423"/>
      <c r="AB283" s="1238"/>
      <c r="AC283" s="1238"/>
      <c r="AD283" s="1411"/>
      <c r="AE283" s="1423"/>
      <c r="AF283" s="1238"/>
      <c r="AG283" s="1238"/>
      <c r="AH283" s="1411"/>
      <c r="AI283" s="1245"/>
    </row>
    <row r="284" spans="1:35" ht="21" customHeight="1" x14ac:dyDescent="0.2">
      <c r="A284" s="1"/>
      <c r="B284" s="18"/>
      <c r="C284" s="64"/>
      <c r="F284" s="69"/>
      <c r="G284" s="64"/>
      <c r="J284" s="69"/>
      <c r="K284" s="64"/>
      <c r="N284" s="69"/>
      <c r="O284" s="64"/>
      <c r="R284" s="69"/>
      <c r="S284" s="64"/>
      <c r="V284" s="69"/>
      <c r="W284" s="69"/>
      <c r="Z284" s="69"/>
      <c r="AA284" s="69"/>
      <c r="AD284" s="69"/>
      <c r="AE284" s="69"/>
      <c r="AH284" s="69"/>
    </row>
    <row r="285" spans="1:35" ht="33" customHeight="1" x14ac:dyDescent="0.2">
      <c r="A285" s="162" t="s">
        <v>326</v>
      </c>
      <c r="B285" s="18"/>
      <c r="C285" s="64"/>
      <c r="F285" s="69"/>
      <c r="G285" s="64"/>
      <c r="J285" s="69"/>
      <c r="K285" s="64"/>
      <c r="N285" s="69"/>
      <c r="O285" s="64"/>
      <c r="R285" s="69"/>
      <c r="S285" s="64"/>
      <c r="V285" s="69"/>
      <c r="W285" s="69"/>
      <c r="Z285" s="69"/>
      <c r="AA285" s="69"/>
      <c r="AD285" s="69"/>
      <c r="AE285" s="69"/>
      <c r="AH285" s="69"/>
    </row>
    <row r="286" spans="1:35" ht="21" customHeight="1" thickBot="1" x14ac:dyDescent="0.25">
      <c r="A286" s="1131" t="s">
        <v>28</v>
      </c>
      <c r="B286" s="1119" t="s">
        <v>29</v>
      </c>
      <c r="C286" s="1186">
        <v>1</v>
      </c>
      <c r="D286" s="1186">
        <v>2</v>
      </c>
      <c r="E286" s="1186">
        <v>3</v>
      </c>
      <c r="F286" s="1186">
        <v>4</v>
      </c>
      <c r="G286" s="1185">
        <v>5</v>
      </c>
      <c r="H286" s="1185">
        <v>6</v>
      </c>
      <c r="I286" s="1186">
        <v>7</v>
      </c>
      <c r="J286" s="1186">
        <v>8</v>
      </c>
      <c r="K286" s="1186">
        <v>9</v>
      </c>
      <c r="L286" s="1186">
        <v>10</v>
      </c>
      <c r="M286" s="1186">
        <v>11</v>
      </c>
      <c r="N286" s="1185">
        <v>12</v>
      </c>
      <c r="O286" s="1185">
        <v>13</v>
      </c>
      <c r="P286" s="1186">
        <v>14</v>
      </c>
      <c r="Q286" s="1186">
        <v>15</v>
      </c>
      <c r="R286" s="1186">
        <v>16</v>
      </c>
      <c r="S286" s="1186">
        <v>17</v>
      </c>
      <c r="T286" s="1186">
        <v>18</v>
      </c>
      <c r="U286" s="1185">
        <v>19</v>
      </c>
      <c r="V286" s="1185">
        <v>20</v>
      </c>
      <c r="W286" s="1186">
        <v>21</v>
      </c>
      <c r="X286" s="1186">
        <v>22</v>
      </c>
      <c r="Y286" s="1186">
        <v>23</v>
      </c>
      <c r="Z286" s="1186">
        <v>24</v>
      </c>
      <c r="AA286" s="1186">
        <v>25</v>
      </c>
      <c r="AB286" s="1185">
        <v>26</v>
      </c>
      <c r="AC286" s="1185">
        <v>27</v>
      </c>
      <c r="AD286" s="1186">
        <v>28</v>
      </c>
      <c r="AE286" s="1186">
        <v>29</v>
      </c>
      <c r="AF286" s="1186">
        <v>30</v>
      </c>
      <c r="AG286" s="1945"/>
      <c r="AH286" s="200"/>
      <c r="AI286" s="185"/>
    </row>
    <row r="287" spans="1:35" ht="21" customHeight="1" x14ac:dyDescent="0.2">
      <c r="A287" s="88"/>
      <c r="B287" s="158" t="s">
        <v>327</v>
      </c>
      <c r="C287" s="1629" t="s">
        <v>31</v>
      </c>
      <c r="D287" s="1629" t="s">
        <v>31</v>
      </c>
      <c r="E287" s="1629" t="s">
        <v>31</v>
      </c>
      <c r="F287" s="1636" t="s">
        <v>31</v>
      </c>
      <c r="G287" s="1636"/>
      <c r="H287" s="1629"/>
      <c r="I287" s="1629" t="s">
        <v>31</v>
      </c>
      <c r="J287" s="1629" t="s">
        <v>31</v>
      </c>
      <c r="K287" s="1629" t="s">
        <v>31</v>
      </c>
      <c r="L287" s="1629" t="s">
        <v>31</v>
      </c>
      <c r="M287" s="1629" t="s">
        <v>31</v>
      </c>
      <c r="N287" s="1612"/>
      <c r="O287" s="1629"/>
      <c r="P287" s="1629" t="s">
        <v>31</v>
      </c>
      <c r="Q287" s="1629" t="s">
        <v>31</v>
      </c>
      <c r="R287" s="1712" t="s">
        <v>31</v>
      </c>
      <c r="S287" s="1712" t="s">
        <v>31</v>
      </c>
      <c r="T287" s="1712" t="s">
        <v>31</v>
      </c>
      <c r="U287" s="1712"/>
      <c r="V287" s="1712"/>
      <c r="W287" s="1712" t="s">
        <v>31</v>
      </c>
      <c r="X287" s="1712" t="s">
        <v>31</v>
      </c>
      <c r="Y287" s="1712" t="s">
        <v>31</v>
      </c>
      <c r="Z287" s="1712" t="s">
        <v>31</v>
      </c>
      <c r="AA287" s="1712" t="s">
        <v>31</v>
      </c>
      <c r="AB287" s="1712"/>
      <c r="AC287" s="1712"/>
      <c r="AD287" s="1712" t="s">
        <v>31</v>
      </c>
      <c r="AE287" s="1712" t="s">
        <v>31</v>
      </c>
      <c r="AF287" s="1712" t="s">
        <v>31</v>
      </c>
      <c r="AG287" s="1629"/>
      <c r="AH287" s="201"/>
      <c r="AI287" s="197"/>
    </row>
    <row r="288" spans="1:35" ht="21" customHeight="1" x14ac:dyDescent="0.2">
      <c r="A288" s="1907"/>
      <c r="B288" s="1908" t="s">
        <v>328</v>
      </c>
      <c r="C288" s="1629" t="s">
        <v>31</v>
      </c>
      <c r="D288" s="1629" t="s">
        <v>31</v>
      </c>
      <c r="E288" s="1629" t="s">
        <v>31</v>
      </c>
      <c r="F288" s="1636" t="s">
        <v>31</v>
      </c>
      <c r="G288" s="1636"/>
      <c r="H288" s="1629"/>
      <c r="I288" s="1629" t="s">
        <v>31</v>
      </c>
      <c r="J288" s="1629" t="s">
        <v>31</v>
      </c>
      <c r="K288" s="1629" t="s">
        <v>31</v>
      </c>
      <c r="L288" s="1629" t="s">
        <v>31</v>
      </c>
      <c r="M288" s="1629" t="s">
        <v>31</v>
      </c>
      <c r="N288" s="1612"/>
      <c r="O288" s="1629"/>
      <c r="P288" s="1629" t="s">
        <v>31</v>
      </c>
      <c r="Q288" s="1629" t="s">
        <v>31</v>
      </c>
      <c r="R288" s="1629" t="s">
        <v>31</v>
      </c>
      <c r="S288" s="1629" t="s">
        <v>31</v>
      </c>
      <c r="T288" s="1629" t="s">
        <v>31</v>
      </c>
      <c r="U288" s="1629"/>
      <c r="V288" s="1629"/>
      <c r="W288" s="1297" t="s">
        <v>31</v>
      </c>
      <c r="X288" s="1629" t="s">
        <v>31</v>
      </c>
      <c r="Y288" s="1628" t="s">
        <v>31</v>
      </c>
      <c r="Z288" s="1628" t="s">
        <v>31</v>
      </c>
      <c r="AA288" s="1628" t="s">
        <v>31</v>
      </c>
      <c r="AB288" s="1629"/>
      <c r="AC288" s="1629"/>
      <c r="AD288" s="1297" t="s">
        <v>31</v>
      </c>
      <c r="AE288" s="1958" t="s">
        <v>31</v>
      </c>
      <c r="AF288" s="1629" t="s">
        <v>31</v>
      </c>
      <c r="AG288" s="1629"/>
      <c r="AH288" s="201"/>
      <c r="AI288" s="197"/>
    </row>
    <row r="289" spans="1:35" ht="21" customHeight="1" x14ac:dyDescent="0.2">
      <c r="A289" s="1893"/>
      <c r="B289" s="1908" t="s">
        <v>329</v>
      </c>
      <c r="C289" s="1629" t="s">
        <v>31</v>
      </c>
      <c r="D289" s="1629" t="s">
        <v>31</v>
      </c>
      <c r="E289" s="1629" t="s">
        <v>31</v>
      </c>
      <c r="F289" s="1636" t="s">
        <v>31</v>
      </c>
      <c r="G289" s="1636"/>
      <c r="H289" s="1629"/>
      <c r="I289" s="1712" t="s">
        <v>31</v>
      </c>
      <c r="J289" s="1712" t="s">
        <v>31</v>
      </c>
      <c r="K289" s="1629" t="s">
        <v>31</v>
      </c>
      <c r="L289" s="1629" t="s">
        <v>31</v>
      </c>
      <c r="M289" s="1623" t="s">
        <v>31</v>
      </c>
      <c r="N289" s="1623"/>
      <c r="O289" s="1623"/>
      <c r="P289" s="1623" t="s">
        <v>31</v>
      </c>
      <c r="Q289" s="1623" t="s">
        <v>289</v>
      </c>
      <c r="R289" s="1629" t="s">
        <v>31</v>
      </c>
      <c r="S289" s="1629" t="s">
        <v>31</v>
      </c>
      <c r="T289" s="1629" t="s">
        <v>31</v>
      </c>
      <c r="U289" s="1629"/>
      <c r="V289" s="1629"/>
      <c r="W289" s="1629" t="s">
        <v>31</v>
      </c>
      <c r="X289" s="1629" t="s">
        <v>31</v>
      </c>
      <c r="Y289" s="1628" t="s">
        <v>31</v>
      </c>
      <c r="Z289" s="1628" t="s">
        <v>31</v>
      </c>
      <c r="AA289" s="1628" t="s">
        <v>31</v>
      </c>
      <c r="AB289" s="1629"/>
      <c r="AC289" s="1629"/>
      <c r="AD289" s="1629" t="s">
        <v>31</v>
      </c>
      <c r="AE289" s="1629" t="s">
        <v>31</v>
      </c>
      <c r="AF289" s="1629" t="s">
        <v>31</v>
      </c>
      <c r="AG289" s="1629"/>
      <c r="AH289" s="201"/>
      <c r="AI289" s="197"/>
    </row>
    <row r="290" spans="1:35" ht="21" customHeight="1" x14ac:dyDescent="0.2">
      <c r="A290" s="1893"/>
      <c r="B290" s="1908" t="s">
        <v>330</v>
      </c>
      <c r="C290" s="1629" t="s">
        <v>31</v>
      </c>
      <c r="D290" s="1629" t="s">
        <v>31</v>
      </c>
      <c r="E290" s="1629" t="s">
        <v>31</v>
      </c>
      <c r="F290" s="1636" t="s">
        <v>31</v>
      </c>
      <c r="G290" s="1636"/>
      <c r="H290" s="1629"/>
      <c r="I290" s="1629" t="s">
        <v>31</v>
      </c>
      <c r="J290" s="1629" t="s">
        <v>31</v>
      </c>
      <c r="K290" s="1629" t="s">
        <v>31</v>
      </c>
      <c r="L290" s="1629" t="s">
        <v>31</v>
      </c>
      <c r="M290" s="1712" t="s">
        <v>31</v>
      </c>
      <c r="N290" s="1612"/>
      <c r="O290" s="1629"/>
      <c r="P290" s="1629" t="s">
        <v>31</v>
      </c>
      <c r="Q290" s="1629" t="s">
        <v>31</v>
      </c>
      <c r="R290" s="1629" t="s">
        <v>31</v>
      </c>
      <c r="S290" s="1629" t="s">
        <v>31</v>
      </c>
      <c r="T290" s="1629" t="s">
        <v>31</v>
      </c>
      <c r="U290" s="1629"/>
      <c r="V290" s="1629"/>
      <c r="W290" s="1629" t="s">
        <v>31</v>
      </c>
      <c r="X290" s="1629" t="s">
        <v>31</v>
      </c>
      <c r="Y290" s="1628" t="s">
        <v>31</v>
      </c>
      <c r="Z290" s="1628" t="s">
        <v>31</v>
      </c>
      <c r="AA290" s="1628" t="s">
        <v>31</v>
      </c>
      <c r="AB290" s="1629"/>
      <c r="AC290" s="1629"/>
      <c r="AD290" s="1542" t="s">
        <v>31</v>
      </c>
      <c r="AE290" s="1629" t="s">
        <v>31</v>
      </c>
      <c r="AF290" s="1629" t="s">
        <v>31</v>
      </c>
      <c r="AG290" s="1629"/>
      <c r="AH290" s="201"/>
      <c r="AI290" s="197"/>
    </row>
    <row r="291" spans="1:35" ht="21" customHeight="1" x14ac:dyDescent="0.2">
      <c r="A291" s="1893"/>
      <c r="B291" s="1908" t="s">
        <v>331</v>
      </c>
      <c r="C291" s="1629" t="s">
        <v>31</v>
      </c>
      <c r="D291" s="1629" t="s">
        <v>31</v>
      </c>
      <c r="E291" s="1629" t="s">
        <v>31</v>
      </c>
      <c r="F291" s="1636" t="s">
        <v>31</v>
      </c>
      <c r="G291" s="1636"/>
      <c r="H291" s="1629"/>
      <c r="I291" s="1629" t="s">
        <v>31</v>
      </c>
      <c r="J291" s="1629" t="s">
        <v>31</v>
      </c>
      <c r="K291" s="1958" t="s">
        <v>31</v>
      </c>
      <c r="L291" s="1629" t="s">
        <v>31</v>
      </c>
      <c r="M291" s="1629" t="s">
        <v>31</v>
      </c>
      <c r="N291" s="1612"/>
      <c r="O291" s="1629"/>
      <c r="P291" s="1629" t="s">
        <v>31</v>
      </c>
      <c r="Q291" s="1629" t="s">
        <v>31</v>
      </c>
      <c r="R291" s="1629" t="s">
        <v>31</v>
      </c>
      <c r="S291" s="1629" t="s">
        <v>31</v>
      </c>
      <c r="T291" s="1629" t="s">
        <v>31</v>
      </c>
      <c r="U291" s="1629"/>
      <c r="V291" s="1629"/>
      <c r="W291" s="1629" t="s">
        <v>31</v>
      </c>
      <c r="X291" s="1629" t="s">
        <v>31</v>
      </c>
      <c r="Y291" s="1628" t="s">
        <v>31</v>
      </c>
      <c r="Z291" s="1628" t="s">
        <v>31</v>
      </c>
      <c r="AA291" s="1958" t="s">
        <v>31</v>
      </c>
      <c r="AB291" s="1629"/>
      <c r="AC291" s="1629"/>
      <c r="AD291" s="1629" t="s">
        <v>31</v>
      </c>
      <c r="AE291" s="1629" t="s">
        <v>31</v>
      </c>
      <c r="AF291" s="1629" t="s">
        <v>31</v>
      </c>
      <c r="AG291" s="1259"/>
      <c r="AH291" s="201"/>
      <c r="AI291" s="197"/>
    </row>
    <row r="292" spans="1:35" ht="21" customHeight="1" x14ac:dyDescent="0.2">
      <c r="A292" s="1893"/>
      <c r="B292" s="1908" t="s">
        <v>332</v>
      </c>
      <c r="C292" s="1629" t="s">
        <v>31</v>
      </c>
      <c r="D292" s="1629" t="s">
        <v>31</v>
      </c>
      <c r="E292" s="1629" t="s">
        <v>31</v>
      </c>
      <c r="F292" s="1636" t="s">
        <v>31</v>
      </c>
      <c r="G292" s="1636"/>
      <c r="H292" s="1629"/>
      <c r="I292" s="1629" t="s">
        <v>31</v>
      </c>
      <c r="J292" s="1623" t="s">
        <v>31</v>
      </c>
      <c r="K292" s="1623" t="s">
        <v>289</v>
      </c>
      <c r="L292" s="1734" t="s">
        <v>31</v>
      </c>
      <c r="M292" s="1734" t="s">
        <v>31</v>
      </c>
      <c r="N292" s="1612"/>
      <c r="O292" s="1629"/>
      <c r="P292" s="1629" t="s">
        <v>31</v>
      </c>
      <c r="Q292" s="1629" t="s">
        <v>31</v>
      </c>
      <c r="R292" s="1629" t="s">
        <v>31</v>
      </c>
      <c r="S292" s="1629" t="s">
        <v>31</v>
      </c>
      <c r="T292" s="1958" t="s">
        <v>31</v>
      </c>
      <c r="U292" s="1629"/>
      <c r="V292" s="1629"/>
      <c r="W292" s="1629" t="s">
        <v>31</v>
      </c>
      <c r="X292" s="1629" t="s">
        <v>31</v>
      </c>
      <c r="Y292" s="1628" t="s">
        <v>31</v>
      </c>
      <c r="Z292" s="1628" t="s">
        <v>31</v>
      </c>
      <c r="AA292" s="1628" t="s">
        <v>31</v>
      </c>
      <c r="AB292" s="1629"/>
      <c r="AC292" s="1629"/>
      <c r="AD292" s="1958" t="s">
        <v>31</v>
      </c>
      <c r="AE292" s="1958" t="s">
        <v>31</v>
      </c>
      <c r="AF292" s="1629" t="s">
        <v>31</v>
      </c>
      <c r="AG292" s="1259"/>
      <c r="AH292" s="201"/>
      <c r="AI292" s="197"/>
    </row>
    <row r="293" spans="1:35" ht="21" customHeight="1" x14ac:dyDescent="0.2">
      <c r="A293" s="1893"/>
      <c r="B293" s="1908" t="s">
        <v>333</v>
      </c>
      <c r="C293" s="1629" t="s">
        <v>31</v>
      </c>
      <c r="D293" s="1629" t="s">
        <v>31</v>
      </c>
      <c r="E293" s="1629" t="s">
        <v>31</v>
      </c>
      <c r="F293" s="1636" t="s">
        <v>31</v>
      </c>
      <c r="G293" s="1636"/>
      <c r="H293" s="1629"/>
      <c r="I293" s="1629" t="s">
        <v>31</v>
      </c>
      <c r="J293" s="1629" t="s">
        <v>31</v>
      </c>
      <c r="K293" s="1629" t="s">
        <v>31</v>
      </c>
      <c r="L293" s="1629" t="s">
        <v>31</v>
      </c>
      <c r="M293" s="1629" t="s">
        <v>31</v>
      </c>
      <c r="N293" s="1612"/>
      <c r="O293" s="1629"/>
      <c r="P293" s="1629" t="s">
        <v>31</v>
      </c>
      <c r="Q293" s="1629" t="s">
        <v>31</v>
      </c>
      <c r="R293" s="1629" t="s">
        <v>31</v>
      </c>
      <c r="S293" s="1629" t="s">
        <v>31</v>
      </c>
      <c r="T293" s="1629" t="s">
        <v>31</v>
      </c>
      <c r="U293" s="1629"/>
      <c r="V293" s="1629"/>
      <c r="W293" s="1712" t="s">
        <v>31</v>
      </c>
      <c r="X293" s="1712" t="s">
        <v>31</v>
      </c>
      <c r="Y293" s="1628" t="s">
        <v>31</v>
      </c>
      <c r="Z293" s="1628" t="s">
        <v>31</v>
      </c>
      <c r="AA293" s="1628" t="s">
        <v>31</v>
      </c>
      <c r="AB293" s="1629"/>
      <c r="AC293" s="1629"/>
      <c r="AD293" s="1629" t="s">
        <v>31</v>
      </c>
      <c r="AE293" s="1629" t="s">
        <v>31</v>
      </c>
      <c r="AF293" s="1629" t="s">
        <v>31</v>
      </c>
      <c r="AG293" s="1259"/>
      <c r="AH293" s="201"/>
      <c r="AI293" s="197"/>
    </row>
    <row r="294" spans="1:35" ht="21" customHeight="1" x14ac:dyDescent="0.2">
      <c r="A294" s="1893"/>
      <c r="B294" s="1908" t="s">
        <v>334</v>
      </c>
      <c r="C294" s="1712" t="s">
        <v>31</v>
      </c>
      <c r="D294" s="1712" t="s">
        <v>31</v>
      </c>
      <c r="E294" s="1712" t="s">
        <v>31</v>
      </c>
      <c r="F294" s="1712" t="s">
        <v>31</v>
      </c>
      <c r="G294" s="1712"/>
      <c r="H294" s="1712"/>
      <c r="I294" s="1629" t="s">
        <v>31</v>
      </c>
      <c r="J294" s="1629" t="s">
        <v>31</v>
      </c>
      <c r="K294" s="1629" t="s">
        <v>31</v>
      </c>
      <c r="L294" s="1629" t="s">
        <v>31</v>
      </c>
      <c r="M294" s="1629" t="s">
        <v>31</v>
      </c>
      <c r="N294" s="1612"/>
      <c r="O294" s="1629"/>
      <c r="P294" s="1629" t="s">
        <v>31</v>
      </c>
      <c r="Q294" s="1629" t="s">
        <v>31</v>
      </c>
      <c r="R294" s="1629" t="s">
        <v>31</v>
      </c>
      <c r="S294" s="1629" t="s">
        <v>31</v>
      </c>
      <c r="T294" s="1629" t="s">
        <v>31</v>
      </c>
      <c r="U294" s="1629"/>
      <c r="V294" s="1629"/>
      <c r="W294" s="1629" t="s">
        <v>31</v>
      </c>
      <c r="X294" s="1629" t="s">
        <v>31</v>
      </c>
      <c r="Y294" s="1628" t="s">
        <v>31</v>
      </c>
      <c r="Z294" s="1628" t="s">
        <v>31</v>
      </c>
      <c r="AA294" s="1628" t="s">
        <v>31</v>
      </c>
      <c r="AB294" s="1629"/>
      <c r="AC294" s="1629"/>
      <c r="AD294" s="1712" t="s">
        <v>31</v>
      </c>
      <c r="AE294" s="1629" t="s">
        <v>31</v>
      </c>
      <c r="AF294" s="1629" t="s">
        <v>31</v>
      </c>
      <c r="AG294" s="1259"/>
      <c r="AH294" s="201"/>
      <c r="AI294" s="197"/>
    </row>
    <row r="295" spans="1:35" ht="21" customHeight="1" x14ac:dyDescent="0.2">
      <c r="A295" s="1893"/>
      <c r="B295" s="1901"/>
      <c r="C295" s="1629" t="s">
        <v>31</v>
      </c>
      <c r="D295" s="1629" t="s">
        <v>31</v>
      </c>
      <c r="E295" s="1629" t="s">
        <v>31</v>
      </c>
      <c r="F295" s="1636" t="s">
        <v>31</v>
      </c>
      <c r="G295" s="1636"/>
      <c r="H295" s="1629"/>
      <c r="I295" s="1629" t="s">
        <v>31</v>
      </c>
      <c r="J295" s="1629" t="s">
        <v>31</v>
      </c>
      <c r="K295" s="1629" t="s">
        <v>31</v>
      </c>
      <c r="L295" s="1629" t="s">
        <v>31</v>
      </c>
      <c r="M295" s="1629" t="s">
        <v>31</v>
      </c>
      <c r="N295" s="1612"/>
      <c r="O295" s="1629"/>
      <c r="P295" s="1629" t="s">
        <v>31</v>
      </c>
      <c r="Q295" s="1629" t="s">
        <v>31</v>
      </c>
      <c r="R295" s="1629" t="s">
        <v>31</v>
      </c>
      <c r="S295" s="1629" t="s">
        <v>31</v>
      </c>
      <c r="T295" s="1629" t="s">
        <v>31</v>
      </c>
      <c r="U295" s="1629"/>
      <c r="V295" s="1629"/>
      <c r="W295" s="1629" t="s">
        <v>31</v>
      </c>
      <c r="X295" s="1629" t="s">
        <v>31</v>
      </c>
      <c r="Y295" s="1628" t="s">
        <v>31</v>
      </c>
      <c r="Z295" s="1628" t="s">
        <v>31</v>
      </c>
      <c r="AA295" s="1628" t="s">
        <v>31</v>
      </c>
      <c r="AB295" s="1629"/>
      <c r="AC295" s="1629"/>
      <c r="AD295" s="1629" t="s">
        <v>31</v>
      </c>
      <c r="AE295" s="1629" t="s">
        <v>31</v>
      </c>
      <c r="AF295" s="1629" t="s">
        <v>31</v>
      </c>
      <c r="AG295" s="1259"/>
      <c r="AH295" s="201"/>
      <c r="AI295" s="197"/>
    </row>
    <row r="296" spans="1:35" ht="21" customHeight="1" x14ac:dyDescent="0.2">
      <c r="A296" s="1893"/>
      <c r="B296" s="1910" t="s">
        <v>335</v>
      </c>
      <c r="C296" s="1629" t="s">
        <v>31</v>
      </c>
      <c r="D296" s="1629" t="s">
        <v>31</v>
      </c>
      <c r="E296" s="1629" t="s">
        <v>31</v>
      </c>
      <c r="F296" s="1636" t="s">
        <v>31</v>
      </c>
      <c r="G296" s="1636"/>
      <c r="H296" s="1629"/>
      <c r="I296" s="1542" t="s">
        <v>31</v>
      </c>
      <c r="J296" s="1629" t="s">
        <v>31</v>
      </c>
      <c r="K296" s="1629" t="s">
        <v>31</v>
      </c>
      <c r="L296" s="1629" t="s">
        <v>31</v>
      </c>
      <c r="M296" s="1629" t="s">
        <v>31</v>
      </c>
      <c r="N296" s="1612"/>
      <c r="O296" s="1629"/>
      <c r="P296" s="1629" t="s">
        <v>31</v>
      </c>
      <c r="Q296" s="1629" t="s">
        <v>31</v>
      </c>
      <c r="R296" s="1629" t="s">
        <v>31</v>
      </c>
      <c r="S296" s="1629" t="s">
        <v>31</v>
      </c>
      <c r="T296" s="1629" t="s">
        <v>31</v>
      </c>
      <c r="U296" s="1629"/>
      <c r="V296" s="1629"/>
      <c r="W296" s="1629" t="s">
        <v>31</v>
      </c>
      <c r="X296" s="1629" t="s">
        <v>31</v>
      </c>
      <c r="Y296" s="1628" t="s">
        <v>31</v>
      </c>
      <c r="Z296" s="1628" t="s">
        <v>31</v>
      </c>
      <c r="AA296" s="1628" t="s">
        <v>31</v>
      </c>
      <c r="AB296" s="1629"/>
      <c r="AC296" s="1629"/>
      <c r="AD296" s="1629" t="s">
        <v>31</v>
      </c>
      <c r="AE296" s="1629" t="s">
        <v>31</v>
      </c>
      <c r="AF296" s="1629" t="s">
        <v>31</v>
      </c>
      <c r="AG296" s="1259"/>
      <c r="AH296" s="201"/>
      <c r="AI296" s="197"/>
    </row>
    <row r="297" spans="1:35" ht="21" customHeight="1" x14ac:dyDescent="0.2">
      <c r="A297" s="1893"/>
      <c r="B297" s="1665" t="s">
        <v>336</v>
      </c>
      <c r="C297" s="1629" t="s">
        <v>31</v>
      </c>
      <c r="D297" s="1629" t="s">
        <v>31</v>
      </c>
      <c r="E297" s="1629" t="s">
        <v>31</v>
      </c>
      <c r="F297" s="1636" t="s">
        <v>31</v>
      </c>
      <c r="G297" s="1636"/>
      <c r="H297" s="1629"/>
      <c r="I297" s="1629" t="s">
        <v>31</v>
      </c>
      <c r="J297" s="1712" t="s">
        <v>31</v>
      </c>
      <c r="K297" s="1629" t="s">
        <v>31</v>
      </c>
      <c r="L297" s="1629" t="s">
        <v>31</v>
      </c>
      <c r="M297" s="1629" t="s">
        <v>31</v>
      </c>
      <c r="N297" s="1612"/>
      <c r="O297" s="1629"/>
      <c r="P297" s="1629" t="s">
        <v>31</v>
      </c>
      <c r="Q297" s="1629" t="s">
        <v>31</v>
      </c>
      <c r="R297" s="1629" t="s">
        <v>31</v>
      </c>
      <c r="S297" s="1629" t="s">
        <v>31</v>
      </c>
      <c r="T297" s="1629" t="s">
        <v>31</v>
      </c>
      <c r="U297" s="1629"/>
      <c r="V297" s="1629"/>
      <c r="W297" s="1629" t="s">
        <v>31</v>
      </c>
      <c r="X297" s="1629" t="s">
        <v>31</v>
      </c>
      <c r="Y297" s="1628" t="s">
        <v>31</v>
      </c>
      <c r="Z297" s="1628" t="s">
        <v>31</v>
      </c>
      <c r="AA297" s="1628" t="s">
        <v>31</v>
      </c>
      <c r="AB297" s="1629"/>
      <c r="AC297" s="1629"/>
      <c r="AD297" s="1629" t="s">
        <v>31</v>
      </c>
      <c r="AE297" s="1629" t="s">
        <v>31</v>
      </c>
      <c r="AF297" s="1629" t="s">
        <v>31</v>
      </c>
      <c r="AG297" s="1259"/>
      <c r="AH297" s="201"/>
      <c r="AI297" s="197"/>
    </row>
    <row r="298" spans="1:35" ht="21" customHeight="1" x14ac:dyDescent="0.2">
      <c r="A298" s="1893"/>
      <c r="B298" s="1910"/>
      <c r="C298" s="1629"/>
      <c r="D298" s="1546"/>
      <c r="E298" s="1629"/>
      <c r="F298" s="1629"/>
      <c r="G298" s="1629"/>
      <c r="H298" s="1629"/>
      <c r="I298" s="1629"/>
      <c r="J298" s="1629"/>
      <c r="K298" s="1629"/>
      <c r="L298" s="1629"/>
      <c r="M298" s="1629"/>
      <c r="N298" s="1629"/>
      <c r="O298" s="1629"/>
      <c r="P298" s="1629"/>
      <c r="Q298" s="1629"/>
      <c r="R298" s="1629"/>
      <c r="S298" s="1629"/>
      <c r="T298" s="1629"/>
      <c r="U298" s="1629"/>
      <c r="V298" s="1629"/>
      <c r="W298" s="1629"/>
      <c r="X298" s="1629"/>
      <c r="Y298" s="1629"/>
      <c r="Z298" s="1629"/>
      <c r="AA298" s="1629"/>
      <c r="AB298" s="1629"/>
      <c r="AC298" s="1629"/>
      <c r="AD298" s="1629"/>
      <c r="AE298" s="1629"/>
      <c r="AF298" s="1629"/>
      <c r="AG298" s="1259"/>
      <c r="AH298" s="201"/>
      <c r="AI298" s="197"/>
    </row>
    <row r="299" spans="1:35" ht="21" customHeight="1" x14ac:dyDescent="0.2">
      <c r="A299" s="1277"/>
      <c r="B299" s="1910"/>
      <c r="C299" s="1259"/>
      <c r="D299" s="1259"/>
      <c r="E299" s="1259"/>
      <c r="F299" s="1259"/>
      <c r="G299" s="1259"/>
      <c r="H299" s="1259"/>
      <c r="I299" s="1259"/>
      <c r="J299" s="1259"/>
      <c r="K299" s="1259"/>
      <c r="L299" s="1259"/>
      <c r="M299" s="1259"/>
      <c r="N299" s="1258"/>
      <c r="O299" s="1258"/>
      <c r="P299" s="1259"/>
      <c r="Q299" s="1259"/>
      <c r="R299" s="1259"/>
      <c r="S299" s="1259"/>
      <c r="T299" s="1259"/>
      <c r="U299" s="1259"/>
      <c r="V299" s="1259"/>
      <c r="W299" s="1259"/>
      <c r="X299" s="1259"/>
      <c r="Y299" s="1259"/>
      <c r="Z299" s="1259"/>
      <c r="AA299" s="1259"/>
      <c r="AB299" s="1258"/>
      <c r="AC299" s="1258"/>
      <c r="AD299" s="1259"/>
      <c r="AE299" s="1259"/>
      <c r="AF299" s="1259"/>
      <c r="AG299" s="1259"/>
      <c r="AH299" s="201"/>
      <c r="AI299" s="199"/>
    </row>
    <row r="300" spans="1:35" ht="21" customHeight="1" thickBot="1" x14ac:dyDescent="0.25">
      <c r="A300" s="686"/>
      <c r="B300" s="687"/>
      <c r="C300" s="1126"/>
      <c r="D300" s="1127"/>
      <c r="E300" s="1127"/>
      <c r="F300" s="1127"/>
      <c r="G300" s="1127"/>
      <c r="H300" s="1127"/>
      <c r="I300" s="1127"/>
      <c r="J300" s="1127"/>
      <c r="K300" s="1127"/>
      <c r="L300" s="1127"/>
      <c r="M300" s="1127"/>
      <c r="N300" s="1128"/>
      <c r="O300" s="1128"/>
      <c r="P300" s="1127"/>
      <c r="Q300" s="1127"/>
      <c r="R300" s="1127"/>
      <c r="S300" s="1127"/>
      <c r="T300" s="1127"/>
      <c r="U300" s="1127"/>
      <c r="V300" s="1127"/>
      <c r="W300" s="1127"/>
      <c r="X300" s="1127"/>
      <c r="Y300" s="1127"/>
      <c r="Z300" s="1127"/>
      <c r="AA300" s="1127"/>
      <c r="AB300" s="1128"/>
      <c r="AC300" s="1128"/>
      <c r="AD300" s="1127"/>
      <c r="AE300" s="1127"/>
      <c r="AF300" s="1127"/>
      <c r="AG300" s="1127"/>
      <c r="AH300" s="201"/>
      <c r="AI300" s="199"/>
    </row>
  </sheetData>
  <protectedRanges>
    <protectedRange sqref="B225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9:B120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84" name="Område1_1_1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0:Z30"/>
  </mergeCells>
  <phoneticPr fontId="7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A1AA-BD30-4B6B-A2D7-13EFE05164D1}">
  <sheetPr codeName="Ark68"/>
  <dimension ref="A1:AM301"/>
  <sheetViews>
    <sheetView tabSelected="1" zoomScale="90" zoomScaleNormal="90" workbookViewId="0">
      <pane xSplit="2" ySplit="3" topLeftCell="C40" activePane="bottomRight" state="frozen"/>
      <selection pane="topRight" activeCell="AM167" sqref="AM167"/>
      <selection pane="bottomLeft" activeCell="AM167" sqref="AM167"/>
      <selection pane="bottomRight" activeCell="AN77" sqref="AN77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1911" t="s">
        <v>2</v>
      </c>
      <c r="C2" s="1912" t="s">
        <v>3</v>
      </c>
      <c r="D2" s="1913"/>
      <c r="E2" s="1914" t="s">
        <v>4</v>
      </c>
      <c r="F2" s="1915"/>
      <c r="G2" s="1916"/>
      <c r="H2" s="1916"/>
      <c r="I2" s="1916"/>
      <c r="J2" s="1916"/>
      <c r="K2" s="1917"/>
      <c r="L2" s="1918" t="s">
        <v>5</v>
      </c>
      <c r="M2" s="1919"/>
      <c r="N2" s="1920"/>
      <c r="O2" s="1921" t="s">
        <v>6</v>
      </c>
      <c r="P2" s="1922"/>
      <c r="Q2" s="1923"/>
      <c r="R2" s="1924"/>
      <c r="S2" s="1925" t="s">
        <v>7</v>
      </c>
      <c r="T2" s="1926"/>
      <c r="U2" s="1927"/>
      <c r="V2" s="1926"/>
      <c r="W2" s="1928" t="s">
        <v>8</v>
      </c>
      <c r="X2" s="1929"/>
      <c r="Y2" s="1930"/>
      <c r="Z2" s="164" t="s">
        <v>9</v>
      </c>
      <c r="AA2" s="1157"/>
      <c r="AB2" s="1158"/>
      <c r="AC2" s="1159"/>
      <c r="AD2" s="1160" t="s">
        <v>10</v>
      </c>
      <c r="AE2" s="1161"/>
      <c r="AF2" s="1161"/>
      <c r="AG2" s="1162"/>
    </row>
    <row r="3" spans="1:35" ht="13.35" customHeight="1" x14ac:dyDescent="0.2">
      <c r="A3" s="1"/>
      <c r="B3" s="1163" t="s">
        <v>11</v>
      </c>
      <c r="C3" s="1164" t="s">
        <v>12</v>
      </c>
      <c r="D3" s="1165"/>
      <c r="E3" s="91"/>
      <c r="F3" s="92"/>
      <c r="G3" s="92"/>
      <c r="H3" s="165" t="s">
        <v>13</v>
      </c>
      <c r="I3" s="93"/>
      <c r="J3" s="93"/>
      <c r="K3" s="94"/>
      <c r="L3" s="1166" t="s">
        <v>14</v>
      </c>
      <c r="M3" s="1167"/>
      <c r="N3" s="1168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1167"/>
      <c r="AA3" s="1167"/>
      <c r="AB3" s="1169"/>
      <c r="AC3" s="1170"/>
      <c r="AD3" s="1171" t="s">
        <v>17</v>
      </c>
      <c r="AE3" s="1172"/>
      <c r="AF3" s="1172"/>
      <c r="AG3" s="1173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1174" t="s">
        <v>20</v>
      </c>
      <c r="B6" s="1167"/>
      <c r="C6" s="1175"/>
      <c r="D6" s="1174" t="s">
        <v>21</v>
      </c>
      <c r="E6" s="1167"/>
      <c r="F6" s="1167"/>
      <c r="G6" s="1167"/>
      <c r="H6" s="1176"/>
      <c r="I6" s="1167"/>
      <c r="J6" s="1167"/>
      <c r="K6" s="1167"/>
      <c r="L6" s="1177" t="s">
        <v>22</v>
      </c>
      <c r="M6" s="1167"/>
      <c r="N6" s="1167"/>
      <c r="O6" s="1167"/>
      <c r="P6" s="1167"/>
      <c r="Q6" s="1167"/>
      <c r="R6" s="1167"/>
      <c r="S6" s="1175"/>
      <c r="T6" s="1178"/>
      <c r="U6" s="1167"/>
      <c r="V6" s="1167"/>
      <c r="W6" s="1167"/>
      <c r="X6" s="1167"/>
      <c r="Y6" s="1167"/>
      <c r="Z6" s="1167"/>
      <c r="AA6" s="1175"/>
      <c r="AB6" s="1179"/>
      <c r="AC6" s="1180"/>
      <c r="AD6" s="1180"/>
      <c r="AE6" s="1180"/>
      <c r="AF6" s="1180"/>
      <c r="AG6" s="1181"/>
    </row>
    <row r="7" spans="1:35" ht="22.15" customHeight="1" x14ac:dyDescent="0.2">
      <c r="A7" s="1174" t="s">
        <v>23</v>
      </c>
      <c r="B7" s="1167"/>
      <c r="C7" s="1167"/>
      <c r="D7" s="1167"/>
      <c r="E7" s="1167"/>
      <c r="F7" s="1167"/>
      <c r="G7" s="1167"/>
      <c r="H7" s="1167"/>
      <c r="I7" s="1167"/>
      <c r="J7" s="1167"/>
      <c r="K7" s="1175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167"/>
      <c r="V7" s="1167"/>
      <c r="W7" s="1167"/>
      <c r="X7" s="1167"/>
      <c r="Y7" s="1167"/>
      <c r="Z7" s="1167"/>
      <c r="AA7" s="1167"/>
      <c r="AB7" s="1182"/>
      <c r="AC7" s="1167"/>
      <c r="AD7" s="1167"/>
      <c r="AE7" s="1167"/>
      <c r="AF7" s="1167"/>
      <c r="AG7" s="1175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5" ht="22.15" customHeight="1" thickBot="1" x14ac:dyDescent="0.25">
      <c r="A11" s="1183" t="s">
        <v>28</v>
      </c>
      <c r="B11" s="1184" t="s">
        <v>29</v>
      </c>
      <c r="C11" s="1186">
        <v>1</v>
      </c>
      <c r="D11" s="1186">
        <v>2</v>
      </c>
      <c r="E11" s="1185">
        <v>3</v>
      </c>
      <c r="F11" s="1185">
        <v>4</v>
      </c>
      <c r="G11" s="1186">
        <v>5</v>
      </c>
      <c r="H11" s="1186">
        <v>6</v>
      </c>
      <c r="I11" s="1186">
        <v>7</v>
      </c>
      <c r="J11" s="1186">
        <v>8</v>
      </c>
      <c r="K11" s="1186">
        <v>9</v>
      </c>
      <c r="L11" s="1185">
        <v>10</v>
      </c>
      <c r="M11" s="1185">
        <v>11</v>
      </c>
      <c r="N11" s="1186">
        <v>12</v>
      </c>
      <c r="O11" s="1186">
        <v>13</v>
      </c>
      <c r="P11" s="1186">
        <v>14</v>
      </c>
      <c r="Q11" s="1186">
        <v>15</v>
      </c>
      <c r="R11" s="1186">
        <v>16</v>
      </c>
      <c r="S11" s="1185">
        <v>17</v>
      </c>
      <c r="T11" s="1185">
        <v>18</v>
      </c>
      <c r="U11" s="1186">
        <v>19</v>
      </c>
      <c r="V11" s="1186">
        <v>20</v>
      </c>
      <c r="W11" s="1186">
        <v>21</v>
      </c>
      <c r="X11" s="1186">
        <v>22</v>
      </c>
      <c r="Y11" s="1186">
        <v>23</v>
      </c>
      <c r="Z11" s="1185">
        <v>24</v>
      </c>
      <c r="AA11" s="1185">
        <v>25</v>
      </c>
      <c r="AB11" s="1186">
        <v>26</v>
      </c>
      <c r="AC11" s="1186">
        <v>27</v>
      </c>
      <c r="AD11" s="1186">
        <v>28</v>
      </c>
      <c r="AE11" s="1186">
        <v>29</v>
      </c>
      <c r="AF11" s="1186">
        <v>30</v>
      </c>
      <c r="AG11" s="2064">
        <v>31</v>
      </c>
      <c r="AH11" s="184"/>
      <c r="AI11" s="185"/>
    </row>
    <row r="12" spans="1:35" ht="22.15" customHeight="1" x14ac:dyDescent="0.2">
      <c r="A12" s="456">
        <v>8500</v>
      </c>
      <c r="B12" s="457" t="s">
        <v>30</v>
      </c>
      <c r="C12" s="458" t="s">
        <v>31</v>
      </c>
      <c r="D12" s="458" t="s">
        <v>31</v>
      </c>
      <c r="E12" s="458"/>
      <c r="F12" s="458"/>
      <c r="G12" s="463" t="s">
        <v>31</v>
      </c>
      <c r="H12" s="458" t="s">
        <v>31</v>
      </c>
      <c r="I12" s="458" t="s">
        <v>31</v>
      </c>
      <c r="J12" s="458" t="s">
        <v>31</v>
      </c>
      <c r="K12" s="458" t="s">
        <v>31</v>
      </c>
      <c r="L12" s="458"/>
      <c r="M12" s="458"/>
      <c r="N12" s="463" t="s">
        <v>31</v>
      </c>
      <c r="O12" s="458" t="s">
        <v>31</v>
      </c>
      <c r="P12" s="458" t="s">
        <v>31</v>
      </c>
      <c r="Q12" s="463" t="s">
        <v>31</v>
      </c>
      <c r="R12" s="463" t="s">
        <v>31</v>
      </c>
      <c r="S12" s="458"/>
      <c r="T12" s="458"/>
      <c r="U12" s="458" t="s">
        <v>31</v>
      </c>
      <c r="V12" s="458" t="s">
        <v>31</v>
      </c>
      <c r="W12" s="458" t="s">
        <v>31</v>
      </c>
      <c r="X12" s="458" t="s">
        <v>31</v>
      </c>
      <c r="Y12" s="463" t="s">
        <v>31</v>
      </c>
      <c r="Z12" s="458"/>
      <c r="AA12" s="458"/>
      <c r="AB12" s="462" t="s">
        <v>31</v>
      </c>
      <c r="AC12" s="458" t="s">
        <v>31</v>
      </c>
      <c r="AD12" s="458" t="s">
        <v>31</v>
      </c>
      <c r="AE12" s="463" t="s">
        <v>31</v>
      </c>
      <c r="AF12" s="463" t="s">
        <v>31</v>
      </c>
      <c r="AG12" s="464"/>
      <c r="AH12" s="190"/>
      <c r="AI12" s="190"/>
    </row>
    <row r="13" spans="1:35" ht="22.15" customHeight="1" x14ac:dyDescent="0.2">
      <c r="A13" s="1188" t="s">
        <v>33</v>
      </c>
      <c r="B13" s="1189"/>
      <c r="C13" s="1189"/>
      <c r="D13" s="1189"/>
      <c r="E13" s="1189"/>
      <c r="F13" s="1189"/>
      <c r="G13" s="1189"/>
      <c r="H13" s="1189"/>
      <c r="I13" s="1189"/>
      <c r="J13" s="1189"/>
      <c r="K13" s="1189"/>
      <c r="L13" s="1189"/>
      <c r="M13" s="1189"/>
      <c r="N13" s="1189"/>
      <c r="O13" s="1189"/>
      <c r="P13" s="1189"/>
      <c r="Q13" s="1189"/>
      <c r="R13" s="1189"/>
      <c r="S13" s="1189"/>
      <c r="T13" s="1189"/>
      <c r="U13" s="1189"/>
      <c r="V13" s="1189"/>
      <c r="W13" s="1189"/>
      <c r="X13" s="1189"/>
      <c r="Y13" s="1189"/>
      <c r="Z13" s="1189"/>
      <c r="AA13" s="1189"/>
      <c r="AB13" s="1189"/>
      <c r="AC13" s="1189"/>
      <c r="AD13" s="1189"/>
      <c r="AE13" s="1189"/>
      <c r="AF13" s="1189"/>
      <c r="AG13" s="1190"/>
      <c r="AH13" s="188"/>
      <c r="AI13" s="188"/>
    </row>
    <row r="14" spans="1:35" ht="22.15" customHeight="1" x14ac:dyDescent="0.2">
      <c r="A14" s="1191">
        <v>8546</v>
      </c>
      <c r="B14" s="1192" t="s">
        <v>34</v>
      </c>
      <c r="C14" s="1198">
        <v>2</v>
      </c>
      <c r="D14" s="1198">
        <v>2</v>
      </c>
      <c r="E14" s="1193" t="s">
        <v>36</v>
      </c>
      <c r="F14" s="1193" t="s">
        <v>36</v>
      </c>
      <c r="G14" s="1193" t="s">
        <v>35</v>
      </c>
      <c r="H14" s="1194" t="s">
        <v>35</v>
      </c>
      <c r="I14" s="1194" t="s">
        <v>35</v>
      </c>
      <c r="J14" s="1194" t="s">
        <v>35</v>
      </c>
      <c r="K14" s="1203" t="s">
        <v>35</v>
      </c>
      <c r="L14" s="1194"/>
      <c r="M14" s="1258"/>
      <c r="N14" s="1193">
        <v>4</v>
      </c>
      <c r="O14" s="1193">
        <v>4</v>
      </c>
      <c r="P14" s="1199">
        <v>4</v>
      </c>
      <c r="Q14" s="1199">
        <v>4</v>
      </c>
      <c r="R14" s="1194">
        <v>4</v>
      </c>
      <c r="S14" s="1267" t="s">
        <v>37</v>
      </c>
      <c r="T14" s="1199" t="s">
        <v>37</v>
      </c>
      <c r="U14" s="1199" t="s">
        <v>35</v>
      </c>
      <c r="V14" s="1194" t="s">
        <v>35</v>
      </c>
      <c r="W14" s="1194" t="s">
        <v>35</v>
      </c>
      <c r="X14" s="1194" t="s">
        <v>35</v>
      </c>
      <c r="Y14" s="1194" t="s">
        <v>35</v>
      </c>
      <c r="Z14" s="1194"/>
      <c r="AA14" s="1194"/>
      <c r="AB14" s="1195">
        <v>1</v>
      </c>
      <c r="AC14" s="1195">
        <v>1</v>
      </c>
      <c r="AD14" s="2065">
        <v>1</v>
      </c>
      <c r="AE14" s="1195">
        <v>1</v>
      </c>
      <c r="AF14" s="1195">
        <v>1</v>
      </c>
      <c r="AG14" s="1201"/>
      <c r="AH14" s="190"/>
      <c r="AI14" s="190"/>
    </row>
    <row r="15" spans="1:35" ht="22.15" customHeight="1" x14ac:dyDescent="0.2">
      <c r="A15" s="1191">
        <v>8546</v>
      </c>
      <c r="B15" s="1202" t="s">
        <v>38</v>
      </c>
      <c r="C15" s="1203">
        <v>1</v>
      </c>
      <c r="D15" s="1194">
        <v>1</v>
      </c>
      <c r="E15" s="1194"/>
      <c r="F15" s="1199"/>
      <c r="G15" s="1199">
        <v>2</v>
      </c>
      <c r="H15" s="1199">
        <v>2</v>
      </c>
      <c r="I15" s="1194">
        <v>2</v>
      </c>
      <c r="J15" s="1203">
        <v>2</v>
      </c>
      <c r="K15" s="1199">
        <v>2</v>
      </c>
      <c r="L15" s="1194" t="s">
        <v>36</v>
      </c>
      <c r="M15" s="1194" t="s">
        <v>36</v>
      </c>
      <c r="N15" s="1194" t="s">
        <v>35</v>
      </c>
      <c r="O15" s="1194" t="s">
        <v>35</v>
      </c>
      <c r="P15" s="1194" t="s">
        <v>35</v>
      </c>
      <c r="Q15" s="1194" t="s">
        <v>35</v>
      </c>
      <c r="R15" s="1194" t="s">
        <v>35</v>
      </c>
      <c r="S15" s="1194"/>
      <c r="T15" s="1194"/>
      <c r="U15" s="1194">
        <v>4</v>
      </c>
      <c r="V15" s="1194">
        <v>4</v>
      </c>
      <c r="W15" s="1194">
        <v>4</v>
      </c>
      <c r="X15" s="1194">
        <v>4</v>
      </c>
      <c r="Y15" s="1194">
        <v>4</v>
      </c>
      <c r="Z15" s="1194" t="s">
        <v>37</v>
      </c>
      <c r="AA15" s="1194" t="s">
        <v>37</v>
      </c>
      <c r="AB15" s="1194" t="s">
        <v>35</v>
      </c>
      <c r="AC15" s="1194" t="s">
        <v>35</v>
      </c>
      <c r="AD15" s="1194" t="s">
        <v>35</v>
      </c>
      <c r="AE15" s="1194" t="s">
        <v>35</v>
      </c>
      <c r="AF15" s="1194" t="s">
        <v>35</v>
      </c>
      <c r="AG15" s="1201"/>
      <c r="AH15" s="190"/>
      <c r="AI15" s="190"/>
    </row>
    <row r="16" spans="1:35" ht="22.15" customHeight="1" x14ac:dyDescent="0.2">
      <c r="A16" s="1191">
        <v>8546</v>
      </c>
      <c r="B16" s="1192" t="s">
        <v>39</v>
      </c>
      <c r="C16" s="1199">
        <v>4</v>
      </c>
      <c r="D16" s="1194">
        <v>4</v>
      </c>
      <c r="E16" s="1194" t="s">
        <v>37</v>
      </c>
      <c r="F16" s="1194" t="s">
        <v>37</v>
      </c>
      <c r="G16" s="1194" t="s">
        <v>35</v>
      </c>
      <c r="H16" s="1194" t="s">
        <v>35</v>
      </c>
      <c r="I16" s="1194" t="s">
        <v>35</v>
      </c>
      <c r="J16" s="1194" t="s">
        <v>35</v>
      </c>
      <c r="K16" s="1194" t="s">
        <v>35</v>
      </c>
      <c r="L16" s="1194"/>
      <c r="M16" s="1194"/>
      <c r="N16" s="1200">
        <v>1</v>
      </c>
      <c r="O16" s="1200">
        <v>1</v>
      </c>
      <c r="P16" s="1200">
        <v>1</v>
      </c>
      <c r="Q16" s="1200">
        <v>1</v>
      </c>
      <c r="R16" s="1200">
        <v>1</v>
      </c>
      <c r="S16" s="1200"/>
      <c r="T16" s="1200"/>
      <c r="U16" s="1194">
        <v>2</v>
      </c>
      <c r="V16" s="1194">
        <v>2</v>
      </c>
      <c r="W16" s="1203">
        <v>2</v>
      </c>
      <c r="X16" s="1194">
        <v>2</v>
      </c>
      <c r="Y16" s="1199">
        <v>2</v>
      </c>
      <c r="Z16" s="1199" t="s">
        <v>36</v>
      </c>
      <c r="AA16" s="1199" t="s">
        <v>36</v>
      </c>
      <c r="AB16" s="1199" t="s">
        <v>35</v>
      </c>
      <c r="AC16" s="1199" t="s">
        <v>35</v>
      </c>
      <c r="AD16" s="1194" t="s">
        <v>35</v>
      </c>
      <c r="AE16" s="1194" t="s">
        <v>35</v>
      </c>
      <c r="AF16" s="1194" t="s">
        <v>35</v>
      </c>
      <c r="AG16" s="1201"/>
      <c r="AH16" s="190"/>
      <c r="AI16" s="190"/>
    </row>
    <row r="17" spans="1:37" ht="22.15" customHeight="1" x14ac:dyDescent="0.2">
      <c r="A17" s="1191">
        <v>8546</v>
      </c>
      <c r="B17" s="1202" t="s">
        <v>40</v>
      </c>
      <c r="C17" s="1194" t="s">
        <v>35</v>
      </c>
      <c r="D17" s="1203" t="s">
        <v>35</v>
      </c>
      <c r="E17" s="1194"/>
      <c r="F17" s="1199"/>
      <c r="G17" s="1194">
        <v>4</v>
      </c>
      <c r="H17" s="1194">
        <v>4</v>
      </c>
      <c r="I17" s="1194">
        <v>4</v>
      </c>
      <c r="J17" s="1194">
        <v>4</v>
      </c>
      <c r="K17" s="1194">
        <v>4</v>
      </c>
      <c r="L17" s="1194" t="s">
        <v>37</v>
      </c>
      <c r="M17" s="1193" t="s">
        <v>37</v>
      </c>
      <c r="N17" s="1193" t="s">
        <v>35</v>
      </c>
      <c r="O17" s="1193" t="s">
        <v>35</v>
      </c>
      <c r="P17" s="1193" t="s">
        <v>35</v>
      </c>
      <c r="Q17" s="1193" t="s">
        <v>35</v>
      </c>
      <c r="R17" s="1193" t="s">
        <v>35</v>
      </c>
      <c r="S17" s="1193"/>
      <c r="T17" s="1194"/>
      <c r="U17" s="1194">
        <v>1</v>
      </c>
      <c r="V17" s="1194">
        <v>1</v>
      </c>
      <c r="W17" s="1194">
        <v>1</v>
      </c>
      <c r="X17" s="1203">
        <v>1</v>
      </c>
      <c r="Y17" s="1194">
        <v>1</v>
      </c>
      <c r="Z17" s="1194"/>
      <c r="AA17" s="1206"/>
      <c r="AB17" s="1206">
        <v>2</v>
      </c>
      <c r="AC17" s="1206">
        <v>2</v>
      </c>
      <c r="AD17" s="1206">
        <v>2</v>
      </c>
      <c r="AE17" s="1206">
        <v>2</v>
      </c>
      <c r="AF17" s="1206">
        <v>2</v>
      </c>
      <c r="AG17" s="1201" t="s">
        <v>36</v>
      </c>
      <c r="AH17" s="190"/>
      <c r="AI17" s="190"/>
    </row>
    <row r="18" spans="1:37" ht="22.15" customHeight="1" x14ac:dyDescent="0.2">
      <c r="A18" s="1191">
        <v>8546</v>
      </c>
      <c r="B18" s="1192" t="s">
        <v>41</v>
      </c>
      <c r="C18" s="1194" t="s">
        <v>35</v>
      </c>
      <c r="D18" s="1203" t="s">
        <v>35</v>
      </c>
      <c r="E18" s="1194"/>
      <c r="F18" s="1194"/>
      <c r="G18" s="1194">
        <v>1</v>
      </c>
      <c r="H18" s="1194">
        <v>1</v>
      </c>
      <c r="I18" s="1194">
        <v>1</v>
      </c>
      <c r="J18" s="2065">
        <v>1</v>
      </c>
      <c r="K18" s="2065">
        <v>1</v>
      </c>
      <c r="L18" s="1194"/>
      <c r="M18" s="1199"/>
      <c r="N18" s="1199">
        <v>2</v>
      </c>
      <c r="O18" s="1194">
        <v>2</v>
      </c>
      <c r="P18" s="1194">
        <v>2</v>
      </c>
      <c r="Q18" s="1194">
        <v>2</v>
      </c>
      <c r="R18" s="1194">
        <v>2</v>
      </c>
      <c r="S18" s="1194" t="s">
        <v>36</v>
      </c>
      <c r="T18" s="1194" t="s">
        <v>36</v>
      </c>
      <c r="U18" s="1199" t="s">
        <v>35</v>
      </c>
      <c r="V18" s="1199" t="s">
        <v>35</v>
      </c>
      <c r="W18" s="1194" t="s">
        <v>35</v>
      </c>
      <c r="X18" s="1194" t="s">
        <v>35</v>
      </c>
      <c r="Y18" s="1194" t="s">
        <v>35</v>
      </c>
      <c r="Z18" s="1194"/>
      <c r="AA18" s="1194"/>
      <c r="AB18" s="1194">
        <v>4</v>
      </c>
      <c r="AC18" s="1207">
        <v>4</v>
      </c>
      <c r="AD18" s="1194">
        <v>4</v>
      </c>
      <c r="AE18" s="1194">
        <v>4</v>
      </c>
      <c r="AF18" s="1194">
        <v>4</v>
      </c>
      <c r="AG18" s="1201" t="s">
        <v>37</v>
      </c>
      <c r="AH18" s="190"/>
      <c r="AI18" s="190"/>
    </row>
    <row r="19" spans="1:37" ht="22.15" customHeight="1" thickBot="1" x14ac:dyDescent="0.25">
      <c r="A19" s="1208" t="s">
        <v>42</v>
      </c>
      <c r="B19" s="1209"/>
      <c r="C19" s="1210"/>
      <c r="D19" s="1210"/>
      <c r="E19" s="1210"/>
      <c r="F19" s="1210"/>
      <c r="G19" s="1210"/>
      <c r="H19" s="1210"/>
      <c r="I19" s="1210"/>
      <c r="J19" s="1210"/>
      <c r="K19" s="1210"/>
      <c r="L19" s="1210"/>
      <c r="M19" s="1210"/>
      <c r="N19" s="1210"/>
      <c r="O19" s="1210"/>
      <c r="P19" s="1210"/>
      <c r="Q19" s="1210"/>
      <c r="R19" s="1210"/>
      <c r="S19" s="1210"/>
      <c r="T19" s="1210"/>
      <c r="U19" s="1210"/>
      <c r="V19" s="1210"/>
      <c r="W19" s="1210"/>
      <c r="X19" s="1210"/>
      <c r="Y19" s="1210"/>
      <c r="Z19" s="1210"/>
      <c r="AA19" s="1210"/>
      <c r="AB19" s="1210"/>
      <c r="AC19" s="1210"/>
      <c r="AD19" s="1210"/>
      <c r="AE19" s="1210"/>
      <c r="AF19" s="1210"/>
      <c r="AG19" s="1932"/>
      <c r="AH19" s="188"/>
      <c r="AI19" s="188"/>
    </row>
    <row r="20" spans="1:37" ht="22.15" customHeight="1" thickBot="1" x14ac:dyDescent="0.25">
      <c r="A20" s="465">
        <v>8500</v>
      </c>
      <c r="B20" s="466" t="s">
        <v>43</v>
      </c>
      <c r="C20" s="458" t="s">
        <v>132</v>
      </c>
      <c r="D20" s="458" t="s">
        <v>132</v>
      </c>
      <c r="E20" s="458"/>
      <c r="F20" s="458"/>
      <c r="G20" s="458" t="s">
        <v>31</v>
      </c>
      <c r="H20" s="458" t="s">
        <v>31</v>
      </c>
      <c r="I20" s="458" t="s">
        <v>31</v>
      </c>
      <c r="J20" s="458" t="s">
        <v>31</v>
      </c>
      <c r="K20" s="458" t="s">
        <v>31</v>
      </c>
      <c r="L20" s="458"/>
      <c r="M20" s="458"/>
      <c r="N20" s="458" t="s">
        <v>31</v>
      </c>
      <c r="O20" s="458" t="s">
        <v>31</v>
      </c>
      <c r="P20" s="458" t="s">
        <v>31</v>
      </c>
      <c r="Q20" s="461" t="s">
        <v>31</v>
      </c>
      <c r="R20" s="458" t="s">
        <v>31</v>
      </c>
      <c r="S20" s="458"/>
      <c r="T20" s="458"/>
      <c r="U20" s="458" t="s">
        <v>31</v>
      </c>
      <c r="V20" s="458" t="s">
        <v>31</v>
      </c>
      <c r="W20" s="458" t="s">
        <v>31</v>
      </c>
      <c r="X20" s="458" t="s">
        <v>31</v>
      </c>
      <c r="Y20" s="458" t="s">
        <v>31</v>
      </c>
      <c r="Z20" s="458"/>
      <c r="AA20" s="458"/>
      <c r="AB20" s="2066" t="s">
        <v>31</v>
      </c>
      <c r="AC20" s="564" t="s">
        <v>31</v>
      </c>
      <c r="AD20" s="564">
        <v>1</v>
      </c>
      <c r="AE20" s="564" t="s">
        <v>31</v>
      </c>
      <c r="AF20" s="564" t="s">
        <v>31</v>
      </c>
      <c r="AG20" s="639"/>
      <c r="AH20" s="190"/>
      <c r="AI20" s="190"/>
      <c r="AJ20" s="177"/>
    </row>
    <row r="21" spans="1:37" ht="22.15" customHeight="1" x14ac:dyDescent="0.2">
      <c r="A21" s="1626">
        <v>8500</v>
      </c>
      <c r="B21" s="1627" t="s">
        <v>44</v>
      </c>
      <c r="C21" s="1612" t="s">
        <v>223</v>
      </c>
      <c r="D21" s="1612" t="s">
        <v>223</v>
      </c>
      <c r="E21" s="1612"/>
      <c r="F21" s="1612"/>
      <c r="G21" s="1612" t="s">
        <v>35</v>
      </c>
      <c r="H21" s="1629" t="s">
        <v>35</v>
      </c>
      <c r="I21" s="1629" t="s">
        <v>31</v>
      </c>
      <c r="J21" s="1612">
        <v>1</v>
      </c>
      <c r="K21" s="1612">
        <v>1</v>
      </c>
      <c r="L21" s="1628"/>
      <c r="M21" s="1612" t="s">
        <v>394</v>
      </c>
      <c r="N21" s="1629">
        <v>1</v>
      </c>
      <c r="O21" s="1612">
        <v>1</v>
      </c>
      <c r="P21" s="1612">
        <v>1</v>
      </c>
      <c r="Q21" s="1612">
        <v>1</v>
      </c>
      <c r="R21" s="1612">
        <v>1</v>
      </c>
      <c r="S21" s="1612"/>
      <c r="T21" s="1612"/>
      <c r="U21" s="1612" t="s">
        <v>235</v>
      </c>
      <c r="V21" s="1612" t="s">
        <v>235</v>
      </c>
      <c r="W21" s="477" t="s">
        <v>31</v>
      </c>
      <c r="X21" s="1612" t="s">
        <v>235</v>
      </c>
      <c r="Y21" s="1628" t="s">
        <v>235</v>
      </c>
      <c r="Z21" s="1628"/>
      <c r="AA21" s="1612"/>
      <c r="AB21" s="1712" t="s">
        <v>31</v>
      </c>
      <c r="AC21" s="1712" t="s">
        <v>31</v>
      </c>
      <c r="AD21" s="1712" t="s">
        <v>31</v>
      </c>
      <c r="AE21" s="1712" t="s">
        <v>31</v>
      </c>
      <c r="AF21" s="1712" t="s">
        <v>31</v>
      </c>
      <c r="AG21" s="1713"/>
      <c r="AH21" s="190"/>
      <c r="AI21" s="190"/>
    </row>
    <row r="22" spans="1:37" ht="22.15" customHeight="1" x14ac:dyDescent="0.2">
      <c r="A22" s="1626">
        <v>8500</v>
      </c>
      <c r="B22" s="1630" t="s">
        <v>45</v>
      </c>
      <c r="C22" s="1612" t="s">
        <v>223</v>
      </c>
      <c r="D22" s="1612" t="s">
        <v>223</v>
      </c>
      <c r="E22" s="1612"/>
      <c r="F22" s="1629"/>
      <c r="G22" s="1612" t="s">
        <v>223</v>
      </c>
      <c r="H22" s="1612" t="s">
        <v>223</v>
      </c>
      <c r="I22" s="1612" t="s">
        <v>223</v>
      </c>
      <c r="J22" s="1612" t="s">
        <v>223</v>
      </c>
      <c r="K22" s="1612" t="s">
        <v>223</v>
      </c>
      <c r="L22" s="1612"/>
      <c r="M22" s="1612"/>
      <c r="N22" s="1612" t="s">
        <v>223</v>
      </c>
      <c r="O22" s="1612" t="s">
        <v>223</v>
      </c>
      <c r="P22" s="1612" t="s">
        <v>223</v>
      </c>
      <c r="Q22" s="1612" t="s">
        <v>223</v>
      </c>
      <c r="R22" s="1612" t="s">
        <v>223</v>
      </c>
      <c r="S22" s="1612"/>
      <c r="T22" s="1612"/>
      <c r="U22" s="1725" t="s">
        <v>223</v>
      </c>
      <c r="V22" s="1725" t="s">
        <v>223</v>
      </c>
      <c r="W22" s="1725" t="s">
        <v>223</v>
      </c>
      <c r="X22" s="1725" t="s">
        <v>223</v>
      </c>
      <c r="Y22" s="1725" t="s">
        <v>223</v>
      </c>
      <c r="Z22" s="1725"/>
      <c r="AA22" s="1725"/>
      <c r="AB22" s="1612" t="s">
        <v>223</v>
      </c>
      <c r="AC22" s="1612" t="s">
        <v>223</v>
      </c>
      <c r="AD22" s="1612" t="s">
        <v>223</v>
      </c>
      <c r="AE22" s="1612" t="s">
        <v>223</v>
      </c>
      <c r="AF22" s="1612" t="s">
        <v>223</v>
      </c>
      <c r="AG22" s="1634"/>
      <c r="AH22" s="190"/>
      <c r="AI22" s="190"/>
    </row>
    <row r="23" spans="1:37" ht="22.15" customHeight="1" x14ac:dyDescent="0.2">
      <c r="A23" s="1626"/>
      <c r="B23" s="1635"/>
      <c r="C23" s="1629"/>
      <c r="D23" s="1628"/>
      <c r="E23" s="1612"/>
      <c r="F23" s="1612"/>
      <c r="G23" s="1612"/>
      <c r="H23" s="1612"/>
      <c r="I23" s="1629"/>
      <c r="J23" s="1629"/>
      <c r="K23" s="1629"/>
      <c r="L23" s="1629"/>
      <c r="M23" s="1629"/>
      <c r="N23" s="1629"/>
      <c r="O23" s="1636"/>
      <c r="P23" s="1629"/>
      <c r="Q23" s="1629"/>
      <c r="R23" s="1637"/>
      <c r="S23" s="1637"/>
      <c r="T23" s="1629"/>
      <c r="U23" s="1629"/>
      <c r="V23" s="1629"/>
      <c r="W23" s="1629"/>
      <c r="X23" s="1629"/>
      <c r="Y23" s="1629"/>
      <c r="Z23" s="1629"/>
      <c r="AA23" s="1629"/>
      <c r="AB23" s="1629"/>
      <c r="AC23" s="1633"/>
      <c r="AD23" s="1633"/>
      <c r="AE23" s="1633"/>
      <c r="AF23" s="1633"/>
      <c r="AG23" s="1634"/>
    </row>
    <row r="24" spans="1:37" ht="22.15" customHeight="1" thickBot="1" x14ac:dyDescent="0.25">
      <c r="A24" s="688"/>
      <c r="B24" s="1665" t="s">
        <v>287</v>
      </c>
      <c r="C24" s="1612" t="s">
        <v>31</v>
      </c>
      <c r="D24" s="1612" t="s">
        <v>31</v>
      </c>
      <c r="E24" s="1612"/>
      <c r="F24" s="1629"/>
      <c r="G24" s="1612" t="s">
        <v>31</v>
      </c>
      <c r="H24" s="1612" t="s">
        <v>31</v>
      </c>
      <c r="I24" s="1612" t="s">
        <v>31</v>
      </c>
      <c r="J24" s="1633" t="s">
        <v>31</v>
      </c>
      <c r="K24" s="1633" t="s">
        <v>31</v>
      </c>
      <c r="L24" s="1612"/>
      <c r="M24" s="1612"/>
      <c r="N24" s="1633" t="s">
        <v>31</v>
      </c>
      <c r="O24" s="1633" t="s">
        <v>31</v>
      </c>
      <c r="P24" s="1633" t="s">
        <v>31</v>
      </c>
      <c r="Q24" s="1628" t="s">
        <v>31</v>
      </c>
      <c r="R24" s="1633" t="s">
        <v>31</v>
      </c>
      <c r="S24" s="1612"/>
      <c r="T24" s="1612"/>
      <c r="U24" s="1712" t="s">
        <v>31</v>
      </c>
      <c r="V24" s="1712" t="s">
        <v>31</v>
      </c>
      <c r="W24" s="1712" t="s">
        <v>31</v>
      </c>
      <c r="X24" s="1712" t="s">
        <v>31</v>
      </c>
      <c r="Y24" s="1712" t="s">
        <v>31</v>
      </c>
      <c r="Z24" s="1612"/>
      <c r="AA24" s="1612"/>
      <c r="AB24" s="1612" t="s">
        <v>31</v>
      </c>
      <c r="AC24" s="1612" t="s">
        <v>31</v>
      </c>
      <c r="AD24" s="1629" t="s">
        <v>31</v>
      </c>
      <c r="AE24" s="1612" t="s">
        <v>31</v>
      </c>
      <c r="AF24" s="1629" t="s">
        <v>31</v>
      </c>
      <c r="AG24" s="1634"/>
    </row>
    <row r="25" spans="1:37" ht="22.15" customHeight="1" x14ac:dyDescent="0.2">
      <c r="A25" s="102"/>
      <c r="C25" t="s">
        <v>0</v>
      </c>
      <c r="D25" t="s">
        <v>0</v>
      </c>
      <c r="G25" s="230" t="s">
        <v>0</v>
      </c>
      <c r="H25" s="230" t="s">
        <v>0</v>
      </c>
      <c r="I25" s="230" t="s">
        <v>0</v>
      </c>
      <c r="J25" s="260" t="s">
        <v>0</v>
      </c>
      <c r="K25" s="260" t="s">
        <v>0</v>
      </c>
      <c r="N25" s="1380" t="s">
        <v>0</v>
      </c>
      <c r="Z25" t="s">
        <v>0</v>
      </c>
      <c r="AA25" t="s">
        <v>0</v>
      </c>
      <c r="AC25" t="s">
        <v>0</v>
      </c>
      <c r="AD25" t="s">
        <v>0</v>
      </c>
      <c r="AE25" t="s">
        <v>0</v>
      </c>
      <c r="AF25" t="s">
        <v>0</v>
      </c>
      <c r="AG25" t="s">
        <v>0</v>
      </c>
    </row>
    <row r="26" spans="1:37" ht="22.15" customHeight="1" x14ac:dyDescent="0.2">
      <c r="A26" s="102"/>
      <c r="N26" t="s">
        <v>0</v>
      </c>
      <c r="O26" t="s">
        <v>0</v>
      </c>
      <c r="P26" t="s">
        <v>0</v>
      </c>
      <c r="Q26" t="s">
        <v>0</v>
      </c>
      <c r="R26" t="s">
        <v>0</v>
      </c>
      <c r="AB26" t="s">
        <v>0</v>
      </c>
      <c r="AC26" t="s">
        <v>0</v>
      </c>
      <c r="AD26" t="s">
        <v>0</v>
      </c>
      <c r="AE26" t="s">
        <v>0</v>
      </c>
      <c r="AF26" t="s">
        <v>0</v>
      </c>
    </row>
    <row r="27" spans="1:37" ht="22.15" customHeight="1" x14ac:dyDescent="0.2">
      <c r="A27" s="102"/>
      <c r="W27" t="s">
        <v>0</v>
      </c>
    </row>
    <row r="28" spans="1:37" ht="22.15" customHeight="1" x14ac:dyDescent="0.2">
      <c r="A28" s="102"/>
    </row>
    <row r="29" spans="1:37" ht="22.15" customHeight="1" x14ac:dyDescent="0.2">
      <c r="A29" s="102"/>
    </row>
    <row r="30" spans="1:37" ht="12.75" customHeight="1" thickBot="1" x14ac:dyDescent="0.25">
      <c r="A30" s="162" t="s">
        <v>48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37" ht="28.5" customHeight="1" x14ac:dyDescent="0.2">
      <c r="A31" s="302" t="s">
        <v>49</v>
      </c>
      <c r="B31" s="404"/>
      <c r="C31" s="404"/>
      <c r="D31" s="471" t="s">
        <v>50</v>
      </c>
      <c r="E31" s="405"/>
      <c r="F31" s="405"/>
      <c r="G31" s="405"/>
      <c r="H31" s="405"/>
      <c r="I31" s="405"/>
      <c r="J31" s="405"/>
      <c r="K31" s="405"/>
      <c r="L31" s="405"/>
      <c r="M31" s="406" t="s">
        <v>51</v>
      </c>
      <c r="N31" s="405"/>
      <c r="O31" s="405"/>
      <c r="P31" s="405"/>
      <c r="Q31" s="405"/>
      <c r="R31" s="405"/>
      <c r="S31" s="407"/>
      <c r="T31" s="3653" t="s">
        <v>52</v>
      </c>
      <c r="U31" s="3654"/>
      <c r="V31" s="3654"/>
      <c r="W31" s="3654"/>
      <c r="X31" s="3654"/>
      <c r="Y31" s="3654"/>
      <c r="Z31" s="3655"/>
      <c r="AA31" s="472" t="s">
        <v>53</v>
      </c>
      <c r="AB31" s="473"/>
      <c r="AC31" s="473"/>
      <c r="AD31" s="473"/>
      <c r="AE31" s="473"/>
      <c r="AF31" s="473"/>
      <c r="AG31" s="474"/>
      <c r="AK31" s="1"/>
    </row>
    <row r="32" spans="1:37" ht="22.15" customHeight="1" x14ac:dyDescent="0.2">
      <c r="A32" s="1227" t="s">
        <v>54</v>
      </c>
      <c r="B32" s="1180"/>
      <c r="C32" s="1180"/>
      <c r="D32" s="1228" t="s">
        <v>55</v>
      </c>
      <c r="E32" s="1229"/>
      <c r="F32" s="1167"/>
      <c r="G32" s="1167"/>
      <c r="H32" s="1167"/>
      <c r="I32" s="1167"/>
      <c r="J32" s="1167"/>
      <c r="K32" s="1167"/>
      <c r="L32" s="1175"/>
      <c r="M32" s="1230" t="s">
        <v>56</v>
      </c>
      <c r="N32" s="1180"/>
      <c r="O32" s="1231"/>
      <c r="P32" s="1180"/>
      <c r="Q32" s="1180"/>
      <c r="R32" s="1180"/>
      <c r="S32" s="1232"/>
      <c r="T32" s="1228" t="s">
        <v>57</v>
      </c>
      <c r="U32" s="1167"/>
      <c r="V32" s="1229"/>
      <c r="W32" s="1167"/>
      <c r="X32" s="1167"/>
      <c r="Y32" s="1167"/>
      <c r="Z32" s="1175"/>
      <c r="AA32" s="163" t="s">
        <v>58</v>
      </c>
      <c r="AD32" s="100"/>
      <c r="AG32" s="103"/>
      <c r="AK32" s="1"/>
    </row>
    <row r="33" spans="1:38" ht="22.15" customHeight="1" x14ac:dyDescent="0.2">
      <c r="A33" s="1233" t="s">
        <v>59</v>
      </c>
      <c r="B33" s="1167"/>
      <c r="C33" s="1167"/>
      <c r="D33" s="1234"/>
      <c r="E33" s="1167"/>
      <c r="F33" s="1167"/>
      <c r="G33" s="1175"/>
      <c r="H33" s="1182" t="s">
        <v>60</v>
      </c>
      <c r="I33" s="1167"/>
      <c r="J33" s="1167"/>
      <c r="K33" s="1167"/>
      <c r="L33" s="1167"/>
      <c r="M33" s="1235"/>
      <c r="N33" s="1167"/>
      <c r="O33" s="1167"/>
      <c r="P33" s="1167"/>
      <c r="Q33" s="1167"/>
      <c r="R33" s="1167"/>
      <c r="S33" s="1167"/>
      <c r="T33" s="1234"/>
      <c r="U33" s="162" t="s">
        <v>61</v>
      </c>
      <c r="AA33" s="1231"/>
      <c r="AB33" s="1180"/>
      <c r="AC33" s="1180"/>
      <c r="AD33" s="1180"/>
      <c r="AE33" s="1180"/>
      <c r="AF33" s="1180"/>
      <c r="AG33" s="1236"/>
      <c r="AK33" s="64"/>
    </row>
    <row r="34" spans="1:38" ht="22.15" customHeight="1" thickBot="1" x14ac:dyDescent="0.25">
      <c r="A34" s="1935" t="s">
        <v>62</v>
      </c>
      <c r="B34" s="1238"/>
      <c r="C34" s="1238"/>
      <c r="D34" s="1239"/>
      <c r="E34" s="1238"/>
      <c r="F34" s="1238"/>
      <c r="G34" s="1240"/>
      <c r="H34" s="1241" t="s">
        <v>63</v>
      </c>
      <c r="I34" s="1240"/>
      <c r="J34" s="1238"/>
      <c r="K34" s="1238"/>
      <c r="L34" s="1238"/>
      <c r="M34" s="1242"/>
      <c r="N34" s="1238"/>
      <c r="O34" s="1238"/>
      <c r="P34" s="1238"/>
      <c r="Q34" s="1243"/>
      <c r="R34" s="1243"/>
      <c r="S34" s="1243"/>
      <c r="T34" s="1239"/>
      <c r="U34" s="1244" t="s">
        <v>64</v>
      </c>
      <c r="V34" s="1238"/>
      <c r="W34" s="1238"/>
      <c r="X34" s="1238"/>
      <c r="Y34" s="1238"/>
      <c r="Z34" s="1238"/>
      <c r="AA34" s="1238"/>
      <c r="AB34" s="1238"/>
      <c r="AC34" s="1238"/>
      <c r="AD34" s="1238"/>
      <c r="AE34" s="1238"/>
      <c r="AF34" s="1238"/>
      <c r="AG34" s="1245"/>
      <c r="AK34" s="1"/>
    </row>
    <row r="35" spans="1:38" ht="22.1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  <c r="AJ35" s="177"/>
    </row>
    <row r="36" spans="1:38" ht="22.15" customHeight="1" thickBot="1" x14ac:dyDescent="0.25">
      <c r="A36" s="1246" t="s">
        <v>28</v>
      </c>
      <c r="B36" s="1247" t="s">
        <v>29</v>
      </c>
      <c r="C36" s="1186">
        <v>1</v>
      </c>
      <c r="D36" s="1186">
        <v>2</v>
      </c>
      <c r="E36" s="1185">
        <v>3</v>
      </c>
      <c r="F36" s="1185">
        <v>4</v>
      </c>
      <c r="G36" s="1186">
        <v>5</v>
      </c>
      <c r="H36" s="1186">
        <v>6</v>
      </c>
      <c r="I36" s="1186">
        <v>7</v>
      </c>
      <c r="J36" s="1186">
        <v>8</v>
      </c>
      <c r="K36" s="1186">
        <v>9</v>
      </c>
      <c r="L36" s="1185">
        <v>10</v>
      </c>
      <c r="M36" s="1185">
        <v>11</v>
      </c>
      <c r="N36" s="1186">
        <v>12</v>
      </c>
      <c r="O36" s="1186">
        <v>13</v>
      </c>
      <c r="P36" s="1186">
        <v>14</v>
      </c>
      <c r="Q36" s="1186">
        <v>15</v>
      </c>
      <c r="R36" s="1186">
        <v>16</v>
      </c>
      <c r="S36" s="1185">
        <v>17</v>
      </c>
      <c r="T36" s="1185">
        <v>18</v>
      </c>
      <c r="U36" s="1186">
        <v>19</v>
      </c>
      <c r="V36" s="1186">
        <v>20</v>
      </c>
      <c r="W36" s="1186">
        <v>21</v>
      </c>
      <c r="X36" s="1186">
        <v>22</v>
      </c>
      <c r="Y36" s="1186">
        <v>23</v>
      </c>
      <c r="Z36" s="1185">
        <v>24</v>
      </c>
      <c r="AA36" s="1185">
        <v>25</v>
      </c>
      <c r="AB36" s="1186">
        <v>26</v>
      </c>
      <c r="AC36" s="1186">
        <v>27</v>
      </c>
      <c r="AD36" s="1186">
        <v>28</v>
      </c>
      <c r="AE36" s="1186">
        <v>29</v>
      </c>
      <c r="AF36" s="1186">
        <v>30</v>
      </c>
      <c r="AG36" s="2064">
        <v>31</v>
      </c>
      <c r="AH36" s="184"/>
      <c r="AI36" s="185"/>
      <c r="AL36" t="s">
        <v>0</v>
      </c>
    </row>
    <row r="37" spans="1:38" ht="22.15" customHeight="1" x14ac:dyDescent="0.2">
      <c r="A37" s="475">
        <v>1</v>
      </c>
      <c r="B37" s="476" t="s">
        <v>65</v>
      </c>
      <c r="C37" s="477">
        <v>7</v>
      </c>
      <c r="D37" s="458">
        <v>7</v>
      </c>
      <c r="E37" s="477"/>
      <c r="F37" s="477"/>
      <c r="G37" s="1719" t="s">
        <v>385</v>
      </c>
      <c r="H37" s="1719" t="s">
        <v>385</v>
      </c>
      <c r="I37" s="1612" t="s">
        <v>31</v>
      </c>
      <c r="J37" s="1612" t="s">
        <v>31</v>
      </c>
      <c r="K37" s="1612" t="s">
        <v>31</v>
      </c>
      <c r="L37" s="477"/>
      <c r="M37" s="477"/>
      <c r="N37" s="553" t="s">
        <v>70</v>
      </c>
      <c r="O37" s="458">
        <v>5</v>
      </c>
      <c r="P37" s="477" t="s">
        <v>70</v>
      </c>
      <c r="Q37" s="459">
        <v>5</v>
      </c>
      <c r="R37" s="458">
        <v>5</v>
      </c>
      <c r="S37" s="477"/>
      <c r="T37" s="477"/>
      <c r="U37" s="477">
        <v>11</v>
      </c>
      <c r="V37" s="477">
        <v>11</v>
      </c>
      <c r="W37" s="477">
        <v>11</v>
      </c>
      <c r="X37" s="459">
        <v>11</v>
      </c>
      <c r="Y37" s="459">
        <v>11</v>
      </c>
      <c r="Z37" s="477" t="s">
        <v>73</v>
      </c>
      <c r="AA37" s="477" t="s">
        <v>73</v>
      </c>
      <c r="AB37" s="629" t="s">
        <v>35</v>
      </c>
      <c r="AC37" s="459" t="s">
        <v>35</v>
      </c>
      <c r="AD37" s="459" t="s">
        <v>35</v>
      </c>
      <c r="AE37" s="477" t="s">
        <v>35</v>
      </c>
      <c r="AF37" s="477" t="s">
        <v>35</v>
      </c>
      <c r="AG37" s="478" t="s">
        <v>69</v>
      </c>
      <c r="AH37" s="189"/>
      <c r="AI37" s="190"/>
    </row>
    <row r="38" spans="1:38" ht="22.15" customHeight="1" x14ac:dyDescent="0.2">
      <c r="A38" s="1249">
        <v>6</v>
      </c>
      <c r="B38" s="1665" t="s">
        <v>0</v>
      </c>
      <c r="C38" s="1193">
        <v>8</v>
      </c>
      <c r="D38" s="1193">
        <v>8</v>
      </c>
      <c r="E38" s="1193"/>
      <c r="F38" s="1193"/>
      <c r="G38" s="1193" t="s">
        <v>35</v>
      </c>
      <c r="H38" s="1193" t="s">
        <v>35</v>
      </c>
      <c r="I38" s="1193" t="s">
        <v>35</v>
      </c>
      <c r="J38" s="1193" t="s">
        <v>35</v>
      </c>
      <c r="K38" s="1193" t="s">
        <v>35</v>
      </c>
      <c r="L38" s="1193"/>
      <c r="M38" s="1193"/>
      <c r="N38" s="1193">
        <v>1</v>
      </c>
      <c r="O38" s="1193">
        <v>1</v>
      </c>
      <c r="P38" s="1193">
        <v>1</v>
      </c>
      <c r="Q38" s="1193">
        <v>1</v>
      </c>
      <c r="R38" s="1193">
        <v>1</v>
      </c>
      <c r="S38" s="1193"/>
      <c r="T38" s="1193"/>
      <c r="U38" s="1193">
        <v>9</v>
      </c>
      <c r="V38" s="1193">
        <v>9</v>
      </c>
      <c r="W38" s="1193">
        <v>9</v>
      </c>
      <c r="X38" s="1193">
        <v>9</v>
      </c>
      <c r="Y38" s="1193">
        <v>9</v>
      </c>
      <c r="Z38" s="1193" t="s">
        <v>66</v>
      </c>
      <c r="AA38" s="1193" t="s">
        <v>67</v>
      </c>
      <c r="AB38" s="1193" t="s">
        <v>35</v>
      </c>
      <c r="AC38" s="1193" t="s">
        <v>35</v>
      </c>
      <c r="AD38" s="1193" t="s">
        <v>35</v>
      </c>
      <c r="AE38" s="1193" t="s">
        <v>35</v>
      </c>
      <c r="AF38" s="1193" t="s">
        <v>35</v>
      </c>
      <c r="AG38" s="1251" t="s">
        <v>68</v>
      </c>
      <c r="AH38" s="189"/>
      <c r="AI38" s="190"/>
    </row>
    <row r="39" spans="1:38" ht="22.15" customHeight="1" thickBot="1" x14ac:dyDescent="0.25">
      <c r="A39" s="1936">
        <v>11</v>
      </c>
      <c r="B39" s="1253" t="s">
        <v>72</v>
      </c>
      <c r="C39" s="1254">
        <v>6</v>
      </c>
      <c r="D39" s="1255">
        <v>6</v>
      </c>
      <c r="E39" s="1255"/>
      <c r="F39" s="1255"/>
      <c r="G39" s="1255" t="s">
        <v>35</v>
      </c>
      <c r="H39" s="1255" t="s">
        <v>35</v>
      </c>
      <c r="I39" s="1255" t="s">
        <v>35</v>
      </c>
      <c r="J39" s="1255" t="s">
        <v>35</v>
      </c>
      <c r="K39" s="1255" t="s">
        <v>35</v>
      </c>
      <c r="L39" s="1255"/>
      <c r="M39" s="1255"/>
      <c r="N39" s="1271">
        <v>5</v>
      </c>
      <c r="O39" s="1941">
        <v>5</v>
      </c>
      <c r="P39" s="1271">
        <v>5</v>
      </c>
      <c r="Q39" s="1941">
        <v>5</v>
      </c>
      <c r="R39" s="1941">
        <v>5</v>
      </c>
      <c r="S39" s="1255"/>
      <c r="T39" s="1938"/>
      <c r="U39" s="1938">
        <v>10</v>
      </c>
      <c r="V39" s="1938">
        <v>10</v>
      </c>
      <c r="W39" s="1938">
        <v>10</v>
      </c>
      <c r="X39" s="1938">
        <v>10</v>
      </c>
      <c r="Y39" s="1255">
        <v>10</v>
      </c>
      <c r="Z39" s="1255" t="s">
        <v>67</v>
      </c>
      <c r="AA39" s="1255" t="s">
        <v>67</v>
      </c>
      <c r="AB39" s="1263" t="s">
        <v>35</v>
      </c>
      <c r="AC39" s="1263" t="s">
        <v>35</v>
      </c>
      <c r="AD39" s="1263" t="s">
        <v>35</v>
      </c>
      <c r="AE39" s="1255" t="s">
        <v>35</v>
      </c>
      <c r="AF39" s="1255" t="s">
        <v>35</v>
      </c>
      <c r="AG39" s="2021" t="s">
        <v>71</v>
      </c>
      <c r="AH39" s="189"/>
      <c r="AI39" s="190"/>
    </row>
    <row r="40" spans="1:38" ht="22.15" customHeight="1" x14ac:dyDescent="0.2">
      <c r="A40" s="475">
        <v>2</v>
      </c>
      <c r="B40" s="183" t="s">
        <v>74</v>
      </c>
      <c r="C40" s="463">
        <v>4</v>
      </c>
      <c r="D40" s="463">
        <v>4</v>
      </c>
      <c r="E40" s="458"/>
      <c r="F40" s="458"/>
      <c r="G40" s="532">
        <v>3</v>
      </c>
      <c r="H40" s="532">
        <v>3</v>
      </c>
      <c r="I40" s="532">
        <v>3</v>
      </c>
      <c r="J40" s="532">
        <v>3</v>
      </c>
      <c r="K40" s="532">
        <v>3</v>
      </c>
      <c r="L40" s="532"/>
      <c r="M40" s="532"/>
      <c r="N40" s="477">
        <v>11</v>
      </c>
      <c r="O40" s="459">
        <v>11</v>
      </c>
      <c r="P40" s="477">
        <v>11</v>
      </c>
      <c r="Q40" s="459">
        <v>11</v>
      </c>
      <c r="R40" s="459">
        <v>11</v>
      </c>
      <c r="S40" s="458" t="s">
        <v>73</v>
      </c>
      <c r="T40" s="459" t="s">
        <v>73</v>
      </c>
      <c r="U40" s="459" t="s">
        <v>35</v>
      </c>
      <c r="V40" s="459" t="s">
        <v>35</v>
      </c>
      <c r="W40" s="459" t="s">
        <v>35</v>
      </c>
      <c r="X40" s="459" t="s">
        <v>35</v>
      </c>
      <c r="Y40" s="477" t="s">
        <v>35</v>
      </c>
      <c r="Z40" s="477" t="s">
        <v>69</v>
      </c>
      <c r="AA40" s="477" t="s">
        <v>69</v>
      </c>
      <c r="AB40" s="477">
        <v>8</v>
      </c>
      <c r="AC40" s="459">
        <v>8</v>
      </c>
      <c r="AD40" s="459">
        <v>8</v>
      </c>
      <c r="AE40" s="477">
        <v>8</v>
      </c>
      <c r="AF40" s="477">
        <v>8</v>
      </c>
      <c r="AG40" s="478"/>
      <c r="AH40" s="189"/>
      <c r="AI40" s="190"/>
    </row>
    <row r="41" spans="1:38" ht="22.15" customHeight="1" x14ac:dyDescent="0.2">
      <c r="A41" s="1249">
        <v>7</v>
      </c>
      <c r="B41" s="1202" t="s">
        <v>75</v>
      </c>
      <c r="C41" s="1258" t="s">
        <v>35</v>
      </c>
      <c r="D41" s="1258" t="s">
        <v>35</v>
      </c>
      <c r="E41" s="1259"/>
      <c r="F41" s="1259"/>
      <c r="G41" s="1259">
        <v>1</v>
      </c>
      <c r="H41" s="1259">
        <v>1</v>
      </c>
      <c r="I41" s="1259">
        <v>1</v>
      </c>
      <c r="J41" s="1258">
        <v>1</v>
      </c>
      <c r="K41" s="1260">
        <v>1</v>
      </c>
      <c r="L41" s="1260"/>
      <c r="M41" s="1260"/>
      <c r="N41" s="1259">
        <v>9</v>
      </c>
      <c r="O41" s="1259">
        <v>9</v>
      </c>
      <c r="P41" s="1259">
        <v>9</v>
      </c>
      <c r="Q41" s="1258">
        <v>9</v>
      </c>
      <c r="R41" s="1259">
        <v>9</v>
      </c>
      <c r="S41" s="1259" t="s">
        <v>66</v>
      </c>
      <c r="T41" s="1260" t="s">
        <v>67</v>
      </c>
      <c r="U41" s="1260" t="s">
        <v>35</v>
      </c>
      <c r="V41" s="1260" t="s">
        <v>35</v>
      </c>
      <c r="W41" s="1260" t="s">
        <v>35</v>
      </c>
      <c r="X41" s="1259" t="s">
        <v>35</v>
      </c>
      <c r="Y41" s="1259" t="s">
        <v>35</v>
      </c>
      <c r="Z41" s="1259" t="s">
        <v>68</v>
      </c>
      <c r="AA41" s="1259" t="s">
        <v>69</v>
      </c>
      <c r="AB41" s="1259">
        <v>6</v>
      </c>
      <c r="AC41" s="1259">
        <v>6</v>
      </c>
      <c r="AD41" s="1259">
        <v>6</v>
      </c>
      <c r="AE41" s="1259">
        <v>6</v>
      </c>
      <c r="AF41" s="1259">
        <v>6</v>
      </c>
      <c r="AG41" s="1261"/>
      <c r="AH41" s="189"/>
      <c r="AI41" s="190"/>
    </row>
    <row r="42" spans="1:38" ht="22.15" customHeight="1" thickBot="1" x14ac:dyDescent="0.25">
      <c r="A42" s="1936">
        <v>12</v>
      </c>
      <c r="B42" s="1262" t="s">
        <v>76</v>
      </c>
      <c r="C42" s="1255" t="s">
        <v>35</v>
      </c>
      <c r="D42" s="1263" t="s">
        <v>35</v>
      </c>
      <c r="E42" s="1255"/>
      <c r="F42" s="1255"/>
      <c r="G42" s="1255">
        <v>5</v>
      </c>
      <c r="H42" s="1255">
        <v>5</v>
      </c>
      <c r="I42" s="1255">
        <v>5</v>
      </c>
      <c r="J42" s="1255">
        <v>5</v>
      </c>
      <c r="K42" s="1254">
        <v>5</v>
      </c>
      <c r="L42" s="1255"/>
      <c r="M42" s="1255"/>
      <c r="N42" s="1255">
        <v>10</v>
      </c>
      <c r="O42" s="1255">
        <v>10</v>
      </c>
      <c r="P42" s="1255">
        <v>10</v>
      </c>
      <c r="Q42" s="1254">
        <v>10</v>
      </c>
      <c r="R42" s="1255">
        <v>10</v>
      </c>
      <c r="S42" s="1255" t="s">
        <v>67</v>
      </c>
      <c r="T42" s="1255" t="s">
        <v>67</v>
      </c>
      <c r="U42" s="1263" t="s">
        <v>35</v>
      </c>
      <c r="V42" s="1263" t="s">
        <v>35</v>
      </c>
      <c r="W42" s="1263" t="s">
        <v>35</v>
      </c>
      <c r="X42" s="1255" t="s">
        <v>35</v>
      </c>
      <c r="Y42" s="1255" t="s">
        <v>35</v>
      </c>
      <c r="Z42" s="1255" t="s">
        <v>71</v>
      </c>
      <c r="AA42" s="1255" t="s">
        <v>71</v>
      </c>
      <c r="AB42" s="1271">
        <v>7</v>
      </c>
      <c r="AC42" s="1941">
        <v>7</v>
      </c>
      <c r="AD42" s="1941">
        <v>7</v>
      </c>
      <c r="AE42" s="1941">
        <v>7</v>
      </c>
      <c r="AF42" s="1941">
        <v>7</v>
      </c>
      <c r="AG42" s="1945"/>
      <c r="AH42" s="189"/>
      <c r="AI42" s="190"/>
    </row>
    <row r="43" spans="1:38" ht="22.15" customHeight="1" x14ac:dyDescent="0.2">
      <c r="A43" s="475">
        <v>3</v>
      </c>
      <c r="B43" s="479" t="s">
        <v>77</v>
      </c>
      <c r="C43" s="477" t="s">
        <v>216</v>
      </c>
      <c r="D43" s="477" t="s">
        <v>343</v>
      </c>
      <c r="E43" s="477"/>
      <c r="F43" s="477"/>
      <c r="G43" s="477">
        <v>11</v>
      </c>
      <c r="H43" s="477">
        <v>11</v>
      </c>
      <c r="I43" s="477">
        <v>11</v>
      </c>
      <c r="J43" s="459">
        <v>11</v>
      </c>
      <c r="K43" s="459">
        <v>11</v>
      </c>
      <c r="L43" s="459" t="s">
        <v>73</v>
      </c>
      <c r="M43" s="459" t="s">
        <v>73</v>
      </c>
      <c r="N43" s="459" t="s">
        <v>35</v>
      </c>
      <c r="O43" s="459" t="s">
        <v>35</v>
      </c>
      <c r="P43" s="459" t="s">
        <v>35</v>
      </c>
      <c r="Q43" s="459" t="s">
        <v>35</v>
      </c>
      <c r="R43" s="635" t="s">
        <v>35</v>
      </c>
      <c r="S43" s="483" t="s">
        <v>69</v>
      </c>
      <c r="T43" s="483" t="s">
        <v>69</v>
      </c>
      <c r="U43" s="483">
        <v>8</v>
      </c>
      <c r="V43" s="539" t="s">
        <v>346</v>
      </c>
      <c r="W43" s="481">
        <v>8</v>
      </c>
      <c r="X43" s="461">
        <v>8</v>
      </c>
      <c r="Y43" s="485">
        <v>8</v>
      </c>
      <c r="Z43" s="477"/>
      <c r="AA43" s="477"/>
      <c r="AB43" s="477" t="s">
        <v>35</v>
      </c>
      <c r="AC43" s="482" t="s">
        <v>35</v>
      </c>
      <c r="AD43" s="635" t="s">
        <v>35</v>
      </c>
      <c r="AE43" s="635" t="s">
        <v>35</v>
      </c>
      <c r="AF43" s="635" t="s">
        <v>35</v>
      </c>
      <c r="AG43" s="636"/>
      <c r="AH43" s="189"/>
      <c r="AI43" s="190"/>
    </row>
    <row r="44" spans="1:38" ht="22.15" customHeight="1" x14ac:dyDescent="0.2">
      <c r="A44" s="1249">
        <v>8</v>
      </c>
      <c r="B44" s="1202"/>
      <c r="C44" s="1199">
        <v>1</v>
      </c>
      <c r="D44" s="1199">
        <v>1</v>
      </c>
      <c r="E44" s="1199"/>
      <c r="F44" s="1199"/>
      <c r="G44" s="1199">
        <v>9</v>
      </c>
      <c r="H44" s="1199">
        <v>9</v>
      </c>
      <c r="I44" s="1259">
        <v>9</v>
      </c>
      <c r="J44" s="1258">
        <v>9</v>
      </c>
      <c r="K44" s="1193">
        <v>9</v>
      </c>
      <c r="L44" s="1193" t="s">
        <v>66</v>
      </c>
      <c r="M44" s="1193" t="s">
        <v>67</v>
      </c>
      <c r="N44" s="1199" t="s">
        <v>35</v>
      </c>
      <c r="O44" s="1259" t="s">
        <v>35</v>
      </c>
      <c r="P44" s="1259" t="s">
        <v>35</v>
      </c>
      <c r="Q44" s="1259" t="s">
        <v>35</v>
      </c>
      <c r="R44" s="1259" t="s">
        <v>35</v>
      </c>
      <c r="S44" s="1259" t="s">
        <v>68</v>
      </c>
      <c r="T44" s="1259" t="s">
        <v>69</v>
      </c>
      <c r="U44" s="1259">
        <v>6</v>
      </c>
      <c r="V44" s="1259">
        <v>6</v>
      </c>
      <c r="W44" s="1259">
        <v>6</v>
      </c>
      <c r="X44" s="1258">
        <v>6</v>
      </c>
      <c r="Y44" s="1259">
        <v>6</v>
      </c>
      <c r="Z44" s="1259"/>
      <c r="AA44" s="1259"/>
      <c r="AB44" s="1259" t="s">
        <v>35</v>
      </c>
      <c r="AC44" s="1259" t="s">
        <v>35</v>
      </c>
      <c r="AD44" s="1199" t="s">
        <v>35</v>
      </c>
      <c r="AE44" s="1199" t="s">
        <v>35</v>
      </c>
      <c r="AF44" s="1267" t="s">
        <v>35</v>
      </c>
      <c r="AG44" s="1261"/>
      <c r="AH44" s="189"/>
      <c r="AI44" s="190"/>
    </row>
    <row r="45" spans="1:38" ht="22.15" customHeight="1" thickBot="1" x14ac:dyDescent="0.25">
      <c r="A45" s="1936">
        <v>13</v>
      </c>
      <c r="B45" s="1253" t="s">
        <v>79</v>
      </c>
      <c r="C45" s="2067">
        <v>5</v>
      </c>
      <c r="D45" s="2068">
        <v>5</v>
      </c>
      <c r="E45" s="1255"/>
      <c r="F45" s="1255"/>
      <c r="G45" s="1255">
        <v>10</v>
      </c>
      <c r="H45" s="1255">
        <v>10</v>
      </c>
      <c r="I45" s="1255">
        <v>10</v>
      </c>
      <c r="J45" s="1254">
        <v>10</v>
      </c>
      <c r="K45" s="1255">
        <v>10</v>
      </c>
      <c r="L45" s="1263" t="s">
        <v>67</v>
      </c>
      <c r="M45" s="1255" t="s">
        <v>67</v>
      </c>
      <c r="N45" s="1263" t="s">
        <v>35</v>
      </c>
      <c r="O45" s="1263" t="s">
        <v>35</v>
      </c>
      <c r="P45" s="1263" t="s">
        <v>35</v>
      </c>
      <c r="Q45" s="1255" t="s">
        <v>35</v>
      </c>
      <c r="R45" s="1255" t="s">
        <v>35</v>
      </c>
      <c r="S45" s="1255" t="s">
        <v>71</v>
      </c>
      <c r="T45" s="1255" t="s">
        <v>71</v>
      </c>
      <c r="U45" s="1255">
        <v>7</v>
      </c>
      <c r="V45" s="1255">
        <v>7</v>
      </c>
      <c r="W45" s="1255">
        <v>7</v>
      </c>
      <c r="X45" s="1255">
        <v>7</v>
      </c>
      <c r="Y45" s="1254">
        <v>7</v>
      </c>
      <c r="Z45" s="1255"/>
      <c r="AA45" s="1255"/>
      <c r="AB45" s="1271">
        <v>4</v>
      </c>
      <c r="AC45" s="1271">
        <v>4</v>
      </c>
      <c r="AD45" s="1271">
        <v>4</v>
      </c>
      <c r="AE45" s="1941">
        <v>4</v>
      </c>
      <c r="AF45" s="1271">
        <v>4</v>
      </c>
      <c r="AG45" s="2021"/>
      <c r="AH45" s="189"/>
      <c r="AI45" s="190"/>
    </row>
    <row r="46" spans="1:38" ht="22.15" customHeight="1" x14ac:dyDescent="0.2">
      <c r="A46" s="475">
        <v>4</v>
      </c>
      <c r="B46" s="476" t="s">
        <v>82</v>
      </c>
      <c r="C46" s="459">
        <v>11</v>
      </c>
      <c r="D46" s="459">
        <v>11</v>
      </c>
      <c r="E46" s="477" t="s">
        <v>73</v>
      </c>
      <c r="F46" s="458" t="s">
        <v>73</v>
      </c>
      <c r="G46" s="458" t="s">
        <v>35</v>
      </c>
      <c r="H46" s="458" t="s">
        <v>35</v>
      </c>
      <c r="I46" s="458" t="s">
        <v>35</v>
      </c>
      <c r="J46" s="458" t="s">
        <v>35</v>
      </c>
      <c r="K46" s="458" t="s">
        <v>35</v>
      </c>
      <c r="L46" s="458" t="s">
        <v>69</v>
      </c>
      <c r="M46" s="461" t="s">
        <v>69</v>
      </c>
      <c r="N46" s="630">
        <v>8</v>
      </c>
      <c r="O46" s="621">
        <v>8</v>
      </c>
      <c r="P46" s="621">
        <v>8</v>
      </c>
      <c r="Q46" s="564">
        <v>8</v>
      </c>
      <c r="R46" s="564" t="s">
        <v>346</v>
      </c>
      <c r="S46" s="458"/>
      <c r="T46" s="477"/>
      <c r="U46" s="477" t="s">
        <v>35</v>
      </c>
      <c r="V46" s="482" t="s">
        <v>35</v>
      </c>
      <c r="W46" s="477" t="s">
        <v>35</v>
      </c>
      <c r="X46" s="477" t="s">
        <v>35</v>
      </c>
      <c r="Y46" s="458" t="s">
        <v>35</v>
      </c>
      <c r="Z46" s="477"/>
      <c r="AA46" s="477"/>
      <c r="AB46" s="485">
        <v>1</v>
      </c>
      <c r="AC46" s="485">
        <v>1</v>
      </c>
      <c r="AD46" s="485">
        <v>1</v>
      </c>
      <c r="AE46" s="481">
        <v>1</v>
      </c>
      <c r="AF46" s="485">
        <v>1</v>
      </c>
      <c r="AG46" s="478"/>
      <c r="AH46" s="189"/>
      <c r="AI46" s="190"/>
    </row>
    <row r="47" spans="1:38" ht="22.15" customHeight="1" x14ac:dyDescent="0.2">
      <c r="A47" s="1249">
        <v>9</v>
      </c>
      <c r="B47" s="1202" t="s">
        <v>84</v>
      </c>
      <c r="C47" s="1258">
        <v>9</v>
      </c>
      <c r="D47" s="1259">
        <v>9</v>
      </c>
      <c r="E47" s="1259" t="s">
        <v>66</v>
      </c>
      <c r="F47" s="1259" t="s">
        <v>67</v>
      </c>
      <c r="G47" s="1259" t="s">
        <v>35</v>
      </c>
      <c r="H47" s="1259" t="s">
        <v>35</v>
      </c>
      <c r="I47" s="1259" t="s">
        <v>35</v>
      </c>
      <c r="J47" s="1259" t="s">
        <v>35</v>
      </c>
      <c r="K47" s="1259" t="s">
        <v>35</v>
      </c>
      <c r="L47" s="1259" t="s">
        <v>68</v>
      </c>
      <c r="M47" s="1259" t="s">
        <v>69</v>
      </c>
      <c r="N47" s="1200">
        <v>6</v>
      </c>
      <c r="O47" s="1200">
        <v>6</v>
      </c>
      <c r="P47" s="1200">
        <v>6</v>
      </c>
      <c r="Q47" s="1200">
        <v>6</v>
      </c>
      <c r="R47" s="1200">
        <v>6</v>
      </c>
      <c r="S47" s="1200"/>
      <c r="T47" s="1200"/>
      <c r="U47" s="1259" t="s">
        <v>35</v>
      </c>
      <c r="V47" s="1259" t="s">
        <v>35</v>
      </c>
      <c r="W47" s="1259" t="s">
        <v>35</v>
      </c>
      <c r="X47" s="1259" t="s">
        <v>35</v>
      </c>
      <c r="Y47" s="1259" t="s">
        <v>35</v>
      </c>
      <c r="Z47" s="1259"/>
      <c r="AA47" s="1259"/>
      <c r="AB47" s="1259">
        <v>5</v>
      </c>
      <c r="AC47" s="1259">
        <v>5</v>
      </c>
      <c r="AD47" s="1259">
        <v>5</v>
      </c>
      <c r="AE47" s="1259">
        <v>5</v>
      </c>
      <c r="AF47" s="1259">
        <v>5</v>
      </c>
      <c r="AG47" s="1261"/>
      <c r="AH47" s="189"/>
      <c r="AI47" s="190"/>
    </row>
    <row r="48" spans="1:38" ht="22.15" customHeight="1" thickBot="1" x14ac:dyDescent="0.25">
      <c r="A48" s="1936">
        <v>14</v>
      </c>
      <c r="B48" s="1253" t="s">
        <v>85</v>
      </c>
      <c r="C48" s="1254">
        <v>10</v>
      </c>
      <c r="D48" s="1255">
        <v>10</v>
      </c>
      <c r="E48" s="1255" t="s">
        <v>67</v>
      </c>
      <c r="F48" s="1255" t="s">
        <v>67</v>
      </c>
      <c r="G48" s="1263" t="s">
        <v>35</v>
      </c>
      <c r="H48" s="1263" t="s">
        <v>35</v>
      </c>
      <c r="I48" s="1263" t="s">
        <v>35</v>
      </c>
      <c r="J48" s="1255" t="s">
        <v>35</v>
      </c>
      <c r="K48" s="1255" t="s">
        <v>35</v>
      </c>
      <c r="L48" s="1255" t="s">
        <v>71</v>
      </c>
      <c r="M48" s="1255" t="s">
        <v>71</v>
      </c>
      <c r="N48" s="1255">
        <v>7</v>
      </c>
      <c r="O48" s="1254">
        <v>7</v>
      </c>
      <c r="P48" s="1255">
        <v>7</v>
      </c>
      <c r="Q48" s="1255">
        <v>7</v>
      </c>
      <c r="R48" s="1254">
        <v>7</v>
      </c>
      <c r="S48" s="1255"/>
      <c r="T48" s="1255"/>
      <c r="U48" s="1265">
        <v>4</v>
      </c>
      <c r="V48" s="1265">
        <v>4</v>
      </c>
      <c r="W48" s="1265">
        <v>4</v>
      </c>
      <c r="X48" s="1265">
        <v>4</v>
      </c>
      <c r="Y48" s="1265">
        <v>4</v>
      </c>
      <c r="Z48" s="1255"/>
      <c r="AA48" s="1255"/>
      <c r="AB48" s="1271">
        <v>3</v>
      </c>
      <c r="AC48" s="1941">
        <v>3</v>
      </c>
      <c r="AD48" s="1271">
        <v>3</v>
      </c>
      <c r="AE48" s="1271">
        <v>3</v>
      </c>
      <c r="AF48" s="1941">
        <v>3</v>
      </c>
      <c r="AG48" s="1945"/>
      <c r="AH48" s="189"/>
      <c r="AI48" s="190"/>
    </row>
    <row r="49" spans="1:35" ht="22.15" customHeight="1" x14ac:dyDescent="0.2">
      <c r="A49" s="475">
        <v>5</v>
      </c>
      <c r="B49" s="1202" t="s">
        <v>86</v>
      </c>
      <c r="C49" s="459" t="s">
        <v>35</v>
      </c>
      <c r="D49" s="477" t="s">
        <v>35</v>
      </c>
      <c r="E49" s="484" t="s">
        <v>69</v>
      </c>
      <c r="F49" s="459" t="s">
        <v>69</v>
      </c>
      <c r="G49" s="459">
        <v>8</v>
      </c>
      <c r="H49" s="459">
        <v>8</v>
      </c>
      <c r="I49" s="459">
        <v>8</v>
      </c>
      <c r="J49" s="459">
        <v>8</v>
      </c>
      <c r="K49" s="477">
        <v>8</v>
      </c>
      <c r="L49" s="477"/>
      <c r="M49" s="477"/>
      <c r="N49" s="477" t="s">
        <v>35</v>
      </c>
      <c r="O49" s="458" t="s">
        <v>35</v>
      </c>
      <c r="P49" s="477" t="s">
        <v>35</v>
      </c>
      <c r="Q49" s="477" t="s">
        <v>35</v>
      </c>
      <c r="R49" s="458" t="s">
        <v>35</v>
      </c>
      <c r="S49" s="477"/>
      <c r="T49" s="477"/>
      <c r="U49" s="481">
        <v>1</v>
      </c>
      <c r="V49" s="481">
        <v>1</v>
      </c>
      <c r="W49" s="481">
        <v>1</v>
      </c>
      <c r="X49" s="481">
        <v>1</v>
      </c>
      <c r="Y49" s="634">
        <v>1</v>
      </c>
      <c r="Z49" s="459"/>
      <c r="AA49" s="459"/>
      <c r="AB49" s="459">
        <v>9</v>
      </c>
      <c r="AC49" s="459">
        <v>9</v>
      </c>
      <c r="AD49" s="477">
        <v>9</v>
      </c>
      <c r="AE49" s="477">
        <v>9</v>
      </c>
      <c r="AF49" s="480">
        <v>9</v>
      </c>
      <c r="AG49" s="486" t="s">
        <v>66</v>
      </c>
      <c r="AH49" s="189"/>
      <c r="AI49" s="190"/>
    </row>
    <row r="50" spans="1:35" ht="22.15" customHeight="1" x14ac:dyDescent="0.2">
      <c r="A50" s="1249">
        <v>10</v>
      </c>
      <c r="B50" s="1202" t="s">
        <v>87</v>
      </c>
      <c r="C50" s="1259" t="s">
        <v>35</v>
      </c>
      <c r="D50" s="1259" t="s">
        <v>35</v>
      </c>
      <c r="E50" s="1259" t="s">
        <v>68</v>
      </c>
      <c r="F50" s="1199" t="s">
        <v>69</v>
      </c>
      <c r="G50" s="1193">
        <v>6</v>
      </c>
      <c r="H50" s="1193">
        <v>6</v>
      </c>
      <c r="I50" s="1193">
        <v>6</v>
      </c>
      <c r="J50" s="1193">
        <v>6</v>
      </c>
      <c r="K50" s="1193">
        <v>6</v>
      </c>
      <c r="L50" s="1193"/>
      <c r="M50" s="1193"/>
      <c r="N50" s="1193" t="s">
        <v>35</v>
      </c>
      <c r="O50" s="1193" t="s">
        <v>35</v>
      </c>
      <c r="P50" s="1193" t="s">
        <v>35</v>
      </c>
      <c r="Q50" s="1193" t="s">
        <v>35</v>
      </c>
      <c r="R50" s="1193" t="s">
        <v>35</v>
      </c>
      <c r="S50" s="1193"/>
      <c r="T50" s="1193"/>
      <c r="U50" s="1193">
        <v>5</v>
      </c>
      <c r="V50" s="1193">
        <v>5</v>
      </c>
      <c r="W50" s="1199">
        <v>5</v>
      </c>
      <c r="X50" s="1259">
        <v>5</v>
      </c>
      <c r="Y50" s="1258">
        <v>5</v>
      </c>
      <c r="Z50" s="1259"/>
      <c r="AA50" s="1259"/>
      <c r="AB50" s="1259">
        <v>10</v>
      </c>
      <c r="AC50" s="1259">
        <v>10</v>
      </c>
      <c r="AD50" s="1259">
        <v>10</v>
      </c>
      <c r="AE50" s="1259">
        <v>10</v>
      </c>
      <c r="AF50" s="1259">
        <v>10</v>
      </c>
      <c r="AG50" s="1261" t="s">
        <v>67</v>
      </c>
      <c r="AH50" s="189"/>
      <c r="AI50" s="190"/>
    </row>
    <row r="51" spans="1:35" ht="22.15" customHeight="1" thickBot="1" x14ac:dyDescent="0.25">
      <c r="A51" s="1936">
        <v>15</v>
      </c>
      <c r="B51" s="1253" t="s">
        <v>88</v>
      </c>
      <c r="C51" s="1255" t="s">
        <v>35</v>
      </c>
      <c r="D51" s="1255" t="s">
        <v>35</v>
      </c>
      <c r="E51" s="1255" t="s">
        <v>71</v>
      </c>
      <c r="F51" s="1263" t="s">
        <v>71</v>
      </c>
      <c r="G51" s="1263">
        <v>7</v>
      </c>
      <c r="H51" s="1263">
        <v>7</v>
      </c>
      <c r="I51" s="1263">
        <v>7</v>
      </c>
      <c r="J51" s="1263">
        <v>7</v>
      </c>
      <c r="K51" s="1254">
        <v>7</v>
      </c>
      <c r="L51" s="1255"/>
      <c r="M51" s="1255"/>
      <c r="N51" s="1255">
        <v>79</v>
      </c>
      <c r="O51" s="1255">
        <v>79</v>
      </c>
      <c r="P51" s="1255">
        <v>79</v>
      </c>
      <c r="Q51" s="1255">
        <v>79</v>
      </c>
      <c r="R51" s="1255">
        <v>79</v>
      </c>
      <c r="S51" s="1255"/>
      <c r="T51" s="1255"/>
      <c r="U51" s="1271">
        <v>3</v>
      </c>
      <c r="V51" s="1271">
        <v>3</v>
      </c>
      <c r="W51" s="1271">
        <v>3</v>
      </c>
      <c r="X51" s="1271">
        <v>3</v>
      </c>
      <c r="Y51" s="1941">
        <v>3</v>
      </c>
      <c r="Z51" s="1255"/>
      <c r="AA51" s="1255"/>
      <c r="AB51" s="1255">
        <v>11</v>
      </c>
      <c r="AC51" s="1255">
        <v>11</v>
      </c>
      <c r="AD51" s="1255">
        <v>11</v>
      </c>
      <c r="AE51" s="1254">
        <v>11</v>
      </c>
      <c r="AF51" s="1263">
        <v>11</v>
      </c>
      <c r="AG51" s="2026" t="s">
        <v>73</v>
      </c>
      <c r="AH51" s="189"/>
      <c r="AI51" s="190"/>
    </row>
    <row r="52" spans="1:35" ht="22.1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35" ht="22.15" customHeight="1" x14ac:dyDescent="0.2">
      <c r="A53" s="109"/>
      <c r="B53" s="64" t="s">
        <v>89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35" ht="22.15" customHeight="1" x14ac:dyDescent="0.2">
      <c r="A54" s="1274" t="s">
        <v>28</v>
      </c>
      <c r="B54" s="1274"/>
      <c r="C54" s="1275"/>
      <c r="D54" s="1274" t="s">
        <v>90</v>
      </c>
      <c r="E54" s="1276"/>
      <c r="F54" s="1275"/>
      <c r="G54" s="1274" t="s">
        <v>91</v>
      </c>
      <c r="H54" s="1276"/>
      <c r="I54" s="1275"/>
      <c r="J54" s="1274" t="s">
        <v>92</v>
      </c>
      <c r="K54" s="1276"/>
      <c r="L54" s="1275"/>
      <c r="M54" s="1274" t="s">
        <v>93</v>
      </c>
      <c r="N54" s="1276"/>
      <c r="O54" s="1275"/>
      <c r="P54" s="1274" t="s">
        <v>94</v>
      </c>
      <c r="Q54" s="1276"/>
      <c r="R54" s="1277"/>
      <c r="S54" s="1278" t="s">
        <v>95</v>
      </c>
      <c r="T54" s="1276"/>
      <c r="U54" s="1275"/>
      <c r="V54" s="1274" t="s">
        <v>96</v>
      </c>
      <c r="W54" s="1276"/>
      <c r="X54" s="1279" t="s">
        <v>97</v>
      </c>
      <c r="Y54" s="1276"/>
      <c r="Z54" s="1276"/>
      <c r="AA54" s="1280"/>
      <c r="AB54" s="1169"/>
      <c r="AC54" s="1169"/>
      <c r="AD54" s="1169"/>
      <c r="AE54" s="1169"/>
      <c r="AF54" s="1169"/>
      <c r="AG54" s="1170"/>
      <c r="AH54" s="1"/>
    </row>
    <row r="55" spans="1:35" ht="22.15" customHeight="1" x14ac:dyDescent="0.2">
      <c r="A55" s="1281">
        <v>8517</v>
      </c>
      <c r="B55" s="1282" t="s">
        <v>98</v>
      </c>
      <c r="C55" s="1283" t="s">
        <v>99</v>
      </c>
      <c r="D55" s="1284"/>
      <c r="E55" s="1168"/>
      <c r="F55" s="1283" t="s">
        <v>99</v>
      </c>
      <c r="G55" s="1284"/>
      <c r="H55" s="1168"/>
      <c r="I55" s="1283" t="s">
        <v>99</v>
      </c>
      <c r="J55" s="1284"/>
      <c r="K55" s="1168"/>
      <c r="L55" s="1283" t="s">
        <v>99</v>
      </c>
      <c r="M55" s="1284"/>
      <c r="N55" s="1168"/>
      <c r="O55" s="1283" t="s">
        <v>100</v>
      </c>
      <c r="P55" s="1284"/>
      <c r="Q55" s="1168"/>
      <c r="R55" s="1283" t="s">
        <v>99</v>
      </c>
      <c r="S55" s="1284"/>
      <c r="T55" s="1168"/>
      <c r="U55" s="1283" t="s">
        <v>99</v>
      </c>
      <c r="V55" s="1284"/>
      <c r="W55" s="1168"/>
      <c r="X55" s="1166"/>
      <c r="Y55" s="1169"/>
      <c r="Z55" s="1169"/>
      <c r="AA55" s="1169"/>
      <c r="AB55" s="1169"/>
      <c r="AC55" s="1169"/>
      <c r="AD55" s="1169"/>
      <c r="AE55" s="1169"/>
      <c r="AF55" s="1169"/>
      <c r="AG55" s="1170"/>
      <c r="AH55" s="1"/>
    </row>
    <row r="56" spans="1:35" ht="22.15" customHeight="1" x14ac:dyDescent="0.2">
      <c r="B56" s="1191" t="s">
        <v>101</v>
      </c>
      <c r="C56" s="1285" t="s">
        <v>102</v>
      </c>
      <c r="D56" s="1286"/>
      <c r="E56" s="1287"/>
      <c r="F56" s="1285" t="s">
        <v>102</v>
      </c>
      <c r="G56" s="1288"/>
      <c r="H56" s="1287"/>
      <c r="I56" s="1283" t="s">
        <v>102</v>
      </c>
      <c r="J56" s="1284"/>
      <c r="K56" s="1289"/>
      <c r="L56" s="1283" t="s">
        <v>102</v>
      </c>
      <c r="M56" s="1284"/>
      <c r="N56" s="1289"/>
      <c r="O56" s="1283" t="s">
        <v>103</v>
      </c>
      <c r="P56" s="1284"/>
      <c r="Q56" s="1168"/>
      <c r="R56" s="1290" t="s">
        <v>0</v>
      </c>
      <c r="S56" s="1284"/>
      <c r="T56" s="1289"/>
      <c r="U56" s="1284" t="s">
        <v>0</v>
      </c>
      <c r="V56" s="1284"/>
      <c r="W56" s="1168"/>
      <c r="X56" s="2069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35" ht="22.15" customHeight="1" x14ac:dyDescent="0.2">
      <c r="A57" s="1292"/>
      <c r="B57" s="1282" t="s">
        <v>104</v>
      </c>
      <c r="C57" s="1283" t="s">
        <v>105</v>
      </c>
      <c r="D57" s="1284"/>
      <c r="E57" s="1168"/>
      <c r="F57" s="1283" t="s">
        <v>105</v>
      </c>
      <c r="G57" s="1284"/>
      <c r="H57" s="1289"/>
      <c r="I57" s="1283" t="s">
        <v>105</v>
      </c>
      <c r="J57" s="1284"/>
      <c r="K57" s="1289"/>
      <c r="L57" s="1283" t="s">
        <v>105</v>
      </c>
      <c r="M57" s="1284"/>
      <c r="N57" s="1289"/>
      <c r="O57" s="1283" t="s">
        <v>106</v>
      </c>
      <c r="P57" s="1284"/>
      <c r="Q57" s="1168"/>
      <c r="R57" s="112"/>
      <c r="S57" s="113"/>
      <c r="T57" s="1289"/>
      <c r="U57" s="1284"/>
      <c r="V57" s="1284"/>
      <c r="W57" s="1168"/>
      <c r="X57" s="1166"/>
      <c r="Y57" s="1169"/>
      <c r="Z57" s="1169"/>
      <c r="AA57" s="1169"/>
      <c r="AB57" s="1169"/>
      <c r="AC57" s="1169"/>
      <c r="AD57" s="1169"/>
      <c r="AE57" s="1169"/>
      <c r="AF57" s="1169"/>
      <c r="AG57" s="1170"/>
      <c r="AH57" s="1"/>
    </row>
    <row r="58" spans="1:35" ht="22.15" customHeight="1" x14ac:dyDescent="0.2">
      <c r="A58" s="1274"/>
      <c r="B58" s="1191" t="s">
        <v>107</v>
      </c>
      <c r="C58" s="1293" t="s">
        <v>108</v>
      </c>
      <c r="D58" s="1293"/>
      <c r="E58" s="1294"/>
      <c r="F58" s="1293" t="s">
        <v>108</v>
      </c>
      <c r="G58" s="1293"/>
      <c r="H58" s="1294"/>
      <c r="I58" s="1293" t="s">
        <v>108</v>
      </c>
      <c r="J58" s="1293"/>
      <c r="K58" s="1294"/>
      <c r="L58" s="1293" t="s">
        <v>108</v>
      </c>
      <c r="M58" s="1293"/>
      <c r="N58" s="1294"/>
      <c r="O58" s="1293" t="s">
        <v>108</v>
      </c>
      <c r="P58" s="1293"/>
      <c r="Q58" s="1294"/>
      <c r="R58" s="1293" t="s">
        <v>108</v>
      </c>
      <c r="S58" s="1293"/>
      <c r="T58" s="1294"/>
      <c r="U58" s="1293" t="s">
        <v>108</v>
      </c>
      <c r="V58" s="1293"/>
      <c r="W58" s="1294"/>
      <c r="X58" s="1166"/>
      <c r="Y58" s="1169"/>
      <c r="Z58" s="1169"/>
      <c r="AA58" s="1169"/>
      <c r="AB58" s="1169"/>
      <c r="AC58" s="1169"/>
      <c r="AD58" s="1169"/>
      <c r="AE58" s="1169"/>
      <c r="AF58" s="1169"/>
      <c r="AG58" s="1170"/>
      <c r="AH58" s="1"/>
    </row>
    <row r="59" spans="1:35" ht="22.1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35" ht="22.15" customHeight="1" thickBot="1" x14ac:dyDescent="0.25">
      <c r="A60" s="1295"/>
      <c r="B60" s="1184" t="s">
        <v>29</v>
      </c>
      <c r="C60" s="1186">
        <v>1</v>
      </c>
      <c r="D60" s="1186">
        <v>2</v>
      </c>
      <c r="E60" s="1185">
        <v>3</v>
      </c>
      <c r="F60" s="1185">
        <v>4</v>
      </c>
      <c r="G60" s="1186">
        <v>5</v>
      </c>
      <c r="H60" s="1186">
        <v>6</v>
      </c>
      <c r="I60" s="1186">
        <v>7</v>
      </c>
      <c r="J60" s="1186">
        <v>8</v>
      </c>
      <c r="K60" s="1186">
        <v>9</v>
      </c>
      <c r="L60" s="1185">
        <v>10</v>
      </c>
      <c r="M60" s="1185">
        <v>11</v>
      </c>
      <c r="N60" s="1186">
        <v>12</v>
      </c>
      <c r="O60" s="1186">
        <v>13</v>
      </c>
      <c r="P60" s="1186">
        <v>14</v>
      </c>
      <c r="Q60" s="1186">
        <v>15</v>
      </c>
      <c r="R60" s="1186">
        <v>16</v>
      </c>
      <c r="S60" s="1185">
        <v>17</v>
      </c>
      <c r="T60" s="1185">
        <v>18</v>
      </c>
      <c r="U60" s="1186">
        <v>19</v>
      </c>
      <c r="V60" s="1186">
        <v>20</v>
      </c>
      <c r="W60" s="1186">
        <v>21</v>
      </c>
      <c r="X60" s="1186">
        <v>22</v>
      </c>
      <c r="Y60" s="1186">
        <v>23</v>
      </c>
      <c r="Z60" s="1185">
        <v>24</v>
      </c>
      <c r="AA60" s="1185">
        <v>25</v>
      </c>
      <c r="AB60" s="1186">
        <v>26</v>
      </c>
      <c r="AC60" s="1186">
        <v>27</v>
      </c>
      <c r="AD60" s="1186">
        <v>28</v>
      </c>
      <c r="AE60" s="1186">
        <v>29</v>
      </c>
      <c r="AF60" s="1186">
        <v>30</v>
      </c>
      <c r="AG60" s="2064">
        <v>31</v>
      </c>
      <c r="AH60" s="1"/>
    </row>
    <row r="61" spans="1:35" ht="22.15" customHeight="1" thickBot="1" x14ac:dyDescent="0.25">
      <c r="A61" s="252"/>
      <c r="B61" s="265" t="s">
        <v>109</v>
      </c>
      <c r="C61" s="273">
        <v>5</v>
      </c>
      <c r="D61" s="273">
        <v>5</v>
      </c>
      <c r="E61" s="273"/>
      <c r="F61" s="273"/>
      <c r="G61" s="1384">
        <v>26</v>
      </c>
      <c r="H61" s="1384">
        <v>26</v>
      </c>
      <c r="I61" s="1384">
        <v>26</v>
      </c>
      <c r="J61" s="1384">
        <v>26</v>
      </c>
      <c r="K61" s="1384">
        <v>26</v>
      </c>
      <c r="L61" s="1384">
        <v>26</v>
      </c>
      <c r="M61" s="1384">
        <v>26</v>
      </c>
      <c r="N61" s="1625" t="s">
        <v>35</v>
      </c>
      <c r="O61" s="1625" t="s">
        <v>35</v>
      </c>
      <c r="P61" s="1625" t="s">
        <v>35</v>
      </c>
      <c r="Q61" s="1625" t="s">
        <v>35</v>
      </c>
      <c r="R61" s="1625" t="s">
        <v>35</v>
      </c>
      <c r="S61" s="273"/>
      <c r="T61" s="273"/>
      <c r="U61" s="623" t="s">
        <v>31</v>
      </c>
      <c r="V61" s="623" t="s">
        <v>31</v>
      </c>
      <c r="W61" s="623" t="s">
        <v>31</v>
      </c>
      <c r="X61" s="623" t="s">
        <v>31</v>
      </c>
      <c r="Y61" s="623" t="s">
        <v>31</v>
      </c>
      <c r="Z61" s="623"/>
      <c r="AA61" s="623"/>
      <c r="AB61" s="273">
        <v>25</v>
      </c>
      <c r="AC61" s="273">
        <v>25</v>
      </c>
      <c r="AD61" s="273">
        <v>25</v>
      </c>
      <c r="AE61" s="273">
        <v>25</v>
      </c>
      <c r="AF61" s="273">
        <v>25</v>
      </c>
      <c r="AG61" s="270"/>
      <c r="AH61" s="1"/>
    </row>
    <row r="62" spans="1:35" ht="22.15" customHeight="1" x14ac:dyDescent="0.2">
      <c r="A62" s="1709"/>
      <c r="B62" s="1665" t="s">
        <v>111</v>
      </c>
      <c r="C62" s="1612" t="s">
        <v>31</v>
      </c>
      <c r="D62" s="1612" t="s">
        <v>31</v>
      </c>
      <c r="E62" s="1624" t="s">
        <v>69</v>
      </c>
      <c r="F62" s="1612"/>
      <c r="G62" s="628" t="s">
        <v>31</v>
      </c>
      <c r="H62" s="628" t="s">
        <v>31</v>
      </c>
      <c r="I62" s="628" t="s">
        <v>31</v>
      </c>
      <c r="J62" s="628" t="s">
        <v>31</v>
      </c>
      <c r="K62" s="628" t="s">
        <v>31</v>
      </c>
      <c r="L62" s="1628"/>
      <c r="M62" s="1612"/>
      <c r="N62" s="1612">
        <v>26</v>
      </c>
      <c r="O62" s="1612">
        <v>26</v>
      </c>
      <c r="P62" s="1612">
        <v>26</v>
      </c>
      <c r="Q62" s="1612">
        <v>26</v>
      </c>
      <c r="R62" s="1612">
        <v>26</v>
      </c>
      <c r="S62" s="1612">
        <v>26</v>
      </c>
      <c r="T62" s="1612">
        <v>26</v>
      </c>
      <c r="U62" s="1629" t="s">
        <v>35</v>
      </c>
      <c r="V62" s="1629" t="s">
        <v>35</v>
      </c>
      <c r="W62" s="1629" t="s">
        <v>35</v>
      </c>
      <c r="X62" s="273">
        <v>21</v>
      </c>
      <c r="Y62" s="273">
        <v>21</v>
      </c>
      <c r="Z62" s="273" t="s">
        <v>0</v>
      </c>
      <c r="AA62" s="273" t="s">
        <v>0</v>
      </c>
      <c r="AB62" s="1612" t="s">
        <v>35</v>
      </c>
      <c r="AC62" s="1612" t="s">
        <v>35</v>
      </c>
      <c r="AD62" s="1958" t="s">
        <v>31</v>
      </c>
      <c r="AE62" s="1958" t="s">
        <v>31</v>
      </c>
      <c r="AF62" s="1958" t="s">
        <v>31</v>
      </c>
      <c r="AG62" s="1251" t="s">
        <v>68</v>
      </c>
      <c r="AH62" s="1"/>
    </row>
    <row r="63" spans="1:35" ht="22.15" customHeight="1" thickBot="1" x14ac:dyDescent="0.25">
      <c r="A63" s="1630"/>
      <c r="B63" s="1665" t="s">
        <v>113</v>
      </c>
      <c r="C63" s="1629" t="s">
        <v>35</v>
      </c>
      <c r="D63" s="1629" t="s">
        <v>35</v>
      </c>
      <c r="E63" s="1612" t="s">
        <v>0</v>
      </c>
      <c r="F63" s="1629"/>
      <c r="G63" s="1384" t="s">
        <v>110</v>
      </c>
      <c r="H63" s="1384" t="s">
        <v>110</v>
      </c>
      <c r="I63" s="1384" t="s">
        <v>110</v>
      </c>
      <c r="J63" s="1384" t="s">
        <v>110</v>
      </c>
      <c r="K63" s="1384" t="s">
        <v>110</v>
      </c>
      <c r="L63" s="1384" t="s">
        <v>46</v>
      </c>
      <c r="M63" s="1384" t="s">
        <v>46</v>
      </c>
      <c r="N63" s="1629" t="s">
        <v>35</v>
      </c>
      <c r="O63" s="1629" t="s">
        <v>35</v>
      </c>
      <c r="P63" s="1629" t="s">
        <v>35</v>
      </c>
      <c r="Q63" s="1628" t="s">
        <v>35</v>
      </c>
      <c r="R63" s="1612" t="s">
        <v>35</v>
      </c>
      <c r="S63" s="1624" t="s">
        <v>0</v>
      </c>
      <c r="T63" s="1624" t="s">
        <v>0</v>
      </c>
      <c r="U63" s="1413">
        <v>79</v>
      </c>
      <c r="V63" s="1413" t="s">
        <v>35</v>
      </c>
      <c r="W63" s="2070">
        <v>8</v>
      </c>
      <c r="X63" s="1612">
        <v>22</v>
      </c>
      <c r="Y63" s="1612">
        <v>22</v>
      </c>
      <c r="Z63" s="1193">
        <v>22</v>
      </c>
      <c r="AA63" s="1193">
        <v>22</v>
      </c>
      <c r="AB63" s="1612" t="s">
        <v>35</v>
      </c>
      <c r="AC63" s="1612" t="s">
        <v>35</v>
      </c>
      <c r="AD63" s="1629">
        <v>7</v>
      </c>
      <c r="AE63" s="1612">
        <v>7</v>
      </c>
      <c r="AF63" s="1629">
        <v>7</v>
      </c>
      <c r="AG63" s="1634" t="s">
        <v>112</v>
      </c>
      <c r="AH63" s="1"/>
    </row>
    <row r="64" spans="1:35" ht="22.15" customHeight="1" x14ac:dyDescent="0.2">
      <c r="A64" s="1665"/>
      <c r="B64" s="1715" t="s">
        <v>114</v>
      </c>
      <c r="C64" s="1720" t="s">
        <v>385</v>
      </c>
      <c r="D64" s="1721" t="s">
        <v>395</v>
      </c>
      <c r="E64" s="1639"/>
      <c r="F64" s="1612" t="s">
        <v>118</v>
      </c>
      <c r="G64" s="1612">
        <v>25</v>
      </c>
      <c r="H64" s="1612">
        <v>25</v>
      </c>
      <c r="I64" s="1629">
        <v>25</v>
      </c>
      <c r="J64" s="1629">
        <v>25</v>
      </c>
      <c r="K64" s="1639">
        <v>25</v>
      </c>
      <c r="L64" s="1639" t="s">
        <v>112</v>
      </c>
      <c r="M64" s="1639"/>
      <c r="N64" s="1259" t="s">
        <v>158</v>
      </c>
      <c r="O64" s="1259" t="s">
        <v>158</v>
      </c>
      <c r="P64" s="1259" t="s">
        <v>158</v>
      </c>
      <c r="Q64" s="1259" t="s">
        <v>158</v>
      </c>
      <c r="R64" s="1259" t="s">
        <v>158</v>
      </c>
      <c r="S64" s="1629"/>
      <c r="T64" s="1629"/>
      <c r="U64" s="1413">
        <v>79</v>
      </c>
      <c r="V64" s="1413">
        <v>79</v>
      </c>
      <c r="W64" s="1413">
        <v>79</v>
      </c>
      <c r="X64" s="1958" t="s">
        <v>31</v>
      </c>
      <c r="Y64" s="1958" t="s">
        <v>31</v>
      </c>
      <c r="Z64" s="1612"/>
      <c r="AA64" s="1629"/>
      <c r="AB64" s="1629" t="s">
        <v>385</v>
      </c>
      <c r="AC64" s="1629" t="s">
        <v>385</v>
      </c>
      <c r="AD64" s="1629" t="s">
        <v>385</v>
      </c>
      <c r="AE64" s="1629" t="s">
        <v>385</v>
      </c>
      <c r="AF64" s="1625" t="s">
        <v>385</v>
      </c>
      <c r="AG64" s="1634" t="s">
        <v>112</v>
      </c>
      <c r="AH64" s="1"/>
    </row>
    <row r="65" spans="1:39" ht="22.15" customHeight="1" x14ac:dyDescent="0.2">
      <c r="A65" s="1665"/>
      <c r="B65" s="1715" t="s">
        <v>115</v>
      </c>
      <c r="C65" s="1629" t="s">
        <v>235</v>
      </c>
      <c r="D65" s="1639" t="s">
        <v>235</v>
      </c>
      <c r="E65" s="1639"/>
      <c r="F65" s="1612"/>
      <c r="G65" s="1629">
        <v>21</v>
      </c>
      <c r="H65" s="1612">
        <v>21</v>
      </c>
      <c r="I65" s="1629">
        <v>21</v>
      </c>
      <c r="J65" s="1629">
        <v>21</v>
      </c>
      <c r="K65" s="1629">
        <v>21</v>
      </c>
      <c r="L65" s="1629">
        <v>21</v>
      </c>
      <c r="M65" s="1629">
        <v>21</v>
      </c>
      <c r="N65" s="1629" t="s">
        <v>35</v>
      </c>
      <c r="O65" s="1629" t="s">
        <v>35</v>
      </c>
      <c r="P65" s="1625" t="s">
        <v>35</v>
      </c>
      <c r="Q65" s="1629" t="s">
        <v>35</v>
      </c>
      <c r="R65" s="1629" t="s">
        <v>35</v>
      </c>
      <c r="S65" s="1625"/>
      <c r="T65" s="1629"/>
      <c r="U65" s="1629">
        <v>22</v>
      </c>
      <c r="V65" s="1629">
        <v>22</v>
      </c>
      <c r="W65" s="1629">
        <v>22</v>
      </c>
      <c r="X65" s="1629" t="s">
        <v>35</v>
      </c>
      <c r="Y65" s="1629" t="s">
        <v>35</v>
      </c>
      <c r="Z65" s="1629" t="s">
        <v>0</v>
      </c>
      <c r="AA65" s="1629" t="s">
        <v>0</v>
      </c>
      <c r="AB65" s="1629">
        <v>7</v>
      </c>
      <c r="AC65" s="1628">
        <v>7</v>
      </c>
      <c r="AD65" s="1628" t="s">
        <v>35</v>
      </c>
      <c r="AE65" s="1628" t="s">
        <v>35</v>
      </c>
      <c r="AF65" s="1629" t="s">
        <v>35</v>
      </c>
      <c r="AG65" s="1634"/>
      <c r="AH65" s="1"/>
    </row>
    <row r="66" spans="1:39" ht="22.15" customHeight="1" thickBot="1" x14ac:dyDescent="0.25">
      <c r="A66" s="1665"/>
      <c r="B66" s="1665" t="s">
        <v>117</v>
      </c>
      <c r="C66" s="1612">
        <v>25</v>
      </c>
      <c r="D66" s="1612">
        <v>25</v>
      </c>
      <c r="E66" s="1629"/>
      <c r="F66" s="1629"/>
      <c r="G66" s="626" t="s">
        <v>165</v>
      </c>
      <c r="H66" s="626" t="s">
        <v>165</v>
      </c>
      <c r="I66" s="626" t="s">
        <v>165</v>
      </c>
      <c r="J66" s="627" t="s">
        <v>165</v>
      </c>
      <c r="K66" s="633" t="s">
        <v>165</v>
      </c>
      <c r="L66" s="1625"/>
      <c r="M66" s="1629"/>
      <c r="N66" s="1380" t="s">
        <v>110</v>
      </c>
      <c r="O66" s="1215" t="s">
        <v>110</v>
      </c>
      <c r="P66" s="1311" t="s">
        <v>110</v>
      </c>
      <c r="Q66" s="1215" t="s">
        <v>110</v>
      </c>
      <c r="R66" s="1215" t="s">
        <v>110</v>
      </c>
      <c r="S66" s="1311">
        <v>89</v>
      </c>
      <c r="T66" s="1629"/>
      <c r="U66" s="1258">
        <v>6</v>
      </c>
      <c r="V66" s="1258">
        <v>6</v>
      </c>
      <c r="W66" s="1258">
        <v>6</v>
      </c>
      <c r="X66" s="1258">
        <v>6</v>
      </c>
      <c r="Y66" s="1344">
        <v>6</v>
      </c>
      <c r="Z66" s="1311" t="s">
        <v>0</v>
      </c>
      <c r="AA66" s="1612"/>
      <c r="AB66" s="1612">
        <v>26</v>
      </c>
      <c r="AC66" s="1612">
        <v>26</v>
      </c>
      <c r="AD66" s="1612">
        <v>26</v>
      </c>
      <c r="AE66" s="1612">
        <v>26</v>
      </c>
      <c r="AF66" s="1629">
        <v>26</v>
      </c>
      <c r="AG66" s="1634">
        <v>26</v>
      </c>
      <c r="AH66" s="1"/>
    </row>
    <row r="67" spans="1:39" ht="22.15" customHeight="1" thickBot="1" x14ac:dyDescent="0.25">
      <c r="A67" s="1665"/>
      <c r="B67" s="1715" t="s">
        <v>119</v>
      </c>
      <c r="C67" s="458" t="s">
        <v>132</v>
      </c>
      <c r="D67" s="458" t="s">
        <v>31</v>
      </c>
      <c r="E67" s="1629"/>
      <c r="F67" s="1501"/>
      <c r="G67" s="1612" t="s">
        <v>31</v>
      </c>
      <c r="H67" s="1612" t="s">
        <v>31</v>
      </c>
      <c r="I67" s="1719" t="s">
        <v>385</v>
      </c>
      <c r="J67" s="1719" t="s">
        <v>385</v>
      </c>
      <c r="K67" s="1719" t="s">
        <v>385</v>
      </c>
      <c r="L67" s="1629"/>
      <c r="M67" s="1612"/>
      <c r="N67" s="1712" t="s">
        <v>31</v>
      </c>
      <c r="O67" s="1712" t="s">
        <v>31</v>
      </c>
      <c r="P67" s="1712" t="s">
        <v>31</v>
      </c>
      <c r="Q67" s="1712" t="s">
        <v>31</v>
      </c>
      <c r="R67" s="1712" t="s">
        <v>31</v>
      </c>
      <c r="S67" s="1712"/>
      <c r="T67" s="1712"/>
      <c r="U67" s="1712" t="s">
        <v>31</v>
      </c>
      <c r="V67" s="1712" t="s">
        <v>31</v>
      </c>
      <c r="W67" s="1712" t="s">
        <v>31</v>
      </c>
      <c r="X67" s="1712" t="s">
        <v>31</v>
      </c>
      <c r="Y67" s="1712" t="s">
        <v>31</v>
      </c>
      <c r="Z67" s="1712"/>
      <c r="AA67" s="1712"/>
      <c r="AB67" s="1629" t="s">
        <v>31</v>
      </c>
      <c r="AC67" s="1629" t="s">
        <v>80</v>
      </c>
      <c r="AD67" s="1629" t="s">
        <v>80</v>
      </c>
      <c r="AE67" s="1629" t="s">
        <v>80</v>
      </c>
      <c r="AF67" s="1629" t="s">
        <v>80</v>
      </c>
      <c r="AG67" s="1634"/>
      <c r="AH67" s="1"/>
    </row>
    <row r="68" spans="1:39" ht="22.15" customHeight="1" x14ac:dyDescent="0.2">
      <c r="A68" s="1665"/>
      <c r="B68" s="1715" t="s">
        <v>120</v>
      </c>
      <c r="C68" s="477" t="s">
        <v>175</v>
      </c>
      <c r="D68" s="477" t="s">
        <v>31</v>
      </c>
      <c r="E68" s="1721" t="s">
        <v>69</v>
      </c>
      <c r="F68" s="1720"/>
      <c r="G68" s="1720" t="s">
        <v>31</v>
      </c>
      <c r="H68" s="1720" t="s">
        <v>31</v>
      </c>
      <c r="I68" s="1720" t="s">
        <v>31</v>
      </c>
      <c r="J68" s="1720" t="s">
        <v>31</v>
      </c>
      <c r="K68" s="1720" t="s">
        <v>31</v>
      </c>
      <c r="L68" s="1721"/>
      <c r="M68" s="1721"/>
      <c r="N68" s="1720" t="s">
        <v>31</v>
      </c>
      <c r="O68" s="1720" t="s">
        <v>31</v>
      </c>
      <c r="P68" s="1720" t="s">
        <v>31</v>
      </c>
      <c r="Q68" s="1720" t="s">
        <v>31</v>
      </c>
      <c r="R68" s="1720" t="s">
        <v>31</v>
      </c>
      <c r="S68" s="1721"/>
      <c r="T68" s="2071"/>
      <c r="U68" s="1735" t="s">
        <v>31</v>
      </c>
      <c r="V68" s="1735" t="s">
        <v>31</v>
      </c>
      <c r="W68" s="1735" t="s">
        <v>31</v>
      </c>
      <c r="X68" s="1735" t="s">
        <v>31</v>
      </c>
      <c r="Y68" s="1720" t="s">
        <v>31</v>
      </c>
      <c r="Z68" s="1735"/>
      <c r="AA68" s="1460"/>
      <c r="AB68" s="1720" t="s">
        <v>31</v>
      </c>
      <c r="AC68" s="1720" t="s">
        <v>31</v>
      </c>
      <c r="AD68" s="1720" t="s">
        <v>31</v>
      </c>
      <c r="AE68" s="1720" t="s">
        <v>31</v>
      </c>
      <c r="AF68" s="1720" t="s">
        <v>31</v>
      </c>
      <c r="AG68" s="2072"/>
      <c r="AH68" s="1"/>
    </row>
    <row r="69" spans="1:39" ht="22.15" customHeight="1" thickBot="1" x14ac:dyDescent="0.25">
      <c r="A69" s="1715"/>
      <c r="B69" s="1630" t="s">
        <v>196</v>
      </c>
      <c r="C69" s="1612" t="s">
        <v>35</v>
      </c>
      <c r="D69" s="1629" t="s">
        <v>35</v>
      </c>
      <c r="E69" s="1629"/>
      <c r="F69" s="1629"/>
      <c r="G69" s="1629" t="s">
        <v>35</v>
      </c>
      <c r="H69" s="1629" t="s">
        <v>35</v>
      </c>
      <c r="I69" s="1629" t="s">
        <v>35</v>
      </c>
      <c r="J69" s="1629" t="s">
        <v>35</v>
      </c>
      <c r="K69" s="1629" t="s">
        <v>35</v>
      </c>
      <c r="L69" s="1636"/>
      <c r="M69" s="1612"/>
      <c r="N69" s="1712" t="s">
        <v>31</v>
      </c>
      <c r="O69" s="1712" t="s">
        <v>31</v>
      </c>
      <c r="P69" s="1712" t="s">
        <v>31</v>
      </c>
      <c r="Q69" s="1712" t="s">
        <v>31</v>
      </c>
      <c r="R69" s="1712" t="s">
        <v>31</v>
      </c>
      <c r="S69" s="1712"/>
      <c r="T69" s="1712"/>
      <c r="U69" s="1716">
        <v>25</v>
      </c>
      <c r="V69" s="1716">
        <v>25</v>
      </c>
      <c r="W69" s="1716">
        <v>25</v>
      </c>
      <c r="X69" s="1716">
        <v>25</v>
      </c>
      <c r="Y69" s="1716">
        <v>25</v>
      </c>
      <c r="Z69" s="1716" t="s">
        <v>0</v>
      </c>
      <c r="AA69" s="1716" t="s">
        <v>0</v>
      </c>
      <c r="AB69" s="1629" t="s">
        <v>35</v>
      </c>
      <c r="AC69" s="1629" t="s">
        <v>35</v>
      </c>
      <c r="AD69" s="1629" t="s">
        <v>35</v>
      </c>
      <c r="AE69" s="1629" t="s">
        <v>35</v>
      </c>
      <c r="AF69" s="1629" t="s">
        <v>35</v>
      </c>
      <c r="AG69" s="1842"/>
      <c r="AH69" s="1"/>
    </row>
    <row r="70" spans="1:39" ht="22.15" customHeight="1" x14ac:dyDescent="0.2">
      <c r="A70" s="1715"/>
      <c r="B70" s="1722" t="s">
        <v>344</v>
      </c>
      <c r="C70" s="1629">
        <v>26</v>
      </c>
      <c r="D70" s="1629">
        <v>26</v>
      </c>
      <c r="E70" s="1629">
        <v>26</v>
      </c>
      <c r="F70" s="1629">
        <v>26</v>
      </c>
      <c r="G70" s="1629" t="s">
        <v>35</v>
      </c>
      <c r="H70" s="1629" t="s">
        <v>35</v>
      </c>
      <c r="I70" s="1629" t="s">
        <v>35</v>
      </c>
      <c r="J70" s="1612">
        <v>89</v>
      </c>
      <c r="K70" s="1612">
        <v>89</v>
      </c>
      <c r="L70" s="1636">
        <v>89</v>
      </c>
      <c r="M70" s="1636"/>
      <c r="N70" s="1636" t="s">
        <v>385</v>
      </c>
      <c r="O70" s="1636" t="s">
        <v>385</v>
      </c>
      <c r="P70" s="1636" t="s">
        <v>385</v>
      </c>
      <c r="Q70" s="1636" t="s">
        <v>385</v>
      </c>
      <c r="R70" s="1636" t="s">
        <v>385</v>
      </c>
      <c r="S70" s="1629" t="s">
        <v>46</v>
      </c>
      <c r="T70" s="1629" t="s">
        <v>46</v>
      </c>
      <c r="U70" s="1413" t="s">
        <v>35</v>
      </c>
      <c r="V70" s="1413" t="s">
        <v>35</v>
      </c>
      <c r="W70" s="477" t="s">
        <v>35</v>
      </c>
      <c r="X70" s="1413">
        <v>79</v>
      </c>
      <c r="Y70" s="1413" t="s">
        <v>228</v>
      </c>
      <c r="Z70" s="1413"/>
      <c r="AA70" s="1413"/>
      <c r="AB70" s="1413">
        <v>89</v>
      </c>
      <c r="AC70" s="1413">
        <v>89</v>
      </c>
      <c r="AD70" s="1413">
        <v>89</v>
      </c>
      <c r="AE70" s="1413">
        <v>89</v>
      </c>
      <c r="AF70" s="1413">
        <v>89</v>
      </c>
      <c r="AG70" s="1634" t="s">
        <v>112</v>
      </c>
      <c r="AH70" s="1"/>
      <c r="AM70" s="206"/>
    </row>
    <row r="71" spans="1:39" ht="22.15" customHeight="1" thickBot="1" x14ac:dyDescent="0.25">
      <c r="A71" s="1725"/>
      <c r="B71" s="1627" t="s">
        <v>122</v>
      </c>
      <c r="C71" s="1629" t="s">
        <v>385</v>
      </c>
      <c r="D71" s="1629" t="s">
        <v>385</v>
      </c>
      <c r="E71" s="1612" t="s">
        <v>112</v>
      </c>
      <c r="F71" s="1612" t="s">
        <v>112</v>
      </c>
      <c r="G71" s="1612">
        <v>89</v>
      </c>
      <c r="H71" s="1710">
        <v>23</v>
      </c>
      <c r="I71" s="1629" t="s">
        <v>35</v>
      </c>
      <c r="J71" s="1629" t="s">
        <v>31</v>
      </c>
      <c r="K71" s="1612" t="s">
        <v>31</v>
      </c>
      <c r="L71" s="1612" t="s">
        <v>112</v>
      </c>
      <c r="M71" s="1612" t="s">
        <v>112</v>
      </c>
      <c r="N71" s="1612">
        <v>25</v>
      </c>
      <c r="O71" s="1612">
        <v>25</v>
      </c>
      <c r="P71" s="1612">
        <v>25</v>
      </c>
      <c r="Q71" s="1612">
        <v>25</v>
      </c>
      <c r="R71" s="1612">
        <v>25</v>
      </c>
      <c r="S71" s="1612"/>
      <c r="T71" s="1612"/>
      <c r="U71" s="1631" t="s">
        <v>31</v>
      </c>
      <c r="V71" s="1624" t="s">
        <v>216</v>
      </c>
      <c r="W71" s="1624" t="s">
        <v>216</v>
      </c>
      <c r="X71" s="1612" t="s">
        <v>158</v>
      </c>
      <c r="Y71" s="1612" t="s">
        <v>216</v>
      </c>
      <c r="Z71" s="1612"/>
      <c r="AA71" s="1612"/>
      <c r="AB71" s="1631" t="s">
        <v>31</v>
      </c>
      <c r="AC71" s="1612" t="s">
        <v>31</v>
      </c>
      <c r="AD71" s="1612" t="s">
        <v>31</v>
      </c>
      <c r="AE71" s="1193" t="s">
        <v>158</v>
      </c>
      <c r="AF71" s="1612" t="s">
        <v>31</v>
      </c>
      <c r="AG71" s="1728"/>
      <c r="AH71" s="1"/>
    </row>
    <row r="72" spans="1:39" ht="22.15" customHeight="1" thickBot="1" x14ac:dyDescent="0.25">
      <c r="A72" s="1725"/>
      <c r="B72" s="379" t="s">
        <v>123</v>
      </c>
      <c r="C72" s="1612" t="s">
        <v>31</v>
      </c>
      <c r="D72" s="1612" t="s">
        <v>31</v>
      </c>
      <c r="E72" s="1612"/>
      <c r="F72" s="1716"/>
      <c r="G72" s="1258">
        <v>69</v>
      </c>
      <c r="H72" s="1258">
        <v>69</v>
      </c>
      <c r="I72" s="1258">
        <v>69</v>
      </c>
      <c r="J72" s="1258">
        <v>69</v>
      </c>
      <c r="K72" s="1258">
        <v>69</v>
      </c>
      <c r="L72" s="1612"/>
      <c r="M72" s="1380"/>
      <c r="N72" s="1259">
        <v>6</v>
      </c>
      <c r="O72" s="1259">
        <v>6</v>
      </c>
      <c r="P72" s="1259">
        <v>6</v>
      </c>
      <c r="Q72" s="1258">
        <v>6</v>
      </c>
      <c r="R72" s="1259">
        <v>6</v>
      </c>
      <c r="S72" s="1259" t="s">
        <v>68</v>
      </c>
      <c r="T72" s="1259" t="s">
        <v>69</v>
      </c>
      <c r="U72" s="2052" t="s">
        <v>35</v>
      </c>
      <c r="V72" s="1413" t="s">
        <v>35</v>
      </c>
      <c r="W72" s="1413" t="s">
        <v>35</v>
      </c>
      <c r="X72" s="1612">
        <v>8</v>
      </c>
      <c r="Y72" s="1612">
        <v>8</v>
      </c>
      <c r="Z72" s="1612">
        <v>89</v>
      </c>
      <c r="AA72" s="1612"/>
      <c r="AB72" t="s">
        <v>216</v>
      </c>
      <c r="AC72" t="s">
        <v>216</v>
      </c>
      <c r="AD72" s="640">
        <v>99</v>
      </c>
      <c r="AE72" s="640">
        <v>99</v>
      </c>
      <c r="AF72" s="1631" t="s">
        <v>31</v>
      </c>
      <c r="AG72" s="1728"/>
      <c r="AH72" s="1"/>
    </row>
    <row r="73" spans="1:39" ht="22.15" customHeight="1" thickBot="1" x14ac:dyDescent="0.25">
      <c r="A73" s="1725"/>
      <c r="B73" s="1729" t="s">
        <v>124</v>
      </c>
      <c r="C73" s="1612" t="s">
        <v>35</v>
      </c>
      <c r="D73" s="1612" t="s">
        <v>35</v>
      </c>
      <c r="E73" s="1612"/>
      <c r="F73" s="1612"/>
      <c r="G73" s="1720" t="s">
        <v>31</v>
      </c>
      <c r="H73" s="1720" t="s">
        <v>360</v>
      </c>
      <c r="I73" s="1612" t="s">
        <v>243</v>
      </c>
      <c r="J73" s="1712" t="s">
        <v>243</v>
      </c>
      <c r="K73" s="1612" t="s">
        <v>35</v>
      </c>
      <c r="L73" s="1612"/>
      <c r="M73" s="477" t="s">
        <v>69</v>
      </c>
      <c r="N73" s="477">
        <v>8</v>
      </c>
      <c r="O73" s="459">
        <v>8</v>
      </c>
      <c r="P73" s="459">
        <v>8</v>
      </c>
      <c r="Q73" s="1612" t="s">
        <v>35</v>
      </c>
      <c r="R73" s="1612" t="s">
        <v>35</v>
      </c>
      <c r="S73" s="1624" t="s">
        <v>0</v>
      </c>
      <c r="T73" s="1624" t="s">
        <v>0</v>
      </c>
      <c r="U73" s="1612" t="s">
        <v>385</v>
      </c>
      <c r="V73" s="1612" t="s">
        <v>385</v>
      </c>
      <c r="W73" s="1612" t="s">
        <v>385</v>
      </c>
      <c r="X73" s="1612" t="s">
        <v>385</v>
      </c>
      <c r="Y73" s="1612" t="s">
        <v>385</v>
      </c>
      <c r="Z73" s="1612"/>
      <c r="AA73" s="1612"/>
      <c r="AB73" s="1380" t="s">
        <v>110</v>
      </c>
      <c r="AC73" s="1215" t="s">
        <v>31</v>
      </c>
      <c r="AD73" s="1311" t="s">
        <v>31</v>
      </c>
      <c r="AE73" s="1215" t="s">
        <v>220</v>
      </c>
      <c r="AF73" s="1215" t="s">
        <v>31</v>
      </c>
      <c r="AG73" s="1215" t="s">
        <v>0</v>
      </c>
      <c r="AH73" s="1380" t="s">
        <v>0</v>
      </c>
    </row>
    <row r="74" spans="1:39" ht="22.15" customHeight="1" thickBot="1" x14ac:dyDescent="0.25">
      <c r="A74" s="669"/>
      <c r="B74" s="379" t="s">
        <v>372</v>
      </c>
      <c r="C74" s="1612" t="s">
        <v>31</v>
      </c>
      <c r="D74" s="1612" t="s">
        <v>31</v>
      </c>
      <c r="E74" s="669"/>
      <c r="F74" s="669"/>
      <c r="G74" s="1719" t="s">
        <v>235</v>
      </c>
      <c r="H74" s="1719" t="s">
        <v>235</v>
      </c>
      <c r="I74" s="1719" t="s">
        <v>235</v>
      </c>
      <c r="J74" s="1719" t="s">
        <v>235</v>
      </c>
      <c r="K74" s="1719" t="s">
        <v>235</v>
      </c>
      <c r="L74" s="669"/>
      <c r="M74" s="669"/>
      <c r="N74" s="1255" t="s">
        <v>243</v>
      </c>
      <c r="O74" s="1255" t="s">
        <v>243</v>
      </c>
      <c r="P74" s="1255">
        <v>79</v>
      </c>
      <c r="Q74" s="1255" t="s">
        <v>350</v>
      </c>
      <c r="R74" s="1255">
        <v>79</v>
      </c>
      <c r="S74" s="716" t="s">
        <v>69</v>
      </c>
      <c r="T74" s="716" t="s">
        <v>69</v>
      </c>
      <c r="U74" s="230" t="s">
        <v>31</v>
      </c>
      <c r="V74" s="1384">
        <v>8</v>
      </c>
      <c r="W74" s="1384" t="s">
        <v>235</v>
      </c>
      <c r="X74" s="2073" t="s">
        <v>110</v>
      </c>
      <c r="Y74" s="1384">
        <v>26</v>
      </c>
      <c r="Z74" s="1384">
        <v>26</v>
      </c>
      <c r="AA74" s="1384">
        <v>26</v>
      </c>
      <c r="AB74" s="1193" t="s">
        <v>35</v>
      </c>
      <c r="AC74" s="1193" t="s">
        <v>35</v>
      </c>
      <c r="AD74" s="1193" t="s">
        <v>35</v>
      </c>
      <c r="AE74" s="1193" t="s">
        <v>243</v>
      </c>
      <c r="AF74" s="1193" t="s">
        <v>31</v>
      </c>
      <c r="AG74" s="237" t="s">
        <v>0</v>
      </c>
      <c r="AH74" s="1"/>
    </row>
    <row r="75" spans="1:39" ht="22.15" customHeight="1" thickBot="1" x14ac:dyDescent="0.25">
      <c r="A75" s="2074"/>
      <c r="B75" s="1715" t="s">
        <v>127</v>
      </c>
      <c r="C75" s="1612" t="s">
        <v>35</v>
      </c>
      <c r="D75" s="1612" t="s">
        <v>35</v>
      </c>
      <c r="E75" s="1199"/>
      <c r="F75" s="1199"/>
      <c r="G75" s="1259">
        <v>9</v>
      </c>
      <c r="H75" s="1258">
        <v>9</v>
      </c>
      <c r="I75" s="1193">
        <v>9</v>
      </c>
      <c r="J75" s="1193">
        <v>9</v>
      </c>
      <c r="K75" s="1193">
        <v>9</v>
      </c>
      <c r="L75" s="1384" t="s">
        <v>66</v>
      </c>
      <c r="M75" s="1384" t="s">
        <v>67</v>
      </c>
      <c r="N75" s="1629" t="s">
        <v>35</v>
      </c>
      <c r="O75" s="1629" t="s">
        <v>35</v>
      </c>
      <c r="P75" s="1629" t="s">
        <v>35</v>
      </c>
      <c r="Q75" s="1629" t="s">
        <v>35</v>
      </c>
      <c r="R75" s="1629" t="s">
        <v>35</v>
      </c>
      <c r="S75" s="718"/>
      <c r="T75" s="718"/>
      <c r="U75" s="1193" t="s">
        <v>35</v>
      </c>
      <c r="V75" s="1193">
        <v>9</v>
      </c>
      <c r="W75" s="1193">
        <v>9</v>
      </c>
      <c r="X75" s="1193">
        <v>9</v>
      </c>
      <c r="Y75" s="1193">
        <v>9</v>
      </c>
      <c r="Z75" s="1193" t="s">
        <v>66</v>
      </c>
      <c r="AA75" s="1193" t="s">
        <v>67</v>
      </c>
      <c r="AB75" s="1193" t="s">
        <v>35</v>
      </c>
      <c r="AC75" s="1193" t="s">
        <v>35</v>
      </c>
      <c r="AD75" s="1193" t="s">
        <v>35</v>
      </c>
      <c r="AE75" s="1193" t="s">
        <v>31</v>
      </c>
      <c r="AF75" s="1193" t="s">
        <v>31</v>
      </c>
      <c r="AG75" s="625">
        <v>89</v>
      </c>
      <c r="AH75" s="1"/>
    </row>
    <row r="76" spans="1:39" ht="22.15" customHeight="1" thickBot="1" x14ac:dyDescent="0.25">
      <c r="B76" s="1715" t="s">
        <v>129</v>
      </c>
      <c r="C76" s="718" t="s">
        <v>243</v>
      </c>
      <c r="D76" s="718" t="s">
        <v>243</v>
      </c>
      <c r="E76" s="718"/>
      <c r="F76" s="718"/>
      <c r="G76" s="718" t="s">
        <v>243</v>
      </c>
      <c r="H76" s="718" t="s">
        <v>243</v>
      </c>
      <c r="I76" s="719" t="s">
        <v>243</v>
      </c>
      <c r="J76" s="719" t="s">
        <v>243</v>
      </c>
      <c r="K76" s="718" t="s">
        <v>243</v>
      </c>
      <c r="L76" s="1384" t="s">
        <v>0</v>
      </c>
      <c r="M76" s="1384" t="s">
        <v>0</v>
      </c>
      <c r="N76" s="719" t="s">
        <v>243</v>
      </c>
      <c r="O76" s="719" t="s">
        <v>243</v>
      </c>
      <c r="P76" s="718" t="s">
        <v>243</v>
      </c>
      <c r="Q76" s="718" t="s">
        <v>243</v>
      </c>
      <c r="R76" s="718" t="s">
        <v>243</v>
      </c>
      <c r="S76" s="718"/>
      <c r="T76" s="718"/>
      <c r="U76" s="718" t="s">
        <v>243</v>
      </c>
      <c r="V76" s="718" t="s">
        <v>243</v>
      </c>
      <c r="W76" s="718" t="s">
        <v>243</v>
      </c>
      <c r="X76" s="718" t="s">
        <v>243</v>
      </c>
      <c r="Y76" s="718" t="s">
        <v>243</v>
      </c>
      <c r="Z76" s="718"/>
      <c r="AA76" s="718"/>
      <c r="AB76" s="718" t="s">
        <v>243</v>
      </c>
      <c r="AC76" s="718" t="s">
        <v>243</v>
      </c>
      <c r="AD76" s="718" t="s">
        <v>243</v>
      </c>
      <c r="AE76" s="720" t="s">
        <v>243</v>
      </c>
      <c r="AF76" s="718" t="s">
        <v>243</v>
      </c>
      <c r="AG76" s="625"/>
      <c r="AH76" s="1"/>
    </row>
    <row r="77" spans="1:39" ht="22.15" customHeight="1" thickBot="1" x14ac:dyDescent="0.25">
      <c r="B77" s="1715" t="s">
        <v>348</v>
      </c>
      <c r="C77" s="1612" t="s">
        <v>35</v>
      </c>
      <c r="D77" s="1612" t="s">
        <v>35</v>
      </c>
      <c r="E77" s="721">
        <v>26</v>
      </c>
      <c r="F77" s="721">
        <v>26</v>
      </c>
      <c r="G77" s="2033">
        <v>26</v>
      </c>
      <c r="H77" s="2033">
        <v>26</v>
      </c>
      <c r="I77" s="1629">
        <v>26</v>
      </c>
      <c r="J77" s="2033">
        <v>26</v>
      </c>
      <c r="K77" s="2033">
        <v>26</v>
      </c>
      <c r="L77" s="1384" t="s">
        <v>0</v>
      </c>
      <c r="M77" s="1384" t="s">
        <v>0</v>
      </c>
      <c r="N77" s="2046" t="s">
        <v>235</v>
      </c>
      <c r="O77" s="1612" t="s">
        <v>235</v>
      </c>
      <c r="P77" s="1612" t="s">
        <v>235</v>
      </c>
      <c r="Q77" s="1612" t="s">
        <v>235</v>
      </c>
      <c r="R77" s="1612" t="s">
        <v>235</v>
      </c>
      <c r="S77" s="718"/>
      <c r="T77" s="718"/>
      <c r="U77" s="1629">
        <v>26</v>
      </c>
      <c r="V77" s="1629">
        <v>26</v>
      </c>
      <c r="W77" s="1629">
        <v>26</v>
      </c>
      <c r="X77" s="1629">
        <v>26</v>
      </c>
      <c r="Y77" s="1629" t="s">
        <v>233</v>
      </c>
      <c r="Z77" s="1629" t="s">
        <v>0</v>
      </c>
      <c r="AA77" s="1629" t="s">
        <v>0</v>
      </c>
      <c r="AB77" s="2036" t="s">
        <v>223</v>
      </c>
      <c r="AC77" s="2036" t="s">
        <v>223</v>
      </c>
      <c r="AD77" s="2075" t="s">
        <v>223</v>
      </c>
      <c r="AE77" s="2036" t="s">
        <v>223</v>
      </c>
      <c r="AF77" s="2036" t="s">
        <v>223</v>
      </c>
      <c r="AG77" s="625"/>
      <c r="AH77" s="1"/>
    </row>
    <row r="78" spans="1:39" ht="22.15" customHeight="1" thickBot="1" x14ac:dyDescent="0.25">
      <c r="A78" s="377"/>
      <c r="B78" s="378" t="s">
        <v>125</v>
      </c>
      <c r="C78" s="1186">
        <v>1</v>
      </c>
      <c r="D78" s="1186">
        <v>2</v>
      </c>
      <c r="E78" s="1185">
        <v>3</v>
      </c>
      <c r="F78" s="1185">
        <v>4</v>
      </c>
      <c r="G78" s="1186">
        <v>5</v>
      </c>
      <c r="H78" s="1186">
        <v>6</v>
      </c>
      <c r="I78" s="1186">
        <v>7</v>
      </c>
      <c r="J78" s="1186">
        <v>8</v>
      </c>
      <c r="K78" s="1186">
        <v>9</v>
      </c>
      <c r="L78" s="1185">
        <v>10</v>
      </c>
      <c r="M78" s="1185">
        <v>11</v>
      </c>
      <c r="N78" s="1186">
        <v>12</v>
      </c>
      <c r="O78" s="1186">
        <v>13</v>
      </c>
      <c r="P78" s="1186">
        <v>14</v>
      </c>
      <c r="Q78" s="1186">
        <v>15</v>
      </c>
      <c r="R78" s="1186">
        <v>16</v>
      </c>
      <c r="S78" s="1185">
        <v>17</v>
      </c>
      <c r="T78" s="1185">
        <v>18</v>
      </c>
      <c r="U78" s="1186">
        <v>19</v>
      </c>
      <c r="V78" s="1186">
        <v>20</v>
      </c>
      <c r="W78" s="1186">
        <v>21</v>
      </c>
      <c r="X78" s="1186">
        <v>22</v>
      </c>
      <c r="Y78" s="1186">
        <v>23</v>
      </c>
      <c r="Z78" s="1185">
        <v>24</v>
      </c>
      <c r="AA78" s="1185">
        <v>25</v>
      </c>
      <c r="AB78" s="1186">
        <v>26</v>
      </c>
      <c r="AC78" s="1186">
        <v>27</v>
      </c>
      <c r="AD78" s="1186">
        <v>28</v>
      </c>
      <c r="AE78" s="1186">
        <v>29</v>
      </c>
      <c r="AF78" s="1186">
        <v>30</v>
      </c>
      <c r="AG78" s="2064">
        <v>31</v>
      </c>
      <c r="AH78" s="1"/>
    </row>
    <row r="79" spans="1:39" ht="22.15" customHeight="1" x14ac:dyDescent="0.2">
      <c r="A79" s="379"/>
      <c r="B79" s="379"/>
      <c r="C79" s="1612" t="s">
        <v>31</v>
      </c>
      <c r="D79" s="1612" t="s">
        <v>31</v>
      </c>
      <c r="E79" s="1612"/>
      <c r="F79" s="1716"/>
      <c r="G79" s="1612" t="s">
        <v>31</v>
      </c>
      <c r="H79" s="1612" t="s">
        <v>31</v>
      </c>
      <c r="I79" s="1612" t="s">
        <v>31</v>
      </c>
      <c r="J79" s="1612" t="s">
        <v>31</v>
      </c>
      <c r="K79" s="1612" t="s">
        <v>31</v>
      </c>
      <c r="L79" s="1612"/>
      <c r="M79" s="1380"/>
      <c r="N79" s="1380" t="s">
        <v>31</v>
      </c>
      <c r="O79" s="1380" t="s">
        <v>31</v>
      </c>
      <c r="P79" s="1380" t="s">
        <v>31</v>
      </c>
      <c r="Q79" s="1612" t="s">
        <v>31</v>
      </c>
      <c r="R79" s="1612" t="s">
        <v>31</v>
      </c>
      <c r="S79" s="1612"/>
      <c r="T79" s="1612"/>
      <c r="U79" s="1612" t="s">
        <v>31</v>
      </c>
      <c r="V79" s="1612" t="s">
        <v>31</v>
      </c>
      <c r="W79" s="1612" t="s">
        <v>31</v>
      </c>
      <c r="X79" s="1612" t="s">
        <v>31</v>
      </c>
      <c r="Y79" s="1612" t="s">
        <v>31</v>
      </c>
      <c r="Z79" s="1612"/>
      <c r="AA79" s="1612"/>
      <c r="AB79" s="1612" t="s">
        <v>31</v>
      </c>
      <c r="AC79" s="1612" t="s">
        <v>31</v>
      </c>
      <c r="AD79" s="1612" t="s">
        <v>31</v>
      </c>
      <c r="AE79" s="1612" t="s">
        <v>31</v>
      </c>
      <c r="AF79" s="1612" t="s">
        <v>31</v>
      </c>
      <c r="AG79" s="387"/>
      <c r="AH79" s="1"/>
    </row>
    <row r="80" spans="1:39" ht="22.15" customHeight="1" thickBot="1" x14ac:dyDescent="0.25">
      <c r="A80" s="691"/>
      <c r="B80" s="692"/>
      <c r="C80" s="690"/>
      <c r="D80" s="693"/>
      <c r="E80" s="693"/>
      <c r="F80" s="693"/>
      <c r="G80" s="693"/>
      <c r="H80" s="693"/>
      <c r="I80" s="690"/>
      <c r="J80" s="690"/>
      <c r="K80" s="693"/>
      <c r="L80" s="693"/>
      <c r="M80" s="693"/>
      <c r="N80" s="693"/>
      <c r="O80" s="693"/>
      <c r="P80" s="696"/>
      <c r="Q80" s="696"/>
      <c r="R80" s="690"/>
      <c r="S80" s="696"/>
      <c r="T80" s="696"/>
      <c r="U80" s="696"/>
      <c r="V80" s="696"/>
      <c r="W80" s="696"/>
      <c r="X80" s="690"/>
      <c r="Y80" s="696"/>
      <c r="Z80" s="696"/>
      <c r="AA80" s="696"/>
      <c r="AB80" s="696"/>
      <c r="AC80" s="690"/>
      <c r="AD80" s="696"/>
      <c r="AE80" s="696"/>
      <c r="AF80" s="690"/>
      <c r="AG80" s="1728"/>
      <c r="AH80" s="1"/>
    </row>
    <row r="81" spans="1:35" ht="22.15" customHeight="1" thickBot="1" x14ac:dyDescent="0.25">
      <c r="A81" s="223"/>
      <c r="B81" s="224" t="s">
        <v>387</v>
      </c>
      <c r="C81" s="219"/>
      <c r="D81" s="225"/>
      <c r="E81" s="225"/>
      <c r="F81" s="225"/>
      <c r="G81" s="225"/>
      <c r="H81" s="225"/>
      <c r="I81" s="219"/>
      <c r="J81" s="219"/>
      <c r="K81" s="225"/>
      <c r="L81" s="225"/>
      <c r="M81" s="225"/>
      <c r="N81" s="225"/>
      <c r="O81" s="225"/>
      <c r="P81" s="219"/>
      <c r="Q81" s="219"/>
      <c r="R81" s="219"/>
      <c r="S81" s="226"/>
      <c r="T81" s="226"/>
      <c r="U81" s="226"/>
      <c r="V81" s="220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1842"/>
      <c r="AH81" s="1"/>
    </row>
    <row r="82" spans="1:35" ht="22.15" customHeight="1" thickBot="1" x14ac:dyDescent="0.25">
      <c r="A82" s="221"/>
      <c r="B82" s="222" t="s">
        <v>375</v>
      </c>
      <c r="C82" s="1193">
        <v>8</v>
      </c>
      <c r="D82" s="1193">
        <v>8</v>
      </c>
      <c r="E82" s="1193"/>
      <c r="F82" s="1193"/>
      <c r="G82" s="1193" t="s">
        <v>35</v>
      </c>
      <c r="H82" s="1193" t="s">
        <v>35</v>
      </c>
      <c r="I82" s="1193" t="s">
        <v>35</v>
      </c>
      <c r="J82" s="1193" t="s">
        <v>35</v>
      </c>
      <c r="K82" s="1193" t="s">
        <v>35</v>
      </c>
      <c r="L82" s="1193"/>
      <c r="M82" s="1193"/>
      <c r="N82" s="1193">
        <v>1</v>
      </c>
      <c r="O82" s="1193">
        <v>1</v>
      </c>
      <c r="P82" s="1193">
        <v>1</v>
      </c>
      <c r="Q82" s="1193">
        <v>1</v>
      </c>
      <c r="R82" s="1193">
        <v>1</v>
      </c>
      <c r="S82" s="1193"/>
      <c r="T82" s="1193"/>
      <c r="U82" s="1193">
        <v>9</v>
      </c>
      <c r="V82" s="1198">
        <v>9</v>
      </c>
      <c r="W82" s="1198">
        <v>9</v>
      </c>
      <c r="X82" s="1198">
        <v>9</v>
      </c>
      <c r="Y82" s="1198">
        <v>9</v>
      </c>
      <c r="Z82" s="1198" t="s">
        <v>66</v>
      </c>
      <c r="AA82" s="1198" t="s">
        <v>396</v>
      </c>
      <c r="AB82" s="1193" t="s">
        <v>35</v>
      </c>
      <c r="AC82" s="1193" t="s">
        <v>35</v>
      </c>
      <c r="AD82" s="1193" t="s">
        <v>35</v>
      </c>
      <c r="AE82" s="1193" t="s">
        <v>35</v>
      </c>
      <c r="AF82" s="1193" t="s">
        <v>35</v>
      </c>
      <c r="AG82" s="1251" t="s">
        <v>0</v>
      </c>
      <c r="AH82" s="1"/>
    </row>
    <row r="83" spans="1:35" ht="22.15" customHeight="1" thickBot="1" x14ac:dyDescent="0.25">
      <c r="A83" s="64" t="s">
        <v>134</v>
      </c>
      <c r="AG83" s="248"/>
      <c r="AH83" s="1"/>
    </row>
    <row r="84" spans="1:35" ht="22.15" customHeight="1" thickBot="1" x14ac:dyDescent="0.25">
      <c r="A84" s="1343"/>
      <c r="B84" s="1247" t="s">
        <v>29</v>
      </c>
      <c r="C84" s="1186">
        <v>1</v>
      </c>
      <c r="D84" s="1186">
        <v>2</v>
      </c>
      <c r="E84" s="1185">
        <v>3</v>
      </c>
      <c r="F84" s="1185">
        <v>4</v>
      </c>
      <c r="G84" s="1186">
        <v>5</v>
      </c>
      <c r="H84" s="1186">
        <v>6</v>
      </c>
      <c r="I84" s="1186">
        <v>7</v>
      </c>
      <c r="J84" s="1186">
        <v>8</v>
      </c>
      <c r="K84" s="1186">
        <v>9</v>
      </c>
      <c r="L84" s="1185">
        <v>10</v>
      </c>
      <c r="M84" s="1185">
        <v>11</v>
      </c>
      <c r="N84" s="1186">
        <v>12</v>
      </c>
      <c r="O84" s="1186">
        <v>13</v>
      </c>
      <c r="P84" s="1186">
        <v>14</v>
      </c>
      <c r="Q84" s="1186">
        <v>15</v>
      </c>
      <c r="R84" s="1186">
        <v>16</v>
      </c>
      <c r="S84" s="1185">
        <v>17</v>
      </c>
      <c r="T84" s="1185">
        <v>18</v>
      </c>
      <c r="U84" s="1186">
        <v>19</v>
      </c>
      <c r="V84" s="1186">
        <v>20</v>
      </c>
      <c r="W84" s="1186">
        <v>21</v>
      </c>
      <c r="X84" s="1186">
        <v>22</v>
      </c>
      <c r="Y84" s="1186">
        <v>23</v>
      </c>
      <c r="Z84" s="1185">
        <v>24</v>
      </c>
      <c r="AA84" s="1185">
        <v>25</v>
      </c>
      <c r="AB84" s="1186">
        <v>26</v>
      </c>
      <c r="AC84" s="1186">
        <v>27</v>
      </c>
      <c r="AD84" s="1186">
        <v>28</v>
      </c>
      <c r="AE84" s="1186">
        <v>29</v>
      </c>
      <c r="AF84" s="1186">
        <v>30</v>
      </c>
      <c r="AG84" s="2076"/>
      <c r="AH84" s="1"/>
    </row>
    <row r="85" spans="1:35" ht="22.15" customHeight="1" x14ac:dyDescent="0.2">
      <c r="A85" s="487"/>
      <c r="B85" s="488" t="s">
        <v>135</v>
      </c>
      <c r="C85" s="458"/>
      <c r="D85" s="482"/>
      <c r="E85" s="458"/>
      <c r="F85" s="458"/>
      <c r="G85" s="458"/>
      <c r="H85" s="458"/>
      <c r="I85" s="458"/>
      <c r="J85" s="458"/>
      <c r="K85" s="458"/>
      <c r="L85" s="458"/>
      <c r="M85" s="458"/>
      <c r="N85" s="458"/>
      <c r="O85" s="458"/>
      <c r="P85" s="458"/>
      <c r="Q85" s="458"/>
      <c r="R85" s="458"/>
      <c r="S85" s="458"/>
      <c r="T85" s="458"/>
      <c r="U85" s="458"/>
      <c r="V85" s="458"/>
      <c r="W85" s="458"/>
      <c r="X85" s="458"/>
      <c r="Y85" s="458"/>
      <c r="Z85" s="458"/>
      <c r="AA85" s="458"/>
      <c r="AB85" s="458"/>
      <c r="AC85" s="458"/>
      <c r="AD85" s="458"/>
      <c r="AE85" s="458"/>
      <c r="AF85" s="458"/>
      <c r="AH85" s="1"/>
    </row>
    <row r="86" spans="1:35" ht="22.15" customHeight="1" thickBot="1" x14ac:dyDescent="0.25">
      <c r="A86" s="1336">
        <v>2</v>
      </c>
      <c r="B86" s="1975" t="s">
        <v>388</v>
      </c>
      <c r="C86" s="2077" t="s">
        <v>32</v>
      </c>
      <c r="D86" s="2077" t="s">
        <v>32</v>
      </c>
      <c r="E86" s="1337"/>
      <c r="F86" s="1338"/>
      <c r="G86" s="2041">
        <v>8</v>
      </c>
      <c r="H86" s="2041">
        <v>8</v>
      </c>
      <c r="I86" s="2041">
        <v>8</v>
      </c>
      <c r="J86" s="2041">
        <v>8</v>
      </c>
      <c r="K86" s="2041">
        <v>8</v>
      </c>
      <c r="L86" s="2041"/>
      <c r="M86" s="2041"/>
      <c r="N86" s="2041">
        <v>3</v>
      </c>
      <c r="O86" s="2041">
        <v>3</v>
      </c>
      <c r="P86" s="2041">
        <v>3</v>
      </c>
      <c r="Q86" s="2041">
        <v>3</v>
      </c>
      <c r="R86" s="2041">
        <v>3</v>
      </c>
      <c r="S86" s="2041"/>
      <c r="T86" s="2041"/>
      <c r="U86" s="2041">
        <v>5</v>
      </c>
      <c r="V86" s="2041">
        <v>5</v>
      </c>
      <c r="W86" s="2041">
        <v>5</v>
      </c>
      <c r="X86" s="2041">
        <v>5</v>
      </c>
      <c r="Y86" s="2041">
        <v>5</v>
      </c>
      <c r="Z86" s="2041"/>
      <c r="AA86" s="2041"/>
      <c r="AB86" s="2041">
        <v>9</v>
      </c>
      <c r="AC86" s="2041">
        <v>9</v>
      </c>
      <c r="AD86" s="2041">
        <v>9</v>
      </c>
      <c r="AE86" s="2041">
        <v>9</v>
      </c>
      <c r="AF86" s="2078" t="s">
        <v>35</v>
      </c>
      <c r="AG86" s="2064">
        <v>31</v>
      </c>
      <c r="AH86" s="1"/>
    </row>
    <row r="87" spans="1:35" ht="22.15" customHeight="1" x14ac:dyDescent="0.2">
      <c r="A87" s="1336">
        <v>3</v>
      </c>
      <c r="B87" s="1975" t="s">
        <v>389</v>
      </c>
      <c r="C87" s="2075" t="s">
        <v>175</v>
      </c>
      <c r="D87" s="2075" t="s">
        <v>175</v>
      </c>
      <c r="E87" s="2075"/>
      <c r="F87" s="2075"/>
      <c r="G87" s="2075">
        <v>89</v>
      </c>
      <c r="H87" s="2075">
        <v>89</v>
      </c>
      <c r="I87" s="2075">
        <v>89</v>
      </c>
      <c r="J87" s="2075">
        <v>89</v>
      </c>
      <c r="K87" s="2075">
        <v>89</v>
      </c>
      <c r="L87" s="2075"/>
      <c r="M87" s="2075"/>
      <c r="N87" s="2075">
        <v>69</v>
      </c>
      <c r="O87" s="2075">
        <v>69</v>
      </c>
      <c r="P87" s="2075">
        <v>69</v>
      </c>
      <c r="Q87" s="2075">
        <v>69</v>
      </c>
      <c r="R87" s="2075">
        <v>69</v>
      </c>
      <c r="S87" s="2075"/>
      <c r="T87" s="2075"/>
      <c r="U87" s="2075">
        <v>79</v>
      </c>
      <c r="V87" s="2075">
        <v>79</v>
      </c>
      <c r="W87" s="2075">
        <v>79</v>
      </c>
      <c r="X87" s="2075">
        <v>79</v>
      </c>
      <c r="Y87" s="2075">
        <v>79</v>
      </c>
      <c r="Z87" s="2075"/>
      <c r="AA87" s="2075"/>
      <c r="AB87" s="2075">
        <v>99</v>
      </c>
      <c r="AC87" s="2075">
        <v>99</v>
      </c>
      <c r="AD87" s="2075">
        <v>99</v>
      </c>
      <c r="AE87" s="2075">
        <v>99</v>
      </c>
      <c r="AF87" s="2044">
        <v>99</v>
      </c>
      <c r="AG87" s="464"/>
      <c r="AH87" s="1"/>
    </row>
    <row r="88" spans="1:35" ht="22.15" customHeight="1" thickBot="1" x14ac:dyDescent="0.25">
      <c r="A88" s="1336">
        <v>4</v>
      </c>
      <c r="B88" s="1253" t="s">
        <v>397</v>
      </c>
      <c r="C88" s="1348"/>
      <c r="D88" s="1348"/>
      <c r="E88" s="1348"/>
      <c r="F88" s="1348"/>
      <c r="G88" s="2079"/>
      <c r="H88" s="2079"/>
      <c r="I88" s="2079"/>
      <c r="J88" s="2079"/>
      <c r="K88" s="2079"/>
      <c r="L88" s="2079"/>
      <c r="M88" s="2079"/>
      <c r="N88" s="2080" t="s">
        <v>31</v>
      </c>
      <c r="O88" s="2080">
        <v>69</v>
      </c>
      <c r="P88" s="2080">
        <v>69</v>
      </c>
      <c r="Q88" s="2080">
        <v>69</v>
      </c>
      <c r="R88" s="2080">
        <v>69</v>
      </c>
      <c r="S88" s="2081"/>
      <c r="T88" s="2081"/>
      <c r="U88" s="2080">
        <v>11</v>
      </c>
      <c r="V88" s="2080">
        <v>11</v>
      </c>
      <c r="W88" s="2080">
        <v>11</v>
      </c>
      <c r="X88" s="2080">
        <v>11</v>
      </c>
      <c r="Y88" s="2080">
        <v>11</v>
      </c>
      <c r="Z88" s="2080"/>
      <c r="AA88" s="2080"/>
      <c r="AB88" s="2080">
        <v>25</v>
      </c>
      <c r="AC88" s="2080">
        <v>25</v>
      </c>
      <c r="AD88" s="2080">
        <v>25</v>
      </c>
      <c r="AE88" s="2080">
        <v>25</v>
      </c>
      <c r="AF88" s="2082">
        <v>25</v>
      </c>
      <c r="AG88" s="1340"/>
      <c r="AH88" s="1"/>
    </row>
    <row r="89" spans="1:35" ht="22.15" customHeight="1" thickBot="1" x14ac:dyDescent="0.25">
      <c r="A89" s="176" t="s">
        <v>136</v>
      </c>
      <c r="B89" s="177"/>
      <c r="C89" s="177"/>
      <c r="D89" s="177"/>
      <c r="E89" s="177"/>
      <c r="F89" s="177"/>
      <c r="G89" s="178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  <c r="AG89" s="1251"/>
      <c r="AH89" s="1"/>
    </row>
    <row r="90" spans="1:35" ht="22.15" customHeight="1" thickBot="1" x14ac:dyDescent="0.25">
      <c r="A90" s="179"/>
      <c r="B90" s="303" t="s">
        <v>137</v>
      </c>
      <c r="C90" s="281"/>
      <c r="D90" s="282" t="s">
        <v>90</v>
      </c>
      <c r="E90" s="283"/>
      <c r="F90" s="284"/>
      <c r="G90" s="281"/>
      <c r="H90" s="282" t="s">
        <v>91</v>
      </c>
      <c r="I90" s="283"/>
      <c r="J90" s="284"/>
      <c r="K90" s="281"/>
      <c r="L90" s="282" t="s">
        <v>92</v>
      </c>
      <c r="M90" s="283"/>
      <c r="N90" s="284"/>
      <c r="O90" s="281"/>
      <c r="P90" s="282" t="s">
        <v>93</v>
      </c>
      <c r="Q90" s="283"/>
      <c r="R90" s="284"/>
      <c r="S90" s="285"/>
      <c r="T90" s="282" t="s">
        <v>94</v>
      </c>
      <c r="U90" s="283"/>
      <c r="V90" s="284"/>
      <c r="W90" s="281"/>
      <c r="X90" s="282" t="s">
        <v>95</v>
      </c>
      <c r="Y90" s="283"/>
      <c r="Z90" s="284"/>
      <c r="AA90" s="281"/>
      <c r="AB90" s="282" t="s">
        <v>96</v>
      </c>
      <c r="AC90" s="283"/>
      <c r="AD90" s="283"/>
      <c r="AE90" s="286" t="s">
        <v>138</v>
      </c>
      <c r="AF90" s="283"/>
      <c r="AG90" s="1945"/>
      <c r="AH90" s="1"/>
    </row>
    <row r="91" spans="1:35" ht="22.15" customHeight="1" thickBot="1" x14ac:dyDescent="0.25">
      <c r="A91" s="179"/>
      <c r="B91" s="489" t="s">
        <v>139</v>
      </c>
      <c r="C91" s="490" t="s">
        <v>140</v>
      </c>
      <c r="D91" s="283"/>
      <c r="E91" s="491"/>
      <c r="F91" s="492"/>
      <c r="G91" s="490" t="s">
        <v>140</v>
      </c>
      <c r="H91" s="491"/>
      <c r="I91" s="491"/>
      <c r="J91" s="492"/>
      <c r="K91" s="288" t="s">
        <v>140</v>
      </c>
      <c r="L91" s="283"/>
      <c r="M91" s="283"/>
      <c r="N91" s="289"/>
      <c r="O91" s="288" t="s">
        <v>141</v>
      </c>
      <c r="P91" s="283"/>
      <c r="Q91" s="491"/>
      <c r="R91" s="492"/>
      <c r="S91" s="490" t="s">
        <v>142</v>
      </c>
      <c r="T91" s="491"/>
      <c r="U91" s="491"/>
      <c r="V91" s="493"/>
      <c r="W91" s="494"/>
      <c r="X91" s="495"/>
      <c r="Y91" s="495"/>
      <c r="Z91" s="496"/>
      <c r="AA91" s="493"/>
      <c r="AB91" s="491"/>
      <c r="AC91" s="491"/>
      <c r="AD91" s="493"/>
      <c r="AE91" s="497">
        <v>37</v>
      </c>
      <c r="AF91" s="283"/>
      <c r="AG91" s="177"/>
      <c r="AH91" s="177"/>
      <c r="AI91" s="177"/>
    </row>
    <row r="92" spans="1:35" ht="22.15" customHeight="1" thickBot="1" x14ac:dyDescent="0.25">
      <c r="A92" s="179"/>
      <c r="B92" s="1350" t="s">
        <v>143</v>
      </c>
      <c r="C92" s="1351" t="s">
        <v>144</v>
      </c>
      <c r="D92" s="1352"/>
      <c r="E92" s="1352"/>
      <c r="F92" s="1353"/>
      <c r="G92" s="1351" t="s">
        <v>145</v>
      </c>
      <c r="H92" s="1352"/>
      <c r="I92" s="1352"/>
      <c r="J92" s="1353"/>
      <c r="K92" s="1351" t="s">
        <v>146</v>
      </c>
      <c r="L92" s="1354" t="s">
        <v>147</v>
      </c>
      <c r="M92" s="1352"/>
      <c r="N92" s="1353"/>
      <c r="O92" s="1351" t="s">
        <v>146</v>
      </c>
      <c r="P92" s="1354" t="s">
        <v>147</v>
      </c>
      <c r="Q92" s="1352"/>
      <c r="R92" s="1353"/>
      <c r="S92" s="1351" t="s">
        <v>145</v>
      </c>
      <c r="T92" s="1354" t="s">
        <v>148</v>
      </c>
      <c r="U92" s="1352"/>
      <c r="V92" s="1353"/>
      <c r="W92" s="180" t="s">
        <v>46</v>
      </c>
      <c r="X92" s="254" t="s">
        <v>152</v>
      </c>
      <c r="Y92" s="181"/>
      <c r="Z92" s="181"/>
      <c r="AA92" s="1351" t="s">
        <v>46</v>
      </c>
      <c r="AB92" s="1354" t="s">
        <v>152</v>
      </c>
      <c r="AC92" s="1351"/>
      <c r="AD92" s="1351"/>
      <c r="AE92" s="1356">
        <v>68</v>
      </c>
      <c r="AF92" s="1352"/>
      <c r="AG92" s="283"/>
      <c r="AH92" s="283"/>
      <c r="AI92" s="287"/>
    </row>
    <row r="93" spans="1:35" ht="22.15" customHeight="1" x14ac:dyDescent="0.2">
      <c r="A93" s="179"/>
      <c r="B93" s="1350" t="s">
        <v>153</v>
      </c>
      <c r="C93" s="1360" t="s">
        <v>154</v>
      </c>
      <c r="D93" s="1352"/>
      <c r="E93" s="1352"/>
      <c r="F93" s="1353"/>
      <c r="G93" s="1352" t="s">
        <v>154</v>
      </c>
      <c r="H93" s="1352"/>
      <c r="I93" s="1352"/>
      <c r="J93" s="1353"/>
      <c r="K93" s="1352" t="s">
        <v>154</v>
      </c>
      <c r="L93" s="1352"/>
      <c r="M93" s="1352"/>
      <c r="N93" s="1353"/>
      <c r="O93" s="1352" t="s">
        <v>154</v>
      </c>
      <c r="P93" s="1352"/>
      <c r="Q93" s="1352"/>
      <c r="R93" s="1353"/>
      <c r="S93" s="1352" t="s">
        <v>154</v>
      </c>
      <c r="T93" s="1352"/>
      <c r="U93" s="1352"/>
      <c r="V93" s="1353"/>
      <c r="W93" s="1351"/>
      <c r="X93" s="1352"/>
      <c r="Y93" s="1352"/>
      <c r="Z93" s="1353"/>
      <c r="AA93" s="1351"/>
      <c r="AB93" s="1352"/>
      <c r="AC93" s="1352"/>
      <c r="AD93" s="1354"/>
      <c r="AE93" s="1356">
        <v>0</v>
      </c>
      <c r="AF93" s="1357"/>
      <c r="AG93" s="491"/>
      <c r="AH93" s="493"/>
      <c r="AI93" s="498"/>
    </row>
    <row r="94" spans="1:35" ht="22.15" customHeight="1" thickBot="1" x14ac:dyDescent="0.25">
      <c r="A94" s="179"/>
      <c r="B94" s="1979" t="s">
        <v>155</v>
      </c>
      <c r="C94" s="1363" t="s">
        <v>140</v>
      </c>
      <c r="D94" s="1364"/>
      <c r="E94" s="1365"/>
      <c r="F94" s="1366"/>
      <c r="G94" s="1363" t="s">
        <v>140</v>
      </c>
      <c r="H94" s="1364"/>
      <c r="I94" s="1365"/>
      <c r="J94" s="1366"/>
      <c r="K94" s="1363" t="s">
        <v>140</v>
      </c>
      <c r="L94" s="1364"/>
      <c r="M94" s="1365"/>
      <c r="N94" s="1366"/>
      <c r="O94" s="1363" t="s">
        <v>141</v>
      </c>
      <c r="P94" s="1365"/>
      <c r="Q94" s="1365"/>
      <c r="R94" s="1366"/>
      <c r="S94" s="1363" t="s">
        <v>142</v>
      </c>
      <c r="T94" s="1365"/>
      <c r="U94" s="1365"/>
      <c r="V94" s="1367"/>
      <c r="W94" s="1980"/>
      <c r="X94" s="1365"/>
      <c r="Y94" s="1365"/>
      <c r="Z94" s="1369"/>
      <c r="AA94" s="1367"/>
      <c r="AB94" s="1365"/>
      <c r="AC94" s="1365"/>
      <c r="AD94" s="1367"/>
      <c r="AE94" s="1370">
        <v>37</v>
      </c>
      <c r="AF94" s="1365"/>
      <c r="AG94" s="1357"/>
      <c r="AH94" s="1358"/>
      <c r="AI94" s="1359"/>
    </row>
    <row r="95" spans="1:35" ht="22.15" customHeight="1" x14ac:dyDescent="0.2">
      <c r="A95" s="182"/>
      <c r="B95" s="179"/>
      <c r="C95" s="177"/>
      <c r="D95" s="181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  <c r="AF95" s="177"/>
      <c r="AG95" s="1352"/>
      <c r="AH95" s="1354"/>
      <c r="AI95" s="1361"/>
    </row>
    <row r="96" spans="1:35" ht="22.15" customHeight="1" thickBot="1" x14ac:dyDescent="0.25">
      <c r="A96" s="1372"/>
      <c r="B96" s="1373" t="s">
        <v>29</v>
      </c>
      <c r="C96" s="1186">
        <v>1</v>
      </c>
      <c r="D96" s="1186">
        <v>2</v>
      </c>
      <c r="E96" s="1185">
        <v>3</v>
      </c>
      <c r="F96" s="1185">
        <v>4</v>
      </c>
      <c r="G96" s="1186">
        <v>5</v>
      </c>
      <c r="H96" s="1186">
        <v>6</v>
      </c>
      <c r="I96" s="1186">
        <v>7</v>
      </c>
      <c r="J96" s="1186">
        <v>8</v>
      </c>
      <c r="K96" s="1186">
        <v>9</v>
      </c>
      <c r="L96" s="1185">
        <v>10</v>
      </c>
      <c r="M96" s="1185">
        <v>11</v>
      </c>
      <c r="N96" s="1186">
        <v>12</v>
      </c>
      <c r="O96" s="1186">
        <v>13</v>
      </c>
      <c r="P96" s="1186">
        <v>14</v>
      </c>
      <c r="Q96" s="1186">
        <v>15</v>
      </c>
      <c r="R96" s="1186">
        <v>16</v>
      </c>
      <c r="S96" s="1185">
        <v>17</v>
      </c>
      <c r="T96" s="1185">
        <v>18</v>
      </c>
      <c r="U96" s="1186">
        <v>19</v>
      </c>
      <c r="V96" s="1186">
        <v>20</v>
      </c>
      <c r="W96" s="1186">
        <v>21</v>
      </c>
      <c r="X96" s="1186">
        <v>22</v>
      </c>
      <c r="Y96" s="1186">
        <v>23</v>
      </c>
      <c r="Z96" s="1185">
        <v>24</v>
      </c>
      <c r="AA96" s="1185">
        <v>25</v>
      </c>
      <c r="AB96" s="1186">
        <v>26</v>
      </c>
      <c r="AC96" s="1186">
        <v>27</v>
      </c>
      <c r="AD96" s="1186">
        <v>28</v>
      </c>
      <c r="AE96" s="1186">
        <v>29</v>
      </c>
      <c r="AF96" s="1186">
        <v>30</v>
      </c>
      <c r="AG96" s="2064">
        <v>31</v>
      </c>
      <c r="AH96" s="1367"/>
      <c r="AI96" s="1371"/>
    </row>
    <row r="97" spans="1:38" ht="22.15" customHeight="1" x14ac:dyDescent="0.2">
      <c r="A97" s="499">
        <v>1</v>
      </c>
      <c r="B97" s="476"/>
      <c r="C97" s="541" t="s">
        <v>156</v>
      </c>
      <c r="D97" s="541" t="s">
        <v>156</v>
      </c>
      <c r="E97" s="541"/>
      <c r="F97" s="541"/>
      <c r="G97" s="541" t="s">
        <v>156</v>
      </c>
      <c r="H97" s="541" t="s">
        <v>156</v>
      </c>
      <c r="I97" s="541" t="s">
        <v>156</v>
      </c>
      <c r="J97" s="541" t="s">
        <v>156</v>
      </c>
      <c r="K97" s="541" t="s">
        <v>156</v>
      </c>
      <c r="L97" s="541"/>
      <c r="M97" s="541"/>
      <c r="N97" s="541" t="s">
        <v>110</v>
      </c>
      <c r="O97" s="541" t="s">
        <v>110</v>
      </c>
      <c r="P97" s="544" t="s">
        <v>110</v>
      </c>
      <c r="Q97" s="541" t="s">
        <v>110</v>
      </c>
      <c r="R97" s="541" t="s">
        <v>110</v>
      </c>
      <c r="S97" s="541" t="s">
        <v>46</v>
      </c>
      <c r="T97" s="541" t="s">
        <v>46</v>
      </c>
      <c r="U97" s="541" t="s">
        <v>35</v>
      </c>
      <c r="V97" s="541" t="s">
        <v>35</v>
      </c>
      <c r="W97" s="541" t="s">
        <v>35</v>
      </c>
      <c r="X97" s="540" t="s">
        <v>35</v>
      </c>
      <c r="Y97" s="540" t="s">
        <v>35</v>
      </c>
      <c r="Z97" s="540"/>
      <c r="AA97" s="540"/>
      <c r="AB97" s="541" t="s">
        <v>156</v>
      </c>
      <c r="AC97" s="541" t="s">
        <v>156</v>
      </c>
      <c r="AD97" s="541" t="s">
        <v>156</v>
      </c>
      <c r="AE97" s="541" t="s">
        <v>156</v>
      </c>
      <c r="AF97" s="541" t="s">
        <v>156</v>
      </c>
      <c r="AG97" s="545"/>
      <c r="AH97" s="177"/>
      <c r="AI97" s="177"/>
    </row>
    <row r="98" spans="1:38" ht="22.15" customHeight="1" x14ac:dyDescent="0.2">
      <c r="A98" s="1374">
        <v>2</v>
      </c>
      <c r="B98" s="1202" t="s">
        <v>157</v>
      </c>
      <c r="C98" s="1375" t="s">
        <v>35</v>
      </c>
      <c r="D98" s="1375" t="s">
        <v>35</v>
      </c>
      <c r="E98" s="1375"/>
      <c r="F98" s="1375"/>
      <c r="G98" s="1625" t="s">
        <v>80</v>
      </c>
      <c r="H98" s="1625" t="s">
        <v>80</v>
      </c>
      <c r="I98" s="1625" t="s">
        <v>80</v>
      </c>
      <c r="J98" s="1625" t="s">
        <v>80</v>
      </c>
      <c r="K98" s="1625" t="s">
        <v>80</v>
      </c>
      <c r="L98" s="1215"/>
      <c r="M98" s="1215"/>
      <c r="N98" s="1625" t="s">
        <v>80</v>
      </c>
      <c r="O98" s="1625" t="s">
        <v>80</v>
      </c>
      <c r="P98" s="1625" t="s">
        <v>80</v>
      </c>
      <c r="Q98" s="1625" t="s">
        <v>80</v>
      </c>
      <c r="R98" s="1625" t="s">
        <v>80</v>
      </c>
      <c r="S98" s="1215"/>
      <c r="T98" s="1215"/>
      <c r="U98" s="1380" t="s">
        <v>110</v>
      </c>
      <c r="V98" s="1215" t="s">
        <v>110</v>
      </c>
      <c r="W98" s="1985" t="s">
        <v>110</v>
      </c>
      <c r="X98" s="1215" t="s">
        <v>110</v>
      </c>
      <c r="Y98" s="1215" t="s">
        <v>110</v>
      </c>
      <c r="Z98" s="1215" t="s">
        <v>46</v>
      </c>
      <c r="AA98" s="1380" t="s">
        <v>46</v>
      </c>
      <c r="AB98" s="1376" t="s">
        <v>35</v>
      </c>
      <c r="AC98" s="1380" t="s">
        <v>35</v>
      </c>
      <c r="AD98" s="1380" t="s">
        <v>35</v>
      </c>
      <c r="AE98" s="1380" t="s">
        <v>35</v>
      </c>
      <c r="AF98" s="1380" t="s">
        <v>35</v>
      </c>
      <c r="AG98" s="1378"/>
      <c r="AH98" s="191"/>
      <c r="AI98" s="192"/>
      <c r="AL98" t="s">
        <v>0</v>
      </c>
    </row>
    <row r="99" spans="1:38" ht="22.15" customHeight="1" x14ac:dyDescent="0.2">
      <c r="A99" s="1374">
        <v>3</v>
      </c>
      <c r="B99" s="1379" t="s">
        <v>159</v>
      </c>
      <c r="C99" s="1215" t="s">
        <v>110</v>
      </c>
      <c r="D99" s="1984" t="s">
        <v>110</v>
      </c>
      <c r="E99" s="1267" t="s">
        <v>46</v>
      </c>
      <c r="F99" s="1260" t="s">
        <v>46</v>
      </c>
      <c r="G99" s="1260" t="s">
        <v>35</v>
      </c>
      <c r="H99" s="1260" t="s">
        <v>35</v>
      </c>
      <c r="I99" s="1260" t="s">
        <v>35</v>
      </c>
      <c r="J99" s="1375" t="s">
        <v>35</v>
      </c>
      <c r="K99" s="1375" t="s">
        <v>35</v>
      </c>
      <c r="L99" s="1375"/>
      <c r="M99" s="1375"/>
      <c r="N99" s="1259" t="s">
        <v>248</v>
      </c>
      <c r="O99" s="1259" t="s">
        <v>248</v>
      </c>
      <c r="P99" s="1259" t="s">
        <v>248</v>
      </c>
      <c r="Q99" s="1259" t="s">
        <v>248</v>
      </c>
      <c r="R99" s="1624">
        <v>8</v>
      </c>
      <c r="S99" s="1380"/>
      <c r="T99" s="1380"/>
      <c r="U99" s="1215" t="s">
        <v>156</v>
      </c>
      <c r="V99" s="1215" t="s">
        <v>156</v>
      </c>
      <c r="W99" s="1215" t="s">
        <v>156</v>
      </c>
      <c r="X99" s="1376" t="s">
        <v>156</v>
      </c>
      <c r="Y99" s="2050" t="s">
        <v>156</v>
      </c>
      <c r="Z99" s="1380"/>
      <c r="AA99" s="1380"/>
      <c r="AB99" s="1380" t="s">
        <v>110</v>
      </c>
      <c r="AC99" s="1380" t="s">
        <v>110</v>
      </c>
      <c r="AD99" s="1311" t="s">
        <v>110</v>
      </c>
      <c r="AE99" s="1215" t="s">
        <v>110</v>
      </c>
      <c r="AF99" s="1215" t="s">
        <v>110</v>
      </c>
      <c r="AG99" s="1328" t="s">
        <v>46</v>
      </c>
      <c r="AH99" s="193"/>
      <c r="AI99" s="194"/>
    </row>
    <row r="100" spans="1:38" ht="22.15" customHeight="1" thickBot="1" x14ac:dyDescent="0.25">
      <c r="A100" s="1382">
        <v>4</v>
      </c>
      <c r="B100" s="1383"/>
      <c r="C100" s="1384" t="s">
        <v>156</v>
      </c>
      <c r="D100" s="1384" t="s">
        <v>156</v>
      </c>
      <c r="E100" s="1384" t="s">
        <v>0</v>
      </c>
      <c r="F100" s="1384" t="s">
        <v>0</v>
      </c>
      <c r="G100" s="1384" t="s">
        <v>110</v>
      </c>
      <c r="H100" s="1384" t="s">
        <v>110</v>
      </c>
      <c r="I100" s="1384" t="s">
        <v>110</v>
      </c>
      <c r="J100" s="1384" t="s">
        <v>110</v>
      </c>
      <c r="K100" s="1384" t="s">
        <v>110</v>
      </c>
      <c r="L100" s="1384" t="s">
        <v>46</v>
      </c>
      <c r="M100" s="1384" t="s">
        <v>46</v>
      </c>
      <c r="N100" s="1384" t="s">
        <v>35</v>
      </c>
      <c r="O100" s="1384" t="s">
        <v>35</v>
      </c>
      <c r="P100" s="1384" t="s">
        <v>35</v>
      </c>
      <c r="Q100" s="1384" t="s">
        <v>35</v>
      </c>
      <c r="R100" s="1384" t="s">
        <v>35</v>
      </c>
      <c r="S100" s="1384"/>
      <c r="T100" s="1384"/>
      <c r="U100" s="1384" t="s">
        <v>156</v>
      </c>
      <c r="V100" s="1384" t="s">
        <v>156</v>
      </c>
      <c r="W100" s="1384" t="s">
        <v>156</v>
      </c>
      <c r="X100" s="1384" t="s">
        <v>156</v>
      </c>
      <c r="Y100" s="1384" t="s">
        <v>156</v>
      </c>
      <c r="Z100" s="1384"/>
      <c r="AA100" s="1381"/>
      <c r="AB100" s="1381" t="s">
        <v>156</v>
      </c>
      <c r="AC100" s="1381" t="s">
        <v>156</v>
      </c>
      <c r="AD100" s="1381" t="s">
        <v>156</v>
      </c>
      <c r="AE100" s="1381" t="s">
        <v>156</v>
      </c>
      <c r="AF100" s="1384" t="s">
        <v>156</v>
      </c>
      <c r="AG100" s="1988" t="s">
        <v>0</v>
      </c>
      <c r="AH100" s="193"/>
      <c r="AI100" s="194"/>
    </row>
    <row r="101" spans="1:38" ht="22.15" customHeight="1" thickBot="1" x14ac:dyDescent="0.25">
      <c r="A101" s="231"/>
      <c r="B101" s="232"/>
      <c r="C101" s="233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3"/>
      <c r="U101" s="233"/>
      <c r="V101" s="233"/>
      <c r="W101" s="233"/>
      <c r="X101" s="233"/>
      <c r="Y101" s="233"/>
      <c r="Z101" s="233"/>
      <c r="AA101" s="233"/>
      <c r="AB101" s="233"/>
      <c r="AC101" s="233"/>
      <c r="AD101" s="233"/>
      <c r="AE101" s="233"/>
      <c r="AF101" s="233"/>
      <c r="AG101" s="234"/>
      <c r="AH101" s="193"/>
      <c r="AI101" s="194"/>
    </row>
    <row r="102" spans="1:38" ht="22.15" customHeight="1" x14ac:dyDescent="0.2">
      <c r="A102" s="72"/>
      <c r="B102" s="304" t="s">
        <v>160</v>
      </c>
      <c r="C102" s="500"/>
      <c r="D102" s="501" t="s">
        <v>90</v>
      </c>
      <c r="E102" s="502"/>
      <c r="F102" s="500"/>
      <c r="G102" s="503" t="s">
        <v>91</v>
      </c>
      <c r="H102" s="504"/>
      <c r="I102" s="505"/>
      <c r="J102" s="503" t="s">
        <v>92</v>
      </c>
      <c r="K102" s="506"/>
      <c r="L102" s="505"/>
      <c r="M102" s="507" t="s">
        <v>93</v>
      </c>
      <c r="N102" s="506"/>
      <c r="O102" s="505"/>
      <c r="P102" s="503" t="s">
        <v>94</v>
      </c>
      <c r="Q102" s="508"/>
      <c r="R102" s="505"/>
      <c r="S102" s="503" t="s">
        <v>95</v>
      </c>
      <c r="T102" s="509"/>
      <c r="U102" s="505"/>
      <c r="V102" s="503" t="s">
        <v>96</v>
      </c>
      <c r="W102" s="508"/>
      <c r="X102" s="510" t="s">
        <v>138</v>
      </c>
      <c r="Y102" s="511"/>
      <c r="Z102" s="511"/>
      <c r="AA102" s="512"/>
      <c r="AB102" s="290" t="s">
        <v>97</v>
      </c>
      <c r="AC102" s="291"/>
      <c r="AD102" s="291"/>
      <c r="AE102" s="292"/>
      <c r="AF102" s="292"/>
      <c r="AG102" s="293"/>
      <c r="AH102" s="193"/>
      <c r="AI102" s="194"/>
    </row>
    <row r="103" spans="1:38" ht="22.15" customHeight="1" x14ac:dyDescent="0.2">
      <c r="A103" s="72"/>
      <c r="B103" s="1386" t="s">
        <v>161</v>
      </c>
      <c r="C103" s="1387" t="s">
        <v>162</v>
      </c>
      <c r="D103" s="1169"/>
      <c r="E103" s="1170"/>
      <c r="F103" s="1387" t="s">
        <v>162</v>
      </c>
      <c r="G103" s="1169"/>
      <c r="H103" s="1170"/>
      <c r="I103" s="1387" t="s">
        <v>162</v>
      </c>
      <c r="J103" s="1169"/>
      <c r="K103" s="1170"/>
      <c r="L103" s="1387" t="s">
        <v>162</v>
      </c>
      <c r="M103" s="1169"/>
      <c r="N103" s="1170"/>
      <c r="O103" s="1387" t="s">
        <v>163</v>
      </c>
      <c r="P103" s="1169"/>
      <c r="Q103" s="1170"/>
      <c r="R103" s="1387"/>
      <c r="S103" s="1169"/>
      <c r="T103" s="1170"/>
      <c r="U103" s="1387"/>
      <c r="V103" s="1169"/>
      <c r="W103" s="1170"/>
      <c r="X103" s="1387"/>
      <c r="Y103" s="1388"/>
      <c r="Z103" s="1388"/>
      <c r="AA103" s="1388"/>
      <c r="AB103" s="1166"/>
      <c r="AC103" s="1388"/>
      <c r="AD103" s="1388"/>
      <c r="AE103" s="1388"/>
      <c r="AF103" s="1388"/>
      <c r="AG103" s="1389"/>
      <c r="AH103" s="235"/>
      <c r="AI103" s="194"/>
    </row>
    <row r="104" spans="1:38" ht="22.15" customHeight="1" x14ac:dyDescent="0.2">
      <c r="A104" s="72"/>
      <c r="B104" s="17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235"/>
      <c r="AI104" s="194"/>
    </row>
    <row r="105" spans="1:38" ht="22.15" customHeight="1" thickBot="1" x14ac:dyDescent="0.25">
      <c r="A105" s="1343" t="s">
        <v>28</v>
      </c>
      <c r="B105" s="1247" t="s">
        <v>29</v>
      </c>
      <c r="C105" s="1186">
        <v>1</v>
      </c>
      <c r="D105" s="1186">
        <v>2</v>
      </c>
      <c r="E105" s="1185">
        <v>3</v>
      </c>
      <c r="F105" s="1185">
        <v>4</v>
      </c>
      <c r="G105" s="1186">
        <v>5</v>
      </c>
      <c r="H105" s="1186">
        <v>6</v>
      </c>
      <c r="I105" s="1186">
        <v>7</v>
      </c>
      <c r="J105" s="1186">
        <v>8</v>
      </c>
      <c r="K105" s="1186">
        <v>9</v>
      </c>
      <c r="L105" s="1185">
        <v>10</v>
      </c>
      <c r="M105" s="1185">
        <v>11</v>
      </c>
      <c r="N105" s="1186">
        <v>12</v>
      </c>
      <c r="O105" s="1186">
        <v>13</v>
      </c>
      <c r="P105" s="1186">
        <v>14</v>
      </c>
      <c r="Q105" s="1186">
        <v>15</v>
      </c>
      <c r="R105" s="1186">
        <v>16</v>
      </c>
      <c r="S105" s="1185">
        <v>17</v>
      </c>
      <c r="T105" s="1185">
        <v>18</v>
      </c>
      <c r="U105" s="1186">
        <v>19</v>
      </c>
      <c r="V105" s="1186">
        <v>20</v>
      </c>
      <c r="W105" s="1186">
        <v>21</v>
      </c>
      <c r="X105" s="1186">
        <v>22</v>
      </c>
      <c r="Y105" s="1186">
        <v>23</v>
      </c>
      <c r="Z105" s="1185">
        <v>24</v>
      </c>
      <c r="AA105" s="1185">
        <v>25</v>
      </c>
      <c r="AB105" s="1186">
        <v>26</v>
      </c>
      <c r="AC105" s="1186">
        <v>27</v>
      </c>
      <c r="AD105" s="1186">
        <v>28</v>
      </c>
      <c r="AE105" s="1186">
        <v>29</v>
      </c>
      <c r="AF105" s="1186">
        <v>30</v>
      </c>
      <c r="AG105" s="2064">
        <v>31</v>
      </c>
      <c r="AH105" s="235"/>
      <c r="AI105" s="194"/>
    </row>
    <row r="106" spans="1:38" ht="22.15" customHeight="1" x14ac:dyDescent="0.2">
      <c r="A106" s="513">
        <v>8520</v>
      </c>
      <c r="B106" s="514" t="s">
        <v>164</v>
      </c>
      <c r="C106" s="458" t="s">
        <v>165</v>
      </c>
      <c r="D106" s="458" t="s">
        <v>165</v>
      </c>
      <c r="E106" s="458"/>
      <c r="F106" s="458"/>
      <c r="G106" s="532" t="s">
        <v>165</v>
      </c>
      <c r="H106" s="532" t="s">
        <v>165</v>
      </c>
      <c r="I106" s="532" t="s">
        <v>165</v>
      </c>
      <c r="J106" s="532" t="s">
        <v>165</v>
      </c>
      <c r="K106" s="532" t="s">
        <v>165</v>
      </c>
      <c r="L106" s="532"/>
      <c r="M106" s="532"/>
      <c r="N106" s="458" t="s">
        <v>165</v>
      </c>
      <c r="O106" s="458" t="s">
        <v>165</v>
      </c>
      <c r="P106" s="458" t="s">
        <v>165</v>
      </c>
      <c r="Q106" s="458" t="s">
        <v>165</v>
      </c>
      <c r="R106" s="458" t="s">
        <v>165</v>
      </c>
      <c r="S106" s="458"/>
      <c r="T106" s="458"/>
      <c r="U106" s="458" t="s">
        <v>165</v>
      </c>
      <c r="V106" s="458" t="s">
        <v>165</v>
      </c>
      <c r="W106" s="458" t="s">
        <v>165</v>
      </c>
      <c r="X106" s="458" t="s">
        <v>165</v>
      </c>
      <c r="Y106" s="458" t="s">
        <v>165</v>
      </c>
      <c r="Z106" s="458"/>
      <c r="AA106" s="458"/>
      <c r="AB106" s="458" t="s">
        <v>165</v>
      </c>
      <c r="AC106" s="458" t="s">
        <v>165</v>
      </c>
      <c r="AD106" s="458" t="s">
        <v>165</v>
      </c>
      <c r="AE106" s="458" t="s">
        <v>165</v>
      </c>
      <c r="AF106" s="458" t="s">
        <v>165</v>
      </c>
      <c r="AG106" s="464"/>
      <c r="AH106" s="235"/>
      <c r="AI106" s="194"/>
    </row>
    <row r="107" spans="1:38" ht="22.15" customHeight="1" x14ac:dyDescent="0.2">
      <c r="A107" s="243"/>
      <c r="B107" s="242"/>
      <c r="C107" s="229"/>
      <c r="D107" s="229"/>
      <c r="E107" s="229"/>
      <c r="F107" s="229"/>
      <c r="G107" s="229"/>
      <c r="H107" s="229"/>
      <c r="I107" s="229"/>
      <c r="J107" s="229"/>
      <c r="K107" s="229"/>
      <c r="L107" s="229"/>
      <c r="M107" s="229"/>
      <c r="N107" s="229"/>
      <c r="O107" s="229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  <c r="AE107" s="229"/>
      <c r="AF107" s="229"/>
      <c r="AH107" s="235"/>
      <c r="AI107" s="194"/>
    </row>
    <row r="108" spans="1:38" ht="22.15" customHeight="1" x14ac:dyDescent="0.2">
      <c r="AH108" s="235"/>
      <c r="AI108" s="194"/>
    </row>
    <row r="109" spans="1:38" ht="22.15" customHeight="1" thickBot="1" x14ac:dyDescent="0.25">
      <c r="A109" s="173" t="s">
        <v>166</v>
      </c>
      <c r="B109" s="174"/>
      <c r="C109" s="174"/>
      <c r="D109" s="175"/>
      <c r="E109" s="175"/>
      <c r="F109" s="175"/>
      <c r="G109" s="10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229"/>
      <c r="AH109" s="235"/>
      <c r="AI109" s="194"/>
    </row>
    <row r="110" spans="1:38" ht="22.15" customHeight="1" x14ac:dyDescent="0.2">
      <c r="A110" s="173"/>
      <c r="B110" s="304" t="s">
        <v>167</v>
      </c>
      <c r="C110" s="515"/>
      <c r="D110" s="516" t="s">
        <v>90</v>
      </c>
      <c r="E110" s="517"/>
      <c r="F110" s="518"/>
      <c r="G110" s="515"/>
      <c r="H110" s="516" t="s">
        <v>91</v>
      </c>
      <c r="I110" s="517"/>
      <c r="J110" s="518"/>
      <c r="K110" s="515"/>
      <c r="L110" s="516" t="s">
        <v>92</v>
      </c>
      <c r="M110" s="517"/>
      <c r="N110" s="518"/>
      <c r="O110" s="515"/>
      <c r="P110" s="516" t="s">
        <v>93</v>
      </c>
      <c r="Q110" s="517"/>
      <c r="R110" s="518"/>
      <c r="S110" s="515"/>
      <c r="T110" s="516" t="s">
        <v>94</v>
      </c>
      <c r="U110" s="517"/>
      <c r="V110" s="518"/>
      <c r="W110" s="515"/>
      <c r="X110" s="516" t="s">
        <v>95</v>
      </c>
      <c r="Y110" s="517"/>
      <c r="Z110" s="518"/>
      <c r="AA110" s="515"/>
      <c r="AB110" s="516" t="s">
        <v>96</v>
      </c>
      <c r="AC110" s="517"/>
      <c r="AD110" s="517"/>
      <c r="AE110" s="519" t="s">
        <v>97</v>
      </c>
      <c r="AF110" s="517"/>
      <c r="AH110" s="107"/>
      <c r="AI110" s="107"/>
    </row>
    <row r="111" spans="1:38" ht="22.15" customHeight="1" thickBot="1" x14ac:dyDescent="0.25">
      <c r="A111" s="173"/>
      <c r="B111" s="1390" t="s">
        <v>139</v>
      </c>
      <c r="C111" s="1391">
        <v>69</v>
      </c>
      <c r="D111" s="1392" t="s">
        <v>168</v>
      </c>
      <c r="E111" s="1392"/>
      <c r="F111" s="1393"/>
      <c r="G111" s="1391">
        <v>69</v>
      </c>
      <c r="H111" s="1392" t="s">
        <v>168</v>
      </c>
      <c r="I111" s="1392"/>
      <c r="J111" s="1393"/>
      <c r="K111" s="1391">
        <v>69</v>
      </c>
      <c r="L111" s="1392" t="s">
        <v>168</v>
      </c>
      <c r="M111" s="1392"/>
      <c r="N111" s="1393"/>
      <c r="O111" s="1391">
        <v>69</v>
      </c>
      <c r="P111" s="1392" t="s">
        <v>168</v>
      </c>
      <c r="Q111" s="1392"/>
      <c r="R111" s="1393"/>
      <c r="S111" s="1391">
        <v>69</v>
      </c>
      <c r="T111" s="1392" t="s">
        <v>168</v>
      </c>
      <c r="U111" s="1392"/>
      <c r="V111" s="1393"/>
      <c r="W111" s="1391"/>
      <c r="X111" s="1394"/>
      <c r="Y111" s="1394"/>
      <c r="Z111" s="1395"/>
      <c r="AA111" s="1391"/>
      <c r="AB111" s="1392"/>
      <c r="AC111" s="1392"/>
      <c r="AD111" s="1284"/>
      <c r="AE111" s="1396">
        <v>35</v>
      </c>
      <c r="AF111" s="1392"/>
      <c r="AG111" s="175"/>
      <c r="AH111" s="174"/>
      <c r="AI111" s="174"/>
    </row>
    <row r="112" spans="1:38" ht="22.15" customHeight="1" x14ac:dyDescent="0.2">
      <c r="A112" s="173"/>
      <c r="B112" s="1390" t="s">
        <v>143</v>
      </c>
      <c r="C112" s="1391">
        <v>79</v>
      </c>
      <c r="D112" s="1392" t="s">
        <v>169</v>
      </c>
      <c r="E112" s="1392"/>
      <c r="F112" s="1393"/>
      <c r="G112" s="1391">
        <v>79</v>
      </c>
      <c r="H112" s="1392" t="s">
        <v>169</v>
      </c>
      <c r="I112" s="1392"/>
      <c r="J112" s="1393"/>
      <c r="K112" s="1391">
        <v>79</v>
      </c>
      <c r="L112" s="1392" t="s">
        <v>169</v>
      </c>
      <c r="M112" s="1392"/>
      <c r="N112" s="1393"/>
      <c r="O112" s="1391">
        <v>79</v>
      </c>
      <c r="P112" s="1392" t="s">
        <v>169</v>
      </c>
      <c r="Q112" s="1392"/>
      <c r="R112" s="1393"/>
      <c r="S112" s="1391">
        <v>79</v>
      </c>
      <c r="T112" s="1392" t="s">
        <v>169</v>
      </c>
      <c r="U112" s="1392"/>
      <c r="V112" s="1393"/>
      <c r="W112" s="1391"/>
      <c r="X112" s="1392"/>
      <c r="Y112" s="1392"/>
      <c r="Z112" s="1393"/>
      <c r="AA112" s="1392"/>
      <c r="AB112" s="1392"/>
      <c r="AC112" s="1392"/>
      <c r="AD112" s="1284"/>
      <c r="AE112" s="1396">
        <v>40</v>
      </c>
      <c r="AF112" s="1392"/>
      <c r="AG112" s="517"/>
      <c r="AH112" s="517"/>
      <c r="AI112" s="520"/>
    </row>
    <row r="113" spans="1:35" ht="22.15" customHeight="1" x14ac:dyDescent="0.2">
      <c r="A113" s="173"/>
      <c r="B113" s="1390" t="s">
        <v>153</v>
      </c>
      <c r="C113" s="1391">
        <v>89</v>
      </c>
      <c r="D113" s="1392" t="s">
        <v>170</v>
      </c>
      <c r="E113" s="1392"/>
      <c r="F113" s="1393"/>
      <c r="G113" s="1391">
        <v>89</v>
      </c>
      <c r="H113" s="1392" t="s">
        <v>170</v>
      </c>
      <c r="I113" s="1392"/>
      <c r="J113" s="1393"/>
      <c r="K113" s="1391">
        <v>89</v>
      </c>
      <c r="L113" s="1392" t="s">
        <v>170</v>
      </c>
      <c r="M113" s="1392"/>
      <c r="N113" s="1393"/>
      <c r="O113" s="1391">
        <v>89</v>
      </c>
      <c r="P113" s="1392" t="s">
        <v>170</v>
      </c>
      <c r="Q113" s="1392"/>
      <c r="R113" s="1393"/>
      <c r="S113" s="1391">
        <v>89</v>
      </c>
      <c r="T113" s="1392" t="s">
        <v>171</v>
      </c>
      <c r="U113" s="1392"/>
      <c r="V113" s="1393"/>
      <c r="W113" s="1398"/>
      <c r="X113" s="1399" t="s">
        <v>172</v>
      </c>
      <c r="Y113" s="1399"/>
      <c r="Z113" s="1400"/>
      <c r="AA113" s="1398"/>
      <c r="AB113" s="1399"/>
      <c r="AC113" s="1399"/>
      <c r="AD113" s="1286"/>
      <c r="AE113" s="1396">
        <v>44</v>
      </c>
      <c r="AF113" s="1392"/>
      <c r="AG113" s="1392"/>
      <c r="AH113" s="1284"/>
      <c r="AI113" s="1397"/>
    </row>
    <row r="114" spans="1:35" ht="22.15" customHeight="1" x14ac:dyDescent="0.2">
      <c r="A114" s="173"/>
      <c r="B114" s="38" t="s">
        <v>155</v>
      </c>
      <c r="C114" s="1398">
        <v>99</v>
      </c>
      <c r="D114" s="1399" t="s">
        <v>173</v>
      </c>
      <c r="E114" s="1399"/>
      <c r="F114" s="1400"/>
      <c r="G114" s="1398">
        <v>99</v>
      </c>
      <c r="H114" s="1399" t="s">
        <v>173</v>
      </c>
      <c r="I114" s="1399"/>
      <c r="J114" s="1400"/>
      <c r="K114" s="1398">
        <v>99</v>
      </c>
      <c r="L114" s="1399" t="s">
        <v>173</v>
      </c>
      <c r="M114" s="1399"/>
      <c r="N114" s="1400"/>
      <c r="O114" s="1398">
        <v>99</v>
      </c>
      <c r="P114" s="1399" t="s">
        <v>173</v>
      </c>
      <c r="Q114" s="1399"/>
      <c r="R114" s="1400"/>
      <c r="S114" s="1398">
        <v>99</v>
      </c>
      <c r="T114" s="1399" t="s">
        <v>154</v>
      </c>
      <c r="U114" s="1399"/>
      <c r="V114" s="1286"/>
      <c r="W114" s="1285"/>
      <c r="X114" s="1286"/>
      <c r="Y114" s="1399"/>
      <c r="Z114" s="1400"/>
      <c r="AA114" s="1285"/>
      <c r="AB114" s="1286"/>
      <c r="AC114" s="1399"/>
      <c r="AD114" s="1400"/>
      <c r="AE114" s="1401">
        <v>28</v>
      </c>
      <c r="AF114" s="1399"/>
      <c r="AG114" s="1392"/>
      <c r="AH114" s="1284"/>
      <c r="AI114" s="1397"/>
    </row>
    <row r="115" spans="1:35" ht="22.15" customHeight="1" thickBot="1" x14ac:dyDescent="0.25">
      <c r="A115" s="173"/>
      <c r="B115" s="1989" t="s">
        <v>174</v>
      </c>
      <c r="C115" s="1404" t="s">
        <v>175</v>
      </c>
      <c r="D115" s="1405" t="s">
        <v>176</v>
      </c>
      <c r="E115" s="1406"/>
      <c r="F115" s="1240"/>
      <c r="G115" s="1404" t="s">
        <v>175</v>
      </c>
      <c r="H115" s="1405" t="s">
        <v>176</v>
      </c>
      <c r="I115" s="1238"/>
      <c r="J115" s="1406"/>
      <c r="K115" s="1404" t="s">
        <v>175</v>
      </c>
      <c r="L115" s="1405" t="s">
        <v>176</v>
      </c>
      <c r="M115" s="1406"/>
      <c r="N115" s="1407"/>
      <c r="O115" s="1404" t="s">
        <v>175</v>
      </c>
      <c r="P115" s="1405" t="s">
        <v>176</v>
      </c>
      <c r="Q115" s="1406"/>
      <c r="R115" s="1405"/>
      <c r="S115" s="1404" t="s">
        <v>175</v>
      </c>
      <c r="T115" s="1242" t="s">
        <v>177</v>
      </c>
      <c r="U115" s="1405"/>
      <c r="V115" s="1407"/>
      <c r="W115" s="1406"/>
      <c r="X115" s="1405"/>
      <c r="Y115" s="1405"/>
      <c r="Z115" s="1405"/>
      <c r="AA115" s="1408"/>
      <c r="AB115" s="1409"/>
      <c r="AC115" s="1405"/>
      <c r="AD115" s="1410"/>
      <c r="AE115" s="1405"/>
      <c r="AF115" s="1405"/>
      <c r="AG115" s="1392"/>
      <c r="AH115" s="1284"/>
      <c r="AI115" s="1397"/>
    </row>
    <row r="116" spans="1:35" ht="22.15" customHeight="1" x14ac:dyDescent="0.2">
      <c r="A116" s="108"/>
      <c r="B116" s="173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399"/>
      <c r="AH116" s="1286"/>
      <c r="AI116" s="1402"/>
    </row>
    <row r="117" spans="1:35" ht="22.15" customHeight="1" thickBot="1" x14ac:dyDescent="0.25">
      <c r="A117" s="1343"/>
      <c r="B117" s="1247" t="s">
        <v>29</v>
      </c>
      <c r="C117" s="1186">
        <v>1</v>
      </c>
      <c r="D117" s="1186">
        <v>2</v>
      </c>
      <c r="E117" s="1185">
        <v>3</v>
      </c>
      <c r="F117" s="1185">
        <v>4</v>
      </c>
      <c r="G117" s="1186">
        <v>5</v>
      </c>
      <c r="H117" s="1186">
        <v>6</v>
      </c>
      <c r="I117" s="1186">
        <v>7</v>
      </c>
      <c r="J117" s="1186">
        <v>8</v>
      </c>
      <c r="K117" s="1186">
        <v>9</v>
      </c>
      <c r="L117" s="1185">
        <v>10</v>
      </c>
      <c r="M117" s="1185">
        <v>11</v>
      </c>
      <c r="N117" s="1186">
        <v>12</v>
      </c>
      <c r="O117" s="1186">
        <v>13</v>
      </c>
      <c r="P117" s="1186">
        <v>14</v>
      </c>
      <c r="Q117" s="1186">
        <v>15</v>
      </c>
      <c r="R117" s="1186">
        <v>16</v>
      </c>
      <c r="S117" s="1185">
        <v>17</v>
      </c>
      <c r="T117" s="1185">
        <v>18</v>
      </c>
      <c r="U117" s="1186">
        <v>19</v>
      </c>
      <c r="V117" s="1186">
        <v>20</v>
      </c>
      <c r="W117" s="1186">
        <v>21</v>
      </c>
      <c r="X117" s="1186">
        <v>22</v>
      </c>
      <c r="Y117" s="1186">
        <v>23</v>
      </c>
      <c r="Z117" s="1185">
        <v>24</v>
      </c>
      <c r="AA117" s="1185">
        <v>25</v>
      </c>
      <c r="AB117" s="1186">
        <v>26</v>
      </c>
      <c r="AC117" s="1186">
        <v>27</v>
      </c>
      <c r="AD117" s="1186">
        <v>28</v>
      </c>
      <c r="AE117" s="1186">
        <v>29</v>
      </c>
      <c r="AF117" s="1186">
        <v>30</v>
      </c>
      <c r="AG117" s="2064">
        <v>31</v>
      </c>
      <c r="AH117" s="1411"/>
      <c r="AI117" s="1412"/>
    </row>
    <row r="118" spans="1:35" ht="22.15" customHeight="1" x14ac:dyDescent="0.2">
      <c r="A118" s="521">
        <v>1</v>
      </c>
      <c r="B118" s="522" t="s">
        <v>178</v>
      </c>
      <c r="C118" s="1259">
        <v>79</v>
      </c>
      <c r="D118" s="1259">
        <v>79</v>
      </c>
      <c r="E118" s="458"/>
      <c r="F118" s="458"/>
      <c r="G118" s="532">
        <v>89</v>
      </c>
      <c r="H118" s="532">
        <v>89</v>
      </c>
      <c r="I118" s="532">
        <v>89</v>
      </c>
      <c r="J118" s="532">
        <v>89</v>
      </c>
      <c r="K118" s="532">
        <v>89</v>
      </c>
      <c r="L118" s="532">
        <v>89</v>
      </c>
      <c r="M118" s="532"/>
      <c r="N118" s="477">
        <v>99</v>
      </c>
      <c r="O118" s="477">
        <v>99</v>
      </c>
      <c r="P118" s="477">
        <v>99</v>
      </c>
      <c r="Q118" s="624">
        <v>99</v>
      </c>
      <c r="R118" s="477" t="s">
        <v>35</v>
      </c>
      <c r="S118" s="458"/>
      <c r="T118" s="458"/>
      <c r="U118" s="477" t="s">
        <v>175</v>
      </c>
      <c r="V118" s="477" t="s">
        <v>175</v>
      </c>
      <c r="W118" s="477" t="s">
        <v>175</v>
      </c>
      <c r="X118" s="477" t="s">
        <v>175</v>
      </c>
      <c r="Y118" s="477" t="s">
        <v>175</v>
      </c>
      <c r="Z118" s="477"/>
      <c r="AA118" s="459"/>
      <c r="AB118" s="477">
        <v>69</v>
      </c>
      <c r="AC118" s="477">
        <v>69</v>
      </c>
      <c r="AD118" s="477">
        <v>69</v>
      </c>
      <c r="AE118" s="477">
        <v>69</v>
      </c>
      <c r="AF118" s="477">
        <v>69</v>
      </c>
      <c r="AG118" s="478"/>
      <c r="AH118" s="174"/>
      <c r="AI118" s="174"/>
    </row>
    <row r="119" spans="1:35" ht="22.15" customHeight="1" x14ac:dyDescent="0.2">
      <c r="A119" s="1415">
        <v>2</v>
      </c>
      <c r="B119" s="1330" t="s">
        <v>179</v>
      </c>
      <c r="C119" s="1259">
        <v>69</v>
      </c>
      <c r="D119" s="1259">
        <v>69</v>
      </c>
      <c r="E119" s="1258">
        <v>89</v>
      </c>
      <c r="F119" s="1258"/>
      <c r="G119" s="1259">
        <v>99</v>
      </c>
      <c r="H119" s="1259">
        <v>99</v>
      </c>
      <c r="I119" s="1259">
        <v>99</v>
      </c>
      <c r="J119" s="1259">
        <v>99</v>
      </c>
      <c r="K119" s="1259" t="s">
        <v>35</v>
      </c>
      <c r="L119" s="1258"/>
      <c r="M119" s="1258"/>
      <c r="N119" s="1259" t="s">
        <v>175</v>
      </c>
      <c r="O119" s="1259" t="s">
        <v>175</v>
      </c>
      <c r="P119" s="1259" t="s">
        <v>175</v>
      </c>
      <c r="Q119" s="1259" t="s">
        <v>175</v>
      </c>
      <c r="R119" s="1259" t="s">
        <v>175</v>
      </c>
      <c r="S119" s="1259"/>
      <c r="T119" s="1258"/>
      <c r="U119" s="1259">
        <v>69</v>
      </c>
      <c r="V119" s="1259">
        <v>69</v>
      </c>
      <c r="W119" s="1259">
        <v>69</v>
      </c>
      <c r="X119" s="1259">
        <v>69</v>
      </c>
      <c r="Y119" s="1259">
        <v>69</v>
      </c>
      <c r="Z119" s="1258"/>
      <c r="AA119" s="1258"/>
      <c r="AB119" s="1199">
        <v>79</v>
      </c>
      <c r="AC119" s="1199">
        <v>79</v>
      </c>
      <c r="AD119" s="1199">
        <v>79</v>
      </c>
      <c r="AE119" s="1199">
        <v>79</v>
      </c>
      <c r="AF119" s="1199">
        <v>79</v>
      </c>
      <c r="AG119" s="1416"/>
      <c r="AH119" s="184"/>
      <c r="AI119" s="185"/>
    </row>
    <row r="120" spans="1:35" ht="22.15" customHeight="1" x14ac:dyDescent="0.2">
      <c r="A120" s="1415">
        <v>3</v>
      </c>
      <c r="B120" s="1330" t="s">
        <v>180</v>
      </c>
      <c r="C120" s="1413">
        <v>2</v>
      </c>
      <c r="D120" s="1413">
        <v>2</v>
      </c>
      <c r="E120" s="1413"/>
      <c r="F120" s="1413"/>
      <c r="G120" s="1413" t="s">
        <v>175</v>
      </c>
      <c r="H120" s="1413" t="s">
        <v>175</v>
      </c>
      <c r="I120" s="1413" t="s">
        <v>175</v>
      </c>
      <c r="J120" s="1413" t="s">
        <v>175</v>
      </c>
      <c r="K120" s="1413" t="s">
        <v>175</v>
      </c>
      <c r="L120" s="1413"/>
      <c r="M120" s="1413"/>
      <c r="N120" s="1413">
        <v>69</v>
      </c>
      <c r="O120" s="2083">
        <v>69</v>
      </c>
      <c r="P120" s="1413">
        <v>69</v>
      </c>
      <c r="Q120" s="1413">
        <v>69</v>
      </c>
      <c r="R120" s="1413">
        <v>69</v>
      </c>
      <c r="S120" s="1413"/>
      <c r="T120" s="1413"/>
      <c r="U120" s="1259" t="s">
        <v>339</v>
      </c>
      <c r="V120" s="1259" t="s">
        <v>339</v>
      </c>
      <c r="W120" s="1259" t="s">
        <v>339</v>
      </c>
      <c r="X120" s="1259" t="s">
        <v>339</v>
      </c>
      <c r="Y120" s="1259" t="s">
        <v>339</v>
      </c>
      <c r="Z120" s="1413"/>
      <c r="AA120" s="1413"/>
      <c r="AB120" s="1413">
        <v>1</v>
      </c>
      <c r="AC120" s="1413">
        <v>1</v>
      </c>
      <c r="AD120" s="1414">
        <v>5</v>
      </c>
      <c r="AE120" s="1413">
        <v>1</v>
      </c>
      <c r="AF120" s="1413">
        <v>1</v>
      </c>
      <c r="AG120" s="1417" t="s">
        <v>0</v>
      </c>
      <c r="AH120" s="215"/>
      <c r="AI120" s="107"/>
    </row>
    <row r="121" spans="1:35" ht="22.15" customHeight="1" thickBot="1" x14ac:dyDescent="0.25">
      <c r="A121" s="1415">
        <v>4</v>
      </c>
      <c r="B121" s="1330" t="s">
        <v>0</v>
      </c>
      <c r="C121" s="1344" t="s">
        <v>175</v>
      </c>
      <c r="D121" s="1344" t="s">
        <v>175</v>
      </c>
      <c r="E121" s="1344"/>
      <c r="F121" s="1258"/>
      <c r="G121" s="1258">
        <v>69</v>
      </c>
      <c r="H121" s="1258">
        <v>69</v>
      </c>
      <c r="I121" s="1258">
        <v>69</v>
      </c>
      <c r="J121" s="1258">
        <v>69</v>
      </c>
      <c r="K121" s="1259">
        <v>69</v>
      </c>
      <c r="L121" s="1258"/>
      <c r="M121" s="1258"/>
      <c r="N121" s="1258">
        <v>79</v>
      </c>
      <c r="O121" s="1258">
        <v>79</v>
      </c>
      <c r="P121" s="1258">
        <v>79</v>
      </c>
      <c r="Q121" s="1344">
        <v>79</v>
      </c>
      <c r="R121" s="1344">
        <v>79</v>
      </c>
      <c r="S121" s="1258"/>
      <c r="T121" s="1258"/>
      <c r="U121" s="1258">
        <v>89</v>
      </c>
      <c r="V121" s="1258">
        <v>89</v>
      </c>
      <c r="W121" s="1258">
        <v>89</v>
      </c>
      <c r="X121" s="1258">
        <v>89</v>
      </c>
      <c r="Y121" s="1344">
        <v>89</v>
      </c>
      <c r="Z121" s="1311">
        <v>89</v>
      </c>
      <c r="AA121" s="1258"/>
      <c r="AB121" s="1258">
        <v>99</v>
      </c>
      <c r="AC121" s="1258">
        <v>99</v>
      </c>
      <c r="AD121" s="1258">
        <v>99</v>
      </c>
      <c r="AE121" s="1258">
        <v>99</v>
      </c>
      <c r="AF121" s="1344" t="s">
        <v>35</v>
      </c>
      <c r="AG121" s="1418"/>
      <c r="AH121" s="216"/>
      <c r="AI121" s="172"/>
    </row>
    <row r="122" spans="1:35" ht="22.15" customHeight="1" thickBot="1" x14ac:dyDescent="0.25">
      <c r="A122" s="1419">
        <v>5</v>
      </c>
      <c r="B122" s="1420" t="s">
        <v>182</v>
      </c>
      <c r="C122" s="1259">
        <v>69</v>
      </c>
      <c r="D122" s="1259">
        <v>69</v>
      </c>
      <c r="E122" s="1421"/>
      <c r="F122" s="1254"/>
      <c r="G122" s="1255">
        <v>79</v>
      </c>
      <c r="H122" s="1255">
        <v>79</v>
      </c>
      <c r="I122" s="1255">
        <v>79</v>
      </c>
      <c r="J122" s="1255">
        <v>79</v>
      </c>
      <c r="K122" s="1255">
        <v>79</v>
      </c>
      <c r="L122" s="1254"/>
      <c r="M122" s="1254"/>
      <c r="N122" s="1256">
        <v>89</v>
      </c>
      <c r="O122" s="1256">
        <v>89</v>
      </c>
      <c r="P122" s="1256">
        <v>89</v>
      </c>
      <c r="Q122" s="1256">
        <v>89</v>
      </c>
      <c r="R122" s="1256">
        <v>89</v>
      </c>
      <c r="S122" s="1256">
        <v>89</v>
      </c>
      <c r="T122" s="1256"/>
      <c r="U122" s="1421">
        <v>99</v>
      </c>
      <c r="V122" s="1421">
        <v>99</v>
      </c>
      <c r="W122" s="1421">
        <v>99</v>
      </c>
      <c r="X122" s="1421">
        <v>99</v>
      </c>
      <c r="Y122" s="1421" t="s">
        <v>35</v>
      </c>
      <c r="Z122" s="1998"/>
      <c r="AA122" s="1998"/>
      <c r="AB122" s="477" t="s">
        <v>175</v>
      </c>
      <c r="AC122" s="477" t="s">
        <v>175</v>
      </c>
      <c r="AD122" s="477" t="s">
        <v>175</v>
      </c>
      <c r="AE122" s="477" t="s">
        <v>175</v>
      </c>
      <c r="AF122" s="477" t="s">
        <v>175</v>
      </c>
      <c r="AG122" s="1999"/>
      <c r="AH122" s="215"/>
      <c r="AI122" s="107"/>
    </row>
    <row r="123" spans="1:35" ht="22.15" customHeight="1" x14ac:dyDescent="0.2">
      <c r="A123" s="256"/>
      <c r="B123" s="257"/>
      <c r="C123" s="258"/>
      <c r="D123" s="258"/>
      <c r="E123" s="258"/>
      <c r="F123" s="229"/>
      <c r="G123" s="255"/>
      <c r="H123" s="255"/>
      <c r="I123" s="255"/>
      <c r="J123" s="255"/>
      <c r="K123" s="255"/>
      <c r="L123" s="229"/>
      <c r="M123" s="229"/>
      <c r="N123" s="258"/>
      <c r="O123" s="258"/>
      <c r="P123" s="258"/>
      <c r="Q123" s="258"/>
      <c r="R123" s="258"/>
      <c r="S123" s="229"/>
      <c r="T123" s="259"/>
      <c r="U123" s="258"/>
      <c r="V123" s="258"/>
      <c r="W123" s="258"/>
      <c r="X123" s="258"/>
      <c r="Y123" s="258"/>
      <c r="Z123" s="260"/>
      <c r="AA123" s="260"/>
      <c r="AB123" s="258"/>
      <c r="AC123" s="258"/>
      <c r="AD123" s="258"/>
      <c r="AE123" s="258"/>
      <c r="AF123" s="258"/>
      <c r="AH123" s="215"/>
      <c r="AI123" s="107"/>
    </row>
    <row r="124" spans="1:35" ht="22.15" customHeight="1" x14ac:dyDescent="0.2">
      <c r="A124" s="109"/>
      <c r="B124" s="110"/>
      <c r="C124" s="106"/>
      <c r="D124" s="106"/>
      <c r="E124" s="106"/>
      <c r="F124" s="106"/>
      <c r="G124" s="106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H124" s="215"/>
      <c r="AI124" s="107"/>
    </row>
    <row r="125" spans="1:35" ht="22.15" customHeight="1" thickBot="1" x14ac:dyDescent="0.25">
      <c r="A125" s="173" t="s">
        <v>183</v>
      </c>
      <c r="B125" s="174"/>
      <c r="C125" s="174"/>
      <c r="D125" s="175"/>
      <c r="E125" s="175"/>
      <c r="F125" s="175"/>
      <c r="G125" s="10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260"/>
      <c r="AH125" s="215"/>
      <c r="AI125" s="107"/>
    </row>
    <row r="126" spans="1:35" ht="22.15" customHeight="1" x14ac:dyDescent="0.2">
      <c r="A126" s="173"/>
      <c r="B126" s="304" t="s">
        <v>167</v>
      </c>
      <c r="C126" s="515"/>
      <c r="D126" s="516" t="s">
        <v>90</v>
      </c>
      <c r="E126" s="517"/>
      <c r="F126" s="518"/>
      <c r="G126" s="515"/>
      <c r="H126" s="516" t="s">
        <v>91</v>
      </c>
      <c r="I126" s="517"/>
      <c r="J126" s="518"/>
      <c r="K126" s="515"/>
      <c r="L126" s="516" t="s">
        <v>92</v>
      </c>
      <c r="M126" s="517"/>
      <c r="N126" s="518"/>
      <c r="O126" s="515"/>
      <c r="P126" s="516" t="s">
        <v>93</v>
      </c>
      <c r="Q126" s="517"/>
      <c r="R126" s="518"/>
      <c r="S126" s="515"/>
      <c r="T126" s="516" t="s">
        <v>94</v>
      </c>
      <c r="U126" s="517"/>
      <c r="V126" s="518"/>
      <c r="W126" s="515"/>
      <c r="X126" s="516" t="s">
        <v>95</v>
      </c>
      <c r="Y126" s="517"/>
      <c r="Z126" s="518"/>
      <c r="AA126" s="515"/>
      <c r="AB126" s="516" t="s">
        <v>96</v>
      </c>
      <c r="AC126" s="517"/>
      <c r="AD126" s="517"/>
      <c r="AE126" s="519" t="s">
        <v>97</v>
      </c>
      <c r="AF126" s="517"/>
      <c r="AG126" s="106"/>
      <c r="AH126" s="107"/>
      <c r="AI126" s="107"/>
    </row>
    <row r="127" spans="1:35" ht="22.15" customHeight="1" thickBot="1" x14ac:dyDescent="0.25">
      <c r="A127" s="173"/>
      <c r="B127" s="1390" t="s">
        <v>184</v>
      </c>
      <c r="C127" s="1283" t="s">
        <v>185</v>
      </c>
      <c r="D127" s="1392"/>
      <c r="E127" s="1392"/>
      <c r="F127" s="1393"/>
      <c r="G127" s="1283" t="s">
        <v>185</v>
      </c>
      <c r="H127" s="1392"/>
      <c r="I127" s="1392"/>
      <c r="J127" s="1393"/>
      <c r="K127" s="1283" t="s">
        <v>185</v>
      </c>
      <c r="L127" s="1392"/>
      <c r="M127" s="1392"/>
      <c r="N127" s="1393"/>
      <c r="O127" s="1283" t="s">
        <v>185</v>
      </c>
      <c r="P127" s="1392"/>
      <c r="Q127" s="1392"/>
      <c r="R127" s="1393"/>
      <c r="S127" s="1283" t="s">
        <v>185</v>
      </c>
      <c r="T127" s="1392"/>
      <c r="U127" s="1392"/>
      <c r="V127" s="1393"/>
      <c r="W127" s="1283" t="s">
        <v>186</v>
      </c>
      <c r="X127" s="1394"/>
      <c r="Y127" s="1394"/>
      <c r="Z127" s="1395"/>
      <c r="AA127" s="1283" t="s">
        <v>186</v>
      </c>
      <c r="AB127" s="1392"/>
      <c r="AC127" s="1392"/>
      <c r="AD127" s="1284"/>
      <c r="AE127" s="1396">
        <v>68</v>
      </c>
      <c r="AF127" s="208"/>
      <c r="AG127" s="175"/>
      <c r="AH127" s="174"/>
      <c r="AI127" s="174"/>
    </row>
    <row r="128" spans="1:35" ht="22.15" customHeight="1" x14ac:dyDescent="0.2">
      <c r="A128" s="173"/>
      <c r="B128" s="1390" t="s">
        <v>143</v>
      </c>
      <c r="C128" s="1283" t="s">
        <v>154</v>
      </c>
      <c r="D128" s="1392"/>
      <c r="E128" s="1392"/>
      <c r="F128" s="1393"/>
      <c r="G128" s="1283" t="s">
        <v>154</v>
      </c>
      <c r="H128" s="1392"/>
      <c r="I128" s="1392"/>
      <c r="J128" s="1393"/>
      <c r="K128" s="1283" t="s">
        <v>154</v>
      </c>
      <c r="L128" s="1392"/>
      <c r="M128" s="1392"/>
      <c r="N128" s="1393"/>
      <c r="O128" s="1283" t="s">
        <v>154</v>
      </c>
      <c r="P128" s="1392"/>
      <c r="Q128" s="1392"/>
      <c r="R128" s="1393"/>
      <c r="S128" s="1283" t="s">
        <v>154</v>
      </c>
      <c r="T128" s="1392"/>
      <c r="U128" s="1392"/>
      <c r="V128" s="1393"/>
      <c r="W128" s="1283" t="s">
        <v>154</v>
      </c>
      <c r="X128" s="1392"/>
      <c r="Y128" s="1392"/>
      <c r="Z128" s="1393"/>
      <c r="AA128" s="1392" t="s">
        <v>154</v>
      </c>
      <c r="AB128" s="1392"/>
      <c r="AC128" s="1392"/>
      <c r="AD128" s="1284"/>
      <c r="AE128" s="1396">
        <v>0</v>
      </c>
      <c r="AF128" s="208"/>
      <c r="AG128" s="517"/>
      <c r="AH128" s="517"/>
      <c r="AI128" s="520"/>
    </row>
    <row r="129" spans="1:35" ht="22.15" customHeight="1" x14ac:dyDescent="0.2">
      <c r="A129" s="173"/>
      <c r="B129" s="1390" t="s">
        <v>187</v>
      </c>
      <c r="C129" s="1283" t="s">
        <v>185</v>
      </c>
      <c r="D129" s="1392"/>
      <c r="E129" s="1392"/>
      <c r="F129" s="1393"/>
      <c r="G129" s="1283" t="s">
        <v>185</v>
      </c>
      <c r="H129" s="1392"/>
      <c r="I129" s="1392"/>
      <c r="J129" s="1393"/>
      <c r="K129" s="1283" t="s">
        <v>185</v>
      </c>
      <c r="L129" s="1392"/>
      <c r="M129" s="1392"/>
      <c r="N129" s="1393"/>
      <c r="O129" s="1283" t="s">
        <v>185</v>
      </c>
      <c r="P129" s="1392"/>
      <c r="Q129" s="1392"/>
      <c r="R129" s="1393"/>
      <c r="S129" s="1283" t="s">
        <v>185</v>
      </c>
      <c r="T129" s="1392"/>
      <c r="U129" s="1392"/>
      <c r="V129" s="1393"/>
      <c r="W129" s="1283" t="s">
        <v>186</v>
      </c>
      <c r="X129" s="1394"/>
      <c r="Y129" s="1394"/>
      <c r="Z129" s="1395"/>
      <c r="AA129" s="1283" t="s">
        <v>186</v>
      </c>
      <c r="AB129" s="1392"/>
      <c r="AC129" s="1392"/>
      <c r="AD129" s="1284"/>
      <c r="AE129" s="1396">
        <v>68</v>
      </c>
      <c r="AF129" s="1392"/>
      <c r="AG129" s="208"/>
      <c r="AH129" s="208"/>
      <c r="AI129" s="209"/>
    </row>
    <row r="130" spans="1:35" ht="22.15" customHeight="1" x14ac:dyDescent="0.2">
      <c r="A130" s="173"/>
      <c r="B130" s="1390" t="s">
        <v>155</v>
      </c>
      <c r="C130" s="1283" t="s">
        <v>154</v>
      </c>
      <c r="D130" s="1392"/>
      <c r="E130" s="1392"/>
      <c r="F130" s="1393"/>
      <c r="G130" s="1283" t="s">
        <v>154</v>
      </c>
      <c r="H130" s="1392"/>
      <c r="I130" s="1392"/>
      <c r="J130" s="1393"/>
      <c r="K130" s="1283" t="s">
        <v>154</v>
      </c>
      <c r="L130" s="1392"/>
      <c r="M130" s="1392"/>
      <c r="N130" s="1393"/>
      <c r="O130" s="1283" t="s">
        <v>154</v>
      </c>
      <c r="P130" s="1392"/>
      <c r="Q130" s="1392"/>
      <c r="R130" s="1393"/>
      <c r="S130" s="1283" t="s">
        <v>154</v>
      </c>
      <c r="T130" s="1392"/>
      <c r="U130" s="1392"/>
      <c r="V130" s="1393"/>
      <c r="W130" s="1283" t="s">
        <v>154</v>
      </c>
      <c r="X130" s="1392"/>
      <c r="Y130" s="1392"/>
      <c r="Z130" s="1393"/>
      <c r="AA130" s="1392" t="s">
        <v>154</v>
      </c>
      <c r="AB130" s="1392"/>
      <c r="AC130" s="1392"/>
      <c r="AD130" s="1284"/>
      <c r="AE130" s="1396">
        <v>0</v>
      </c>
      <c r="AF130" s="1392"/>
      <c r="AG130" s="208"/>
      <c r="AH130" s="208"/>
      <c r="AI130" s="209"/>
    </row>
    <row r="131" spans="1:35" ht="22.15" customHeight="1" x14ac:dyDescent="0.2">
      <c r="A131" s="173"/>
      <c r="B131" s="1390" t="s">
        <v>188</v>
      </c>
      <c r="C131" s="1283" t="s">
        <v>185</v>
      </c>
      <c r="D131" s="1392"/>
      <c r="E131" s="1392"/>
      <c r="F131" s="1393"/>
      <c r="G131" s="1283" t="s">
        <v>185</v>
      </c>
      <c r="H131" s="1392"/>
      <c r="I131" s="1392"/>
      <c r="J131" s="1393"/>
      <c r="K131" s="1283" t="s">
        <v>185</v>
      </c>
      <c r="L131" s="1392"/>
      <c r="M131" s="1392"/>
      <c r="N131" s="1393"/>
      <c r="O131" s="1283" t="s">
        <v>185</v>
      </c>
      <c r="P131" s="1392"/>
      <c r="Q131" s="1392"/>
      <c r="R131" s="1393"/>
      <c r="S131" s="1283" t="s">
        <v>185</v>
      </c>
      <c r="T131" s="1392"/>
      <c r="U131" s="1392"/>
      <c r="V131" s="1393"/>
      <c r="W131" s="1283" t="s">
        <v>189</v>
      </c>
      <c r="X131" s="1399"/>
      <c r="Y131" s="1399"/>
      <c r="Z131" s="1400"/>
      <c r="AA131" s="1283" t="s">
        <v>189</v>
      </c>
      <c r="AB131" s="1399"/>
      <c r="AC131" s="1399"/>
      <c r="AD131" s="1286"/>
      <c r="AE131" s="1396">
        <v>68</v>
      </c>
      <c r="AF131" s="1392"/>
      <c r="AG131" s="1392" t="s">
        <v>0</v>
      </c>
      <c r="AH131" s="1284"/>
      <c r="AI131" s="1397"/>
    </row>
    <row r="132" spans="1:35" ht="22.15" customHeight="1" thickBot="1" x14ac:dyDescent="0.25">
      <c r="A132" s="173"/>
      <c r="B132" s="1390" t="s">
        <v>190</v>
      </c>
      <c r="C132" s="1423" t="s">
        <v>154</v>
      </c>
      <c r="D132" s="1424"/>
      <c r="E132" s="1424"/>
      <c r="F132" s="1425"/>
      <c r="G132" s="1423" t="s">
        <v>154</v>
      </c>
      <c r="H132" s="1424"/>
      <c r="I132" s="1424"/>
      <c r="J132" s="1425"/>
      <c r="K132" s="1423" t="s">
        <v>154</v>
      </c>
      <c r="L132" s="1424"/>
      <c r="M132" s="1424"/>
      <c r="N132" s="1425"/>
      <c r="O132" s="1423" t="s">
        <v>154</v>
      </c>
      <c r="P132" s="1424"/>
      <c r="Q132" s="1424"/>
      <c r="R132" s="1425"/>
      <c r="S132" s="1423" t="s">
        <v>154</v>
      </c>
      <c r="T132" s="1424"/>
      <c r="U132" s="1424"/>
      <c r="V132" s="1411"/>
      <c r="W132" s="1423" t="s">
        <v>154</v>
      </c>
      <c r="X132" s="1411"/>
      <c r="Y132" s="1424"/>
      <c r="Z132" s="1425"/>
      <c r="AA132" s="1423" t="s">
        <v>154</v>
      </c>
      <c r="AB132" s="1411"/>
      <c r="AC132" s="1424"/>
      <c r="AD132" s="1425"/>
      <c r="AE132" s="1426" t="s">
        <v>191</v>
      </c>
      <c r="AF132" s="1424"/>
      <c r="AG132" s="1392"/>
      <c r="AH132" s="1284"/>
      <c r="AI132" s="1397"/>
    </row>
    <row r="133" spans="1:35" ht="22.15" customHeight="1" x14ac:dyDescent="0.2">
      <c r="A133" s="108"/>
      <c r="B133" s="173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392"/>
      <c r="AH133" s="1284"/>
      <c r="AI133" s="1397"/>
    </row>
    <row r="134" spans="1:35" ht="22.15" customHeight="1" thickBot="1" x14ac:dyDescent="0.25">
      <c r="A134" s="1343"/>
      <c r="B134" s="1184" t="s">
        <v>29</v>
      </c>
      <c r="C134" s="1186">
        <v>1</v>
      </c>
      <c r="D134" s="1186">
        <v>2</v>
      </c>
      <c r="E134" s="1185">
        <v>3</v>
      </c>
      <c r="F134" s="1185">
        <v>4</v>
      </c>
      <c r="G134" s="1186">
        <v>5</v>
      </c>
      <c r="H134" s="1186">
        <v>6</v>
      </c>
      <c r="I134" s="1186">
        <v>7</v>
      </c>
      <c r="J134" s="1186">
        <v>8</v>
      </c>
      <c r="K134" s="1186">
        <v>9</v>
      </c>
      <c r="L134" s="1185">
        <v>10</v>
      </c>
      <c r="M134" s="1185">
        <v>11</v>
      </c>
      <c r="N134" s="1186">
        <v>12</v>
      </c>
      <c r="O134" s="1186">
        <v>13</v>
      </c>
      <c r="P134" s="1186">
        <v>14</v>
      </c>
      <c r="Q134" s="1186">
        <v>15</v>
      </c>
      <c r="R134" s="1186">
        <v>16</v>
      </c>
      <c r="S134" s="1185">
        <v>17</v>
      </c>
      <c r="T134" s="1185">
        <v>18</v>
      </c>
      <c r="U134" s="1186">
        <v>19</v>
      </c>
      <c r="V134" s="1186">
        <v>20</v>
      </c>
      <c r="W134" s="1186">
        <v>21</v>
      </c>
      <c r="X134" s="1186">
        <v>22</v>
      </c>
      <c r="Y134" s="1186">
        <v>23</v>
      </c>
      <c r="Z134" s="1185">
        <v>24</v>
      </c>
      <c r="AA134" s="1185">
        <v>25</v>
      </c>
      <c r="AB134" s="1186">
        <v>26</v>
      </c>
      <c r="AC134" s="1186">
        <v>27</v>
      </c>
      <c r="AD134" s="1186">
        <v>28</v>
      </c>
      <c r="AE134" s="1186">
        <v>29</v>
      </c>
      <c r="AF134" s="1186">
        <v>30</v>
      </c>
      <c r="AG134" s="2064">
        <v>31</v>
      </c>
      <c r="AH134" s="1411"/>
      <c r="AI134" s="1412"/>
    </row>
    <row r="135" spans="1:35" ht="22.15" customHeight="1" x14ac:dyDescent="0.2">
      <c r="A135" s="408">
        <v>1</v>
      </c>
      <c r="B135" s="252" t="s">
        <v>192</v>
      </c>
      <c r="C135" s="380">
        <v>23</v>
      </c>
      <c r="D135" s="380">
        <v>23</v>
      </c>
      <c r="E135" s="380">
        <v>23</v>
      </c>
      <c r="F135" s="380">
        <v>23</v>
      </c>
      <c r="G135" s="390" t="s">
        <v>35</v>
      </c>
      <c r="H135" s="380" t="s">
        <v>35</v>
      </c>
      <c r="I135" s="385" t="s">
        <v>35</v>
      </c>
      <c r="J135" s="390" t="s">
        <v>35</v>
      </c>
      <c r="K135" s="380" t="s">
        <v>35</v>
      </c>
      <c r="L135" s="385"/>
      <c r="M135" s="390"/>
      <c r="N135" s="390">
        <v>21</v>
      </c>
      <c r="O135" s="380">
        <v>21</v>
      </c>
      <c r="P135" s="380">
        <v>21</v>
      </c>
      <c r="Q135" s="380">
        <v>21</v>
      </c>
      <c r="R135" s="380">
        <v>21</v>
      </c>
      <c r="S135" s="380">
        <v>21</v>
      </c>
      <c r="T135" s="380">
        <v>21</v>
      </c>
      <c r="U135" s="380" t="s">
        <v>35</v>
      </c>
      <c r="V135" s="380" t="s">
        <v>35</v>
      </c>
      <c r="W135" s="385" t="s">
        <v>35</v>
      </c>
      <c r="X135" s="380" t="s">
        <v>35</v>
      </c>
      <c r="Y135" s="380" t="s">
        <v>35</v>
      </c>
      <c r="Z135" s="385"/>
      <c r="AA135" s="380"/>
      <c r="AB135" s="380">
        <v>22</v>
      </c>
      <c r="AC135" s="380">
        <v>22</v>
      </c>
      <c r="AD135" s="380">
        <v>22</v>
      </c>
      <c r="AE135" s="380">
        <v>22</v>
      </c>
      <c r="AF135" s="380">
        <v>22</v>
      </c>
      <c r="AG135" s="387">
        <v>22</v>
      </c>
      <c r="AH135" s="174"/>
      <c r="AI135" s="174"/>
    </row>
    <row r="136" spans="1:35" ht="22.15" customHeight="1" x14ac:dyDescent="0.2">
      <c r="A136" s="1427">
        <v>2</v>
      </c>
      <c r="B136" s="1301" t="s">
        <v>193</v>
      </c>
      <c r="C136" s="1629">
        <v>21</v>
      </c>
      <c r="D136" s="1629">
        <v>21</v>
      </c>
      <c r="E136" s="1629">
        <v>21</v>
      </c>
      <c r="F136" s="1629">
        <v>21</v>
      </c>
      <c r="G136" s="1629" t="s">
        <v>35</v>
      </c>
      <c r="H136" s="1629" t="s">
        <v>35</v>
      </c>
      <c r="I136" s="1625" t="s">
        <v>35</v>
      </c>
      <c r="J136" s="1629" t="s">
        <v>35</v>
      </c>
      <c r="K136" s="1629" t="s">
        <v>35</v>
      </c>
      <c r="L136" s="1625"/>
      <c r="M136" s="1628"/>
      <c r="N136" s="1628">
        <v>22</v>
      </c>
      <c r="O136" s="1628">
        <v>22</v>
      </c>
      <c r="P136" s="1628">
        <v>22</v>
      </c>
      <c r="Q136" s="1628">
        <v>22</v>
      </c>
      <c r="R136" s="1628">
        <v>22</v>
      </c>
      <c r="S136" s="1628">
        <v>22</v>
      </c>
      <c r="T136" s="1628">
        <v>22</v>
      </c>
      <c r="U136" s="1628" t="s">
        <v>35</v>
      </c>
      <c r="V136" s="1628" t="s">
        <v>35</v>
      </c>
      <c r="W136" s="1625" t="s">
        <v>35</v>
      </c>
      <c r="X136" s="1629" t="s">
        <v>35</v>
      </c>
      <c r="Y136" s="1629" t="s">
        <v>35</v>
      </c>
      <c r="Z136" s="1625"/>
      <c r="AA136" s="1628"/>
      <c r="AB136" s="1628">
        <v>23</v>
      </c>
      <c r="AC136" s="1628">
        <v>23</v>
      </c>
      <c r="AD136" s="1628">
        <v>23</v>
      </c>
      <c r="AE136" s="1628">
        <v>23</v>
      </c>
      <c r="AF136" s="1628">
        <v>23</v>
      </c>
      <c r="AG136" s="1634">
        <v>23</v>
      </c>
      <c r="AH136" s="184"/>
      <c r="AI136" s="185"/>
    </row>
    <row r="137" spans="1:35" ht="22.15" customHeight="1" x14ac:dyDescent="0.2">
      <c r="A137" s="1427">
        <v>3</v>
      </c>
      <c r="B137" s="1301" t="s">
        <v>194</v>
      </c>
      <c r="C137" s="1629">
        <v>22</v>
      </c>
      <c r="D137" s="1629">
        <v>22</v>
      </c>
      <c r="E137" s="1629">
        <v>22</v>
      </c>
      <c r="F137" s="1629">
        <v>22</v>
      </c>
      <c r="G137" s="1628" t="s">
        <v>35</v>
      </c>
      <c r="H137" s="1628" t="s">
        <v>35</v>
      </c>
      <c r="I137" s="1625" t="s">
        <v>35</v>
      </c>
      <c r="J137" s="1629" t="s">
        <v>35</v>
      </c>
      <c r="K137" s="1629" t="s">
        <v>35</v>
      </c>
      <c r="L137" s="1625"/>
      <c r="M137" s="1629"/>
      <c r="N137" s="1629">
        <v>23</v>
      </c>
      <c r="O137" s="1629">
        <v>23</v>
      </c>
      <c r="P137" s="1629">
        <v>23</v>
      </c>
      <c r="Q137" s="1296">
        <v>23</v>
      </c>
      <c r="R137" s="1428">
        <v>23</v>
      </c>
      <c r="S137" s="1637">
        <v>23</v>
      </c>
      <c r="T137" s="1629">
        <v>23</v>
      </c>
      <c r="U137" s="1628" t="s">
        <v>35</v>
      </c>
      <c r="V137" s="1628" t="s">
        <v>35</v>
      </c>
      <c r="W137" s="1625" t="s">
        <v>35</v>
      </c>
      <c r="X137" s="1629" t="s">
        <v>35</v>
      </c>
      <c r="Y137" s="1629" t="s">
        <v>35</v>
      </c>
      <c r="Z137" s="1625"/>
      <c r="AA137" s="1629"/>
      <c r="AB137" s="1629">
        <v>21</v>
      </c>
      <c r="AC137" s="1629">
        <v>21</v>
      </c>
      <c r="AD137" s="1629">
        <v>21</v>
      </c>
      <c r="AE137" s="1629">
        <v>21</v>
      </c>
      <c r="AF137" s="1629">
        <v>21</v>
      </c>
      <c r="AG137" s="1634">
        <v>21</v>
      </c>
      <c r="AH137" s="107"/>
      <c r="AI137" s="107"/>
    </row>
    <row r="138" spans="1:35" ht="22.15" customHeight="1" x14ac:dyDescent="0.2">
      <c r="A138" s="1427">
        <v>4</v>
      </c>
      <c r="B138" s="1301" t="s">
        <v>195</v>
      </c>
      <c r="C138" s="1629" t="s">
        <v>35</v>
      </c>
      <c r="D138" s="1629" t="s">
        <v>35</v>
      </c>
      <c r="E138" s="1625"/>
      <c r="F138" s="1629"/>
      <c r="G138" s="1430">
        <v>23</v>
      </c>
      <c r="H138" s="1430" t="s">
        <v>398</v>
      </c>
      <c r="I138" s="2084">
        <v>23</v>
      </c>
      <c r="J138" s="2085">
        <v>23</v>
      </c>
      <c r="K138" s="2085">
        <v>23</v>
      </c>
      <c r="L138" s="2085">
        <v>23</v>
      </c>
      <c r="M138" s="2085">
        <v>23</v>
      </c>
      <c r="N138" s="1629" t="s">
        <v>35</v>
      </c>
      <c r="O138" s="1429" t="s">
        <v>35</v>
      </c>
      <c r="P138" s="1625" t="s">
        <v>35</v>
      </c>
      <c r="Q138" s="1629" t="s">
        <v>35</v>
      </c>
      <c r="R138" s="1629" t="s">
        <v>35</v>
      </c>
      <c r="S138" s="1625"/>
      <c r="T138" s="1629"/>
      <c r="U138" s="1629">
        <v>21</v>
      </c>
      <c r="V138" s="1629">
        <v>21</v>
      </c>
      <c r="W138" s="1629">
        <v>21</v>
      </c>
      <c r="X138" s="2054">
        <v>21</v>
      </c>
      <c r="Y138" s="2054">
        <v>21</v>
      </c>
      <c r="Z138" s="1629">
        <v>21</v>
      </c>
      <c r="AA138" s="1629">
        <v>21</v>
      </c>
      <c r="AB138" s="1629" t="s">
        <v>35</v>
      </c>
      <c r="AC138" s="1629" t="s">
        <v>35</v>
      </c>
      <c r="AD138" s="1625" t="s">
        <v>35</v>
      </c>
      <c r="AE138" s="1629" t="s">
        <v>35</v>
      </c>
      <c r="AF138" s="1629" t="s">
        <v>35</v>
      </c>
      <c r="AG138" s="1842"/>
      <c r="AH138" s="107"/>
      <c r="AI138" s="107"/>
    </row>
    <row r="139" spans="1:35" ht="22.15" customHeight="1" x14ac:dyDescent="0.2">
      <c r="A139" s="1427">
        <v>5</v>
      </c>
      <c r="B139" s="1301" t="s">
        <v>0</v>
      </c>
      <c r="C139" s="1629" t="s">
        <v>35</v>
      </c>
      <c r="D139" s="1629" t="s">
        <v>35</v>
      </c>
      <c r="E139" s="1625"/>
      <c r="F139" s="1628"/>
      <c r="G139" s="1629">
        <v>21</v>
      </c>
      <c r="H139" s="1612">
        <v>21</v>
      </c>
      <c r="I139" s="1296">
        <v>21</v>
      </c>
      <c r="J139" s="1296">
        <v>21</v>
      </c>
      <c r="K139" s="1296">
        <v>21</v>
      </c>
      <c r="L139" s="1296">
        <v>21</v>
      </c>
      <c r="M139" s="1629">
        <v>21</v>
      </c>
      <c r="N139" s="1629" t="s">
        <v>35</v>
      </c>
      <c r="O139" s="1629" t="s">
        <v>35</v>
      </c>
      <c r="P139" s="1625" t="s">
        <v>35</v>
      </c>
      <c r="Q139" s="1629" t="s">
        <v>35</v>
      </c>
      <c r="R139" s="1629" t="s">
        <v>35</v>
      </c>
      <c r="S139" s="1625"/>
      <c r="T139" s="1629"/>
      <c r="U139" s="1629">
        <v>22</v>
      </c>
      <c r="V139" s="1629">
        <v>22</v>
      </c>
      <c r="W139" s="1629">
        <v>22</v>
      </c>
      <c r="X139" s="1629">
        <v>22</v>
      </c>
      <c r="Y139" s="1629">
        <v>22</v>
      </c>
      <c r="Z139" s="1629">
        <v>22</v>
      </c>
      <c r="AA139" s="1629">
        <v>22</v>
      </c>
      <c r="AB139" s="1629" t="s">
        <v>35</v>
      </c>
      <c r="AC139" s="1628" t="s">
        <v>35</v>
      </c>
      <c r="AD139" s="1628" t="s">
        <v>35</v>
      </c>
      <c r="AE139" s="1628" t="s">
        <v>35</v>
      </c>
      <c r="AF139" s="1629" t="s">
        <v>35</v>
      </c>
      <c r="AG139" s="1842"/>
      <c r="AH139" s="107"/>
      <c r="AI139" s="107"/>
    </row>
    <row r="140" spans="1:35" ht="22.15" customHeight="1" thickBot="1" x14ac:dyDescent="0.25">
      <c r="A140" s="670">
        <v>6</v>
      </c>
      <c r="B140" s="671" t="s">
        <v>197</v>
      </c>
      <c r="C140" s="690" t="s">
        <v>35</v>
      </c>
      <c r="D140" s="690" t="s">
        <v>35</v>
      </c>
      <c r="E140" s="696"/>
      <c r="F140" s="690"/>
      <c r="G140" s="690">
        <v>22</v>
      </c>
      <c r="H140" s="680">
        <v>22</v>
      </c>
      <c r="I140" s="680">
        <v>22</v>
      </c>
      <c r="J140" s="680">
        <v>22</v>
      </c>
      <c r="K140" s="680">
        <v>22</v>
      </c>
      <c r="L140" s="680">
        <v>22</v>
      </c>
      <c r="M140" s="680">
        <v>22</v>
      </c>
      <c r="N140" s="676" t="s">
        <v>35</v>
      </c>
      <c r="O140" s="676" t="s">
        <v>35</v>
      </c>
      <c r="P140" s="696" t="s">
        <v>35</v>
      </c>
      <c r="Q140" s="690" t="s">
        <v>35</v>
      </c>
      <c r="R140" s="690" t="s">
        <v>35</v>
      </c>
      <c r="S140" s="696"/>
      <c r="T140" s="690"/>
      <c r="U140" s="690">
        <v>23</v>
      </c>
      <c r="V140" s="690">
        <v>23</v>
      </c>
      <c r="W140" s="690">
        <v>23</v>
      </c>
      <c r="X140" s="690">
        <v>23</v>
      </c>
      <c r="Y140" s="690">
        <v>23</v>
      </c>
      <c r="Z140" s="690">
        <v>23</v>
      </c>
      <c r="AA140" s="690">
        <v>23</v>
      </c>
      <c r="AB140" s="676" t="s">
        <v>35</v>
      </c>
      <c r="AC140" s="676" t="s">
        <v>35</v>
      </c>
      <c r="AD140" s="696" t="s">
        <v>35</v>
      </c>
      <c r="AE140" s="690" t="s">
        <v>35</v>
      </c>
      <c r="AF140" s="690" t="s">
        <v>35</v>
      </c>
      <c r="AG140" s="217"/>
      <c r="AH140" s="107"/>
      <c r="AI140" s="107"/>
    </row>
    <row r="141" spans="1:35" ht="22.15" customHeight="1" x14ac:dyDescent="0.2">
      <c r="A141" s="256"/>
      <c r="B141" s="228"/>
      <c r="C141" s="229"/>
      <c r="D141" s="229"/>
      <c r="E141" s="255"/>
      <c r="F141" s="229"/>
      <c r="G141" s="229"/>
      <c r="H141" s="261"/>
      <c r="I141" s="261"/>
      <c r="J141" s="261"/>
      <c r="K141" s="261"/>
      <c r="L141" s="261"/>
      <c r="M141" s="261"/>
      <c r="N141" s="216"/>
      <c r="O141" s="216"/>
      <c r="P141" s="255"/>
      <c r="Q141" s="229"/>
      <c r="R141" s="229"/>
      <c r="S141" s="255"/>
      <c r="T141" s="229"/>
      <c r="U141" s="229"/>
      <c r="V141" s="229"/>
      <c r="W141" s="229"/>
      <c r="X141" s="229"/>
      <c r="Y141" s="229"/>
      <c r="Z141" s="229"/>
      <c r="AA141" s="229"/>
      <c r="AB141" s="216"/>
      <c r="AC141" s="216"/>
      <c r="AD141" s="255"/>
      <c r="AE141" s="229"/>
      <c r="AF141" s="229"/>
      <c r="AH141" s="107"/>
      <c r="AI141" s="107"/>
    </row>
    <row r="142" spans="1:35" ht="22.15" customHeight="1" x14ac:dyDescent="0.2">
      <c r="A142" s="109"/>
      <c r="B142" s="110"/>
      <c r="C142" s="206"/>
      <c r="D142" s="206"/>
      <c r="E142" s="172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172"/>
      <c r="Q142" s="206"/>
      <c r="R142" s="206"/>
      <c r="S142" s="172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7"/>
      <c r="AD142" s="207"/>
      <c r="AE142" s="207"/>
      <c r="AF142" s="206"/>
      <c r="AH142" s="107"/>
      <c r="AI142" s="107"/>
    </row>
    <row r="143" spans="1:35" ht="22.15" customHeight="1" thickBot="1" x14ac:dyDescent="0.25">
      <c r="A143" s="162" t="s">
        <v>198</v>
      </c>
      <c r="D143" s="72"/>
      <c r="E143" s="72"/>
      <c r="F143" s="72"/>
      <c r="G143" s="105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255"/>
      <c r="AH143" s="107"/>
      <c r="AI143" s="107"/>
    </row>
    <row r="144" spans="1:35" ht="22.15" customHeight="1" x14ac:dyDescent="0.2">
      <c r="A144" s="1"/>
      <c r="B144" s="304" t="s">
        <v>167</v>
      </c>
      <c r="C144" s="500"/>
      <c r="D144" s="516" t="s">
        <v>90</v>
      </c>
      <c r="E144" s="473"/>
      <c r="F144" s="504"/>
      <c r="G144" s="500"/>
      <c r="H144" s="516" t="s">
        <v>91</v>
      </c>
      <c r="I144" s="473"/>
      <c r="J144" s="504"/>
      <c r="K144" s="500"/>
      <c r="L144" s="516" t="s">
        <v>92</v>
      </c>
      <c r="M144" s="473"/>
      <c r="N144" s="504"/>
      <c r="O144" s="500"/>
      <c r="P144" s="516" t="s">
        <v>93</v>
      </c>
      <c r="Q144" s="473"/>
      <c r="R144" s="504"/>
      <c r="S144" s="500"/>
      <c r="T144" s="516" t="s">
        <v>94</v>
      </c>
      <c r="U144" s="473"/>
      <c r="V144" s="504"/>
      <c r="W144" s="500"/>
      <c r="X144" s="516" t="s">
        <v>95</v>
      </c>
      <c r="Y144" s="473"/>
      <c r="Z144" s="504"/>
      <c r="AA144" s="500"/>
      <c r="AB144" s="516" t="s">
        <v>96</v>
      </c>
      <c r="AC144" s="473"/>
      <c r="AD144" s="473"/>
      <c r="AE144" s="519" t="s">
        <v>97</v>
      </c>
      <c r="AF144" s="473"/>
      <c r="AG144" s="172"/>
      <c r="AH144" s="107"/>
      <c r="AI144" s="107"/>
    </row>
    <row r="145" spans="1:38" ht="22.15" customHeight="1" thickBot="1" x14ac:dyDescent="0.25">
      <c r="A145" s="1"/>
      <c r="B145" s="1390" t="s">
        <v>139</v>
      </c>
      <c r="C145" s="1283" t="s">
        <v>168</v>
      </c>
      <c r="D145" s="1167"/>
      <c r="E145" s="1167"/>
      <c r="F145" s="1393"/>
      <c r="G145" s="1283" t="s">
        <v>168</v>
      </c>
      <c r="H145" s="1167"/>
      <c r="I145" s="1167"/>
      <c r="J145" s="1393"/>
      <c r="K145" s="1283" t="s">
        <v>168</v>
      </c>
      <c r="L145" s="1167"/>
      <c r="M145" s="1167"/>
      <c r="N145" s="1393"/>
      <c r="O145" s="1283" t="s">
        <v>199</v>
      </c>
      <c r="P145" s="1167"/>
      <c r="Q145" s="1167"/>
      <c r="R145" s="1393"/>
      <c r="S145" s="1283" t="s">
        <v>154</v>
      </c>
      <c r="T145" s="1167"/>
      <c r="U145" s="1167"/>
      <c r="V145" s="1393"/>
      <c r="W145" s="1431"/>
      <c r="X145" s="1432"/>
      <c r="Y145" s="1432"/>
      <c r="Z145" s="1395"/>
      <c r="AA145" s="1391"/>
      <c r="AB145" s="1167"/>
      <c r="AC145" s="1167"/>
      <c r="AD145" s="1284"/>
      <c r="AE145" s="1396">
        <v>27</v>
      </c>
      <c r="AF145" s="1167"/>
      <c r="AG145" s="72"/>
    </row>
    <row r="146" spans="1:38" ht="22.15" customHeight="1" x14ac:dyDescent="0.2">
      <c r="A146" s="1"/>
      <c r="B146" s="1390" t="s">
        <v>143</v>
      </c>
      <c r="C146" s="1283" t="s">
        <v>200</v>
      </c>
      <c r="D146" s="1167"/>
      <c r="E146" s="1167"/>
      <c r="F146" s="1393"/>
      <c r="G146" s="1283" t="s">
        <v>200</v>
      </c>
      <c r="H146" s="1167"/>
      <c r="I146" s="1167"/>
      <c r="J146" s="1393"/>
      <c r="K146" s="1283" t="s">
        <v>200</v>
      </c>
      <c r="L146" s="1167"/>
      <c r="M146" s="1167"/>
      <c r="N146" s="1393"/>
      <c r="O146" s="1283" t="s">
        <v>200</v>
      </c>
      <c r="P146" s="1167"/>
      <c r="Q146" s="1167"/>
      <c r="R146" s="1393"/>
      <c r="S146" s="1283" t="s">
        <v>199</v>
      </c>
      <c r="T146" s="1167"/>
      <c r="U146" s="1167"/>
      <c r="V146" s="1393"/>
      <c r="W146" s="1283"/>
      <c r="X146" s="1167"/>
      <c r="Y146" s="1167"/>
      <c r="Z146" s="1393"/>
      <c r="AA146" s="1167"/>
      <c r="AB146" s="1167"/>
      <c r="AC146" s="1167"/>
      <c r="AD146" s="1284"/>
      <c r="AE146" s="1396">
        <v>39</v>
      </c>
      <c r="AF146" s="1167"/>
      <c r="AG146" s="473"/>
      <c r="AH146" s="473"/>
      <c r="AI146" s="474"/>
    </row>
    <row r="147" spans="1:38" ht="22.15" customHeight="1" x14ac:dyDescent="0.2">
      <c r="A147" s="1"/>
      <c r="B147" s="1390" t="s">
        <v>153</v>
      </c>
      <c r="C147" s="1283" t="s">
        <v>200</v>
      </c>
      <c r="D147" s="1167"/>
      <c r="E147" s="1167"/>
      <c r="F147" s="1393"/>
      <c r="G147" s="1283" t="s">
        <v>200</v>
      </c>
      <c r="H147" s="1167"/>
      <c r="I147" s="1167"/>
      <c r="J147" s="1393"/>
      <c r="K147" s="1283" t="s">
        <v>200</v>
      </c>
      <c r="L147" s="1167"/>
      <c r="M147" s="1167"/>
      <c r="N147" s="1393"/>
      <c r="O147" s="1283" t="s">
        <v>200</v>
      </c>
      <c r="P147" s="1167"/>
      <c r="Q147" s="1167"/>
      <c r="R147" s="1393"/>
      <c r="S147" s="1283" t="s">
        <v>200</v>
      </c>
      <c r="T147" s="1167"/>
      <c r="U147" s="1167"/>
      <c r="V147" s="1393"/>
      <c r="W147" s="1285" t="s">
        <v>201</v>
      </c>
      <c r="X147" s="1180"/>
      <c r="Y147" s="1180"/>
      <c r="Z147" s="1400"/>
      <c r="AA147" s="1398"/>
      <c r="AB147" s="1180"/>
      <c r="AC147" s="1180"/>
      <c r="AD147" s="1286"/>
      <c r="AE147" s="1396">
        <v>45</v>
      </c>
      <c r="AF147" s="1167"/>
      <c r="AG147" s="1167"/>
      <c r="AH147" s="1284"/>
      <c r="AI147" s="1176"/>
    </row>
    <row r="148" spans="1:38" ht="22.15" customHeight="1" thickBot="1" x14ac:dyDescent="0.25">
      <c r="A148" s="1"/>
      <c r="B148" s="1032" t="s">
        <v>155</v>
      </c>
      <c r="C148" s="1423"/>
      <c r="D148" s="1238"/>
      <c r="E148" s="1238"/>
      <c r="F148" s="1425"/>
      <c r="G148" s="1423"/>
      <c r="H148" s="1238"/>
      <c r="I148" s="1238"/>
      <c r="J148" s="1425"/>
      <c r="K148" s="1423"/>
      <c r="L148" s="1238"/>
      <c r="M148" s="1238"/>
      <c r="N148" s="1425"/>
      <c r="O148" s="1423"/>
      <c r="P148" s="1238"/>
      <c r="Q148" s="1238"/>
      <c r="R148" s="1425"/>
      <c r="S148" s="1423"/>
      <c r="T148" s="1238"/>
      <c r="U148" s="1238"/>
      <c r="V148" s="1411"/>
      <c r="W148" s="1423"/>
      <c r="X148" s="1411"/>
      <c r="Y148" s="1238"/>
      <c r="Z148" s="1425"/>
      <c r="AA148" s="1423"/>
      <c r="AB148" s="1411"/>
      <c r="AC148" s="1238"/>
      <c r="AD148" s="1425"/>
      <c r="AE148" s="1433"/>
      <c r="AF148" s="1238"/>
      <c r="AG148" s="1167"/>
      <c r="AH148" s="1284"/>
      <c r="AI148" s="1176"/>
    </row>
    <row r="149" spans="1:38" ht="22.15" customHeight="1" x14ac:dyDescent="0.2">
      <c r="A149" s="108"/>
      <c r="B149" s="1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1167"/>
      <c r="AH149" s="1284"/>
      <c r="AI149" s="1176"/>
    </row>
    <row r="150" spans="1:38" ht="22.15" customHeight="1" thickBot="1" x14ac:dyDescent="0.25">
      <c r="A150" s="1343"/>
      <c r="B150" s="1247" t="s">
        <v>29</v>
      </c>
      <c r="C150" s="1186">
        <v>1</v>
      </c>
      <c r="D150" s="1186">
        <v>2</v>
      </c>
      <c r="E150" s="1185">
        <v>3</v>
      </c>
      <c r="F150" s="1185">
        <v>4</v>
      </c>
      <c r="G150" s="1186">
        <v>5</v>
      </c>
      <c r="H150" s="1186">
        <v>6</v>
      </c>
      <c r="I150" s="1186">
        <v>7</v>
      </c>
      <c r="J150" s="1186">
        <v>8</v>
      </c>
      <c r="K150" s="1186">
        <v>9</v>
      </c>
      <c r="L150" s="1185">
        <v>10</v>
      </c>
      <c r="M150" s="1185">
        <v>11</v>
      </c>
      <c r="N150" s="1186">
        <v>12</v>
      </c>
      <c r="O150" s="1186">
        <v>13</v>
      </c>
      <c r="P150" s="1186">
        <v>14</v>
      </c>
      <c r="Q150" s="1186">
        <v>15</v>
      </c>
      <c r="R150" s="1186">
        <v>16</v>
      </c>
      <c r="S150" s="1185">
        <v>17</v>
      </c>
      <c r="T150" s="1185">
        <v>18</v>
      </c>
      <c r="U150" s="1186">
        <v>19</v>
      </c>
      <c r="V150" s="1186">
        <v>20</v>
      </c>
      <c r="W150" s="1186">
        <v>21</v>
      </c>
      <c r="X150" s="1186">
        <v>22</v>
      </c>
      <c r="Y150" s="1186">
        <v>23</v>
      </c>
      <c r="Z150" s="1185">
        <v>24</v>
      </c>
      <c r="AA150" s="1185">
        <v>25</v>
      </c>
      <c r="AB150" s="1186">
        <v>26</v>
      </c>
      <c r="AC150" s="1186">
        <v>27</v>
      </c>
      <c r="AD150" s="1186">
        <v>28</v>
      </c>
      <c r="AE150" s="1186">
        <v>29</v>
      </c>
      <c r="AF150" s="1186">
        <v>30</v>
      </c>
      <c r="AG150" s="2064">
        <v>31</v>
      </c>
      <c r="AH150" s="1411"/>
      <c r="AI150" s="1245"/>
    </row>
    <row r="151" spans="1:38" ht="22.15" customHeight="1" x14ac:dyDescent="0.2">
      <c r="A151" s="521">
        <v>1</v>
      </c>
      <c r="B151" s="523" t="s">
        <v>202</v>
      </c>
      <c r="C151" s="458" t="s">
        <v>31</v>
      </c>
      <c r="D151" s="458" t="s">
        <v>31</v>
      </c>
      <c r="E151" s="458"/>
      <c r="F151" s="458"/>
      <c r="G151" s="458" t="s">
        <v>31</v>
      </c>
      <c r="H151" s="458" t="s">
        <v>31</v>
      </c>
      <c r="I151" s="458" t="s">
        <v>31</v>
      </c>
      <c r="J151" s="458" t="s">
        <v>31</v>
      </c>
      <c r="K151" s="458" t="s">
        <v>31</v>
      </c>
      <c r="L151" s="458"/>
      <c r="M151" s="458"/>
      <c r="N151" s="458" t="s">
        <v>31</v>
      </c>
      <c r="O151" s="458" t="s">
        <v>31</v>
      </c>
      <c r="P151" s="458" t="s">
        <v>31</v>
      </c>
      <c r="Q151" s="532" t="s">
        <v>31</v>
      </c>
      <c r="R151" s="532" t="s">
        <v>31</v>
      </c>
      <c r="S151" s="458"/>
      <c r="T151" s="458"/>
      <c r="U151" s="458" t="s">
        <v>31</v>
      </c>
      <c r="V151" s="458" t="s">
        <v>31</v>
      </c>
      <c r="W151" s="458" t="s">
        <v>31</v>
      </c>
      <c r="X151" s="458" t="s">
        <v>31</v>
      </c>
      <c r="Y151" s="458" t="s">
        <v>31</v>
      </c>
      <c r="Z151" s="458"/>
      <c r="AA151" s="460"/>
      <c r="AB151" s="458" t="s">
        <v>31</v>
      </c>
      <c r="AC151" s="458" t="s">
        <v>31</v>
      </c>
      <c r="AD151" s="458" t="s">
        <v>31</v>
      </c>
      <c r="AE151" s="458" t="s">
        <v>31</v>
      </c>
      <c r="AF151" s="458" t="s">
        <v>31</v>
      </c>
      <c r="AG151" s="464"/>
    </row>
    <row r="152" spans="1:38" ht="22.15" customHeight="1" x14ac:dyDescent="0.2">
      <c r="A152" s="1415">
        <v>2</v>
      </c>
      <c r="B152" s="1434" t="s">
        <v>203</v>
      </c>
      <c r="C152" s="1258" t="s">
        <v>204</v>
      </c>
      <c r="D152" s="1259" t="s">
        <v>204</v>
      </c>
      <c r="E152" s="1258" t="s">
        <v>204</v>
      </c>
      <c r="F152" s="1258"/>
      <c r="G152" s="1258" t="s">
        <v>205</v>
      </c>
      <c r="H152" s="1258" t="s">
        <v>205</v>
      </c>
      <c r="I152" s="1258" t="s">
        <v>205</v>
      </c>
      <c r="J152" s="1258" t="s">
        <v>205</v>
      </c>
      <c r="K152" s="1258" t="s">
        <v>35</v>
      </c>
      <c r="L152" s="1258"/>
      <c r="M152" s="1258"/>
      <c r="N152" s="1258" t="s">
        <v>207</v>
      </c>
      <c r="O152" s="1270" t="s">
        <v>207</v>
      </c>
      <c r="P152" s="1270" t="s">
        <v>207</v>
      </c>
      <c r="Q152" s="1270" t="s">
        <v>207</v>
      </c>
      <c r="R152" s="1270" t="s">
        <v>207</v>
      </c>
      <c r="S152" s="1258"/>
      <c r="T152" s="1258"/>
      <c r="U152" s="1258" t="s">
        <v>204</v>
      </c>
      <c r="V152" s="1258" t="s">
        <v>204</v>
      </c>
      <c r="W152" s="1258" t="s">
        <v>204</v>
      </c>
      <c r="X152" s="1413">
        <v>79</v>
      </c>
      <c r="Y152" s="1413">
        <v>79</v>
      </c>
      <c r="Z152" s="1258" t="s">
        <v>204</v>
      </c>
      <c r="AA152" s="1258"/>
      <c r="AB152" s="1258" t="s">
        <v>205</v>
      </c>
      <c r="AC152" s="1258" t="s">
        <v>205</v>
      </c>
      <c r="AD152" s="1258" t="s">
        <v>205</v>
      </c>
      <c r="AE152" s="1258" t="s">
        <v>205</v>
      </c>
      <c r="AF152" s="1258" t="s">
        <v>35</v>
      </c>
      <c r="AG152" s="1251"/>
      <c r="AH152" s="184"/>
      <c r="AI152" s="185"/>
    </row>
    <row r="153" spans="1:38" ht="22.15" customHeight="1" x14ac:dyDescent="0.2">
      <c r="A153" s="1415">
        <v>3</v>
      </c>
      <c r="B153" s="1435" t="s">
        <v>208</v>
      </c>
      <c r="C153" s="1258" t="s">
        <v>205</v>
      </c>
      <c r="D153" s="1258" t="s">
        <v>35</v>
      </c>
      <c r="E153" s="1258"/>
      <c r="F153" s="1380"/>
      <c r="G153" s="1380" t="s">
        <v>207</v>
      </c>
      <c r="H153" s="1380" t="s">
        <v>207</v>
      </c>
      <c r="I153" s="1380" t="s">
        <v>207</v>
      </c>
      <c r="J153" s="1380" t="s">
        <v>207</v>
      </c>
      <c r="K153" s="1380" t="s">
        <v>207</v>
      </c>
      <c r="L153" s="1380"/>
      <c r="M153" s="1380"/>
      <c r="N153" s="1380" t="s">
        <v>204</v>
      </c>
      <c r="O153" s="1380" t="s">
        <v>204</v>
      </c>
      <c r="P153" s="1380" t="s">
        <v>204</v>
      </c>
      <c r="Q153" s="1380" t="s">
        <v>204</v>
      </c>
      <c r="R153" s="1380" t="s">
        <v>204</v>
      </c>
      <c r="S153" s="1380" t="s">
        <v>204</v>
      </c>
      <c r="T153" s="1380"/>
      <c r="U153" s="1258" t="s">
        <v>205</v>
      </c>
      <c r="V153" s="1258" t="s">
        <v>205</v>
      </c>
      <c r="W153" s="1258" t="s">
        <v>205</v>
      </c>
      <c r="X153" s="1258" t="s">
        <v>205</v>
      </c>
      <c r="Y153" s="1258" t="s">
        <v>35</v>
      </c>
      <c r="Z153" s="1258"/>
      <c r="AA153" s="1311"/>
      <c r="AB153" s="1311" t="s">
        <v>207</v>
      </c>
      <c r="AC153" s="1311" t="s">
        <v>207</v>
      </c>
      <c r="AD153" s="1311" t="s">
        <v>207</v>
      </c>
      <c r="AE153" s="1311" t="s">
        <v>207</v>
      </c>
      <c r="AF153" s="1311" t="s">
        <v>207</v>
      </c>
      <c r="AG153" s="1251"/>
      <c r="AH153" s="250"/>
      <c r="AI153" s="190"/>
    </row>
    <row r="154" spans="1:38" ht="22.15" customHeight="1" x14ac:dyDescent="0.2">
      <c r="A154" s="1415">
        <v>4</v>
      </c>
      <c r="B154" s="1435" t="s">
        <v>209</v>
      </c>
      <c r="C154" s="1258"/>
      <c r="D154" s="1258" t="s">
        <v>31</v>
      </c>
      <c r="E154" s="1258"/>
      <c r="F154" s="1258"/>
      <c r="G154" s="1258"/>
      <c r="H154" s="1258"/>
      <c r="I154" s="1258" t="s">
        <v>32</v>
      </c>
      <c r="J154" s="1258"/>
      <c r="K154" s="1258" t="s">
        <v>31</v>
      </c>
      <c r="L154" s="1258" t="s">
        <v>204</v>
      </c>
      <c r="M154" s="1258"/>
      <c r="N154" s="1258"/>
      <c r="O154" s="1258" t="s">
        <v>32</v>
      </c>
      <c r="P154" s="1258" t="s">
        <v>32</v>
      </c>
      <c r="Q154" s="1193"/>
      <c r="R154" s="1193" t="s">
        <v>32</v>
      </c>
      <c r="S154" s="1193"/>
      <c r="T154" s="1193"/>
      <c r="U154" s="1193"/>
      <c r="V154" s="1258" t="s">
        <v>32</v>
      </c>
      <c r="W154" s="1258" t="s">
        <v>32</v>
      </c>
      <c r="X154" s="1258"/>
      <c r="Y154" s="1258" t="s">
        <v>32</v>
      </c>
      <c r="Z154" s="1258"/>
      <c r="AA154" s="1258"/>
      <c r="AB154" s="1258"/>
      <c r="AC154" s="1258" t="s">
        <v>32</v>
      </c>
      <c r="AD154" s="1258"/>
      <c r="AE154" s="1258"/>
      <c r="AF154" s="1258" t="s">
        <v>32</v>
      </c>
      <c r="AG154" s="1258" t="s">
        <v>204</v>
      </c>
      <c r="AH154" s="250"/>
      <c r="AI154" s="190"/>
    </row>
    <row r="155" spans="1:38" ht="22.15" customHeight="1" x14ac:dyDescent="0.2">
      <c r="A155" s="1415">
        <v>5</v>
      </c>
      <c r="B155" s="1435" t="s">
        <v>210</v>
      </c>
      <c r="C155" s="1258" t="s">
        <v>31</v>
      </c>
      <c r="D155" s="1258"/>
      <c r="E155" s="1258"/>
      <c r="F155" s="1258"/>
      <c r="G155" s="1258" t="s">
        <v>32</v>
      </c>
      <c r="H155" s="1258"/>
      <c r="I155" s="1258"/>
      <c r="J155" s="1258" t="s">
        <v>31</v>
      </c>
      <c r="K155" s="1258"/>
      <c r="L155" s="1258"/>
      <c r="M155" s="1258"/>
      <c r="N155" s="1258" t="s">
        <v>32</v>
      </c>
      <c r="O155" s="1258"/>
      <c r="P155" s="1258"/>
      <c r="Q155" s="1258" t="s">
        <v>31</v>
      </c>
      <c r="R155" s="1258"/>
      <c r="S155" s="1258"/>
      <c r="T155" s="1258"/>
      <c r="U155" s="1258" t="s">
        <v>32</v>
      </c>
      <c r="V155" s="1258"/>
      <c r="W155" s="1258"/>
      <c r="X155" s="1258" t="s">
        <v>31</v>
      </c>
      <c r="Y155" s="1258"/>
      <c r="Z155" s="1258"/>
      <c r="AA155" s="1258"/>
      <c r="AB155" s="1258" t="s">
        <v>32</v>
      </c>
      <c r="AC155" s="1258"/>
      <c r="AD155" s="1258"/>
      <c r="AE155" s="1258" t="s">
        <v>31</v>
      </c>
      <c r="AF155" s="1258"/>
      <c r="AG155" s="1251"/>
      <c r="AH155" s="250"/>
      <c r="AI155" s="190"/>
    </row>
    <row r="156" spans="1:38" ht="22.15" customHeight="1" x14ac:dyDescent="0.2">
      <c r="A156" s="1415">
        <v>6</v>
      </c>
      <c r="B156" s="1202" t="s">
        <v>211</v>
      </c>
      <c r="C156" s="1258" t="s">
        <v>31</v>
      </c>
      <c r="D156" s="1258" t="s">
        <v>31</v>
      </c>
      <c r="E156" s="1258"/>
      <c r="F156" s="1258"/>
      <c r="G156" s="1258" t="s">
        <v>31</v>
      </c>
      <c r="H156" s="1258" t="s">
        <v>31</v>
      </c>
      <c r="I156" s="1258" t="s">
        <v>31</v>
      </c>
      <c r="J156" s="1199" t="s">
        <v>31</v>
      </c>
      <c r="K156" s="1258" t="s">
        <v>31</v>
      </c>
      <c r="L156" s="1258"/>
      <c r="M156" s="1258"/>
      <c r="N156" s="1258" t="s">
        <v>31</v>
      </c>
      <c r="O156" s="1258" t="s">
        <v>31</v>
      </c>
      <c r="P156" s="1258" t="s">
        <v>31</v>
      </c>
      <c r="Q156" s="1258" t="s">
        <v>31</v>
      </c>
      <c r="R156" s="1270" t="s">
        <v>31</v>
      </c>
      <c r="S156" s="1258"/>
      <c r="T156" s="1193"/>
      <c r="U156" s="1193" t="s">
        <v>31</v>
      </c>
      <c r="V156" s="1193" t="s">
        <v>31</v>
      </c>
      <c r="W156" s="1193" t="s">
        <v>31</v>
      </c>
      <c r="X156" s="1193" t="s">
        <v>31</v>
      </c>
      <c r="Y156" s="1270" t="s">
        <v>31</v>
      </c>
      <c r="Z156" s="1258"/>
      <c r="AA156" s="1258"/>
      <c r="AB156" s="1258" t="s">
        <v>31</v>
      </c>
      <c r="AC156" s="1258" t="s">
        <v>31</v>
      </c>
      <c r="AD156" s="1258" t="s">
        <v>31</v>
      </c>
      <c r="AE156" s="1258" t="s">
        <v>31</v>
      </c>
      <c r="AF156" s="1270" t="s">
        <v>31</v>
      </c>
      <c r="AG156" s="1251"/>
      <c r="AH156" s="250"/>
      <c r="AI156" s="190"/>
      <c r="AL156" t="s">
        <v>0</v>
      </c>
    </row>
    <row r="157" spans="1:38" ht="22.15" customHeight="1" thickBot="1" x14ac:dyDescent="0.25">
      <c r="A157" s="1419"/>
      <c r="B157" s="1253" t="s">
        <v>212</v>
      </c>
      <c r="C157" s="1254"/>
      <c r="D157" s="1254"/>
      <c r="E157" s="1254"/>
      <c r="F157" s="1254"/>
      <c r="G157" s="1254"/>
      <c r="H157" s="1254"/>
      <c r="I157" s="1254"/>
      <c r="J157" s="1254"/>
      <c r="K157" s="1254"/>
      <c r="L157" s="1254"/>
      <c r="M157" s="1254"/>
      <c r="N157" s="1254"/>
      <c r="O157" s="1254"/>
      <c r="P157" s="1254"/>
      <c r="Q157" s="1254"/>
      <c r="R157" s="1254"/>
      <c r="S157" s="1254"/>
      <c r="T157" s="1254"/>
      <c r="U157" s="1254"/>
      <c r="V157" s="1254"/>
      <c r="W157" s="1254"/>
      <c r="X157" s="1254"/>
      <c r="Y157" s="1254"/>
      <c r="Z157" s="1254"/>
      <c r="AA157" s="1254"/>
      <c r="AB157" s="1254"/>
      <c r="AC157" s="1254"/>
      <c r="AD157" s="1254"/>
      <c r="AE157" s="1254"/>
      <c r="AF157" s="1254"/>
      <c r="AG157" s="1945"/>
      <c r="AH157" s="250"/>
      <c r="AI157" s="190"/>
    </row>
    <row r="158" spans="1:38" ht="22.15" customHeight="1" x14ac:dyDescent="0.2">
      <c r="A158" s="256"/>
      <c r="B158" s="228"/>
      <c r="C158" s="229"/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29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H158" s="215"/>
      <c r="AI158" s="107"/>
    </row>
    <row r="159" spans="1:38" ht="22.15" customHeight="1" x14ac:dyDescent="0.2">
      <c r="A159" s="256"/>
      <c r="B159" s="228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29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H159" s="107"/>
      <c r="AI159" s="107"/>
    </row>
    <row r="160" spans="1:38" ht="22.15" customHeight="1" thickBot="1" x14ac:dyDescent="0.25">
      <c r="A160" s="150" t="s">
        <v>213</v>
      </c>
      <c r="B160" s="72"/>
      <c r="C160" s="106" t="s">
        <v>99</v>
      </c>
      <c r="D160" s="72"/>
      <c r="E160" s="72"/>
      <c r="F160" s="106" t="s">
        <v>99</v>
      </c>
      <c r="G160" s="72"/>
      <c r="H160" s="72"/>
      <c r="I160" s="106" t="s">
        <v>99</v>
      </c>
      <c r="J160" s="106"/>
      <c r="K160" s="72"/>
      <c r="L160" s="106" t="s">
        <v>99</v>
      </c>
      <c r="M160" s="72"/>
      <c r="N160" s="72"/>
      <c r="O160" s="106" t="s">
        <v>99</v>
      </c>
      <c r="P160" s="72"/>
      <c r="Q160" s="106"/>
      <c r="R160" s="106" t="s">
        <v>99</v>
      </c>
      <c r="S160" s="72"/>
      <c r="T160" s="72"/>
      <c r="U160" s="106" t="s">
        <v>99</v>
      </c>
      <c r="V160" s="72"/>
      <c r="W160" s="106"/>
      <c r="X160" s="106"/>
      <c r="Y160" s="72"/>
      <c r="Z160" s="72"/>
      <c r="AA160" s="72"/>
      <c r="AB160" s="72"/>
      <c r="AC160" s="72"/>
      <c r="AD160" s="72"/>
      <c r="AE160" s="106"/>
      <c r="AF160" s="72"/>
      <c r="AG160" s="229"/>
      <c r="AH160" s="107"/>
      <c r="AI160" s="107"/>
    </row>
    <row r="161" spans="1:36" ht="22.15" customHeight="1" x14ac:dyDescent="0.2">
      <c r="A161" s="109"/>
      <c r="B161" s="294" t="s">
        <v>214</v>
      </c>
      <c r="C161" s="295"/>
      <c r="D161" s="296" t="s">
        <v>90</v>
      </c>
      <c r="E161" s="297"/>
      <c r="F161" s="298"/>
      <c r="G161" s="299"/>
      <c r="H161" s="296" t="s">
        <v>91</v>
      </c>
      <c r="I161" s="297"/>
      <c r="J161" s="298"/>
      <c r="K161" s="299"/>
      <c r="L161" s="296" t="s">
        <v>92</v>
      </c>
      <c r="M161" s="297"/>
      <c r="N161" s="298"/>
      <c r="O161" s="299"/>
      <c r="P161" s="296" t="s">
        <v>93</v>
      </c>
      <c r="Q161" s="297"/>
      <c r="R161" s="298"/>
      <c r="S161" s="299"/>
      <c r="T161" s="296" t="s">
        <v>94</v>
      </c>
      <c r="U161" s="297"/>
      <c r="V161" s="298"/>
      <c r="W161" s="299"/>
      <c r="X161" s="296" t="s">
        <v>95</v>
      </c>
      <c r="Y161" s="297"/>
      <c r="Z161" s="298"/>
      <c r="AA161" s="299"/>
      <c r="AB161" s="296" t="s">
        <v>96</v>
      </c>
      <c r="AC161" s="297"/>
      <c r="AD161" s="297"/>
      <c r="AE161" s="300" t="s">
        <v>97</v>
      </c>
      <c r="AF161" s="297"/>
      <c r="AG161" s="229"/>
      <c r="AH161" s="107"/>
      <c r="AI161" s="107"/>
    </row>
    <row r="162" spans="1:36" ht="22.15" customHeight="1" thickBot="1" x14ac:dyDescent="0.25">
      <c r="A162" s="109"/>
      <c r="B162" s="1851" t="s">
        <v>215</v>
      </c>
      <c r="C162" s="1852" t="s">
        <v>216</v>
      </c>
      <c r="D162" s="1438" t="s">
        <v>217</v>
      </c>
      <c r="E162" s="1439"/>
      <c r="F162" s="2001"/>
      <c r="G162" s="1853"/>
      <c r="H162" s="1438" t="s">
        <v>217</v>
      </c>
      <c r="I162" s="1439"/>
      <c r="J162" s="2001"/>
      <c r="K162" s="1853"/>
      <c r="L162" s="1438" t="s">
        <v>217</v>
      </c>
      <c r="M162" s="1439"/>
      <c r="N162" s="2001"/>
      <c r="O162" s="1853"/>
      <c r="P162" s="1438" t="s">
        <v>218</v>
      </c>
      <c r="Q162" s="1439"/>
      <c r="R162" s="2001"/>
      <c r="S162" s="1853"/>
      <c r="T162" s="1438" t="s">
        <v>219</v>
      </c>
      <c r="U162" s="2001"/>
      <c r="V162" s="2002"/>
      <c r="W162" s="1854"/>
      <c r="X162" s="1444"/>
      <c r="Y162" s="1444"/>
      <c r="Z162" s="2002"/>
      <c r="AA162" s="1854"/>
      <c r="AB162" s="1444"/>
      <c r="AC162" s="1444"/>
      <c r="AD162" s="1444"/>
      <c r="AE162" s="1854"/>
      <c r="AF162" s="1444"/>
      <c r="AG162" s="72"/>
      <c r="AH162" s="107"/>
      <c r="AI162" s="107"/>
    </row>
    <row r="163" spans="1:36" ht="22.15" customHeight="1" x14ac:dyDescent="0.2">
      <c r="A163" s="109"/>
      <c r="B163" s="1851" t="s">
        <v>215</v>
      </c>
      <c r="C163" s="1852" t="s">
        <v>220</v>
      </c>
      <c r="D163" s="1438" t="s">
        <v>217</v>
      </c>
      <c r="E163" s="1439"/>
      <c r="F163" s="2001"/>
      <c r="G163" s="1853"/>
      <c r="H163" s="1438" t="s">
        <v>217</v>
      </c>
      <c r="I163" s="1439"/>
      <c r="J163" s="2001"/>
      <c r="K163" s="1853"/>
      <c r="L163" s="1438" t="s">
        <v>217</v>
      </c>
      <c r="M163" s="1439"/>
      <c r="N163" s="2001"/>
      <c r="O163" s="1853"/>
      <c r="P163" s="1438" t="s">
        <v>218</v>
      </c>
      <c r="Q163" s="1439"/>
      <c r="R163" s="2001"/>
      <c r="S163" s="1853"/>
      <c r="T163" s="1438" t="s">
        <v>219</v>
      </c>
      <c r="U163" s="2001"/>
      <c r="V163" s="2002"/>
      <c r="W163" s="1854"/>
      <c r="X163" s="1444"/>
      <c r="Y163" s="1444"/>
      <c r="Z163" s="2002"/>
      <c r="AA163" s="1854"/>
      <c r="AB163" s="1444"/>
      <c r="AC163" s="1444"/>
      <c r="AD163" s="1444"/>
      <c r="AE163" s="1854"/>
      <c r="AF163" s="1444"/>
      <c r="AG163" s="297"/>
      <c r="AH163" s="297"/>
      <c r="AI163" s="301"/>
    </row>
    <row r="164" spans="1:36" ht="22.15" customHeight="1" x14ac:dyDescent="0.2">
      <c r="A164" s="109"/>
      <c r="B164" s="1851" t="s">
        <v>221</v>
      </c>
      <c r="C164" s="1852" t="s">
        <v>158</v>
      </c>
      <c r="D164" s="1438" t="s">
        <v>217</v>
      </c>
      <c r="E164" s="1439"/>
      <c r="F164" s="2001"/>
      <c r="G164" s="1853"/>
      <c r="H164" s="1438" t="s">
        <v>217</v>
      </c>
      <c r="I164" s="1439"/>
      <c r="J164" s="2001"/>
      <c r="K164" s="1853"/>
      <c r="L164" s="1438" t="s">
        <v>217</v>
      </c>
      <c r="M164" s="1439"/>
      <c r="N164" s="2001"/>
      <c r="O164" s="1853"/>
      <c r="P164" s="1438" t="s">
        <v>218</v>
      </c>
      <c r="Q164" s="1439"/>
      <c r="R164" s="2001"/>
      <c r="S164" s="1853"/>
      <c r="T164" s="1438" t="s">
        <v>219</v>
      </c>
      <c r="U164" s="2001"/>
      <c r="V164" s="2002"/>
      <c r="W164" s="1854"/>
      <c r="X164" s="1444"/>
      <c r="Y164" s="1444"/>
      <c r="Z164" s="2002"/>
      <c r="AA164" s="1854"/>
      <c r="AB164" s="1444"/>
      <c r="AC164" s="1444"/>
      <c r="AD164" s="1444"/>
      <c r="AE164" s="1854"/>
      <c r="AF164" s="1444"/>
      <c r="AG164" s="1444"/>
      <c r="AH164" s="1445"/>
      <c r="AI164" s="2086"/>
    </row>
    <row r="165" spans="1:36" ht="22.15" customHeight="1" x14ac:dyDescent="0.2">
      <c r="A165" s="109"/>
      <c r="B165" s="1851" t="s">
        <v>222</v>
      </c>
      <c r="C165" s="1852" t="s">
        <v>223</v>
      </c>
      <c r="D165" s="1438" t="s">
        <v>224</v>
      </c>
      <c r="E165" s="1439"/>
      <c r="F165" s="2001"/>
      <c r="G165" s="1853"/>
      <c r="H165" s="1438" t="s">
        <v>224</v>
      </c>
      <c r="I165" s="1439"/>
      <c r="J165" s="2001"/>
      <c r="K165" s="1853"/>
      <c r="L165" s="1438" t="s">
        <v>224</v>
      </c>
      <c r="M165" s="1439"/>
      <c r="N165" s="2001"/>
      <c r="O165" s="1853"/>
      <c r="P165" s="1438" t="s">
        <v>225</v>
      </c>
      <c r="Q165" s="1439"/>
      <c r="R165" s="2001"/>
      <c r="S165" s="1853"/>
      <c r="T165" s="1438" t="s">
        <v>226</v>
      </c>
      <c r="U165" s="2001"/>
      <c r="V165" s="2002"/>
      <c r="W165" s="1854"/>
      <c r="X165" s="1444"/>
      <c r="Y165" s="1444"/>
      <c r="Z165" s="2002"/>
      <c r="AA165" s="1854"/>
      <c r="AB165" s="1444"/>
      <c r="AC165" s="1444"/>
      <c r="AD165" s="1444"/>
      <c r="AE165" s="1854"/>
      <c r="AF165" s="1444"/>
      <c r="AG165" s="1444"/>
      <c r="AH165" s="1445"/>
      <c r="AI165" s="2086"/>
    </row>
    <row r="166" spans="1:36" ht="22.15" customHeight="1" x14ac:dyDescent="0.2">
      <c r="A166" s="109"/>
      <c r="B166" s="1851" t="s">
        <v>227</v>
      </c>
      <c r="C166" s="1852" t="s">
        <v>228</v>
      </c>
      <c r="D166" s="1438" t="s">
        <v>229</v>
      </c>
      <c r="E166" s="1439"/>
      <c r="F166" s="2001"/>
      <c r="G166" s="1853"/>
      <c r="H166" s="1438" t="s">
        <v>229</v>
      </c>
      <c r="I166" s="1439"/>
      <c r="J166" s="2001"/>
      <c r="K166" s="1853"/>
      <c r="L166" s="1438" t="s">
        <v>230</v>
      </c>
      <c r="M166" s="1439"/>
      <c r="N166" s="2001"/>
      <c r="O166" s="1853"/>
      <c r="P166" s="1438" t="s">
        <v>231</v>
      </c>
      <c r="Q166" s="1439"/>
      <c r="R166" s="2001"/>
      <c r="S166" s="1853"/>
      <c r="T166" s="1438" t="s">
        <v>226</v>
      </c>
      <c r="U166" s="2001"/>
      <c r="V166" s="2002"/>
      <c r="W166" s="1854"/>
      <c r="X166" s="1444"/>
      <c r="Y166" s="1444"/>
      <c r="Z166" s="2002"/>
      <c r="AA166" s="1854"/>
      <c r="AB166" s="1444"/>
      <c r="AC166" s="1444"/>
      <c r="AD166" s="1444"/>
      <c r="AE166" s="1854"/>
      <c r="AF166" s="1444"/>
      <c r="AG166" s="1444"/>
      <c r="AH166" s="1445"/>
      <c r="AI166" s="2086"/>
    </row>
    <row r="167" spans="1:36" ht="22.15" customHeight="1" x14ac:dyDescent="0.2">
      <c r="A167" s="109"/>
      <c r="B167" s="1851" t="s">
        <v>232</v>
      </c>
      <c r="C167" s="1852" t="s">
        <v>233</v>
      </c>
      <c r="D167" s="1438" t="s">
        <v>217</v>
      </c>
      <c r="E167" s="1439"/>
      <c r="F167" s="2001"/>
      <c r="G167" s="1853"/>
      <c r="H167" s="1438" t="s">
        <v>217</v>
      </c>
      <c r="I167" s="1439"/>
      <c r="J167" s="2001"/>
      <c r="K167" s="1853"/>
      <c r="L167" s="1438" t="s">
        <v>217</v>
      </c>
      <c r="M167" s="1439"/>
      <c r="N167" s="2001"/>
      <c r="O167" s="1853"/>
      <c r="P167" s="1438" t="s">
        <v>217</v>
      </c>
      <c r="Q167" s="1439"/>
      <c r="R167" s="2001"/>
      <c r="S167" s="1853"/>
      <c r="T167" s="1438" t="s">
        <v>229</v>
      </c>
      <c r="U167" s="2001"/>
      <c r="V167" s="2002"/>
      <c r="W167" s="1854"/>
      <c r="X167" s="1444"/>
      <c r="Y167" s="1444"/>
      <c r="Z167" s="2002"/>
      <c r="AA167" s="1854"/>
      <c r="AB167" s="1444"/>
      <c r="AC167" s="1444"/>
      <c r="AD167" s="1444"/>
      <c r="AE167" s="1854"/>
      <c r="AF167" s="1444"/>
      <c r="AG167" s="1444"/>
      <c r="AH167" s="1445"/>
      <c r="AI167" s="2086"/>
    </row>
    <row r="168" spans="1:36" ht="22.15" customHeight="1" x14ac:dyDescent="0.2">
      <c r="A168" s="109"/>
      <c r="B168" s="1851" t="s">
        <v>234</v>
      </c>
      <c r="C168" s="1852" t="s">
        <v>235</v>
      </c>
      <c r="D168" s="1438" t="s">
        <v>217</v>
      </c>
      <c r="E168" s="1439"/>
      <c r="F168" s="2001"/>
      <c r="G168" s="1853"/>
      <c r="H168" s="1438" t="s">
        <v>217</v>
      </c>
      <c r="I168" s="1439"/>
      <c r="J168" s="2001"/>
      <c r="K168" s="1853"/>
      <c r="L168" s="1438" t="s">
        <v>217</v>
      </c>
      <c r="M168" s="1439"/>
      <c r="N168" s="2001"/>
      <c r="O168" s="1853"/>
      <c r="P168" s="1438" t="s">
        <v>218</v>
      </c>
      <c r="Q168" s="1439"/>
      <c r="R168" s="2001"/>
      <c r="S168" s="1853"/>
      <c r="T168" s="1438" t="s">
        <v>219</v>
      </c>
      <c r="U168" s="2001"/>
      <c r="V168" s="2002"/>
      <c r="W168" s="1854"/>
      <c r="X168" s="1444"/>
      <c r="Y168" s="1444"/>
      <c r="Z168" s="2002"/>
      <c r="AA168" s="1854"/>
      <c r="AB168" s="1444"/>
      <c r="AC168" s="1444"/>
      <c r="AD168" s="1444"/>
      <c r="AE168" s="1854"/>
      <c r="AF168" s="1444"/>
      <c r="AG168" s="1444"/>
      <c r="AH168" s="1445"/>
      <c r="AI168" s="2086"/>
    </row>
    <row r="169" spans="1:36" ht="22.15" customHeight="1" x14ac:dyDescent="0.2">
      <c r="A169" s="109"/>
      <c r="B169" s="1851" t="s">
        <v>234</v>
      </c>
      <c r="C169" s="1852" t="s">
        <v>236</v>
      </c>
      <c r="D169" s="1438" t="s">
        <v>217</v>
      </c>
      <c r="E169" s="1439"/>
      <c r="F169" s="2001"/>
      <c r="G169" s="1853"/>
      <c r="H169" s="1438" t="s">
        <v>217</v>
      </c>
      <c r="I169" s="1439"/>
      <c r="J169" s="2001"/>
      <c r="K169" s="1853"/>
      <c r="L169" s="1438" t="s">
        <v>217</v>
      </c>
      <c r="M169" s="1439"/>
      <c r="N169" s="2001"/>
      <c r="O169" s="1853"/>
      <c r="P169" s="1438" t="s">
        <v>218</v>
      </c>
      <c r="Q169" s="1439"/>
      <c r="R169" s="2001"/>
      <c r="S169" s="1853"/>
      <c r="T169" s="1438" t="s">
        <v>219</v>
      </c>
      <c r="U169" s="2001"/>
      <c r="V169" s="2002"/>
      <c r="W169" s="1854"/>
      <c r="X169" s="1444"/>
      <c r="Y169" s="1444"/>
      <c r="Z169" s="2002"/>
      <c r="AA169" s="1854"/>
      <c r="AB169" s="1444"/>
      <c r="AC169" s="1444"/>
      <c r="AD169" s="1444"/>
      <c r="AE169" s="1854"/>
      <c r="AF169" s="1444"/>
      <c r="AG169" s="1444"/>
      <c r="AH169" s="1445"/>
      <c r="AI169" s="2086"/>
    </row>
    <row r="170" spans="1:36" ht="22.15" customHeight="1" x14ac:dyDescent="0.2">
      <c r="A170" s="109"/>
      <c r="B170" s="1851" t="s">
        <v>237</v>
      </c>
      <c r="C170" s="1852" t="s">
        <v>238</v>
      </c>
      <c r="D170" s="1438" t="s">
        <v>217</v>
      </c>
      <c r="E170" s="1439"/>
      <c r="F170" s="2001"/>
      <c r="G170" s="1853"/>
      <c r="H170" s="1438" t="s">
        <v>217</v>
      </c>
      <c r="I170" s="1439"/>
      <c r="J170" s="2001"/>
      <c r="K170" s="1853"/>
      <c r="L170" s="1438" t="s">
        <v>217</v>
      </c>
      <c r="M170" s="1439"/>
      <c r="N170" s="2001"/>
      <c r="O170" s="1853"/>
      <c r="P170" s="1438" t="s">
        <v>239</v>
      </c>
      <c r="Q170" s="1439"/>
      <c r="R170" s="2001"/>
      <c r="S170" s="1853"/>
      <c r="T170" s="1438" t="s">
        <v>226</v>
      </c>
      <c r="U170" s="2001"/>
      <c r="V170" s="2002"/>
      <c r="W170" s="1854"/>
      <c r="X170" s="1444"/>
      <c r="Y170" s="1444"/>
      <c r="Z170" s="2002"/>
      <c r="AA170" s="1854"/>
      <c r="AB170" s="1444"/>
      <c r="AC170" s="1444"/>
      <c r="AD170" s="1444"/>
      <c r="AE170" s="1854"/>
      <c r="AF170" s="1444"/>
      <c r="AG170" s="1444"/>
      <c r="AH170" s="1445"/>
      <c r="AI170" s="2086"/>
    </row>
    <row r="171" spans="1:36" ht="22.15" customHeight="1" x14ac:dyDescent="0.2">
      <c r="A171" s="109"/>
      <c r="B171" s="1447" t="s">
        <v>240</v>
      </c>
      <c r="C171" s="1852" t="s">
        <v>80</v>
      </c>
      <c r="D171" s="1438" t="s">
        <v>217</v>
      </c>
      <c r="E171" s="1439"/>
      <c r="F171" s="2001"/>
      <c r="G171" s="1853"/>
      <c r="H171" s="1438" t="s">
        <v>217</v>
      </c>
      <c r="I171" s="1439"/>
      <c r="J171" s="2001"/>
      <c r="K171" s="1853"/>
      <c r="L171" s="1438" t="s">
        <v>217</v>
      </c>
      <c r="M171" s="1439"/>
      <c r="N171" s="2001"/>
      <c r="O171" s="1853"/>
      <c r="P171" s="1438" t="s">
        <v>218</v>
      </c>
      <c r="Q171" s="1439"/>
      <c r="R171" s="2001"/>
      <c r="S171" s="1853"/>
      <c r="T171" s="1438" t="s">
        <v>219</v>
      </c>
      <c r="U171" s="2001"/>
      <c r="V171" s="212"/>
      <c r="W171" s="1448"/>
      <c r="X171" s="211"/>
      <c r="Y171" s="211"/>
      <c r="Z171" s="212"/>
      <c r="AA171" s="1448"/>
      <c r="AB171" s="211"/>
      <c r="AC171" s="211"/>
      <c r="AD171" s="211"/>
      <c r="AE171" s="1448"/>
      <c r="AF171" s="211"/>
      <c r="AG171" s="1444"/>
      <c r="AH171" s="1445"/>
      <c r="AI171" s="2086"/>
    </row>
    <row r="172" spans="1:36" ht="22.15" customHeight="1" x14ac:dyDescent="0.2">
      <c r="A172" s="109"/>
      <c r="B172" s="1851" t="s">
        <v>241</v>
      </c>
      <c r="C172" s="1852" t="s">
        <v>132</v>
      </c>
      <c r="D172" s="1438" t="s">
        <v>217</v>
      </c>
      <c r="E172" s="1439"/>
      <c r="F172" s="2001"/>
      <c r="G172" s="1853"/>
      <c r="H172" s="1438" t="s">
        <v>217</v>
      </c>
      <c r="I172" s="1439"/>
      <c r="J172" s="2001"/>
      <c r="K172" s="1853"/>
      <c r="L172" s="1438" t="s">
        <v>217</v>
      </c>
      <c r="M172" s="1439"/>
      <c r="N172" s="2001"/>
      <c r="O172" s="1853"/>
      <c r="P172" s="1438" t="s">
        <v>218</v>
      </c>
      <c r="Q172" s="1439"/>
      <c r="R172" s="2001"/>
      <c r="S172" s="1853"/>
      <c r="T172" s="1438" t="s">
        <v>219</v>
      </c>
      <c r="U172" s="2001"/>
      <c r="V172" s="1444"/>
      <c r="W172" s="1854"/>
      <c r="X172" s="1444"/>
      <c r="Y172" s="1444"/>
      <c r="Z172" s="1444"/>
      <c r="AA172" s="1854"/>
      <c r="AB172" s="1444"/>
      <c r="AC172" s="1444"/>
      <c r="AD172" s="1444"/>
      <c r="AE172" s="1854"/>
      <c r="AF172" s="1444"/>
      <c r="AG172" s="1444"/>
      <c r="AH172" s="1445"/>
      <c r="AI172" s="2086"/>
    </row>
    <row r="173" spans="1:36" ht="22.15" customHeight="1" x14ac:dyDescent="0.2">
      <c r="A173" s="109"/>
      <c r="B173" s="1851" t="s">
        <v>242</v>
      </c>
      <c r="C173" s="1856" t="s">
        <v>243</v>
      </c>
      <c r="D173" s="1438" t="s">
        <v>244</v>
      </c>
      <c r="E173" s="1439"/>
      <c r="F173" s="2001"/>
      <c r="G173" s="1853"/>
      <c r="H173" s="1438" t="s">
        <v>244</v>
      </c>
      <c r="I173" s="1439"/>
      <c r="J173" s="2001"/>
      <c r="K173" s="1853"/>
      <c r="L173" s="1438" t="s">
        <v>244</v>
      </c>
      <c r="M173" s="1439"/>
      <c r="N173" s="1439"/>
      <c r="O173" s="1853"/>
      <c r="P173" s="1438" t="s">
        <v>244</v>
      </c>
      <c r="Q173" s="1439"/>
      <c r="R173" s="1439"/>
      <c r="S173" s="1853"/>
      <c r="T173" s="1438" t="s">
        <v>226</v>
      </c>
      <c r="U173" s="2001"/>
      <c r="V173" s="1444"/>
      <c r="W173" s="2087"/>
      <c r="X173" s="1444"/>
      <c r="Y173" s="1444"/>
      <c r="Z173" s="1444"/>
      <c r="AA173" s="1854"/>
      <c r="AB173" s="1444"/>
      <c r="AC173" s="1444"/>
      <c r="AD173" s="1444"/>
      <c r="AE173" s="1854"/>
      <c r="AF173" s="1444"/>
      <c r="AG173" s="211"/>
      <c r="AH173" s="213"/>
      <c r="AI173" s="1449"/>
      <c r="AJ173" s="214"/>
    </row>
    <row r="174" spans="1:36" ht="22.15" customHeight="1" x14ac:dyDescent="0.2">
      <c r="A174" s="109"/>
      <c r="B174" s="1851" t="s">
        <v>245</v>
      </c>
      <c r="C174" s="1856" t="s">
        <v>246</v>
      </c>
      <c r="D174" s="1438" t="s">
        <v>244</v>
      </c>
      <c r="E174" s="1439"/>
      <c r="F174" s="2001"/>
      <c r="G174" s="1853"/>
      <c r="H174" s="1438" t="s">
        <v>244</v>
      </c>
      <c r="I174" s="1439"/>
      <c r="J174" s="2001"/>
      <c r="K174" s="1853"/>
      <c r="L174" s="1438" t="s">
        <v>244</v>
      </c>
      <c r="M174" s="1439"/>
      <c r="N174" s="1439"/>
      <c r="O174" s="1853"/>
      <c r="P174" s="1438" t="s">
        <v>244</v>
      </c>
      <c r="Q174" s="1439"/>
      <c r="R174" s="1439"/>
      <c r="S174" s="1853"/>
      <c r="T174" s="1438" t="s">
        <v>226</v>
      </c>
      <c r="U174" s="2001"/>
      <c r="V174" s="1444"/>
      <c r="W174" s="2087"/>
      <c r="X174" s="1444"/>
      <c r="Y174" s="1444"/>
      <c r="Z174" s="2002"/>
      <c r="AA174" s="1452"/>
      <c r="AB174" s="1444"/>
      <c r="AC174" s="1444"/>
      <c r="AD174" s="1444"/>
      <c r="AE174" s="1854"/>
      <c r="AF174" s="1444"/>
      <c r="AG174" s="1444"/>
      <c r="AH174" s="1445"/>
      <c r="AI174" s="2086"/>
      <c r="AJ174" s="214"/>
    </row>
    <row r="175" spans="1:36" ht="22.15" customHeight="1" thickBot="1" x14ac:dyDescent="0.25">
      <c r="A175" s="109"/>
      <c r="B175" s="1851" t="s">
        <v>247</v>
      </c>
      <c r="C175" s="1856" t="s">
        <v>248</v>
      </c>
      <c r="D175" s="1438" t="s">
        <v>244</v>
      </c>
      <c r="E175" s="1439"/>
      <c r="F175" s="2001"/>
      <c r="G175" s="1853"/>
      <c r="H175" s="1438" t="s">
        <v>244</v>
      </c>
      <c r="I175" s="1439"/>
      <c r="J175" s="2001"/>
      <c r="K175" s="1853"/>
      <c r="L175" s="1438" t="s">
        <v>244</v>
      </c>
      <c r="M175" s="1439"/>
      <c r="N175" s="1439"/>
      <c r="O175" s="1853"/>
      <c r="P175" s="1438" t="s">
        <v>244</v>
      </c>
      <c r="Q175" s="1439"/>
      <c r="R175" s="1439"/>
      <c r="S175" s="1853"/>
      <c r="T175" s="1438" t="s">
        <v>226</v>
      </c>
      <c r="U175" s="2001"/>
      <c r="V175" s="1858"/>
      <c r="W175" s="677"/>
      <c r="X175" s="1858"/>
      <c r="Y175" s="1858"/>
      <c r="Z175" s="1859"/>
      <c r="AA175" s="1860"/>
      <c r="AB175" s="1858"/>
      <c r="AC175" s="1858"/>
      <c r="AD175" s="1858"/>
      <c r="AE175" s="678"/>
      <c r="AF175" s="1858"/>
      <c r="AG175" s="1444"/>
      <c r="AH175" s="1445"/>
      <c r="AI175" s="2086"/>
      <c r="AJ175" s="214"/>
    </row>
    <row r="176" spans="1:36" ht="22.15" customHeight="1" x14ac:dyDescent="0.2">
      <c r="A176" s="109"/>
      <c r="B176" s="240"/>
      <c r="C176" s="241"/>
      <c r="D176" s="242"/>
      <c r="E176" s="243"/>
      <c r="F176" s="243"/>
      <c r="G176" s="244"/>
      <c r="H176" s="242"/>
      <c r="I176" s="243"/>
      <c r="J176" s="243"/>
      <c r="K176" s="244"/>
      <c r="L176" s="242"/>
      <c r="M176" s="243"/>
      <c r="N176" s="243"/>
      <c r="O176" s="244"/>
      <c r="P176" s="228"/>
      <c r="Q176" s="243"/>
      <c r="R176" s="243"/>
      <c r="S176" s="244"/>
      <c r="T176" s="228"/>
      <c r="U176" s="243"/>
      <c r="V176" s="243"/>
      <c r="W176" s="243"/>
      <c r="X176" s="243"/>
      <c r="Y176" s="243"/>
      <c r="Z176" s="243"/>
      <c r="AA176" s="244"/>
      <c r="AB176" s="243"/>
      <c r="AC176" s="243"/>
      <c r="AD176" s="243"/>
      <c r="AE176" s="244"/>
      <c r="AF176" s="243"/>
      <c r="AG176" s="1444"/>
      <c r="AH176" s="1445"/>
      <c r="AI176" s="2086"/>
      <c r="AJ176" s="214"/>
    </row>
    <row r="177" spans="1:36" ht="22.15" customHeight="1" thickBot="1" x14ac:dyDescent="0.25">
      <c r="A177" s="148"/>
      <c r="B177" s="1457" t="s">
        <v>29</v>
      </c>
      <c r="C177" s="1186">
        <v>1</v>
      </c>
      <c r="D177" s="1186">
        <v>2</v>
      </c>
      <c r="E177" s="1185">
        <v>3</v>
      </c>
      <c r="F177" s="1185">
        <v>4</v>
      </c>
      <c r="G177" s="1186">
        <v>5</v>
      </c>
      <c r="H177" s="1186">
        <v>6</v>
      </c>
      <c r="I177" s="1186">
        <v>7</v>
      </c>
      <c r="J177" s="1186">
        <v>8</v>
      </c>
      <c r="K177" s="1186">
        <v>9</v>
      </c>
      <c r="L177" s="1185">
        <v>10</v>
      </c>
      <c r="M177" s="1185">
        <v>11</v>
      </c>
      <c r="N177" s="1186">
        <v>12</v>
      </c>
      <c r="O177" s="1186">
        <v>13</v>
      </c>
      <c r="P177" s="1186">
        <v>14</v>
      </c>
      <c r="Q177" s="1186">
        <v>15</v>
      </c>
      <c r="R177" s="1186">
        <v>16</v>
      </c>
      <c r="S177" s="1185">
        <v>17</v>
      </c>
      <c r="T177" s="1185">
        <v>18</v>
      </c>
      <c r="U177" s="1186">
        <v>19</v>
      </c>
      <c r="V177" s="1186">
        <v>20</v>
      </c>
      <c r="W177" s="1186">
        <v>21</v>
      </c>
      <c r="X177" s="1186">
        <v>22</v>
      </c>
      <c r="Y177" s="1186">
        <v>23</v>
      </c>
      <c r="Z177" s="1185">
        <v>24</v>
      </c>
      <c r="AA177" s="1185">
        <v>25</v>
      </c>
      <c r="AB177" s="1186">
        <v>26</v>
      </c>
      <c r="AC177" s="1186">
        <v>27</v>
      </c>
      <c r="AD177" s="1186">
        <v>28</v>
      </c>
      <c r="AE177" s="1186">
        <v>29</v>
      </c>
      <c r="AF177" s="1186">
        <v>30</v>
      </c>
      <c r="AG177" s="2064">
        <v>31</v>
      </c>
      <c r="AH177" s="1861"/>
      <c r="AI177" s="679"/>
      <c r="AJ177" s="214"/>
    </row>
    <row r="178" spans="1:36" ht="22.15" customHeight="1" x14ac:dyDescent="0.2">
      <c r="A178" s="109"/>
      <c r="B178" s="411" t="s">
        <v>249</v>
      </c>
      <c r="C178" s="385" t="s">
        <v>216</v>
      </c>
      <c r="D178" s="385" t="s">
        <v>216</v>
      </c>
      <c r="E178" s="385"/>
      <c r="F178" s="385"/>
      <c r="G178" s="385" t="s">
        <v>216</v>
      </c>
      <c r="H178" s="385" t="s">
        <v>216</v>
      </c>
      <c r="I178" s="385" t="s">
        <v>216</v>
      </c>
      <c r="J178" s="385" t="s">
        <v>216</v>
      </c>
      <c r="K178" s="385" t="s">
        <v>216</v>
      </c>
      <c r="L178" s="385"/>
      <c r="M178" s="385"/>
      <c r="N178" s="385" t="s">
        <v>216</v>
      </c>
      <c r="O178" s="385" t="s">
        <v>216</v>
      </c>
      <c r="P178" s="385" t="s">
        <v>216</v>
      </c>
      <c r="Q178" s="385" t="s">
        <v>216</v>
      </c>
      <c r="R178" s="385" t="s">
        <v>216</v>
      </c>
      <c r="S178" s="385"/>
      <c r="T178" s="385"/>
      <c r="U178" s="385" t="s">
        <v>216</v>
      </c>
      <c r="V178" s="385" t="s">
        <v>216</v>
      </c>
      <c r="W178" s="385" t="s">
        <v>216</v>
      </c>
      <c r="X178" s="385" t="s">
        <v>216</v>
      </c>
      <c r="Y178" s="385" t="s">
        <v>216</v>
      </c>
      <c r="Z178" s="385"/>
      <c r="AA178" s="385"/>
      <c r="AB178" s="385" t="s">
        <v>216</v>
      </c>
      <c r="AC178" s="385" t="s">
        <v>216</v>
      </c>
      <c r="AD178" s="385" t="s">
        <v>216</v>
      </c>
      <c r="AE178" s="385" t="s">
        <v>216</v>
      </c>
      <c r="AF178" s="385" t="s">
        <v>216</v>
      </c>
      <c r="AG178" s="412"/>
      <c r="AH178" s="215"/>
      <c r="AI178" s="215"/>
      <c r="AJ178" s="214"/>
    </row>
    <row r="179" spans="1:36" ht="22.15" customHeight="1" x14ac:dyDescent="0.2">
      <c r="A179" s="109"/>
      <c r="B179" s="1459" t="s">
        <v>250</v>
      </c>
      <c r="C179" s="1625" t="s">
        <v>216</v>
      </c>
      <c r="D179" s="1625" t="s">
        <v>216</v>
      </c>
      <c r="E179" s="1625"/>
      <c r="F179" s="1625"/>
      <c r="G179" s="1625" t="s">
        <v>216</v>
      </c>
      <c r="H179" s="1625" t="s">
        <v>216</v>
      </c>
      <c r="I179" s="1625" t="s">
        <v>216</v>
      </c>
      <c r="J179" s="1625" t="s">
        <v>216</v>
      </c>
      <c r="K179" s="1625" t="s">
        <v>216</v>
      </c>
      <c r="L179" s="1625"/>
      <c r="M179" s="1625"/>
      <c r="N179" s="1625" t="s">
        <v>216</v>
      </c>
      <c r="O179" s="1625" t="s">
        <v>216</v>
      </c>
      <c r="P179" s="1625" t="s">
        <v>216</v>
      </c>
      <c r="Q179" s="1625" t="s">
        <v>216</v>
      </c>
      <c r="R179" s="1625" t="s">
        <v>216</v>
      </c>
      <c r="S179" s="1625"/>
      <c r="T179" s="1625"/>
      <c r="U179" s="1625" t="s">
        <v>216</v>
      </c>
      <c r="V179" s="1625" t="s">
        <v>216</v>
      </c>
      <c r="W179" s="1625" t="s">
        <v>216</v>
      </c>
      <c r="X179" s="1625" t="s">
        <v>216</v>
      </c>
      <c r="Y179" s="1625" t="s">
        <v>216</v>
      </c>
      <c r="Z179" s="1625"/>
      <c r="AA179" s="1625"/>
      <c r="AB179" s="1625" t="s">
        <v>216</v>
      </c>
      <c r="AC179" s="1625" t="s">
        <v>216</v>
      </c>
      <c r="AD179" s="1625" t="s">
        <v>216</v>
      </c>
      <c r="AE179" s="1625" t="s">
        <v>216</v>
      </c>
      <c r="AF179" s="1625" t="s">
        <v>216</v>
      </c>
      <c r="AG179" s="1842"/>
      <c r="AH179" s="195"/>
      <c r="AI179" s="185"/>
      <c r="AJ179" s="631" t="s">
        <v>0</v>
      </c>
    </row>
    <row r="180" spans="1:36" ht="22.15" customHeight="1" x14ac:dyDescent="0.2">
      <c r="A180" s="109"/>
      <c r="B180" s="1459" t="s">
        <v>251</v>
      </c>
      <c r="C180" s="1460" t="s">
        <v>352</v>
      </c>
      <c r="D180" s="1625" t="s">
        <v>220</v>
      </c>
      <c r="E180" s="1625"/>
      <c r="F180" s="1625"/>
      <c r="G180" s="1625" t="s">
        <v>220</v>
      </c>
      <c r="H180" s="1625" t="s">
        <v>220</v>
      </c>
      <c r="I180" s="1625" t="s">
        <v>220</v>
      </c>
      <c r="J180" s="1625" t="s">
        <v>220</v>
      </c>
      <c r="K180" s="1625" t="s">
        <v>220</v>
      </c>
      <c r="L180" s="1625"/>
      <c r="M180" s="1625"/>
      <c r="N180" s="1625" t="s">
        <v>220</v>
      </c>
      <c r="O180" s="1625" t="s">
        <v>220</v>
      </c>
      <c r="P180" s="1625" t="s">
        <v>220</v>
      </c>
      <c r="Q180" s="1625" t="s">
        <v>220</v>
      </c>
      <c r="R180" s="1625" t="s">
        <v>220</v>
      </c>
      <c r="S180" s="1625"/>
      <c r="T180" s="1625"/>
      <c r="U180" s="1465" t="s">
        <v>220</v>
      </c>
      <c r="V180" s="1465" t="s">
        <v>220</v>
      </c>
      <c r="W180" s="1465" t="s">
        <v>220</v>
      </c>
      <c r="X180" s="1465" t="s">
        <v>220</v>
      </c>
      <c r="Y180" s="1465" t="s">
        <v>220</v>
      </c>
      <c r="Z180" s="1625"/>
      <c r="AA180" s="1625"/>
      <c r="AB180" s="1625" t="s">
        <v>220</v>
      </c>
      <c r="AC180" s="1625" t="s">
        <v>220</v>
      </c>
      <c r="AD180" s="1625" t="s">
        <v>220</v>
      </c>
      <c r="AE180" s="1625" t="s">
        <v>220</v>
      </c>
      <c r="AF180" s="1625" t="s">
        <v>220</v>
      </c>
      <c r="AG180" s="1842"/>
      <c r="AH180" s="190"/>
      <c r="AI180" s="190"/>
    </row>
    <row r="181" spans="1:36" ht="22.15" customHeight="1" x14ac:dyDescent="0.2">
      <c r="A181" s="109"/>
      <c r="B181" s="1459" t="s">
        <v>252</v>
      </c>
      <c r="C181" s="1625" t="s">
        <v>158</v>
      </c>
      <c r="D181" s="1625" t="s">
        <v>158</v>
      </c>
      <c r="E181" s="1625"/>
      <c r="F181" s="1625"/>
      <c r="G181" s="1625" t="s">
        <v>158</v>
      </c>
      <c r="H181" s="1625" t="s">
        <v>158</v>
      </c>
      <c r="I181" s="1625" t="s">
        <v>158</v>
      </c>
      <c r="J181" s="1625" t="s">
        <v>158</v>
      </c>
      <c r="K181" s="1625" t="s">
        <v>158</v>
      </c>
      <c r="L181" s="1625"/>
      <c r="M181" s="1625"/>
      <c r="N181" s="1712" t="s">
        <v>158</v>
      </c>
      <c r="O181" s="1712" t="s">
        <v>158</v>
      </c>
      <c r="P181" s="1712" t="s">
        <v>158</v>
      </c>
      <c r="Q181" s="1712" t="s">
        <v>158</v>
      </c>
      <c r="R181" s="1712" t="s">
        <v>158</v>
      </c>
      <c r="S181" s="1712"/>
      <c r="T181" s="1712"/>
      <c r="U181" s="1625" t="s">
        <v>158</v>
      </c>
      <c r="V181" s="1625" t="s">
        <v>158</v>
      </c>
      <c r="W181" s="1625" t="s">
        <v>158</v>
      </c>
      <c r="X181" s="2088" t="s">
        <v>158</v>
      </c>
      <c r="Y181" s="1625" t="s">
        <v>158</v>
      </c>
      <c r="Z181" s="1625"/>
      <c r="AA181" s="1625"/>
      <c r="AB181" s="1625" t="s">
        <v>158</v>
      </c>
      <c r="AC181" s="1625" t="s">
        <v>158</v>
      </c>
      <c r="AD181" s="1625" t="s">
        <v>158</v>
      </c>
      <c r="AE181" s="2088" t="s">
        <v>158</v>
      </c>
      <c r="AF181" s="1625" t="s">
        <v>158</v>
      </c>
      <c r="AG181" s="1842"/>
      <c r="AH181" s="190"/>
      <c r="AI181" s="190"/>
      <c r="AJ181" s="632"/>
    </row>
    <row r="182" spans="1:36" ht="22.15" customHeight="1" x14ac:dyDescent="0.2">
      <c r="A182" s="109"/>
      <c r="B182" s="1665" t="s">
        <v>253</v>
      </c>
      <c r="C182" s="1625" t="s">
        <v>223</v>
      </c>
      <c r="D182" s="1625" t="s">
        <v>223</v>
      </c>
      <c r="E182" s="1625"/>
      <c r="F182" s="1625"/>
      <c r="G182" s="1625" t="s">
        <v>223</v>
      </c>
      <c r="H182" s="1625" t="s">
        <v>223</v>
      </c>
      <c r="I182" s="1625" t="s">
        <v>223</v>
      </c>
      <c r="J182" s="1625" t="s">
        <v>223</v>
      </c>
      <c r="K182" s="1625" t="s">
        <v>223</v>
      </c>
      <c r="L182" s="1625"/>
      <c r="M182" s="1625"/>
      <c r="N182" s="1625" t="s">
        <v>223</v>
      </c>
      <c r="O182" s="1625" t="s">
        <v>223</v>
      </c>
      <c r="P182" s="1625" t="s">
        <v>223</v>
      </c>
      <c r="Q182" s="1625" t="s">
        <v>223</v>
      </c>
      <c r="R182" s="1625" t="s">
        <v>223</v>
      </c>
      <c r="S182" s="1625"/>
      <c r="T182" s="1625"/>
      <c r="U182" s="1625" t="s">
        <v>223</v>
      </c>
      <c r="V182" s="1625" t="s">
        <v>223</v>
      </c>
      <c r="W182" s="1625" t="s">
        <v>223</v>
      </c>
      <c r="X182" s="1625" t="s">
        <v>223</v>
      </c>
      <c r="Y182" s="1625" t="s">
        <v>223</v>
      </c>
      <c r="Z182" s="1625"/>
      <c r="AA182" s="1625"/>
      <c r="AB182" s="1625" t="s">
        <v>223</v>
      </c>
      <c r="AC182" s="1625" t="s">
        <v>223</v>
      </c>
      <c r="AD182" s="1625" t="s">
        <v>223</v>
      </c>
      <c r="AE182" s="1625" t="s">
        <v>223</v>
      </c>
      <c r="AF182" s="1625" t="s">
        <v>223</v>
      </c>
      <c r="AG182" s="1842"/>
      <c r="AH182" s="190"/>
      <c r="AI182" s="190"/>
    </row>
    <row r="183" spans="1:36" ht="22.15" customHeight="1" x14ac:dyDescent="0.2">
      <c r="A183" s="109"/>
      <c r="B183" s="1330" t="s">
        <v>254</v>
      </c>
      <c r="C183" s="1625" t="s">
        <v>228</v>
      </c>
      <c r="D183" s="1625" t="s">
        <v>228</v>
      </c>
      <c r="E183" s="1625"/>
      <c r="F183" s="1625"/>
      <c r="G183" s="1625" t="s">
        <v>228</v>
      </c>
      <c r="H183" s="1625" t="s">
        <v>228</v>
      </c>
      <c r="I183" s="1625" t="s">
        <v>228</v>
      </c>
      <c r="J183" s="1625" t="s">
        <v>228</v>
      </c>
      <c r="K183" s="1625" t="s">
        <v>228</v>
      </c>
      <c r="L183" s="1625"/>
      <c r="M183" s="1625"/>
      <c r="N183" s="1625" t="s">
        <v>228</v>
      </c>
      <c r="O183" s="1625" t="s">
        <v>228</v>
      </c>
      <c r="P183" s="1625" t="s">
        <v>228</v>
      </c>
      <c r="Q183" s="1625" t="s">
        <v>228</v>
      </c>
      <c r="R183" s="1625" t="s">
        <v>228</v>
      </c>
      <c r="S183" s="1625"/>
      <c r="T183" s="1625"/>
      <c r="U183" s="1625" t="s">
        <v>228</v>
      </c>
      <c r="V183" s="1625" t="s">
        <v>228</v>
      </c>
      <c r="W183" s="1625" t="s">
        <v>228</v>
      </c>
      <c r="X183" s="1625" t="s">
        <v>228</v>
      </c>
      <c r="Y183" s="1625" t="s">
        <v>238</v>
      </c>
      <c r="Z183" s="1625"/>
      <c r="AA183" s="1625"/>
      <c r="AB183" s="1625" t="s">
        <v>228</v>
      </c>
      <c r="AC183" s="1625" t="s">
        <v>228</v>
      </c>
      <c r="AD183" s="1625" t="s">
        <v>228</v>
      </c>
      <c r="AE183" s="1625" t="s">
        <v>228</v>
      </c>
      <c r="AF183" s="1625" t="s">
        <v>228</v>
      </c>
      <c r="AG183" s="1842"/>
      <c r="AH183" s="190"/>
      <c r="AI183" s="190"/>
    </row>
    <row r="184" spans="1:36" ht="22.15" customHeight="1" x14ac:dyDescent="0.2">
      <c r="A184" s="109"/>
      <c r="B184" s="1459" t="s">
        <v>255</v>
      </c>
      <c r="C184" s="1612" t="s">
        <v>233</v>
      </c>
      <c r="D184" s="1612" t="s">
        <v>233</v>
      </c>
      <c r="E184" s="1612"/>
      <c r="F184" s="1612"/>
      <c r="G184" s="1612" t="s">
        <v>233</v>
      </c>
      <c r="H184" s="1612" t="s">
        <v>233</v>
      </c>
      <c r="I184" s="1612" t="s">
        <v>233</v>
      </c>
      <c r="J184" s="1612" t="s">
        <v>233</v>
      </c>
      <c r="K184" s="1612" t="s">
        <v>233</v>
      </c>
      <c r="L184" s="1612"/>
      <c r="M184" s="1612"/>
      <c r="N184" s="1612" t="s">
        <v>233</v>
      </c>
      <c r="O184" s="1612" t="s">
        <v>233</v>
      </c>
      <c r="P184" s="1612" t="s">
        <v>233</v>
      </c>
      <c r="Q184" s="1612" t="s">
        <v>233</v>
      </c>
      <c r="R184" s="1612" t="s">
        <v>233</v>
      </c>
      <c r="S184" s="1612"/>
      <c r="T184" s="1612"/>
      <c r="U184" s="1612" t="s">
        <v>233</v>
      </c>
      <c r="V184" s="1612" t="s">
        <v>233</v>
      </c>
      <c r="W184" s="1612" t="s">
        <v>233</v>
      </c>
      <c r="X184" s="1612" t="s">
        <v>233</v>
      </c>
      <c r="Y184" s="1933" t="s">
        <v>233</v>
      </c>
      <c r="Z184" s="1612"/>
      <c r="AA184" s="1612"/>
      <c r="AB184" s="1612" t="s">
        <v>233</v>
      </c>
      <c r="AC184" s="1612" t="s">
        <v>233</v>
      </c>
      <c r="AD184" s="1612" t="s">
        <v>233</v>
      </c>
      <c r="AE184" s="1612" t="s">
        <v>233</v>
      </c>
      <c r="AF184" s="1612" t="s">
        <v>233</v>
      </c>
      <c r="AG184" s="1842"/>
      <c r="AH184" s="190"/>
      <c r="AI184" s="190"/>
    </row>
    <row r="185" spans="1:36" ht="22.15" customHeight="1" x14ac:dyDescent="0.2">
      <c r="A185" s="109"/>
      <c r="B185" s="1715" t="s">
        <v>256</v>
      </c>
      <c r="C185" s="2058" t="s">
        <v>392</v>
      </c>
      <c r="D185" s="2058" t="s">
        <v>392</v>
      </c>
      <c r="E185" s="2058"/>
      <c r="F185" s="2058"/>
      <c r="G185" s="2058" t="s">
        <v>392</v>
      </c>
      <c r="H185" s="2058" t="s">
        <v>392</v>
      </c>
      <c r="I185" s="2058" t="s">
        <v>392</v>
      </c>
      <c r="J185" s="2058" t="s">
        <v>392</v>
      </c>
      <c r="K185" s="2058" t="s">
        <v>392</v>
      </c>
      <c r="L185" s="2058"/>
      <c r="M185" s="2058"/>
      <c r="N185" s="2058" t="s">
        <v>392</v>
      </c>
      <c r="O185" s="2058" t="s">
        <v>392</v>
      </c>
      <c r="P185" s="2058" t="s">
        <v>392</v>
      </c>
      <c r="Q185" s="2058" t="s">
        <v>392</v>
      </c>
      <c r="R185" s="2058" t="s">
        <v>392</v>
      </c>
      <c r="S185" s="2058"/>
      <c r="T185" s="2058"/>
      <c r="U185" s="2058" t="s">
        <v>392</v>
      </c>
      <c r="V185" s="2058" t="s">
        <v>392</v>
      </c>
      <c r="W185" s="2058" t="s">
        <v>392</v>
      </c>
      <c r="X185" s="2058" t="s">
        <v>392</v>
      </c>
      <c r="Y185" s="2058" t="s">
        <v>392</v>
      </c>
      <c r="Z185" s="2058"/>
      <c r="AA185" s="2058"/>
      <c r="AB185" s="1625" t="s">
        <v>235</v>
      </c>
      <c r="AC185" s="1625" t="s">
        <v>235</v>
      </c>
      <c r="AD185" s="1625" t="s">
        <v>235</v>
      </c>
      <c r="AE185" s="1625" t="s">
        <v>235</v>
      </c>
      <c r="AF185" s="1625" t="s">
        <v>235</v>
      </c>
      <c r="AG185" s="1842"/>
      <c r="AH185" s="190"/>
      <c r="AI185" s="190"/>
    </row>
    <row r="186" spans="1:36" ht="22.15" customHeight="1" x14ac:dyDescent="0.2">
      <c r="A186" s="109"/>
      <c r="B186" s="1459" t="s">
        <v>257</v>
      </c>
      <c r="C186" s="1625" t="s">
        <v>236</v>
      </c>
      <c r="D186" s="1625" t="s">
        <v>236</v>
      </c>
      <c r="E186" s="1625"/>
      <c r="F186" s="1625"/>
      <c r="G186" s="1625" t="s">
        <v>236</v>
      </c>
      <c r="H186" s="1625" t="s">
        <v>236</v>
      </c>
      <c r="I186" s="1625" t="s">
        <v>236</v>
      </c>
      <c r="J186" s="1625" t="s">
        <v>236</v>
      </c>
      <c r="K186" s="1625" t="s">
        <v>236</v>
      </c>
      <c r="L186" s="1625"/>
      <c r="M186" s="1625"/>
      <c r="N186" s="1625" t="s">
        <v>236</v>
      </c>
      <c r="O186" s="1625" t="s">
        <v>236</v>
      </c>
      <c r="P186" s="1625" t="s">
        <v>236</v>
      </c>
      <c r="Q186" s="1625" t="s">
        <v>236</v>
      </c>
      <c r="R186" s="1625" t="s">
        <v>236</v>
      </c>
      <c r="S186" s="1625"/>
      <c r="T186" s="1625"/>
      <c r="U186" s="1625" t="s">
        <v>236</v>
      </c>
      <c r="V186" s="1625" t="s">
        <v>236</v>
      </c>
      <c r="W186" s="1625" t="s">
        <v>236</v>
      </c>
      <c r="X186" s="1625" t="s">
        <v>236</v>
      </c>
      <c r="Y186" s="1625" t="s">
        <v>236</v>
      </c>
      <c r="Z186" s="1625"/>
      <c r="AA186" s="1625"/>
      <c r="AB186" s="1625" t="s">
        <v>236</v>
      </c>
      <c r="AC186" s="1625" t="s">
        <v>236</v>
      </c>
      <c r="AD186" s="1625" t="s">
        <v>236</v>
      </c>
      <c r="AE186" s="1625" t="s">
        <v>236</v>
      </c>
      <c r="AF186" s="1625" t="s">
        <v>236</v>
      </c>
      <c r="AG186" s="1842"/>
      <c r="AH186" s="190"/>
      <c r="AI186" s="190"/>
    </row>
    <row r="187" spans="1:36" ht="22.15" customHeight="1" x14ac:dyDescent="0.2">
      <c r="A187" s="109"/>
      <c r="B187" s="1459" t="s">
        <v>258</v>
      </c>
      <c r="C187" s="1625" t="s">
        <v>238</v>
      </c>
      <c r="D187" s="1625" t="s">
        <v>238</v>
      </c>
      <c r="E187" s="1625"/>
      <c r="F187" s="1625"/>
      <c r="G187" s="1625" t="s">
        <v>238</v>
      </c>
      <c r="H187" s="1625" t="s">
        <v>238</v>
      </c>
      <c r="I187" s="1625" t="s">
        <v>238</v>
      </c>
      <c r="J187" s="1625" t="s">
        <v>238</v>
      </c>
      <c r="K187" s="1625" t="s">
        <v>238</v>
      </c>
      <c r="L187" s="1625"/>
      <c r="M187" s="1625"/>
      <c r="N187" s="1625" t="s">
        <v>238</v>
      </c>
      <c r="O187" s="1625" t="s">
        <v>238</v>
      </c>
      <c r="P187" s="1625" t="s">
        <v>238</v>
      </c>
      <c r="Q187" s="1625" t="s">
        <v>238</v>
      </c>
      <c r="R187" s="1625" t="s">
        <v>238</v>
      </c>
      <c r="S187" s="1625"/>
      <c r="T187" s="1625"/>
      <c r="U187" s="1625" t="s">
        <v>238</v>
      </c>
      <c r="V187" s="1625" t="s">
        <v>238</v>
      </c>
      <c r="W187" s="1625" t="s">
        <v>238</v>
      </c>
      <c r="X187" s="1625" t="s">
        <v>238</v>
      </c>
      <c r="Y187" s="1460" t="s">
        <v>259</v>
      </c>
      <c r="Z187" s="1625"/>
      <c r="AA187" s="1625"/>
      <c r="AB187" s="1625" t="s">
        <v>238</v>
      </c>
      <c r="AC187" s="1625" t="s">
        <v>238</v>
      </c>
      <c r="AD187" s="1625" t="s">
        <v>238</v>
      </c>
      <c r="AE187" s="1625" t="s">
        <v>238</v>
      </c>
      <c r="AF187" s="1625" t="s">
        <v>238</v>
      </c>
      <c r="AG187" s="1842"/>
      <c r="AH187" s="190"/>
      <c r="AI187" s="190"/>
    </row>
    <row r="188" spans="1:36" ht="22.15" customHeight="1" x14ac:dyDescent="0.2">
      <c r="A188" s="109"/>
      <c r="B188" s="1715" t="s">
        <v>260</v>
      </c>
      <c r="C188" s="1625" t="s">
        <v>80</v>
      </c>
      <c r="D188" s="1625" t="s">
        <v>80</v>
      </c>
      <c r="E188" s="1625"/>
      <c r="F188" s="1625"/>
      <c r="G188" s="1712" t="s">
        <v>80</v>
      </c>
      <c r="H188" s="1712" t="s">
        <v>80</v>
      </c>
      <c r="I188" s="1712" t="s">
        <v>80</v>
      </c>
      <c r="J188" s="1712" t="s">
        <v>80</v>
      </c>
      <c r="K188" s="1712" t="s">
        <v>80</v>
      </c>
      <c r="L188" s="1712"/>
      <c r="M188" s="1712"/>
      <c r="N188" s="1712" t="s">
        <v>80</v>
      </c>
      <c r="O188" s="1712" t="s">
        <v>80</v>
      </c>
      <c r="P188" s="1712" t="s">
        <v>80</v>
      </c>
      <c r="Q188" s="1712" t="s">
        <v>80</v>
      </c>
      <c r="R188" s="1712" t="s">
        <v>80</v>
      </c>
      <c r="S188" s="1712"/>
      <c r="T188" s="1712"/>
      <c r="U188" s="1625" t="s">
        <v>80</v>
      </c>
      <c r="V188" s="1625" t="s">
        <v>80</v>
      </c>
      <c r="W188" s="1625" t="s">
        <v>80</v>
      </c>
      <c r="X188" s="1625" t="s">
        <v>80</v>
      </c>
      <c r="Y188" s="1625" t="s">
        <v>80</v>
      </c>
      <c r="Z188" s="1625"/>
      <c r="AA188" s="1625"/>
      <c r="AB188" s="1430" t="s">
        <v>80</v>
      </c>
      <c r="AC188" s="1430" t="s">
        <v>80</v>
      </c>
      <c r="AD188" s="1430" t="s">
        <v>80</v>
      </c>
      <c r="AE188" s="1430" t="s">
        <v>80</v>
      </c>
      <c r="AF188" s="1430" t="s">
        <v>399</v>
      </c>
      <c r="AG188" s="1842"/>
      <c r="AH188" s="190"/>
      <c r="AI188" s="190"/>
    </row>
    <row r="189" spans="1:36" ht="22.15" customHeight="1" x14ac:dyDescent="0.2">
      <c r="A189" s="109"/>
      <c r="B189" s="1459" t="s">
        <v>261</v>
      </c>
      <c r="C189" s="1625" t="s">
        <v>132</v>
      </c>
      <c r="D189" s="1625" t="s">
        <v>132</v>
      </c>
      <c r="E189" s="1625"/>
      <c r="F189" s="1625"/>
      <c r="G189" s="1625" t="s">
        <v>132</v>
      </c>
      <c r="H189" s="1625" t="s">
        <v>132</v>
      </c>
      <c r="I189" s="1625" t="s">
        <v>132</v>
      </c>
      <c r="J189" s="1625" t="s">
        <v>132</v>
      </c>
      <c r="K189" s="1625" t="s">
        <v>132</v>
      </c>
      <c r="L189" s="1625"/>
      <c r="M189" s="1625"/>
      <c r="N189" s="1625" t="s">
        <v>132</v>
      </c>
      <c r="O189" s="1625" t="s">
        <v>132</v>
      </c>
      <c r="P189" s="1625" t="s">
        <v>132</v>
      </c>
      <c r="Q189" s="1625" t="s">
        <v>132</v>
      </c>
      <c r="R189" s="1625" t="s">
        <v>132</v>
      </c>
      <c r="S189" s="1625"/>
      <c r="T189" s="1625"/>
      <c r="U189" s="1625" t="s">
        <v>132</v>
      </c>
      <c r="V189" s="1625" t="s">
        <v>132</v>
      </c>
      <c r="W189" s="1625" t="s">
        <v>132</v>
      </c>
      <c r="X189" s="1625" t="s">
        <v>132</v>
      </c>
      <c r="Y189" s="1625" t="s">
        <v>132</v>
      </c>
      <c r="Z189" s="1625"/>
      <c r="AA189" s="1625"/>
      <c r="AB189" s="1625" t="s">
        <v>132</v>
      </c>
      <c r="AC189" s="1625" t="s">
        <v>132</v>
      </c>
      <c r="AD189" s="1625" t="s">
        <v>132</v>
      </c>
      <c r="AE189" s="1625" t="s">
        <v>132</v>
      </c>
      <c r="AF189" s="1625" t="s">
        <v>132</v>
      </c>
      <c r="AG189" s="1842"/>
      <c r="AH189" s="190"/>
      <c r="AI189" s="190"/>
    </row>
    <row r="190" spans="1:36" ht="22.15" customHeight="1" x14ac:dyDescent="0.2">
      <c r="A190" s="109"/>
      <c r="B190" s="1715" t="s">
        <v>0</v>
      </c>
      <c r="C190" s="1625" t="s">
        <v>243</v>
      </c>
      <c r="D190" s="1625" t="s">
        <v>243</v>
      </c>
      <c r="E190" s="1625"/>
      <c r="F190" s="1625"/>
      <c r="G190" s="1625" t="s">
        <v>243</v>
      </c>
      <c r="H190" s="1625" t="s">
        <v>243</v>
      </c>
      <c r="I190" s="1625" t="s">
        <v>243</v>
      </c>
      <c r="J190" s="1625" t="s">
        <v>243</v>
      </c>
      <c r="K190" s="1625" t="s">
        <v>243</v>
      </c>
      <c r="L190" s="1625"/>
      <c r="M190" s="1625"/>
      <c r="N190" s="1625" t="s">
        <v>243</v>
      </c>
      <c r="O190" s="1625" t="s">
        <v>243</v>
      </c>
      <c r="P190" s="1625" t="s">
        <v>243</v>
      </c>
      <c r="Q190" s="1625" t="s">
        <v>243</v>
      </c>
      <c r="R190" s="1625" t="s">
        <v>243</v>
      </c>
      <c r="S190" s="1625"/>
      <c r="T190" s="1625"/>
      <c r="U190" s="1625" t="s">
        <v>243</v>
      </c>
      <c r="V190" s="1625" t="s">
        <v>243</v>
      </c>
      <c r="W190" s="1625" t="s">
        <v>243</v>
      </c>
      <c r="X190" s="1625" t="s">
        <v>243</v>
      </c>
      <c r="Y190" s="1625" t="s">
        <v>243</v>
      </c>
      <c r="Z190" s="1625"/>
      <c r="AA190" s="1625"/>
      <c r="AB190" s="1625" t="s">
        <v>243</v>
      </c>
      <c r="AC190" s="1625" t="s">
        <v>243</v>
      </c>
      <c r="AD190" s="1625" t="s">
        <v>243</v>
      </c>
      <c r="AE190" s="1625" t="s">
        <v>243</v>
      </c>
      <c r="AF190" s="1625" t="s">
        <v>243</v>
      </c>
      <c r="AG190" s="1842"/>
      <c r="AH190" s="190"/>
      <c r="AI190" s="190"/>
      <c r="AJ190" t="s">
        <v>392</v>
      </c>
    </row>
    <row r="191" spans="1:36" ht="22.15" customHeight="1" x14ac:dyDescent="0.2">
      <c r="A191" s="109"/>
      <c r="B191" s="1715" t="s">
        <v>263</v>
      </c>
      <c r="C191" s="1625" t="s">
        <v>246</v>
      </c>
      <c r="D191" s="1625" t="s">
        <v>246</v>
      </c>
      <c r="E191" s="1625"/>
      <c r="F191" s="1625"/>
      <c r="G191" s="1625" t="s">
        <v>246</v>
      </c>
      <c r="H191" s="1625" t="s">
        <v>246</v>
      </c>
      <c r="I191" s="1625" t="s">
        <v>246</v>
      </c>
      <c r="J191" s="1625" t="s">
        <v>246</v>
      </c>
      <c r="K191" s="1625" t="s">
        <v>246</v>
      </c>
      <c r="L191" s="1625"/>
      <c r="M191" s="1625"/>
      <c r="N191" s="1625" t="s">
        <v>246</v>
      </c>
      <c r="O191" s="1625" t="s">
        <v>246</v>
      </c>
      <c r="P191" s="1625" t="s">
        <v>246</v>
      </c>
      <c r="Q191" s="1625" t="s">
        <v>246</v>
      </c>
      <c r="R191" s="1625" t="s">
        <v>246</v>
      </c>
      <c r="S191" s="1625"/>
      <c r="T191" s="1625"/>
      <c r="U191" s="1625" t="s">
        <v>246</v>
      </c>
      <c r="V191" s="1625" t="s">
        <v>246</v>
      </c>
      <c r="W191" s="1430" t="s">
        <v>246</v>
      </c>
      <c r="X191" s="1430" t="s">
        <v>246</v>
      </c>
      <c r="Y191" s="1430" t="s">
        <v>246</v>
      </c>
      <c r="Z191" s="1430"/>
      <c r="AA191" s="1430" t="s">
        <v>118</v>
      </c>
      <c r="AB191" s="1625" t="s">
        <v>246</v>
      </c>
      <c r="AC191" s="1625" t="s">
        <v>246</v>
      </c>
      <c r="AD191" s="1625" t="s">
        <v>246</v>
      </c>
      <c r="AE191" s="1625" t="s">
        <v>246</v>
      </c>
      <c r="AF191" s="1625" t="s">
        <v>246</v>
      </c>
      <c r="AG191" s="1842"/>
      <c r="AH191" s="190"/>
      <c r="AI191" s="190"/>
    </row>
    <row r="192" spans="1:36" ht="22.15" customHeight="1" thickBot="1" x14ac:dyDescent="0.25">
      <c r="A192" s="148"/>
      <c r="B192" s="692" t="s">
        <v>264</v>
      </c>
      <c r="C192" s="696" t="s">
        <v>248</v>
      </c>
      <c r="D192" s="696" t="s">
        <v>248</v>
      </c>
      <c r="E192" s="696"/>
      <c r="F192" s="696"/>
      <c r="G192" s="686" t="s">
        <v>248</v>
      </c>
      <c r="H192" s="694" t="s">
        <v>248</v>
      </c>
      <c r="I192" s="694" t="s">
        <v>265</v>
      </c>
      <c r="J192" s="722" t="s">
        <v>248</v>
      </c>
      <c r="K192" s="696" t="s">
        <v>248</v>
      </c>
      <c r="L192" s="696"/>
      <c r="M192" s="696"/>
      <c r="N192" s="706" t="s">
        <v>248</v>
      </c>
      <c r="O192" s="706" t="s">
        <v>248</v>
      </c>
      <c r="P192" s="706" t="s">
        <v>248</v>
      </c>
      <c r="Q192" s="706" t="s">
        <v>248</v>
      </c>
      <c r="R192" s="706" t="s">
        <v>248</v>
      </c>
      <c r="S192" s="706"/>
      <c r="T192" s="706"/>
      <c r="U192" s="696" t="s">
        <v>248</v>
      </c>
      <c r="V192" s="696" t="s">
        <v>248</v>
      </c>
      <c r="W192" s="696" t="s">
        <v>248</v>
      </c>
      <c r="X192" s="696" t="s">
        <v>248</v>
      </c>
      <c r="Y192" s="696" t="s">
        <v>248</v>
      </c>
      <c r="Z192" s="696"/>
      <c r="AA192" s="696"/>
      <c r="AB192" s="694" t="s">
        <v>248</v>
      </c>
      <c r="AC192" s="694" t="s">
        <v>248</v>
      </c>
      <c r="AD192" s="694" t="s">
        <v>248</v>
      </c>
      <c r="AE192" s="694" t="s">
        <v>248</v>
      </c>
      <c r="AF192" s="694" t="s">
        <v>248</v>
      </c>
      <c r="AG192" s="217"/>
      <c r="AH192" s="190"/>
      <c r="AI192" s="190"/>
    </row>
    <row r="193" spans="1:35" ht="22.15" customHeight="1" x14ac:dyDescent="0.2">
      <c r="A193" s="148"/>
      <c r="B193" s="257"/>
      <c r="C193" s="255"/>
      <c r="D193" s="255"/>
      <c r="E193" s="255"/>
      <c r="F193" s="255"/>
      <c r="G193" s="255"/>
      <c r="H193" s="255"/>
      <c r="I193" s="255"/>
      <c r="J193" s="255"/>
      <c r="K193" s="255"/>
      <c r="L193" s="255"/>
      <c r="M193" s="255"/>
      <c r="N193" s="255"/>
      <c r="O193" s="255"/>
      <c r="P193" s="255"/>
      <c r="Q193" s="255"/>
      <c r="R193" s="255"/>
      <c r="S193" s="255"/>
      <c r="T193" s="255"/>
      <c r="U193" s="255"/>
      <c r="V193" s="255"/>
      <c r="W193" s="255"/>
      <c r="X193" s="255"/>
      <c r="Y193" s="255"/>
      <c r="Z193" s="255"/>
      <c r="AA193" s="255"/>
      <c r="AB193" s="255"/>
      <c r="AC193" s="255"/>
      <c r="AD193" s="255"/>
      <c r="AE193" s="255"/>
      <c r="AF193" s="255"/>
      <c r="AH193" s="107"/>
      <c r="AI193" s="107"/>
    </row>
    <row r="194" spans="1:35" ht="21" customHeight="1" x14ac:dyDescent="0.2"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H194" s="115"/>
    </row>
    <row r="195" spans="1:35" ht="21" customHeight="1" thickBot="1" x14ac:dyDescent="0.25">
      <c r="A195" s="1" t="s">
        <v>266</v>
      </c>
      <c r="B195" s="59"/>
      <c r="AG195" s="255"/>
      <c r="AH195" s="115"/>
    </row>
    <row r="196" spans="1:35" ht="22.15" customHeight="1" x14ac:dyDescent="0.2">
      <c r="A196" s="1"/>
      <c r="B196" s="1466" t="s">
        <v>267</v>
      </c>
      <c r="C196" s="525" t="s">
        <v>90</v>
      </c>
      <c r="D196" s="525"/>
      <c r="E196" s="525"/>
      <c r="F196" s="525"/>
      <c r="G196" s="526" t="s">
        <v>91</v>
      </c>
      <c r="H196" s="525"/>
      <c r="I196" s="525"/>
      <c r="J196" s="525"/>
      <c r="K196" s="526" t="s">
        <v>92</v>
      </c>
      <c r="L196" s="525"/>
      <c r="M196" s="525"/>
      <c r="N196" s="525"/>
      <c r="O196" s="526" t="s">
        <v>93</v>
      </c>
      <c r="P196" s="525"/>
      <c r="Q196" s="525"/>
      <c r="R196" s="525"/>
      <c r="S196" s="526" t="s">
        <v>94</v>
      </c>
      <c r="T196" s="525"/>
      <c r="U196" s="525"/>
      <c r="V196" s="525"/>
      <c r="W196" s="527" t="s">
        <v>95</v>
      </c>
      <c r="X196" s="473"/>
      <c r="Y196" s="525"/>
      <c r="Z196" s="528"/>
      <c r="AA196" s="527" t="s">
        <v>96</v>
      </c>
      <c r="AB196" s="473"/>
      <c r="AC196" s="525"/>
      <c r="AD196" s="528"/>
      <c r="AE196" s="529" t="s">
        <v>97</v>
      </c>
      <c r="AF196" s="525"/>
      <c r="AG196" s="37"/>
    </row>
    <row r="197" spans="1:35" ht="22.15" customHeight="1" thickBot="1" x14ac:dyDescent="0.25">
      <c r="A197" s="1"/>
      <c r="B197" s="1467">
        <v>3701</v>
      </c>
      <c r="C197" s="110" t="s">
        <v>268</v>
      </c>
      <c r="D197" s="110"/>
      <c r="E197" s="110"/>
      <c r="F197" s="110"/>
      <c r="G197" s="2089" t="s">
        <v>269</v>
      </c>
      <c r="H197" s="110"/>
      <c r="I197" s="110"/>
      <c r="J197" s="110"/>
      <c r="K197" s="2089" t="s">
        <v>269</v>
      </c>
      <c r="L197" s="110"/>
      <c r="M197" s="110"/>
      <c r="N197" s="110"/>
      <c r="O197" s="2089" t="s">
        <v>269</v>
      </c>
      <c r="P197" s="110"/>
      <c r="Q197" s="110"/>
      <c r="R197" s="110"/>
      <c r="S197" s="2089" t="s">
        <v>270</v>
      </c>
      <c r="T197" s="110"/>
      <c r="U197" s="110"/>
      <c r="V197" s="110"/>
      <c r="W197" s="1865"/>
      <c r="X197" s="1866"/>
      <c r="Y197" s="1235"/>
      <c r="Z197" s="1867"/>
      <c r="AA197" s="1865"/>
      <c r="AB197" s="1866"/>
      <c r="AC197" s="1235"/>
      <c r="AD197" s="1867"/>
      <c r="AE197" s="1391"/>
      <c r="AF197" s="1235"/>
    </row>
    <row r="198" spans="1:35" ht="22.15" customHeight="1" x14ac:dyDescent="0.2">
      <c r="A198" s="2010"/>
      <c r="B198" s="1466"/>
      <c r="C198" s="2011"/>
      <c r="D198" s="1474"/>
      <c r="E198" s="1474"/>
      <c r="F198" s="1868"/>
      <c r="G198" s="2011"/>
      <c r="H198" s="1474"/>
      <c r="I198" s="1474"/>
      <c r="J198" s="1868"/>
      <c r="K198" s="2011"/>
      <c r="L198" s="1474"/>
      <c r="M198" s="1474"/>
      <c r="N198" s="1868"/>
      <c r="O198" s="2011"/>
      <c r="P198" s="1474"/>
      <c r="Q198" s="1474"/>
      <c r="R198" s="1868"/>
      <c r="S198" s="2011"/>
      <c r="T198" s="1474"/>
      <c r="U198" s="1474"/>
      <c r="V198" s="1474"/>
      <c r="W198" s="1865"/>
      <c r="X198" s="1866"/>
      <c r="Y198" s="1235"/>
      <c r="Z198" s="1867"/>
      <c r="AA198" s="1865"/>
      <c r="AB198" s="1866"/>
      <c r="AC198" s="1235"/>
      <c r="AD198" s="1867"/>
      <c r="AE198" s="1391"/>
      <c r="AF198" s="1235"/>
      <c r="AG198" s="525"/>
      <c r="AH198" s="525"/>
      <c r="AI198" s="474"/>
    </row>
    <row r="199" spans="1:35" ht="22.15" customHeight="1" x14ac:dyDescent="0.2">
      <c r="A199" s="2010"/>
      <c r="B199" s="1466"/>
      <c r="C199" s="2011"/>
      <c r="D199" s="1474"/>
      <c r="E199" s="1474"/>
      <c r="F199" s="1868"/>
      <c r="G199" s="2011"/>
      <c r="H199" s="1474"/>
      <c r="I199" s="1474"/>
      <c r="J199" s="1868"/>
      <c r="K199" s="2011"/>
      <c r="L199" s="1474"/>
      <c r="M199" s="1474"/>
      <c r="N199" s="1868"/>
      <c r="O199" s="2011"/>
      <c r="P199" s="1474"/>
      <c r="Q199" s="1474"/>
      <c r="R199" s="1868"/>
      <c r="S199" s="2011"/>
      <c r="T199" s="1474"/>
      <c r="U199" s="1474"/>
      <c r="V199" s="1474"/>
      <c r="W199" s="1865"/>
      <c r="X199" s="1866"/>
      <c r="Y199" s="1235"/>
      <c r="Z199" s="1867"/>
      <c r="AA199" s="1865"/>
      <c r="AB199" s="1866"/>
      <c r="AC199" s="1235"/>
      <c r="AD199" s="1867"/>
      <c r="AE199" s="1391"/>
      <c r="AF199" s="1235"/>
      <c r="AG199" s="1235"/>
      <c r="AH199" s="1235"/>
      <c r="AI199" s="1176"/>
    </row>
    <row r="200" spans="1:35" ht="22.15" customHeight="1" thickBot="1" x14ac:dyDescent="0.25">
      <c r="A200" s="2012"/>
      <c r="B200" s="2013"/>
      <c r="C200" s="1869"/>
      <c r="D200" s="1870"/>
      <c r="E200" s="1870"/>
      <c r="F200" s="1871"/>
      <c r="G200" s="1869"/>
      <c r="H200" s="1870"/>
      <c r="I200" s="1870"/>
      <c r="J200" s="1871"/>
      <c r="K200" s="1869"/>
      <c r="L200" s="1870"/>
      <c r="M200" s="1870"/>
      <c r="N200" s="1871"/>
      <c r="O200" s="1869"/>
      <c r="P200" s="1870"/>
      <c r="Q200" s="1870"/>
      <c r="R200" s="1871"/>
      <c r="S200" s="1869"/>
      <c r="T200" s="1870"/>
      <c r="U200" s="1870"/>
      <c r="V200" s="1870"/>
      <c r="W200" s="1872"/>
      <c r="X200" s="1873"/>
      <c r="Y200" s="1874"/>
      <c r="Z200" s="1875"/>
      <c r="AA200" s="1872"/>
      <c r="AB200" s="1873"/>
      <c r="AC200" s="1874"/>
      <c r="AD200" s="1875"/>
      <c r="AE200" s="1404"/>
      <c r="AF200" s="1242"/>
      <c r="AG200" s="1235"/>
      <c r="AH200" s="1235"/>
      <c r="AI200" s="1176"/>
    </row>
    <row r="201" spans="1:35" ht="22.15" customHeight="1" x14ac:dyDescent="0.2">
      <c r="AG201" s="1235"/>
      <c r="AH201" s="1235"/>
      <c r="AI201" s="1176"/>
    </row>
    <row r="202" spans="1:35" ht="22.15" customHeight="1" thickBot="1" x14ac:dyDescent="0.25">
      <c r="B202" s="1466">
        <v>3700</v>
      </c>
      <c r="C202" s="1235" t="s">
        <v>162</v>
      </c>
      <c r="D202" s="1235"/>
      <c r="E202" s="1235"/>
      <c r="F202" s="1235"/>
      <c r="G202" s="1876" t="s">
        <v>162</v>
      </c>
      <c r="H202" s="1235"/>
      <c r="I202" s="1235"/>
      <c r="J202" s="1235"/>
      <c r="K202" s="1876" t="s">
        <v>162</v>
      </c>
      <c r="L202" s="1235"/>
      <c r="M202" s="1235"/>
      <c r="N202" s="1235"/>
      <c r="O202" s="1876" t="s">
        <v>162</v>
      </c>
      <c r="P202" s="1235"/>
      <c r="Q202" s="1235"/>
      <c r="R202" s="1235"/>
      <c r="S202" s="1876" t="s">
        <v>163</v>
      </c>
      <c r="T202" s="1235"/>
      <c r="U202" s="1235"/>
      <c r="V202" s="1235"/>
      <c r="W202" s="1235"/>
      <c r="X202" s="1876"/>
      <c r="Y202" s="1235"/>
      <c r="Z202" s="1393"/>
      <c r="AA202" s="1391"/>
      <c r="AB202" s="1235"/>
      <c r="AC202" s="1235"/>
      <c r="AD202" s="1284"/>
      <c r="AE202" s="1877"/>
      <c r="AF202" s="1235"/>
      <c r="AG202" s="1242"/>
      <c r="AH202" s="1242"/>
      <c r="AI202" s="1245"/>
    </row>
    <row r="203" spans="1:35" ht="22.15" customHeight="1" x14ac:dyDescent="0.2">
      <c r="A203" s="1"/>
      <c r="B203" s="1466">
        <v>8514</v>
      </c>
      <c r="C203" s="1235" t="s">
        <v>269</v>
      </c>
      <c r="D203" s="1235"/>
      <c r="E203" s="1235"/>
      <c r="F203" s="1235"/>
      <c r="G203" s="1876" t="s">
        <v>269</v>
      </c>
      <c r="H203" s="1235"/>
      <c r="I203" s="1235"/>
      <c r="J203" s="1235"/>
      <c r="K203" s="1876" t="s">
        <v>269</v>
      </c>
      <c r="L203" s="1235"/>
      <c r="M203" s="1235"/>
      <c r="N203" s="1235"/>
      <c r="O203" s="1876" t="s">
        <v>269</v>
      </c>
      <c r="P203" s="1235"/>
      <c r="Q203" s="1235"/>
      <c r="R203" s="1235"/>
      <c r="S203" s="1876" t="s">
        <v>271</v>
      </c>
      <c r="T203" s="1235"/>
      <c r="U203" s="1235"/>
      <c r="V203" s="1235"/>
      <c r="W203" s="1235"/>
      <c r="X203" s="1876"/>
      <c r="Y203" s="1235"/>
      <c r="Z203" s="1393"/>
      <c r="AA203" s="1283"/>
      <c r="AB203" s="1235"/>
      <c r="AC203" s="1235"/>
      <c r="AD203" s="1284"/>
      <c r="AE203" s="1283"/>
      <c r="AF203" s="1235"/>
      <c r="AG203" s="110"/>
      <c r="AH203" s="110"/>
    </row>
    <row r="204" spans="1:35" ht="22.15" customHeight="1" x14ac:dyDescent="0.2">
      <c r="A204" s="1"/>
      <c r="B204" s="1466">
        <v>8500</v>
      </c>
      <c r="C204" s="166" t="s">
        <v>272</v>
      </c>
      <c r="D204" s="166"/>
      <c r="E204" s="166"/>
      <c r="F204" s="166"/>
      <c r="G204" s="167" t="s">
        <v>272</v>
      </c>
      <c r="H204" s="166"/>
      <c r="I204" s="166"/>
      <c r="J204" s="166"/>
      <c r="K204" s="167" t="s">
        <v>272</v>
      </c>
      <c r="L204" s="166"/>
      <c r="M204" s="166"/>
      <c r="N204" s="166"/>
      <c r="O204" s="167" t="s">
        <v>272</v>
      </c>
      <c r="P204" s="166"/>
      <c r="Q204" s="166"/>
      <c r="R204" s="166"/>
      <c r="S204" s="167" t="s">
        <v>273</v>
      </c>
      <c r="T204" s="166"/>
      <c r="U204" s="166"/>
      <c r="V204" s="166"/>
      <c r="W204" s="166"/>
      <c r="X204" s="167"/>
      <c r="Y204" s="166"/>
      <c r="Z204" s="121"/>
      <c r="AA204" s="120"/>
      <c r="AB204" s="166"/>
      <c r="AC204" s="166"/>
      <c r="AD204" s="121"/>
      <c r="AE204" s="120"/>
      <c r="AF204" s="166"/>
      <c r="AG204" s="1235"/>
      <c r="AH204" s="1284"/>
      <c r="AI204" s="1176"/>
    </row>
    <row r="205" spans="1:35" ht="22.15" customHeight="1" x14ac:dyDescent="0.2">
      <c r="A205" s="1"/>
      <c r="B205" s="1466">
        <v>8514</v>
      </c>
      <c r="C205" s="169" t="s">
        <v>269</v>
      </c>
      <c r="D205" s="169"/>
      <c r="E205" s="169"/>
      <c r="F205" s="169"/>
      <c r="G205" s="170" t="s">
        <v>269</v>
      </c>
      <c r="H205" s="169"/>
      <c r="I205" s="169"/>
      <c r="J205" s="169"/>
      <c r="K205" s="170" t="s">
        <v>269</v>
      </c>
      <c r="L205" s="169"/>
      <c r="M205" s="169"/>
      <c r="N205" s="169"/>
      <c r="O205" s="170" t="s">
        <v>269</v>
      </c>
      <c r="P205" s="169"/>
      <c r="Q205" s="169"/>
      <c r="R205" s="169"/>
      <c r="S205" s="170" t="s">
        <v>271</v>
      </c>
      <c r="T205" s="169"/>
      <c r="U205" s="169"/>
      <c r="V205" s="169"/>
      <c r="W205" s="169"/>
      <c r="X205" s="149"/>
      <c r="Y205" s="166"/>
      <c r="Z205" s="168"/>
      <c r="AA205" s="156"/>
      <c r="AB205" s="117"/>
      <c r="AC205" s="166"/>
      <c r="AD205" s="166"/>
      <c r="AE205" s="118"/>
      <c r="AF205" s="166"/>
      <c r="AG205" s="1235"/>
      <c r="AH205" s="1284"/>
      <c r="AI205" s="1176"/>
    </row>
    <row r="206" spans="1:35" ht="22.15" customHeight="1" thickBot="1" x14ac:dyDescent="0.25">
      <c r="A206" s="1"/>
      <c r="B206" s="2014" t="s">
        <v>274</v>
      </c>
      <c r="C206" s="1242" t="s">
        <v>275</v>
      </c>
      <c r="D206" s="1242"/>
      <c r="E206" s="1242"/>
      <c r="F206" s="1242"/>
      <c r="G206" s="1067" t="s">
        <v>275</v>
      </c>
      <c r="H206" s="1242"/>
      <c r="I206" s="1242"/>
      <c r="J206" s="1242"/>
      <c r="K206" s="1879" t="s">
        <v>275</v>
      </c>
      <c r="L206" s="1242"/>
      <c r="M206" s="1242"/>
      <c r="N206" s="1242"/>
      <c r="O206" s="1067" t="s">
        <v>275</v>
      </c>
      <c r="P206" s="1242"/>
      <c r="Q206" s="1242"/>
      <c r="R206" s="1242"/>
      <c r="S206" s="1067" t="s">
        <v>276</v>
      </c>
      <c r="T206" s="1242"/>
      <c r="U206" s="1242"/>
      <c r="V206" s="1242"/>
      <c r="W206" s="1242"/>
      <c r="X206" s="1067"/>
      <c r="Y206" s="1242"/>
      <c r="Z206" s="1425"/>
      <c r="AA206" s="1404"/>
      <c r="AB206" s="1242"/>
      <c r="AC206" s="1242"/>
      <c r="AD206" s="1411"/>
      <c r="AE206" s="1880"/>
      <c r="AF206" s="1242"/>
      <c r="AG206" s="166"/>
      <c r="AH206" s="113"/>
      <c r="AI206" s="119"/>
    </row>
    <row r="207" spans="1:35" ht="22.15" customHeight="1" x14ac:dyDescent="0.2">
      <c r="A207" s="1"/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G207" s="166"/>
      <c r="AH207" s="166"/>
      <c r="AI207" s="119"/>
    </row>
    <row r="208" spans="1:35" ht="22.15" customHeight="1" thickBot="1" x14ac:dyDescent="0.25">
      <c r="A208" s="1" t="s">
        <v>277</v>
      </c>
      <c r="B208" s="18"/>
      <c r="C208" s="64"/>
      <c r="D208" s="110"/>
      <c r="E208" s="110"/>
      <c r="F208" s="69"/>
      <c r="G208" s="64"/>
      <c r="H208" s="110"/>
      <c r="I208" s="110"/>
      <c r="J208" s="69"/>
      <c r="K208" s="64"/>
      <c r="L208" s="110"/>
      <c r="M208" s="110"/>
      <c r="N208" s="69"/>
      <c r="O208" s="64"/>
      <c r="P208" s="110"/>
      <c r="Q208" s="110"/>
      <c r="R208" s="69"/>
      <c r="S208" s="64"/>
      <c r="T208" s="110"/>
      <c r="U208" s="110"/>
      <c r="V208" s="69"/>
      <c r="W208" s="69"/>
      <c r="Z208" s="69"/>
      <c r="AA208" s="69"/>
      <c r="AD208" s="69"/>
      <c r="AE208" s="69"/>
      <c r="AG208" s="1242"/>
      <c r="AH208" s="1411"/>
      <c r="AI208" s="1245"/>
    </row>
    <row r="209" spans="1:35" ht="22.15" customHeight="1" thickBot="1" x14ac:dyDescent="0.25">
      <c r="A209" s="1343"/>
      <c r="B209" s="1247" t="s">
        <v>29</v>
      </c>
      <c r="C209" s="1186">
        <v>1</v>
      </c>
      <c r="D209" s="1186">
        <v>2</v>
      </c>
      <c r="E209" s="1185">
        <v>3</v>
      </c>
      <c r="F209" s="1185">
        <v>4</v>
      </c>
      <c r="G209" s="1186">
        <v>5</v>
      </c>
      <c r="H209" s="1186">
        <v>6</v>
      </c>
      <c r="I209" s="1186">
        <v>7</v>
      </c>
      <c r="J209" s="1186">
        <v>8</v>
      </c>
      <c r="K209" s="1186">
        <v>9</v>
      </c>
      <c r="L209" s="1185">
        <v>10</v>
      </c>
      <c r="M209" s="1185">
        <v>11</v>
      </c>
      <c r="N209" s="1186">
        <v>12</v>
      </c>
      <c r="O209" s="1186">
        <v>13</v>
      </c>
      <c r="P209" s="1186">
        <v>14</v>
      </c>
      <c r="Q209" s="1186">
        <v>15</v>
      </c>
      <c r="R209" s="1186">
        <v>16</v>
      </c>
      <c r="S209" s="1185">
        <v>17</v>
      </c>
      <c r="T209" s="1185">
        <v>18</v>
      </c>
      <c r="U209" s="1186">
        <v>19</v>
      </c>
      <c r="V209" s="1186">
        <v>20</v>
      </c>
      <c r="W209" s="1186">
        <v>21</v>
      </c>
      <c r="X209" s="1186">
        <v>22</v>
      </c>
      <c r="Y209" s="1186">
        <v>23</v>
      </c>
      <c r="Z209" s="1185">
        <v>24</v>
      </c>
      <c r="AA209" s="1185">
        <v>25</v>
      </c>
      <c r="AB209" s="1186">
        <v>26</v>
      </c>
      <c r="AC209" s="1186">
        <v>27</v>
      </c>
      <c r="AD209" s="1186">
        <v>28</v>
      </c>
      <c r="AE209" s="1186">
        <v>29</v>
      </c>
      <c r="AF209" s="1186">
        <v>30</v>
      </c>
      <c r="AH209" s="69"/>
    </row>
    <row r="210" spans="1:35" ht="22.15" customHeight="1" x14ac:dyDescent="0.2">
      <c r="A210" s="305"/>
      <c r="B210" s="306" t="s">
        <v>278</v>
      </c>
      <c r="C210" s="1712" t="s">
        <v>31</v>
      </c>
      <c r="D210" s="1712" t="s">
        <v>31</v>
      </c>
      <c r="E210" s="1612"/>
      <c r="F210" s="1629"/>
      <c r="G210" s="1612" t="s">
        <v>31</v>
      </c>
      <c r="H210" s="1612" t="s">
        <v>31</v>
      </c>
      <c r="I210" s="1612" t="s">
        <v>31</v>
      </c>
      <c r="J210" s="1612" t="s">
        <v>31</v>
      </c>
      <c r="K210" s="1612" t="s">
        <v>31</v>
      </c>
      <c r="L210" s="1612"/>
      <c r="M210" s="1612"/>
      <c r="N210" s="1633" t="s">
        <v>31</v>
      </c>
      <c r="O210" s="1633" t="s">
        <v>31</v>
      </c>
      <c r="P210" s="1633" t="s">
        <v>31</v>
      </c>
      <c r="Q210" s="1628" t="s">
        <v>31</v>
      </c>
      <c r="R210" s="1633" t="s">
        <v>31</v>
      </c>
      <c r="S210" s="1612"/>
      <c r="T210" s="1612"/>
      <c r="U210" s="1633" t="s">
        <v>31</v>
      </c>
      <c r="V210" s="1633" t="s">
        <v>31</v>
      </c>
      <c r="W210" s="1633" t="s">
        <v>31</v>
      </c>
      <c r="X210" s="1612" t="s">
        <v>31</v>
      </c>
      <c r="Y210" s="1633" t="s">
        <v>31</v>
      </c>
      <c r="Z210" s="1612"/>
      <c r="AA210" s="1612"/>
      <c r="AB210" s="1612" t="s">
        <v>31</v>
      </c>
      <c r="AC210" s="1612" t="s">
        <v>31</v>
      </c>
      <c r="AD210" s="1629" t="s">
        <v>31</v>
      </c>
      <c r="AE210" s="1612" t="s">
        <v>31</v>
      </c>
      <c r="AF210" s="1629" t="s">
        <v>31</v>
      </c>
      <c r="AH210" s="69"/>
    </row>
    <row r="211" spans="1:35" ht="22.15" customHeight="1" thickBot="1" x14ac:dyDescent="0.25">
      <c r="A211" s="1488"/>
      <c r="B211" s="1489" t="s">
        <v>279</v>
      </c>
      <c r="C211" s="1612" t="s">
        <v>31</v>
      </c>
      <c r="D211" s="1612" t="s">
        <v>31</v>
      </c>
      <c r="E211" s="1612"/>
      <c r="F211" s="1629"/>
      <c r="G211" s="1612" t="s">
        <v>31</v>
      </c>
      <c r="H211" s="1612" t="s">
        <v>31</v>
      </c>
      <c r="I211" s="1612" t="s">
        <v>31</v>
      </c>
      <c r="J211" s="1612" t="s">
        <v>31</v>
      </c>
      <c r="K211" s="1612" t="s">
        <v>31</v>
      </c>
      <c r="L211" s="1612"/>
      <c r="M211" s="1612"/>
      <c r="N211" s="1633" t="s">
        <v>31</v>
      </c>
      <c r="O211" s="1633" t="s">
        <v>31</v>
      </c>
      <c r="P211" s="1633" t="s">
        <v>31</v>
      </c>
      <c r="Q211" s="1628" t="s">
        <v>31</v>
      </c>
      <c r="R211" s="1633" t="s">
        <v>31</v>
      </c>
      <c r="S211" s="1612"/>
      <c r="T211" s="1612"/>
      <c r="U211" s="1633" t="s">
        <v>31</v>
      </c>
      <c r="V211" s="1633" t="s">
        <v>31</v>
      </c>
      <c r="W211" s="1633" t="s">
        <v>31</v>
      </c>
      <c r="X211" s="1612" t="s">
        <v>31</v>
      </c>
      <c r="Y211" s="1633" t="s">
        <v>31</v>
      </c>
      <c r="Z211" s="1612"/>
      <c r="AA211" s="1612"/>
      <c r="AB211" s="1612" t="s">
        <v>31</v>
      </c>
      <c r="AC211" s="1612" t="s">
        <v>31</v>
      </c>
      <c r="AD211" s="1629" t="s">
        <v>31</v>
      </c>
      <c r="AE211" s="1612" t="s">
        <v>31</v>
      </c>
      <c r="AF211" s="1629" t="s">
        <v>31</v>
      </c>
      <c r="AG211" s="2064">
        <v>31</v>
      </c>
      <c r="AH211" s="184"/>
      <c r="AI211" s="185"/>
    </row>
    <row r="212" spans="1:35" ht="22.15" customHeight="1" x14ac:dyDescent="0.2">
      <c r="A212" s="1491">
        <v>8514</v>
      </c>
      <c r="B212" s="1665" t="s">
        <v>280</v>
      </c>
      <c r="C212" s="1612" t="s">
        <v>31</v>
      </c>
      <c r="D212" s="1612" t="s">
        <v>31</v>
      </c>
      <c r="E212" s="1612"/>
      <c r="F212" s="1629"/>
      <c r="G212" s="1612" t="s">
        <v>31</v>
      </c>
      <c r="H212" s="1612" t="s">
        <v>31</v>
      </c>
      <c r="I212" s="1612" t="s">
        <v>31</v>
      </c>
      <c r="J212" s="1612" t="s">
        <v>31</v>
      </c>
      <c r="K212" s="1612" t="s">
        <v>31</v>
      </c>
      <c r="L212" s="1612"/>
      <c r="M212" s="1612"/>
      <c r="N212" s="1633" t="s">
        <v>31</v>
      </c>
      <c r="O212" s="1633" t="s">
        <v>31</v>
      </c>
      <c r="P212" s="1633" t="s">
        <v>31</v>
      </c>
      <c r="Q212" s="1957" t="s">
        <v>31</v>
      </c>
      <c r="R212" s="1957" t="s">
        <v>31</v>
      </c>
      <c r="S212" s="1612"/>
      <c r="T212" s="1612"/>
      <c r="U212" s="1633" t="s">
        <v>31</v>
      </c>
      <c r="V212" s="1633" t="s">
        <v>31</v>
      </c>
      <c r="W212" s="1633" t="s">
        <v>31</v>
      </c>
      <c r="X212" s="1612" t="s">
        <v>31</v>
      </c>
      <c r="Y212" s="1633" t="s">
        <v>31</v>
      </c>
      <c r="Z212" s="1612"/>
      <c r="AA212" s="1612"/>
      <c r="AB212" s="1612" t="s">
        <v>31</v>
      </c>
      <c r="AC212" s="1612" t="s">
        <v>31</v>
      </c>
      <c r="AD212" s="1629" t="s">
        <v>31</v>
      </c>
      <c r="AE212" s="1612" t="s">
        <v>31</v>
      </c>
      <c r="AF212" s="1629" t="s">
        <v>31</v>
      </c>
      <c r="AG212" s="274"/>
      <c r="AH212" s="184"/>
      <c r="AI212" s="185"/>
    </row>
    <row r="213" spans="1:35" ht="22.15" customHeight="1" x14ac:dyDescent="0.2">
      <c r="A213" s="1491">
        <v>3701</v>
      </c>
      <c r="B213" s="1665" t="s">
        <v>281</v>
      </c>
      <c r="C213" s="1612" t="s">
        <v>31</v>
      </c>
      <c r="D213" s="1612" t="s">
        <v>31</v>
      </c>
      <c r="E213" s="1612"/>
      <c r="F213" s="1629"/>
      <c r="G213" s="1612" t="s">
        <v>31</v>
      </c>
      <c r="H213" s="1612" t="s">
        <v>31</v>
      </c>
      <c r="I213" s="1612" t="s">
        <v>31</v>
      </c>
      <c r="J213" s="1612" t="s">
        <v>31</v>
      </c>
      <c r="K213" s="1612" t="s">
        <v>31</v>
      </c>
      <c r="L213" s="1612"/>
      <c r="M213" s="1612"/>
      <c r="N213" s="2090" t="s">
        <v>31</v>
      </c>
      <c r="O213" s="2090" t="s">
        <v>31</v>
      </c>
      <c r="P213" s="2004" t="s">
        <v>31</v>
      </c>
      <c r="Q213" s="1628" t="s">
        <v>31</v>
      </c>
      <c r="R213" s="1633" t="s">
        <v>31</v>
      </c>
      <c r="S213" s="1612"/>
      <c r="T213" s="1612"/>
      <c r="U213" s="1734" t="s">
        <v>31</v>
      </c>
      <c r="V213" s="1734" t="s">
        <v>31</v>
      </c>
      <c r="W213" s="1734" t="s">
        <v>31</v>
      </c>
      <c r="X213" s="1612" t="s">
        <v>31</v>
      </c>
      <c r="Y213" s="1633" t="s">
        <v>31</v>
      </c>
      <c r="Z213" s="1612"/>
      <c r="AA213" s="1612"/>
      <c r="AB213" s="1612" t="s">
        <v>31</v>
      </c>
      <c r="AC213" s="1612" t="s">
        <v>31</v>
      </c>
      <c r="AD213" s="1629" t="s">
        <v>31</v>
      </c>
      <c r="AE213" s="1612" t="s">
        <v>31</v>
      </c>
      <c r="AF213" s="1629" t="s">
        <v>31</v>
      </c>
      <c r="AG213" s="1490"/>
      <c r="AH213" s="184"/>
      <c r="AI213" s="185"/>
    </row>
    <row r="214" spans="1:35" ht="22.15" customHeight="1" x14ac:dyDescent="0.2">
      <c r="A214" s="1491">
        <v>3701</v>
      </c>
      <c r="B214" s="1665" t="s">
        <v>282</v>
      </c>
      <c r="C214" s="1430" t="s">
        <v>31</v>
      </c>
      <c r="D214" s="1430" t="s">
        <v>31</v>
      </c>
      <c r="E214" s="1430"/>
      <c r="F214" s="1430"/>
      <c r="G214" s="1430" t="s">
        <v>31</v>
      </c>
      <c r="H214" s="1430" t="s">
        <v>31</v>
      </c>
      <c r="I214" s="1430" t="s">
        <v>31</v>
      </c>
      <c r="J214" s="1430" t="s">
        <v>31</v>
      </c>
      <c r="K214" s="1430" t="s">
        <v>31</v>
      </c>
      <c r="L214" s="1430"/>
      <c r="M214" s="1430"/>
      <c r="N214" s="1430" t="s">
        <v>31</v>
      </c>
      <c r="O214" s="1430" t="s">
        <v>31</v>
      </c>
      <c r="P214" s="1430" t="s">
        <v>31</v>
      </c>
      <c r="Q214" s="1430" t="s">
        <v>31</v>
      </c>
      <c r="R214" s="1430" t="s">
        <v>31</v>
      </c>
      <c r="S214" s="1430"/>
      <c r="T214" s="1430"/>
      <c r="U214" s="1430" t="s">
        <v>31</v>
      </c>
      <c r="V214" s="1430" t="s">
        <v>31</v>
      </c>
      <c r="W214" s="1430" t="s">
        <v>31</v>
      </c>
      <c r="X214" s="1430" t="s">
        <v>31</v>
      </c>
      <c r="Y214" s="1430" t="s">
        <v>31</v>
      </c>
      <c r="Z214" s="1430"/>
      <c r="AA214" s="1430"/>
      <c r="AB214" s="1430" t="s">
        <v>31</v>
      </c>
      <c r="AC214" s="1430" t="s">
        <v>31</v>
      </c>
      <c r="AD214" s="1430" t="s">
        <v>31</v>
      </c>
      <c r="AE214" s="1430" t="s">
        <v>31</v>
      </c>
      <c r="AF214" s="1430" t="s">
        <v>31</v>
      </c>
      <c r="AG214" s="1497"/>
      <c r="AH214" s="189"/>
      <c r="AI214" s="190"/>
    </row>
    <row r="215" spans="1:35" ht="21" customHeight="1" x14ac:dyDescent="0.2">
      <c r="A215" s="1491">
        <v>3701</v>
      </c>
      <c r="B215" s="1665" t="s">
        <v>283</v>
      </c>
      <c r="C215" s="1612" t="s">
        <v>31</v>
      </c>
      <c r="D215" s="1612" t="s">
        <v>31</v>
      </c>
      <c r="E215" s="1612"/>
      <c r="F215" s="1629"/>
      <c r="G215" s="1612" t="s">
        <v>31</v>
      </c>
      <c r="H215" s="1612" t="s">
        <v>31</v>
      </c>
      <c r="I215" s="1612" t="s">
        <v>31</v>
      </c>
      <c r="J215" s="1612" t="s">
        <v>31</v>
      </c>
      <c r="K215" s="1612" t="s">
        <v>31</v>
      </c>
      <c r="L215" s="1612"/>
      <c r="M215" s="1612"/>
      <c r="N215" s="1633" t="s">
        <v>31</v>
      </c>
      <c r="O215" s="1633" t="s">
        <v>31</v>
      </c>
      <c r="P215" s="1958" t="s">
        <v>31</v>
      </c>
      <c r="Q215" s="1628" t="s">
        <v>31</v>
      </c>
      <c r="R215" s="1633" t="s">
        <v>31</v>
      </c>
      <c r="S215" s="1612"/>
      <c r="T215" s="1612"/>
      <c r="U215" s="1712" t="s">
        <v>31</v>
      </c>
      <c r="V215" s="1712" t="s">
        <v>31</v>
      </c>
      <c r="W215" s="1712" t="s">
        <v>31</v>
      </c>
      <c r="X215" s="1712" t="s">
        <v>31</v>
      </c>
      <c r="Y215" s="1712" t="s">
        <v>31</v>
      </c>
      <c r="Z215" s="1612"/>
      <c r="AA215" s="1612"/>
      <c r="AB215" s="1612" t="s">
        <v>31</v>
      </c>
      <c r="AC215" s="1612" t="s">
        <v>31</v>
      </c>
      <c r="AD215" s="1629" t="s">
        <v>31</v>
      </c>
      <c r="AE215" s="1612" t="s">
        <v>31</v>
      </c>
      <c r="AF215" s="1629" t="s">
        <v>31</v>
      </c>
      <c r="AG215" s="1490"/>
      <c r="AH215" s="189"/>
      <c r="AI215" s="190"/>
    </row>
    <row r="216" spans="1:35" ht="21" customHeight="1" x14ac:dyDescent="0.2">
      <c r="A216" s="1491">
        <v>3701</v>
      </c>
      <c r="B216" s="1665" t="s">
        <v>284</v>
      </c>
      <c r="C216" s="1612" t="s">
        <v>31</v>
      </c>
      <c r="D216" s="1612" t="s">
        <v>31</v>
      </c>
      <c r="E216" s="1612"/>
      <c r="F216" s="1629"/>
      <c r="G216" s="1612" t="s">
        <v>31</v>
      </c>
      <c r="H216" s="1612" t="s">
        <v>31</v>
      </c>
      <c r="I216" s="1612" t="s">
        <v>31</v>
      </c>
      <c r="J216" s="1612" t="s">
        <v>31</v>
      </c>
      <c r="K216" s="1612" t="s">
        <v>31</v>
      </c>
      <c r="L216" s="1612"/>
      <c r="M216" s="1612"/>
      <c r="N216" s="1958" t="s">
        <v>31</v>
      </c>
      <c r="O216" s="1633" t="s">
        <v>31</v>
      </c>
      <c r="P216" s="1633" t="s">
        <v>31</v>
      </c>
      <c r="Q216" s="1628" t="s">
        <v>31</v>
      </c>
      <c r="R216" s="1633" t="s">
        <v>31</v>
      </c>
      <c r="S216" s="1612"/>
      <c r="T216" s="1612"/>
      <c r="U216" s="1734" t="s">
        <v>31</v>
      </c>
      <c r="V216" s="1734" t="s">
        <v>31</v>
      </c>
      <c r="W216" s="1734" t="s">
        <v>31</v>
      </c>
      <c r="X216" s="1734" t="s">
        <v>31</v>
      </c>
      <c r="Y216" s="1734" t="s">
        <v>31</v>
      </c>
      <c r="Z216" s="1612"/>
      <c r="AA216" s="1612"/>
      <c r="AB216" s="1612" t="s">
        <v>31</v>
      </c>
      <c r="AC216" s="1612" t="s">
        <v>31</v>
      </c>
      <c r="AD216" s="1629" t="s">
        <v>31</v>
      </c>
      <c r="AE216" s="1612" t="s">
        <v>31</v>
      </c>
      <c r="AF216" s="1629" t="s">
        <v>31</v>
      </c>
      <c r="AG216" s="1490"/>
      <c r="AH216" s="189"/>
      <c r="AI216" s="190"/>
    </row>
    <row r="217" spans="1:35" ht="21" customHeight="1" x14ac:dyDescent="0.2">
      <c r="A217" s="1491">
        <v>3701</v>
      </c>
      <c r="B217" s="1665" t="s">
        <v>285</v>
      </c>
      <c r="C217" s="1612" t="s">
        <v>31</v>
      </c>
      <c r="D217" s="1612" t="s">
        <v>31</v>
      </c>
      <c r="E217" s="1612"/>
      <c r="F217" s="1629"/>
      <c r="G217" s="1612" t="s">
        <v>31</v>
      </c>
      <c r="H217" s="1612" t="s">
        <v>31</v>
      </c>
      <c r="I217" s="1612" t="s">
        <v>31</v>
      </c>
      <c r="J217" s="1612" t="s">
        <v>31</v>
      </c>
      <c r="K217" s="1612" t="s">
        <v>31</v>
      </c>
      <c r="L217" s="1612"/>
      <c r="M217" s="1612"/>
      <c r="N217" s="1957" t="s">
        <v>31</v>
      </c>
      <c r="O217" s="1957" t="s">
        <v>31</v>
      </c>
      <c r="P217" s="1957" t="s">
        <v>31</v>
      </c>
      <c r="Q217" s="1957" t="s">
        <v>31</v>
      </c>
      <c r="R217" s="1957" t="s">
        <v>31</v>
      </c>
      <c r="S217" s="1612"/>
      <c r="T217" s="1612"/>
      <c r="U217" s="1633" t="s">
        <v>31</v>
      </c>
      <c r="V217" s="1633" t="s">
        <v>31</v>
      </c>
      <c r="W217" s="1633" t="s">
        <v>31</v>
      </c>
      <c r="X217" s="1612" t="s">
        <v>31</v>
      </c>
      <c r="Y217" s="1633" t="s">
        <v>31</v>
      </c>
      <c r="Z217" s="1612"/>
      <c r="AA217" s="1612"/>
      <c r="AB217" s="1612" t="s">
        <v>31</v>
      </c>
      <c r="AC217" s="1612" t="s">
        <v>31</v>
      </c>
      <c r="AD217" s="1629" t="s">
        <v>31</v>
      </c>
      <c r="AE217" s="1612" t="s">
        <v>31</v>
      </c>
      <c r="AF217" s="1629" t="s">
        <v>31</v>
      </c>
      <c r="AG217" s="1490"/>
      <c r="AH217" s="189"/>
      <c r="AI217" s="190"/>
    </row>
    <row r="218" spans="1:35" ht="21" customHeight="1" x14ac:dyDescent="0.2">
      <c r="A218" s="1491">
        <v>3701</v>
      </c>
      <c r="B218" s="1665" t="s">
        <v>286</v>
      </c>
      <c r="C218" s="1612" t="s">
        <v>31</v>
      </c>
      <c r="D218" s="1612" t="s">
        <v>31</v>
      </c>
      <c r="E218" s="1612"/>
      <c r="F218" s="1629"/>
      <c r="G218" s="1612" t="s">
        <v>31</v>
      </c>
      <c r="H218" s="1612" t="s">
        <v>31</v>
      </c>
      <c r="I218" s="1612" t="s">
        <v>31</v>
      </c>
      <c r="J218" s="1612" t="s">
        <v>31</v>
      </c>
      <c r="K218" s="1612" t="s">
        <v>31</v>
      </c>
      <c r="L218" s="1612"/>
      <c r="M218" s="1612"/>
      <c r="N218" s="1633" t="s">
        <v>31</v>
      </c>
      <c r="O218" s="1633" t="s">
        <v>31</v>
      </c>
      <c r="P218" s="1712" t="s">
        <v>31</v>
      </c>
      <c r="Q218" s="1712" t="s">
        <v>31</v>
      </c>
      <c r="R218" s="1712" t="s">
        <v>31</v>
      </c>
      <c r="S218" s="1612"/>
      <c r="T218" s="1612"/>
      <c r="U218" s="1633" t="s">
        <v>31</v>
      </c>
      <c r="V218" s="1633" t="s">
        <v>31</v>
      </c>
      <c r="W218" s="1633" t="s">
        <v>31</v>
      </c>
      <c r="X218" s="1612" t="s">
        <v>31</v>
      </c>
      <c r="Y218" s="1633" t="s">
        <v>31</v>
      </c>
      <c r="Z218" s="1612"/>
      <c r="AA218" s="1612"/>
      <c r="AB218" s="1612" t="s">
        <v>31</v>
      </c>
      <c r="AC218" s="1612" t="s">
        <v>31</v>
      </c>
      <c r="AD218" s="1629" t="s">
        <v>31</v>
      </c>
      <c r="AE218" s="1612" t="s">
        <v>31</v>
      </c>
      <c r="AF218" s="1629" t="s">
        <v>31</v>
      </c>
      <c r="AG218" s="1490"/>
      <c r="AH218" s="189"/>
      <c r="AI218" s="190"/>
    </row>
    <row r="219" spans="1:35" ht="22.15" customHeight="1" x14ac:dyDescent="0.2">
      <c r="A219" s="1491">
        <v>3701</v>
      </c>
      <c r="B219" s="1665" t="s">
        <v>287</v>
      </c>
      <c r="C219" s="1612" t="s">
        <v>31</v>
      </c>
      <c r="D219" s="1612" t="s">
        <v>31</v>
      </c>
      <c r="E219" s="1612"/>
      <c r="F219" s="1629"/>
      <c r="G219" s="1612" t="s">
        <v>31</v>
      </c>
      <c r="H219" s="1612" t="s">
        <v>31</v>
      </c>
      <c r="I219" s="1612" t="s">
        <v>31</v>
      </c>
      <c r="J219" s="1612" t="s">
        <v>31</v>
      </c>
      <c r="K219" s="1612" t="s">
        <v>31</v>
      </c>
      <c r="L219" s="1612"/>
      <c r="M219" s="1612"/>
      <c r="N219" s="1633" t="s">
        <v>31</v>
      </c>
      <c r="O219" s="1633" t="s">
        <v>31</v>
      </c>
      <c r="P219" s="1633" t="s">
        <v>31</v>
      </c>
      <c r="Q219" s="1628" t="s">
        <v>31</v>
      </c>
      <c r="R219" s="1633" t="s">
        <v>31</v>
      </c>
      <c r="S219" s="1612"/>
      <c r="T219" s="1612"/>
      <c r="U219" s="1633" t="s">
        <v>31</v>
      </c>
      <c r="V219" s="1633" t="s">
        <v>31</v>
      </c>
      <c r="W219" s="1633" t="s">
        <v>31</v>
      </c>
      <c r="X219" s="1612" t="s">
        <v>31</v>
      </c>
      <c r="Y219" s="1633" t="s">
        <v>31</v>
      </c>
      <c r="Z219" s="1612"/>
      <c r="AA219" s="1612"/>
      <c r="AB219" s="1612" t="s">
        <v>31</v>
      </c>
      <c r="AC219" s="1612" t="s">
        <v>31</v>
      </c>
      <c r="AD219" s="1629" t="s">
        <v>31</v>
      </c>
      <c r="AE219" s="1612" t="s">
        <v>31</v>
      </c>
      <c r="AF219" s="1629" t="s">
        <v>31</v>
      </c>
      <c r="AG219" s="1490"/>
      <c r="AH219" s="189"/>
      <c r="AI219" s="190"/>
    </row>
    <row r="220" spans="1:35" ht="22.15" customHeight="1" x14ac:dyDescent="0.2">
      <c r="A220" s="1493">
        <v>3701</v>
      </c>
      <c r="B220" s="1665" t="s">
        <v>290</v>
      </c>
      <c r="C220" s="1430" t="s">
        <v>31</v>
      </c>
      <c r="D220" s="1430" t="s">
        <v>289</v>
      </c>
      <c r="E220" s="1612"/>
      <c r="F220" s="1629"/>
      <c r="G220" s="1712" t="s">
        <v>31</v>
      </c>
      <c r="H220" s="1712" t="s">
        <v>31</v>
      </c>
      <c r="I220" s="1712" t="s">
        <v>31</v>
      </c>
      <c r="J220" s="1712" t="s">
        <v>31</v>
      </c>
      <c r="K220" s="1712" t="s">
        <v>31</v>
      </c>
      <c r="L220" s="1612"/>
      <c r="M220" s="1612"/>
      <c r="N220" s="1633" t="s">
        <v>31</v>
      </c>
      <c r="O220" s="1633" t="s">
        <v>31</v>
      </c>
      <c r="P220" s="1633" t="s">
        <v>31</v>
      </c>
      <c r="Q220" s="1628" t="s">
        <v>31</v>
      </c>
      <c r="R220" s="1712" t="s">
        <v>31</v>
      </c>
      <c r="S220" s="1612"/>
      <c r="T220" s="1612"/>
      <c r="U220" s="1633" t="s">
        <v>31</v>
      </c>
      <c r="V220" s="1633" t="s">
        <v>31</v>
      </c>
      <c r="W220" s="1633" t="s">
        <v>31</v>
      </c>
      <c r="X220" s="1612" t="s">
        <v>31</v>
      </c>
      <c r="Y220" s="1633" t="s">
        <v>31</v>
      </c>
      <c r="Z220" s="1612"/>
      <c r="AA220" s="1612"/>
      <c r="AB220" s="1612" t="s">
        <v>31</v>
      </c>
      <c r="AC220" s="1612" t="s">
        <v>31</v>
      </c>
      <c r="AD220" s="1629" t="s">
        <v>31</v>
      </c>
      <c r="AE220" s="1612" t="s">
        <v>31</v>
      </c>
      <c r="AF220" s="1629" t="s">
        <v>31</v>
      </c>
      <c r="AG220" s="1490"/>
      <c r="AH220" s="189"/>
      <c r="AI220" s="190"/>
    </row>
    <row r="221" spans="1:35" ht="22.15" customHeight="1" x14ac:dyDescent="0.2">
      <c r="A221" s="1491">
        <v>3701</v>
      </c>
      <c r="B221" s="1665" t="s">
        <v>291</v>
      </c>
      <c r="C221" s="1712" t="s">
        <v>31</v>
      </c>
      <c r="D221" s="1712" t="s">
        <v>31</v>
      </c>
      <c r="E221" s="1712"/>
      <c r="F221" s="1712"/>
      <c r="G221" s="1612" t="s">
        <v>31</v>
      </c>
      <c r="H221" s="1612" t="s">
        <v>31</v>
      </c>
      <c r="I221" s="1612" t="s">
        <v>31</v>
      </c>
      <c r="J221" s="1612" t="s">
        <v>31</v>
      </c>
      <c r="K221" s="1612" t="s">
        <v>31</v>
      </c>
      <c r="L221" s="1612"/>
      <c r="M221" s="1612"/>
      <c r="N221" s="1633" t="s">
        <v>31</v>
      </c>
      <c r="O221" s="1633" t="s">
        <v>31</v>
      </c>
      <c r="P221" s="1633" t="s">
        <v>31</v>
      </c>
      <c r="Q221" s="1734" t="s">
        <v>31</v>
      </c>
      <c r="R221" s="1734" t="s">
        <v>31</v>
      </c>
      <c r="S221" s="1612"/>
      <c r="T221" s="1612"/>
      <c r="U221" s="1633" t="s">
        <v>31</v>
      </c>
      <c r="V221" s="1633" t="s">
        <v>31</v>
      </c>
      <c r="W221" s="1633" t="s">
        <v>31</v>
      </c>
      <c r="X221" s="1612" t="s">
        <v>31</v>
      </c>
      <c r="Y221" s="1633" t="s">
        <v>31</v>
      </c>
      <c r="Z221" s="1612"/>
      <c r="AA221" s="1612"/>
      <c r="AB221" s="1612" t="s">
        <v>31</v>
      </c>
      <c r="AC221" s="1612" t="s">
        <v>31</v>
      </c>
      <c r="AD221" s="1629" t="s">
        <v>31</v>
      </c>
      <c r="AE221" s="1612" t="s">
        <v>31</v>
      </c>
      <c r="AF221" s="1629" t="s">
        <v>31</v>
      </c>
      <c r="AG221" s="1490"/>
      <c r="AH221" s="189"/>
      <c r="AI221" s="190"/>
    </row>
    <row r="222" spans="1:35" ht="22.15" customHeight="1" x14ac:dyDescent="0.2">
      <c r="A222" s="1491">
        <v>3701</v>
      </c>
      <c r="B222" s="1665" t="s">
        <v>292</v>
      </c>
      <c r="C222" s="1612" t="s">
        <v>31</v>
      </c>
      <c r="D222" s="1612" t="s">
        <v>31</v>
      </c>
      <c r="E222" s="1612"/>
      <c r="F222" s="1629"/>
      <c r="G222" s="1612" t="s">
        <v>31</v>
      </c>
      <c r="H222" s="1612" t="s">
        <v>31</v>
      </c>
      <c r="I222" s="1612" t="s">
        <v>31</v>
      </c>
      <c r="J222" s="1612" t="s">
        <v>31</v>
      </c>
      <c r="K222" s="1612" t="s">
        <v>31</v>
      </c>
      <c r="L222" s="1612"/>
      <c r="M222" s="1612"/>
      <c r="N222" s="1633" t="s">
        <v>31</v>
      </c>
      <c r="O222" s="1633" t="s">
        <v>31</v>
      </c>
      <c r="P222" s="1633" t="s">
        <v>31</v>
      </c>
      <c r="Q222" s="2004" t="s">
        <v>31</v>
      </c>
      <c r="R222" s="2004" t="s">
        <v>31</v>
      </c>
      <c r="S222" s="1612"/>
      <c r="T222" s="1612"/>
      <c r="U222" s="1633" t="s">
        <v>31</v>
      </c>
      <c r="V222" s="1633" t="s">
        <v>31</v>
      </c>
      <c r="W222" s="1633" t="s">
        <v>31</v>
      </c>
      <c r="X222" s="1612" t="s">
        <v>31</v>
      </c>
      <c r="Y222" s="1633" t="s">
        <v>31</v>
      </c>
      <c r="Z222" s="1612"/>
      <c r="AA222" s="1612"/>
      <c r="AB222" s="1430" t="s">
        <v>31</v>
      </c>
      <c r="AC222" s="1430" t="s">
        <v>31</v>
      </c>
      <c r="AD222" s="1430" t="s">
        <v>289</v>
      </c>
      <c r="AE222" s="1734" t="s">
        <v>31</v>
      </c>
      <c r="AF222" s="1734" t="s">
        <v>31</v>
      </c>
      <c r="AG222" s="1490"/>
      <c r="AH222" s="189"/>
      <c r="AI222" s="190"/>
    </row>
    <row r="223" spans="1:35" ht="22.15" customHeight="1" x14ac:dyDescent="0.2">
      <c r="A223" s="1491"/>
      <c r="B223" s="1496"/>
      <c r="C223" s="1612" t="s">
        <v>31</v>
      </c>
      <c r="D223" s="1612" t="s">
        <v>31</v>
      </c>
      <c r="E223" s="1612"/>
      <c r="F223" s="1629"/>
      <c r="G223" s="1612" t="s">
        <v>31</v>
      </c>
      <c r="H223" s="1612" t="s">
        <v>31</v>
      </c>
      <c r="I223" s="1612" t="s">
        <v>31</v>
      </c>
      <c r="J223" s="1612" t="s">
        <v>31</v>
      </c>
      <c r="K223" s="1612" t="s">
        <v>31</v>
      </c>
      <c r="L223" s="1612"/>
      <c r="M223" s="1612"/>
      <c r="N223" s="1633" t="s">
        <v>31</v>
      </c>
      <c r="O223" s="1633" t="s">
        <v>31</v>
      </c>
      <c r="P223" s="1633" t="s">
        <v>31</v>
      </c>
      <c r="Q223" s="1628" t="s">
        <v>31</v>
      </c>
      <c r="R223" s="1633" t="s">
        <v>31</v>
      </c>
      <c r="S223" s="1612"/>
      <c r="T223" s="1612"/>
      <c r="U223" s="1633" t="s">
        <v>31</v>
      </c>
      <c r="V223" s="1633" t="s">
        <v>31</v>
      </c>
      <c r="W223" s="1633" t="s">
        <v>31</v>
      </c>
      <c r="X223" s="1612" t="s">
        <v>31</v>
      </c>
      <c r="Y223" s="1633" t="s">
        <v>31</v>
      </c>
      <c r="Z223" s="1612"/>
      <c r="AA223" s="1612"/>
      <c r="AB223" s="1612" t="s">
        <v>31</v>
      </c>
      <c r="AC223" s="1612" t="s">
        <v>31</v>
      </c>
      <c r="AD223" s="1629" t="s">
        <v>31</v>
      </c>
      <c r="AE223" s="1612" t="s">
        <v>31</v>
      </c>
      <c r="AF223" s="1629" t="s">
        <v>31</v>
      </c>
      <c r="AG223" s="1494"/>
      <c r="AH223" s="189"/>
      <c r="AI223" s="190"/>
    </row>
    <row r="224" spans="1:35" ht="22.15" customHeight="1" x14ac:dyDescent="0.2">
      <c r="A224" s="1491"/>
      <c r="B224" s="1665" t="s">
        <v>293</v>
      </c>
      <c r="C224" s="1612" t="s">
        <v>31</v>
      </c>
      <c r="D224" s="1612" t="s">
        <v>31</v>
      </c>
      <c r="E224" s="1612"/>
      <c r="F224" s="1629"/>
      <c r="G224" s="1612" t="s">
        <v>31</v>
      </c>
      <c r="H224" s="1430" t="s">
        <v>31</v>
      </c>
      <c r="I224" s="1430" t="s">
        <v>31</v>
      </c>
      <c r="J224" s="1430" t="s">
        <v>31</v>
      </c>
      <c r="K224" s="1430" t="s">
        <v>31</v>
      </c>
      <c r="L224" s="1430"/>
      <c r="M224" s="1430"/>
      <c r="N224" s="1430" t="s">
        <v>289</v>
      </c>
      <c r="O224" s="1633" t="s">
        <v>31</v>
      </c>
      <c r="P224" s="1633" t="s">
        <v>31</v>
      </c>
      <c r="Q224" s="1628" t="s">
        <v>31</v>
      </c>
      <c r="R224" s="1633" t="s">
        <v>31</v>
      </c>
      <c r="S224" s="1612"/>
      <c r="T224" s="1612"/>
      <c r="U224" s="1633" t="s">
        <v>31</v>
      </c>
      <c r="V224" s="1633" t="s">
        <v>31</v>
      </c>
      <c r="W224" s="1633" t="s">
        <v>31</v>
      </c>
      <c r="X224" s="1612" t="s">
        <v>31</v>
      </c>
      <c r="Y224" s="1633" t="s">
        <v>31</v>
      </c>
      <c r="Z224" s="1612"/>
      <c r="AA224" s="1612"/>
      <c r="AB224" s="1612" t="s">
        <v>31</v>
      </c>
      <c r="AC224" s="1612" t="s">
        <v>31</v>
      </c>
      <c r="AD224" s="1629" t="s">
        <v>31</v>
      </c>
      <c r="AE224" s="1612" t="s">
        <v>31</v>
      </c>
      <c r="AF224" s="1629" t="s">
        <v>31</v>
      </c>
      <c r="AG224" s="1495"/>
      <c r="AH224" s="189"/>
      <c r="AI224" s="190"/>
    </row>
    <row r="225" spans="1:35" ht="22.15" customHeight="1" x14ac:dyDescent="0.2">
      <c r="A225" s="1491"/>
      <c r="B225" s="1665" t="s">
        <v>294</v>
      </c>
      <c r="C225" s="1430" t="s">
        <v>31</v>
      </c>
      <c r="D225" s="1430" t="s">
        <v>31</v>
      </c>
      <c r="E225" s="1430"/>
      <c r="F225" s="1430"/>
      <c r="G225" s="1430" t="s">
        <v>31</v>
      </c>
      <c r="H225" s="1430" t="s">
        <v>31</v>
      </c>
      <c r="I225" s="1430" t="s">
        <v>31</v>
      </c>
      <c r="J225" s="1430" t="s">
        <v>31</v>
      </c>
      <c r="K225" s="1430" t="s">
        <v>31</v>
      </c>
      <c r="L225" s="1430"/>
      <c r="M225" s="1430"/>
      <c r="N225" s="1430" t="s">
        <v>31</v>
      </c>
      <c r="O225" s="1430" t="s">
        <v>31</v>
      </c>
      <c r="P225" s="1430" t="s">
        <v>31</v>
      </c>
      <c r="Q225" s="1430" t="s">
        <v>31</v>
      </c>
      <c r="R225" s="1430" t="s">
        <v>31</v>
      </c>
      <c r="S225" s="1430"/>
      <c r="T225" s="1430"/>
      <c r="U225" s="1430" t="s">
        <v>31</v>
      </c>
      <c r="V225" s="1430" t="s">
        <v>31</v>
      </c>
      <c r="W225" s="1430" t="s">
        <v>31</v>
      </c>
      <c r="X225" s="1430" t="s">
        <v>31</v>
      </c>
      <c r="Y225" s="1430" t="s">
        <v>31</v>
      </c>
      <c r="Z225" s="1430"/>
      <c r="AA225" s="1430"/>
      <c r="AB225" s="1430" t="s">
        <v>31</v>
      </c>
      <c r="AC225" s="1430" t="s">
        <v>31</v>
      </c>
      <c r="AD225" s="1430" t="s">
        <v>31</v>
      </c>
      <c r="AE225" s="1430" t="s">
        <v>31</v>
      </c>
      <c r="AF225" s="1430" t="s">
        <v>31</v>
      </c>
      <c r="AG225" s="1497"/>
      <c r="AH225" s="189"/>
      <c r="AI225" s="190"/>
    </row>
    <row r="226" spans="1:35" ht="22.15" customHeight="1" x14ac:dyDescent="0.2">
      <c r="A226" s="1491"/>
      <c r="B226" s="1665" t="s">
        <v>295</v>
      </c>
      <c r="C226" s="1612" t="s">
        <v>31</v>
      </c>
      <c r="D226" s="1612" t="s">
        <v>31</v>
      </c>
      <c r="E226" s="1612"/>
      <c r="F226" s="1629"/>
      <c r="G226" s="1612" t="s">
        <v>31</v>
      </c>
      <c r="H226" s="1612" t="s">
        <v>31</v>
      </c>
      <c r="I226" s="1612" t="s">
        <v>31</v>
      </c>
      <c r="J226" s="1612" t="s">
        <v>31</v>
      </c>
      <c r="K226" s="1612" t="s">
        <v>31</v>
      </c>
      <c r="L226" s="1612"/>
      <c r="M226" s="1612"/>
      <c r="N226" s="1633" t="s">
        <v>31</v>
      </c>
      <c r="O226" s="1633" t="s">
        <v>31</v>
      </c>
      <c r="P226" s="1633" t="s">
        <v>31</v>
      </c>
      <c r="Q226" s="1712" t="s">
        <v>31</v>
      </c>
      <c r="R226" s="1712" t="s">
        <v>31</v>
      </c>
      <c r="S226" s="1612"/>
      <c r="T226" s="1612"/>
      <c r="U226" s="1633" t="s">
        <v>31</v>
      </c>
      <c r="V226" s="1633" t="s">
        <v>31</v>
      </c>
      <c r="W226" s="1633" t="s">
        <v>31</v>
      </c>
      <c r="X226" s="1612" t="s">
        <v>31</v>
      </c>
      <c r="Y226" s="1633" t="s">
        <v>31</v>
      </c>
      <c r="Z226" s="1612"/>
      <c r="AA226" s="1612"/>
      <c r="AB226" s="1612" t="s">
        <v>31</v>
      </c>
      <c r="AC226" s="1712" t="s">
        <v>31</v>
      </c>
      <c r="AD226" s="1629" t="s">
        <v>31</v>
      </c>
      <c r="AE226" s="1612" t="s">
        <v>31</v>
      </c>
      <c r="AF226" s="1629" t="s">
        <v>31</v>
      </c>
      <c r="AG226" s="1490"/>
      <c r="AH226" s="189"/>
      <c r="AI226" s="190"/>
    </row>
    <row r="227" spans="1:35" ht="22.15" customHeight="1" x14ac:dyDescent="0.2">
      <c r="A227" s="1491"/>
      <c r="B227" s="1665" t="s">
        <v>296</v>
      </c>
      <c r="C227" s="1612" t="s">
        <v>31</v>
      </c>
      <c r="D227" s="1612" t="s">
        <v>31</v>
      </c>
      <c r="E227" s="1612"/>
      <c r="F227" s="1629"/>
      <c r="G227" s="1612" t="s">
        <v>31</v>
      </c>
      <c r="H227" s="1612" t="s">
        <v>31</v>
      </c>
      <c r="I227" s="1612" t="s">
        <v>31</v>
      </c>
      <c r="J227" s="1612" t="s">
        <v>31</v>
      </c>
      <c r="K227" s="1612" t="s">
        <v>31</v>
      </c>
      <c r="L227" s="1612"/>
      <c r="M227" s="1612"/>
      <c r="N227" s="1633" t="s">
        <v>31</v>
      </c>
      <c r="O227" s="1633" t="s">
        <v>31</v>
      </c>
      <c r="P227" s="1633" t="s">
        <v>31</v>
      </c>
      <c r="Q227" s="1628" t="s">
        <v>31</v>
      </c>
      <c r="R227" s="1633" t="s">
        <v>31</v>
      </c>
      <c r="S227" s="1612"/>
      <c r="T227" s="1612"/>
      <c r="U227" s="1633" t="s">
        <v>31</v>
      </c>
      <c r="V227" s="1633" t="s">
        <v>31</v>
      </c>
      <c r="W227" s="1633" t="s">
        <v>31</v>
      </c>
      <c r="X227" s="1612" t="s">
        <v>31</v>
      </c>
      <c r="Y227" s="1633" t="s">
        <v>31</v>
      </c>
      <c r="Z227" s="1612"/>
      <c r="AA227" s="1612"/>
      <c r="AB227" s="1612" t="s">
        <v>31</v>
      </c>
      <c r="AC227" s="1612" t="s">
        <v>31</v>
      </c>
      <c r="AD227" s="1629" t="s">
        <v>31</v>
      </c>
      <c r="AE227" s="1612" t="s">
        <v>31</v>
      </c>
      <c r="AF227" s="1629" t="s">
        <v>31</v>
      </c>
      <c r="AG227" s="1490"/>
      <c r="AH227" s="189"/>
      <c r="AI227" s="190"/>
    </row>
    <row r="228" spans="1:35" ht="22.15" customHeight="1" x14ac:dyDescent="0.2">
      <c r="A228" s="1491"/>
      <c r="B228" s="1498" t="s">
        <v>297</v>
      </c>
      <c r="C228" s="1629"/>
      <c r="D228" s="1629"/>
      <c r="E228" s="1629"/>
      <c r="F228" s="1625"/>
      <c r="G228" s="1633"/>
      <c r="H228" s="1633"/>
      <c r="I228" s="1629"/>
      <c r="J228" s="1629"/>
      <c r="K228" s="1629"/>
      <c r="L228" s="1629"/>
      <c r="M228" s="1629"/>
      <c r="N228" s="1612"/>
      <c r="O228" s="1629"/>
      <c r="P228" s="1629"/>
      <c r="Q228" s="1629"/>
      <c r="R228" s="1629"/>
      <c r="S228" s="1629"/>
      <c r="T228" s="1629"/>
      <c r="U228" s="1629"/>
      <c r="V228" s="1629"/>
      <c r="W228" s="1629"/>
      <c r="X228" s="1629"/>
      <c r="Y228" s="1628"/>
      <c r="Z228" s="1628"/>
      <c r="AA228" s="1628"/>
      <c r="AB228" s="1629"/>
      <c r="AC228" s="1629"/>
      <c r="AD228" s="1629"/>
      <c r="AE228" s="1629"/>
      <c r="AF228" s="1612"/>
      <c r="AG228" s="1490"/>
      <c r="AH228" s="189"/>
      <c r="AI228" s="190"/>
    </row>
    <row r="229" spans="1:35" ht="22.15" customHeight="1" x14ac:dyDescent="0.2">
      <c r="A229" s="1491"/>
      <c r="B229" s="1665"/>
      <c r="C229" s="1629"/>
      <c r="D229" s="1629"/>
      <c r="E229" s="1629"/>
      <c r="F229" s="1625"/>
      <c r="G229" s="1633"/>
      <c r="H229" s="1633"/>
      <c r="I229" s="1629"/>
      <c r="J229" s="1629"/>
      <c r="K229" s="1629"/>
      <c r="L229" s="1629"/>
      <c r="M229" s="1629"/>
      <c r="N229" s="1612"/>
      <c r="O229" s="1629"/>
      <c r="P229" s="1629"/>
      <c r="Q229" s="1629"/>
      <c r="R229" s="1629"/>
      <c r="S229" s="1629"/>
      <c r="T229" s="1629"/>
      <c r="U229" s="1629"/>
      <c r="V229" s="1629"/>
      <c r="W229" s="1629"/>
      <c r="X229" s="1629"/>
      <c r="Y229" s="1628"/>
      <c r="Z229" s="1628"/>
      <c r="AA229" s="1628"/>
      <c r="AB229" s="1629"/>
      <c r="AC229" s="1629"/>
      <c r="AD229" s="1629"/>
      <c r="AE229" s="1629"/>
      <c r="AF229" s="1612"/>
      <c r="AG229" s="1494"/>
      <c r="AH229" s="189"/>
      <c r="AI229" s="190"/>
    </row>
    <row r="230" spans="1:35" ht="22.15" customHeight="1" x14ac:dyDescent="0.2">
      <c r="A230" s="1734"/>
      <c r="B230" s="1889" t="s">
        <v>298</v>
      </c>
      <c r="C230" s="1629"/>
      <c r="D230" s="1629"/>
      <c r="E230" s="1629"/>
      <c r="F230" s="1629"/>
      <c r="G230" s="1629"/>
      <c r="H230" s="1629"/>
      <c r="I230" s="1629"/>
      <c r="J230" s="1629"/>
      <c r="K230" s="1629"/>
      <c r="L230" s="1629"/>
      <c r="M230" s="1629"/>
      <c r="N230" s="1629"/>
      <c r="O230" s="1629"/>
      <c r="P230" s="1629"/>
      <c r="Q230" s="1629"/>
      <c r="R230" s="1629"/>
      <c r="S230" s="1629"/>
      <c r="T230" s="1629"/>
      <c r="U230" s="1629"/>
      <c r="V230" s="1629"/>
      <c r="W230" s="1629"/>
      <c r="X230" s="1629"/>
      <c r="Y230" s="1629"/>
      <c r="Z230" s="1629"/>
      <c r="AA230" s="1629"/>
      <c r="AB230" s="1629"/>
      <c r="AC230" s="1629"/>
      <c r="AD230" s="1629"/>
      <c r="AE230" s="1629"/>
      <c r="AF230" s="1629"/>
      <c r="AG230" s="1490"/>
      <c r="AH230" s="186"/>
      <c r="AI230" s="107"/>
    </row>
    <row r="231" spans="1:35" ht="22.15" customHeight="1" x14ac:dyDescent="0.2">
      <c r="A231" s="1734"/>
      <c r="B231" s="1665" t="s">
        <v>299</v>
      </c>
      <c r="C231" s="1612" t="s">
        <v>31</v>
      </c>
      <c r="D231" s="1612" t="s">
        <v>31</v>
      </c>
      <c r="E231" s="1612"/>
      <c r="F231" s="1629"/>
      <c r="G231" s="1612" t="s">
        <v>31</v>
      </c>
      <c r="H231" s="1612" t="s">
        <v>31</v>
      </c>
      <c r="I231" s="1612" t="s">
        <v>31</v>
      </c>
      <c r="J231" s="1612" t="s">
        <v>31</v>
      </c>
      <c r="K231" s="1612" t="s">
        <v>31</v>
      </c>
      <c r="L231" s="1612"/>
      <c r="M231" s="1612"/>
      <c r="N231" s="1633" t="s">
        <v>31</v>
      </c>
      <c r="O231" s="1633" t="s">
        <v>31</v>
      </c>
      <c r="P231" s="1633" t="s">
        <v>31</v>
      </c>
      <c r="Q231" s="1628" t="s">
        <v>31</v>
      </c>
      <c r="R231" s="1633" t="s">
        <v>31</v>
      </c>
      <c r="S231" s="1612"/>
      <c r="T231" s="1612"/>
      <c r="U231" s="1633" t="s">
        <v>31</v>
      </c>
      <c r="V231" s="1633" t="s">
        <v>31</v>
      </c>
      <c r="W231" s="1633" t="s">
        <v>31</v>
      </c>
      <c r="X231" s="1612" t="s">
        <v>31</v>
      </c>
      <c r="Y231" s="1633" t="s">
        <v>31</v>
      </c>
      <c r="Z231" s="1612"/>
      <c r="AA231" s="1612"/>
      <c r="AB231" s="1612" t="s">
        <v>31</v>
      </c>
      <c r="AC231" s="1612" t="s">
        <v>31</v>
      </c>
      <c r="AD231" s="1629" t="s">
        <v>31</v>
      </c>
      <c r="AE231" s="1612" t="s">
        <v>31</v>
      </c>
      <c r="AF231" s="1629" t="s">
        <v>31</v>
      </c>
      <c r="AG231" s="1499"/>
      <c r="AH231" s="186"/>
      <c r="AI231" s="107"/>
    </row>
    <row r="232" spans="1:35" ht="22.15" customHeight="1" x14ac:dyDescent="0.2">
      <c r="A232" s="1734"/>
      <c r="B232" s="1734"/>
      <c r="C232" s="1629"/>
      <c r="D232" s="1629"/>
      <c r="E232" s="1629"/>
      <c r="F232" s="1629"/>
      <c r="G232" s="1629"/>
      <c r="H232" s="1629"/>
      <c r="I232" s="1629"/>
      <c r="J232" s="1629"/>
      <c r="K232" s="1629"/>
      <c r="L232" s="1629"/>
      <c r="M232" s="1629"/>
      <c r="N232" s="1629"/>
      <c r="O232" s="1629"/>
      <c r="P232" s="1629"/>
      <c r="Q232" s="1629"/>
      <c r="R232" s="1629"/>
      <c r="S232" s="1629"/>
      <c r="T232" s="1629"/>
      <c r="U232" s="1629"/>
      <c r="V232" s="1629"/>
      <c r="W232" s="1629"/>
      <c r="X232" s="1629"/>
      <c r="Y232" s="1629"/>
      <c r="Z232" s="1629"/>
      <c r="AA232" s="1629"/>
      <c r="AB232" s="1629"/>
      <c r="AC232" s="1629"/>
      <c r="AD232" s="1629"/>
      <c r="AE232" s="1629"/>
      <c r="AF232" s="1629"/>
      <c r="AG232" s="1490"/>
      <c r="AH232" s="186"/>
      <c r="AI232" s="107"/>
    </row>
    <row r="233" spans="1:35" ht="22.15" customHeight="1" x14ac:dyDescent="0.2">
      <c r="A233" s="1734"/>
      <c r="B233" s="1734"/>
      <c r="C233" s="1629"/>
      <c r="D233" s="1629"/>
      <c r="E233" s="1629"/>
      <c r="F233" s="1629"/>
      <c r="G233" s="1629"/>
      <c r="H233" s="1501"/>
      <c r="I233" s="1629"/>
      <c r="J233" s="1629"/>
      <c r="K233" s="1629"/>
      <c r="L233" s="1629"/>
      <c r="M233" s="1629"/>
      <c r="N233" s="1629"/>
      <c r="O233" s="1629"/>
      <c r="P233" s="1629"/>
      <c r="Q233" s="1629"/>
      <c r="R233" s="1629"/>
      <c r="S233" s="1629"/>
      <c r="T233" s="1629"/>
      <c r="U233" s="1629"/>
      <c r="V233" s="1629"/>
      <c r="W233" s="1629"/>
      <c r="X233" s="1629"/>
      <c r="Y233" s="1629"/>
      <c r="Z233" s="1629"/>
      <c r="AA233" s="1629"/>
      <c r="AB233" s="1629"/>
      <c r="AC233" s="1629"/>
      <c r="AD233" s="1629"/>
      <c r="AE233" s="1629"/>
      <c r="AF233" s="1629"/>
      <c r="AG233" s="1499"/>
      <c r="AH233" s="186"/>
      <c r="AI233" s="107"/>
    </row>
    <row r="234" spans="1:35" ht="22.15" customHeight="1" x14ac:dyDescent="0.2">
      <c r="A234" s="1491"/>
      <c r="B234" s="1496"/>
      <c r="C234" s="1629"/>
      <c r="D234" s="1629"/>
      <c r="E234" s="1629"/>
      <c r="F234" s="1629"/>
      <c r="G234" s="1629"/>
      <c r="H234" s="1629"/>
      <c r="I234" s="1629"/>
      <c r="J234" s="1629"/>
      <c r="K234" s="1629"/>
      <c r="L234" s="1629"/>
      <c r="M234" s="1629"/>
      <c r="N234" s="1629"/>
      <c r="O234" s="1629"/>
      <c r="P234" s="1629"/>
      <c r="Q234" s="1629"/>
      <c r="R234" s="1629"/>
      <c r="S234" s="1629"/>
      <c r="T234" s="1629"/>
      <c r="U234" s="1629"/>
      <c r="V234" s="1629"/>
      <c r="W234" s="1629"/>
      <c r="X234" s="1629"/>
      <c r="Y234" s="1629"/>
      <c r="Z234" s="1629"/>
      <c r="AA234" s="1629"/>
      <c r="AB234" s="1629"/>
      <c r="AC234" s="1629"/>
      <c r="AD234" s="1629"/>
      <c r="AE234" s="1629"/>
      <c r="AF234" s="1629"/>
      <c r="AG234" s="1490"/>
      <c r="AH234" s="186"/>
      <c r="AI234" s="107"/>
    </row>
    <row r="235" spans="1:35" ht="22.15" customHeight="1" x14ac:dyDescent="0.2">
      <c r="A235" s="1491"/>
      <c r="B235" s="1502"/>
      <c r="C235" s="1629"/>
      <c r="D235" s="1629"/>
      <c r="E235" s="1629"/>
      <c r="F235" s="1629"/>
      <c r="G235" s="1629"/>
      <c r="H235" s="1629"/>
      <c r="I235" s="1629"/>
      <c r="J235" s="1629"/>
      <c r="K235" s="1629"/>
      <c r="L235" s="1629"/>
      <c r="M235" s="1629"/>
      <c r="N235" s="1629"/>
      <c r="O235" s="1629"/>
      <c r="P235" s="1629"/>
      <c r="Q235" s="1629"/>
      <c r="R235" s="1629"/>
      <c r="S235" s="1629"/>
      <c r="T235" s="1629"/>
      <c r="U235" s="1629"/>
      <c r="V235" s="1629"/>
      <c r="W235" s="1629"/>
      <c r="X235" s="1629"/>
      <c r="Y235" s="1629"/>
      <c r="Z235" s="1629"/>
      <c r="AA235" s="1629"/>
      <c r="AB235" s="1629"/>
      <c r="AC235" s="1629"/>
      <c r="AD235" s="1629"/>
      <c r="AE235" s="1629"/>
      <c r="AF235" s="1629"/>
      <c r="AG235" s="1499"/>
      <c r="AH235" s="186"/>
      <c r="AI235" s="107"/>
    </row>
    <row r="236" spans="1:35" ht="22.15" customHeight="1" x14ac:dyDescent="0.2">
      <c r="A236" s="108"/>
      <c r="B236" s="122"/>
      <c r="C236" s="106"/>
      <c r="D236" s="106"/>
      <c r="E236" s="106"/>
      <c r="F236" s="106"/>
      <c r="G236" s="106"/>
      <c r="H236" s="106"/>
      <c r="I236" s="106"/>
      <c r="J236" s="106"/>
      <c r="L236" s="106"/>
      <c r="M236" s="106"/>
      <c r="N236" s="106"/>
      <c r="O236" s="106"/>
      <c r="P236" s="72"/>
      <c r="Q236" s="72"/>
      <c r="R236" s="72"/>
      <c r="S236" s="106"/>
      <c r="T236" s="106"/>
      <c r="U236" s="106"/>
      <c r="V236" s="106"/>
      <c r="W236" s="106"/>
      <c r="X236" s="106"/>
      <c r="Y236" s="106"/>
      <c r="Z236" s="106"/>
      <c r="AA236" s="106"/>
      <c r="AB236" s="106"/>
      <c r="AC236" s="106"/>
      <c r="AD236" s="106"/>
      <c r="AE236" s="106"/>
      <c r="AF236" s="106"/>
      <c r="AG236" s="1499"/>
      <c r="AH236" s="186"/>
      <c r="AI236" s="107"/>
    </row>
    <row r="237" spans="1:35" ht="22.15" customHeight="1" x14ac:dyDescent="0.2">
      <c r="AG237" s="1499"/>
      <c r="AH237" s="186"/>
      <c r="AI237" s="107"/>
    </row>
    <row r="238" spans="1:35" ht="22.15" customHeight="1" x14ac:dyDescent="0.2">
      <c r="AG238" s="106"/>
      <c r="AH238" s="107"/>
      <c r="AI238" s="107"/>
    </row>
    <row r="240" spans="1:35" ht="13.5" thickBot="1" x14ac:dyDescent="0.25">
      <c r="A240" s="162" t="s">
        <v>300</v>
      </c>
    </row>
    <row r="241" spans="1:35" ht="12.75" x14ac:dyDescent="0.2">
      <c r="B241" s="530" t="s">
        <v>267</v>
      </c>
      <c r="C241" s="500"/>
      <c r="D241" s="516" t="s">
        <v>90</v>
      </c>
      <c r="E241" s="473"/>
      <c r="F241" s="504"/>
      <c r="G241" s="500"/>
      <c r="H241" s="516" t="s">
        <v>91</v>
      </c>
      <c r="I241" s="473"/>
      <c r="J241" s="504"/>
      <c r="K241" s="500"/>
      <c r="L241" s="516" t="s">
        <v>92</v>
      </c>
      <c r="M241" s="473"/>
      <c r="N241" s="504"/>
      <c r="O241" s="500"/>
      <c r="P241" s="516" t="s">
        <v>93</v>
      </c>
      <c r="Q241" s="473"/>
      <c r="R241" s="504"/>
      <c r="S241" s="500"/>
      <c r="T241" s="516" t="s">
        <v>94</v>
      </c>
      <c r="U241" s="473"/>
      <c r="V241" s="504"/>
      <c r="W241" s="500"/>
      <c r="X241" s="516" t="s">
        <v>95</v>
      </c>
      <c r="Y241" s="473"/>
      <c r="Z241" s="504"/>
      <c r="AA241" s="500"/>
      <c r="AB241" s="516" t="s">
        <v>96</v>
      </c>
      <c r="AC241" s="473"/>
      <c r="AD241" s="473"/>
      <c r="AE241" s="519" t="s">
        <v>97</v>
      </c>
      <c r="AF241" s="473"/>
    </row>
    <row r="242" spans="1:35" ht="21" customHeight="1" thickBot="1" x14ac:dyDescent="0.25">
      <c r="B242" s="3"/>
      <c r="C242" s="156"/>
      <c r="D242" s="117"/>
      <c r="E242" s="166"/>
      <c r="F242" s="168"/>
      <c r="G242" s="156"/>
      <c r="H242" s="117"/>
      <c r="I242" s="166"/>
      <c r="J242" s="168"/>
      <c r="K242" s="156"/>
      <c r="L242" s="117"/>
      <c r="M242" s="166"/>
      <c r="N242" s="168"/>
      <c r="O242" s="156"/>
      <c r="P242" s="117"/>
      <c r="Q242" s="166"/>
      <c r="R242" s="168"/>
      <c r="S242" s="156"/>
      <c r="T242" s="117"/>
      <c r="U242" s="166"/>
      <c r="V242" s="168"/>
      <c r="W242" s="156"/>
      <c r="X242" s="117"/>
      <c r="Y242" s="166"/>
      <c r="Z242" s="168"/>
      <c r="AA242" s="156"/>
      <c r="AB242" s="117"/>
      <c r="AC242" s="166"/>
      <c r="AD242" s="166"/>
      <c r="AE242" s="118"/>
      <c r="AF242" s="166"/>
    </row>
    <row r="243" spans="1:35" ht="21" customHeight="1" x14ac:dyDescent="0.2">
      <c r="A243" s="110"/>
      <c r="B243" s="1890">
        <v>3701</v>
      </c>
      <c r="C243" s="1283" t="s">
        <v>272</v>
      </c>
      <c r="D243" s="1284"/>
      <c r="E243" s="166"/>
      <c r="F243" s="168"/>
      <c r="G243" s="1283" t="s">
        <v>272</v>
      </c>
      <c r="H243" s="117"/>
      <c r="I243" s="166"/>
      <c r="J243" s="168"/>
      <c r="K243" s="1283" t="s">
        <v>272</v>
      </c>
      <c r="L243" s="117"/>
      <c r="M243" s="166"/>
      <c r="N243" s="168"/>
      <c r="O243" s="1283" t="s">
        <v>272</v>
      </c>
      <c r="P243" s="117"/>
      <c r="Q243" s="166"/>
      <c r="R243" s="168"/>
      <c r="S243" s="156" t="s">
        <v>273</v>
      </c>
      <c r="T243" s="117"/>
      <c r="U243" s="166"/>
      <c r="V243" s="168"/>
      <c r="W243" s="156"/>
      <c r="X243" s="117"/>
      <c r="Y243" s="166"/>
      <c r="Z243" s="168"/>
      <c r="AA243" s="156"/>
      <c r="AB243" s="117"/>
      <c r="AC243" s="166"/>
      <c r="AD243" s="166"/>
      <c r="AE243" s="118"/>
      <c r="AF243" s="166"/>
      <c r="AG243" s="473"/>
      <c r="AH243" s="473"/>
      <c r="AI243" s="474"/>
    </row>
    <row r="244" spans="1:35" ht="21" customHeight="1" x14ac:dyDescent="0.2">
      <c r="B244" s="1890"/>
      <c r="C244" s="1283"/>
      <c r="D244" s="1284"/>
      <c r="E244" s="166"/>
      <c r="F244" s="168"/>
      <c r="G244" s="1283"/>
      <c r="H244" s="117"/>
      <c r="I244" s="166"/>
      <c r="J244" s="168"/>
      <c r="K244" s="1283"/>
      <c r="L244" s="117"/>
      <c r="M244" s="166"/>
      <c r="N244" s="168"/>
      <c r="O244" s="1283"/>
      <c r="P244" s="117"/>
      <c r="Q244" s="166"/>
      <c r="R244" s="168"/>
      <c r="S244" s="1283"/>
      <c r="T244" s="117"/>
      <c r="U244" s="166"/>
      <c r="V244" s="168"/>
      <c r="W244" s="156"/>
      <c r="X244" s="117"/>
      <c r="Y244" s="166"/>
      <c r="Z244" s="168"/>
      <c r="AA244" s="156"/>
      <c r="AB244" s="117"/>
      <c r="AC244" s="166"/>
      <c r="AD244" s="166"/>
      <c r="AE244" s="118"/>
      <c r="AF244" s="166"/>
      <c r="AG244" s="14"/>
      <c r="AH244" s="14"/>
      <c r="AI244" s="119"/>
    </row>
    <row r="245" spans="1:35" ht="21" customHeight="1" x14ac:dyDescent="0.2">
      <c r="B245" s="1890">
        <v>3702</v>
      </c>
      <c r="C245" s="1283" t="s">
        <v>301</v>
      </c>
      <c r="D245" s="1284"/>
      <c r="E245" s="166"/>
      <c r="F245" s="168"/>
      <c r="G245" s="1283" t="s">
        <v>301</v>
      </c>
      <c r="H245" s="1284"/>
      <c r="I245" s="166"/>
      <c r="J245" s="168"/>
      <c r="K245" s="1283" t="s">
        <v>301</v>
      </c>
      <c r="L245" s="1284"/>
      <c r="M245" s="166"/>
      <c r="N245" s="168"/>
      <c r="O245" s="1283" t="s">
        <v>301</v>
      </c>
      <c r="P245" s="1284"/>
      <c r="Q245" s="166"/>
      <c r="R245" s="168"/>
      <c r="S245" s="1283" t="s">
        <v>302</v>
      </c>
      <c r="T245" s="1284"/>
      <c r="U245" s="166"/>
      <c r="V245" s="168"/>
      <c r="W245" s="156"/>
      <c r="X245" s="117"/>
      <c r="Y245" s="166"/>
      <c r="Z245" s="168"/>
      <c r="AA245" s="156"/>
      <c r="AB245" s="117"/>
      <c r="AC245" s="166"/>
      <c r="AD245" s="166"/>
      <c r="AE245" s="118"/>
      <c r="AF245" s="166"/>
      <c r="AG245" s="14"/>
      <c r="AH245" s="14"/>
      <c r="AI245" s="119"/>
    </row>
    <row r="246" spans="1:35" ht="21" customHeight="1" x14ac:dyDescent="0.2">
      <c r="B246" s="1890"/>
      <c r="C246" s="1391"/>
      <c r="D246" s="1284"/>
      <c r="E246" s="166"/>
      <c r="F246" s="168"/>
      <c r="G246" s="117"/>
      <c r="H246" s="117"/>
      <c r="I246" s="166"/>
      <c r="J246" s="168"/>
      <c r="K246" s="117"/>
      <c r="L246" s="117"/>
      <c r="M246" s="166"/>
      <c r="N246" s="168"/>
      <c r="O246" s="117"/>
      <c r="P246" s="117"/>
      <c r="Q246" s="166"/>
      <c r="R246" s="168"/>
      <c r="S246" s="117"/>
      <c r="T246" s="117"/>
      <c r="U246" s="166"/>
      <c r="V246" s="168"/>
      <c r="W246" s="156"/>
      <c r="X246" s="117"/>
      <c r="Y246" s="166"/>
      <c r="Z246" s="168"/>
      <c r="AA246" s="156"/>
      <c r="AB246" s="117"/>
      <c r="AC246" s="166"/>
      <c r="AD246" s="166"/>
      <c r="AE246" s="118"/>
      <c r="AF246" s="166"/>
      <c r="AG246" s="14"/>
      <c r="AH246" s="14"/>
      <c r="AI246" s="119"/>
    </row>
    <row r="247" spans="1:35" ht="21" customHeight="1" x14ac:dyDescent="0.2">
      <c r="B247" s="1890" t="s">
        <v>139</v>
      </c>
      <c r="C247" s="1391" t="s">
        <v>303</v>
      </c>
      <c r="D247" s="1284"/>
      <c r="E247" s="166"/>
      <c r="F247" s="168"/>
      <c r="G247" s="1391" t="s">
        <v>303</v>
      </c>
      <c r="H247" s="1284"/>
      <c r="I247" s="166"/>
      <c r="J247" s="168"/>
      <c r="K247" s="1391" t="s">
        <v>303</v>
      </c>
      <c r="L247" s="1284"/>
      <c r="M247" s="166"/>
      <c r="N247" s="168"/>
      <c r="O247" s="1391" t="s">
        <v>303</v>
      </c>
      <c r="P247" s="1284"/>
      <c r="Q247" s="166"/>
      <c r="R247" s="168"/>
      <c r="S247" s="117" t="s">
        <v>304</v>
      </c>
      <c r="T247" s="117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B248" s="1890" t="s">
        <v>143</v>
      </c>
      <c r="C248" s="1391" t="s">
        <v>305</v>
      </c>
      <c r="D248" s="1284"/>
      <c r="E248" s="166"/>
      <c r="F248" s="168"/>
      <c r="G248" s="1391" t="s">
        <v>305</v>
      </c>
      <c r="H248" s="1284"/>
      <c r="I248" s="166"/>
      <c r="J248" s="168"/>
      <c r="K248" s="1391" t="s">
        <v>305</v>
      </c>
      <c r="L248" s="1284"/>
      <c r="M248" s="166"/>
      <c r="N248" s="168"/>
      <c r="O248" s="1391" t="s">
        <v>305</v>
      </c>
      <c r="P248" s="1284"/>
      <c r="Q248" s="166"/>
      <c r="R248" s="168"/>
      <c r="S248" s="117" t="s">
        <v>306</v>
      </c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thickBot="1" x14ac:dyDescent="0.25">
      <c r="B249" s="1089" t="s">
        <v>153</v>
      </c>
      <c r="C249" s="1404" t="s">
        <v>307</v>
      </c>
      <c r="D249" s="1892"/>
      <c r="E249" s="1506"/>
      <c r="F249" s="1507"/>
      <c r="G249" s="1404" t="s">
        <v>307</v>
      </c>
      <c r="H249" s="1892"/>
      <c r="I249" s="1506"/>
      <c r="J249" s="1507"/>
      <c r="K249" s="1404" t="s">
        <v>307</v>
      </c>
      <c r="L249" s="1892"/>
      <c r="M249" s="1506"/>
      <c r="N249" s="1507"/>
      <c r="O249" s="1404" t="s">
        <v>307</v>
      </c>
      <c r="P249" s="1892"/>
      <c r="Q249" s="1506"/>
      <c r="R249" s="1507"/>
      <c r="S249" s="1508" t="s">
        <v>308</v>
      </c>
      <c r="T249" s="1508"/>
      <c r="U249" s="1506"/>
      <c r="V249" s="1507"/>
      <c r="W249" s="1094"/>
      <c r="X249" s="1508"/>
      <c r="Y249" s="1510"/>
      <c r="Z249" s="1511"/>
      <c r="AA249" s="1097"/>
      <c r="AB249" s="1508"/>
      <c r="AC249" s="1510"/>
      <c r="AD249" s="1510"/>
      <c r="AE249" s="1098"/>
      <c r="AF249" s="1510"/>
      <c r="AG249" s="14"/>
      <c r="AH249" s="14"/>
      <c r="AI249" s="119"/>
    </row>
    <row r="250" spans="1:35" ht="21" customHeight="1" x14ac:dyDescent="0.2">
      <c r="B250" s="59"/>
      <c r="C250" s="64"/>
      <c r="D250" s="18"/>
      <c r="G250" s="64"/>
      <c r="H250" s="18"/>
      <c r="K250" s="64"/>
      <c r="L250" s="18"/>
      <c r="O250" s="64"/>
      <c r="P250" s="18"/>
      <c r="S250" s="64"/>
      <c r="T250" s="64"/>
      <c r="X250" s="64"/>
      <c r="AB250" s="64"/>
      <c r="AE250" s="64"/>
      <c r="AG250" s="14"/>
      <c r="AH250" s="14"/>
      <c r="AI250" s="119"/>
    </row>
    <row r="251" spans="1:35" ht="21" customHeight="1" thickBot="1" x14ac:dyDescent="0.25">
      <c r="A251" s="123" t="s">
        <v>309</v>
      </c>
      <c r="AG251" s="1506"/>
      <c r="AH251" s="1506"/>
      <c r="AI251" s="1099"/>
    </row>
    <row r="252" spans="1:35" ht="21" customHeight="1" thickBot="1" x14ac:dyDescent="0.25">
      <c r="A252" s="1343"/>
      <c r="B252" s="1247" t="s">
        <v>29</v>
      </c>
      <c r="C252" s="1186">
        <v>1</v>
      </c>
      <c r="D252" s="1186">
        <v>2</v>
      </c>
      <c r="E252" s="1185">
        <v>3</v>
      </c>
      <c r="F252" s="1185">
        <v>4</v>
      </c>
      <c r="G252" s="1186">
        <v>5</v>
      </c>
      <c r="H252" s="1186">
        <v>6</v>
      </c>
      <c r="I252" s="1186">
        <v>7</v>
      </c>
      <c r="J252" s="1186">
        <v>8</v>
      </c>
      <c r="K252" s="1186">
        <v>9</v>
      </c>
      <c r="L252" s="1185">
        <v>10</v>
      </c>
      <c r="M252" s="1185">
        <v>11</v>
      </c>
      <c r="N252" s="1186">
        <v>12</v>
      </c>
      <c r="O252" s="1186">
        <v>13</v>
      </c>
      <c r="P252" s="1186">
        <v>14</v>
      </c>
      <c r="Q252" s="1186">
        <v>15</v>
      </c>
      <c r="R252" s="1186">
        <v>16</v>
      </c>
      <c r="S252" s="1185">
        <v>17</v>
      </c>
      <c r="T252" s="1185">
        <v>18</v>
      </c>
      <c r="U252" s="1186">
        <v>19</v>
      </c>
      <c r="V252" s="1186">
        <v>20</v>
      </c>
      <c r="W252" s="1186">
        <v>21</v>
      </c>
      <c r="X252" s="1186">
        <v>22</v>
      </c>
      <c r="Y252" s="1186">
        <v>23</v>
      </c>
      <c r="Z252" s="1185">
        <v>24</v>
      </c>
      <c r="AA252" s="1185">
        <v>25</v>
      </c>
      <c r="AB252" s="1186">
        <v>26</v>
      </c>
      <c r="AC252" s="1186">
        <v>27</v>
      </c>
      <c r="AD252" s="1186">
        <v>28</v>
      </c>
      <c r="AE252" s="1186">
        <v>29</v>
      </c>
      <c r="AF252" s="1186">
        <v>30</v>
      </c>
    </row>
    <row r="253" spans="1:35" ht="21" customHeight="1" x14ac:dyDescent="0.2">
      <c r="A253" s="531">
        <v>3701</v>
      </c>
      <c r="B253" s="476"/>
      <c r="C253" s="1612" t="s">
        <v>31</v>
      </c>
      <c r="D253" s="1612" t="s">
        <v>31</v>
      </c>
      <c r="E253" s="1612"/>
      <c r="F253" s="1629"/>
      <c r="G253" s="1612" t="s">
        <v>31</v>
      </c>
      <c r="H253" s="1612" t="s">
        <v>31</v>
      </c>
      <c r="I253" s="1612" t="s">
        <v>31</v>
      </c>
      <c r="J253" s="1612" t="s">
        <v>31</v>
      </c>
      <c r="K253" s="1612" t="s">
        <v>31</v>
      </c>
      <c r="L253" s="1612"/>
      <c r="M253" s="1612"/>
      <c r="N253" s="1633" t="s">
        <v>31</v>
      </c>
      <c r="O253" s="1633" t="s">
        <v>31</v>
      </c>
      <c r="P253" s="1633" t="s">
        <v>31</v>
      </c>
      <c r="Q253" s="1628" t="s">
        <v>31</v>
      </c>
      <c r="R253" s="1633" t="s">
        <v>31</v>
      </c>
      <c r="S253" s="1612"/>
      <c r="T253" s="1612"/>
      <c r="U253" s="1633" t="s">
        <v>31</v>
      </c>
      <c r="V253" s="1633" t="s">
        <v>31</v>
      </c>
      <c r="W253" s="1633" t="s">
        <v>31</v>
      </c>
      <c r="X253" s="1612" t="s">
        <v>31</v>
      </c>
      <c r="Y253" s="1633" t="s">
        <v>31</v>
      </c>
      <c r="Z253" s="1612"/>
      <c r="AA253" s="1612"/>
      <c r="AB253" s="1612" t="s">
        <v>31</v>
      </c>
      <c r="AC253" s="1612" t="s">
        <v>31</v>
      </c>
      <c r="AD253" s="1629" t="s">
        <v>31</v>
      </c>
      <c r="AE253" s="1612" t="s">
        <v>31</v>
      </c>
      <c r="AF253" s="1629" t="s">
        <v>31</v>
      </c>
    </row>
    <row r="254" spans="1:35" ht="21" customHeight="1" thickBot="1" x14ac:dyDescent="0.25">
      <c r="A254" s="1893">
        <v>3702</v>
      </c>
      <c r="B254" s="1202" t="s">
        <v>310</v>
      </c>
      <c r="C254" s="1612" t="s">
        <v>31</v>
      </c>
      <c r="D254" s="1612" t="s">
        <v>31</v>
      </c>
      <c r="E254" s="1612"/>
      <c r="F254" s="1629"/>
      <c r="G254" s="1612" t="s">
        <v>31</v>
      </c>
      <c r="H254" s="1612" t="s">
        <v>31</v>
      </c>
      <c r="I254" s="1612" t="s">
        <v>31</v>
      </c>
      <c r="J254" s="1612" t="s">
        <v>31</v>
      </c>
      <c r="K254" s="1612" t="s">
        <v>31</v>
      </c>
      <c r="L254" s="1612"/>
      <c r="M254" s="1612"/>
      <c r="N254" s="1633" t="s">
        <v>31</v>
      </c>
      <c r="O254" s="1633" t="s">
        <v>31</v>
      </c>
      <c r="P254" s="1633" t="s">
        <v>31</v>
      </c>
      <c r="Q254" s="1628" t="s">
        <v>31</v>
      </c>
      <c r="R254" s="1633" t="s">
        <v>31</v>
      </c>
      <c r="S254" s="1612"/>
      <c r="T254" s="1612"/>
      <c r="U254" s="1633" t="s">
        <v>31</v>
      </c>
      <c r="V254" s="1633" t="s">
        <v>31</v>
      </c>
      <c r="W254" s="1633" t="s">
        <v>31</v>
      </c>
      <c r="X254" s="1612" t="s">
        <v>31</v>
      </c>
      <c r="Y254" s="1633" t="s">
        <v>31</v>
      </c>
      <c r="Z254" s="1612"/>
      <c r="AA254" s="1612"/>
      <c r="AB254" s="1612" t="s">
        <v>31</v>
      </c>
      <c r="AC254" s="1612" t="s">
        <v>31</v>
      </c>
      <c r="AD254" s="1629" t="s">
        <v>31</v>
      </c>
      <c r="AE254" s="1612" t="s">
        <v>31</v>
      </c>
      <c r="AF254" s="1629" t="s">
        <v>31</v>
      </c>
      <c r="AG254" s="2064">
        <v>31</v>
      </c>
      <c r="AH254" s="184"/>
      <c r="AI254" s="185"/>
    </row>
    <row r="255" spans="1:35" ht="21" customHeight="1" x14ac:dyDescent="0.2">
      <c r="A255" s="1893"/>
      <c r="B255" s="1202"/>
      <c r="C255" s="1259"/>
      <c r="D255" s="1259"/>
      <c r="E255" s="1259"/>
      <c r="F255" s="1259"/>
      <c r="G255" s="1259"/>
      <c r="H255" s="1259"/>
      <c r="I255" s="1259"/>
      <c r="J255" s="1259"/>
      <c r="K255" s="1259"/>
      <c r="L255" s="1259"/>
      <c r="M255" s="1894"/>
      <c r="N255" s="1259"/>
      <c r="O255" s="1259"/>
      <c r="P255" s="1259"/>
      <c r="Q255" s="1259"/>
      <c r="R255" s="1259"/>
      <c r="S255" s="1259"/>
      <c r="T255" s="1259"/>
      <c r="U255" s="1259"/>
      <c r="V255" s="1259"/>
      <c r="W255" s="1259"/>
      <c r="X255" s="1259"/>
      <c r="Y255" s="1259"/>
      <c r="Z255" s="1259"/>
      <c r="AA255" s="1259"/>
      <c r="AB255" s="1259"/>
      <c r="AC255" s="1259"/>
      <c r="AD255" s="1259"/>
      <c r="AE255" s="1259"/>
      <c r="AF255" s="1259"/>
      <c r="AG255" s="478"/>
      <c r="AH255" s="189"/>
      <c r="AI255" s="190"/>
    </row>
    <row r="256" spans="1:35" ht="21" customHeight="1" thickBot="1" x14ac:dyDescent="0.25">
      <c r="A256" s="1895"/>
      <c r="B256" s="1896"/>
      <c r="C256" s="1254"/>
      <c r="D256" s="1254"/>
      <c r="E256" s="1254"/>
      <c r="F256" s="1254"/>
      <c r="G256" s="1254"/>
      <c r="H256" s="1254"/>
      <c r="I256" s="1254"/>
      <c r="J256" s="1254"/>
      <c r="K256" s="1254"/>
      <c r="L256" s="1254"/>
      <c r="M256" s="1254"/>
      <c r="N256" s="1254"/>
      <c r="O256" s="1254"/>
      <c r="P256" s="1254"/>
      <c r="Q256" s="1254"/>
      <c r="R256" s="1254"/>
      <c r="S256" s="1254"/>
      <c r="T256" s="1254"/>
      <c r="U256" s="1254"/>
      <c r="V256" s="1254"/>
      <c r="W256" s="1254"/>
      <c r="X256" s="1254"/>
      <c r="Y256" s="1254"/>
      <c r="Z256" s="1254"/>
      <c r="AA256" s="1254"/>
      <c r="AB256" s="1254"/>
      <c r="AC256" s="1254"/>
      <c r="AD256" s="1254"/>
      <c r="AE256" s="1254"/>
      <c r="AF256" s="1254"/>
      <c r="AG256" s="1261"/>
      <c r="AH256" s="189"/>
      <c r="AI256" s="190"/>
    </row>
    <row r="257" spans="1:35" ht="21" customHeight="1" x14ac:dyDescent="0.2">
      <c r="A257" s="251"/>
      <c r="B257" s="2059" t="s">
        <v>311</v>
      </c>
      <c r="C257" s="2060"/>
      <c r="D257" s="2060"/>
      <c r="E257" s="2060"/>
      <c r="F257" s="2060"/>
      <c r="G257" s="2060"/>
      <c r="H257" s="2060"/>
      <c r="I257" s="2060"/>
      <c r="J257" s="2060"/>
      <c r="K257" s="2060"/>
      <c r="L257" s="2060"/>
      <c r="M257" s="2060"/>
      <c r="N257" s="2060"/>
      <c r="O257" s="2060"/>
      <c r="P257" s="2060"/>
      <c r="Q257" s="2060"/>
      <c r="R257" s="2060"/>
      <c r="S257" s="2060"/>
      <c r="T257" s="2060"/>
      <c r="U257" s="2060"/>
      <c r="V257" s="2060"/>
      <c r="W257" s="2060"/>
      <c r="X257" s="2060"/>
      <c r="Y257" s="2060"/>
      <c r="Z257" s="2060"/>
      <c r="AA257" s="2060"/>
      <c r="AB257" s="2060"/>
      <c r="AC257" s="2060"/>
      <c r="AD257" s="2060"/>
      <c r="AE257" s="2060"/>
      <c r="AF257" s="2060"/>
      <c r="AG257" s="1261"/>
      <c r="AH257" s="189"/>
      <c r="AI257" s="190"/>
    </row>
    <row r="258" spans="1:35" ht="21" customHeight="1" thickBot="1" x14ac:dyDescent="0.25">
      <c r="A258" s="1893">
        <v>3702</v>
      </c>
      <c r="B258" s="2011" t="s">
        <v>312</v>
      </c>
      <c r="C258" s="1259" t="s">
        <v>313</v>
      </c>
      <c r="D258" s="1259" t="s">
        <v>313</v>
      </c>
      <c r="E258" s="1259"/>
      <c r="F258" s="1259"/>
      <c r="G258" s="1259" t="s">
        <v>313</v>
      </c>
      <c r="H258" s="1259" t="s">
        <v>313</v>
      </c>
      <c r="I258" s="1259" t="s">
        <v>313</v>
      </c>
      <c r="J258" s="1259" t="s">
        <v>313</v>
      </c>
      <c r="K258" s="1259" t="s">
        <v>313</v>
      </c>
      <c r="L258" s="1259"/>
      <c r="M258" s="1259"/>
      <c r="N258" s="1259" t="s">
        <v>313</v>
      </c>
      <c r="O258" s="1259" t="s">
        <v>313</v>
      </c>
      <c r="P258" s="1259" t="s">
        <v>313</v>
      </c>
      <c r="Q258" s="1259" t="s">
        <v>313</v>
      </c>
      <c r="R258" s="1259" t="s">
        <v>313</v>
      </c>
      <c r="S258" s="1259"/>
      <c r="T258" s="1259"/>
      <c r="U258" s="1259" t="s">
        <v>313</v>
      </c>
      <c r="V258" s="1259" t="s">
        <v>313</v>
      </c>
      <c r="W258" s="1259" t="s">
        <v>313</v>
      </c>
      <c r="X258" s="1259" t="s">
        <v>313</v>
      </c>
      <c r="Y258" s="1259" t="s">
        <v>313</v>
      </c>
      <c r="Z258" s="1259"/>
      <c r="AA258" s="1259"/>
      <c r="AB258" s="1259" t="s">
        <v>313</v>
      </c>
      <c r="AC258" s="1259" t="s">
        <v>313</v>
      </c>
      <c r="AD258" s="1259" t="s">
        <v>313</v>
      </c>
      <c r="AE258" s="1259" t="s">
        <v>313</v>
      </c>
      <c r="AF258" s="1259" t="s">
        <v>313</v>
      </c>
      <c r="AG258" s="1945"/>
      <c r="AH258" s="189"/>
      <c r="AI258" s="190"/>
    </row>
    <row r="259" spans="1:35" ht="21" customHeight="1" x14ac:dyDescent="0.2">
      <c r="A259" s="1893"/>
      <c r="B259" s="1865" t="s">
        <v>314</v>
      </c>
      <c r="C259" s="1259" t="s">
        <v>315</v>
      </c>
      <c r="D259" s="1259" t="s">
        <v>315</v>
      </c>
      <c r="E259" s="1259"/>
      <c r="F259" s="1259"/>
      <c r="G259" s="1259" t="s">
        <v>315</v>
      </c>
      <c r="H259" s="1259" t="s">
        <v>315</v>
      </c>
      <c r="I259" s="1259" t="s">
        <v>315</v>
      </c>
      <c r="J259" s="1259" t="s">
        <v>315</v>
      </c>
      <c r="K259" s="1259" t="s">
        <v>315</v>
      </c>
      <c r="L259" s="1259"/>
      <c r="M259" s="1259"/>
      <c r="N259" s="1259" t="s">
        <v>315</v>
      </c>
      <c r="O259" s="1259" t="s">
        <v>315</v>
      </c>
      <c r="P259" s="1270" t="s">
        <v>315</v>
      </c>
      <c r="Q259" s="1270" t="s">
        <v>315</v>
      </c>
      <c r="R259" s="1270" t="s">
        <v>315</v>
      </c>
      <c r="S259" s="1259"/>
      <c r="T259" s="1259"/>
      <c r="U259" s="1259" t="s">
        <v>315</v>
      </c>
      <c r="V259" s="1259" t="s">
        <v>315</v>
      </c>
      <c r="W259" s="1259" t="s">
        <v>315</v>
      </c>
      <c r="X259" s="1259" t="s">
        <v>315</v>
      </c>
      <c r="Y259" s="1259" t="s">
        <v>315</v>
      </c>
      <c r="Z259" s="1259"/>
      <c r="AA259" s="1259"/>
      <c r="AB259" s="1259" t="s">
        <v>315</v>
      </c>
      <c r="AC259" s="1259" t="s">
        <v>315</v>
      </c>
      <c r="AD259" s="1259" t="s">
        <v>315</v>
      </c>
      <c r="AE259" s="1270" t="s">
        <v>315</v>
      </c>
      <c r="AF259" s="1259" t="s">
        <v>315</v>
      </c>
      <c r="AG259" s="2061"/>
      <c r="AH259" s="187"/>
      <c r="AI259" s="188"/>
    </row>
    <row r="260" spans="1:35" ht="21" customHeight="1" thickBot="1" x14ac:dyDescent="0.25">
      <c r="A260" s="1112"/>
      <c r="B260" s="1872" t="s">
        <v>316</v>
      </c>
      <c r="C260" s="1255" t="s">
        <v>317</v>
      </c>
      <c r="D260" s="1255" t="s">
        <v>317</v>
      </c>
      <c r="E260" s="1255"/>
      <c r="F260" s="1255"/>
      <c r="G260" s="1255" t="s">
        <v>317</v>
      </c>
      <c r="H260" s="1255" t="s">
        <v>317</v>
      </c>
      <c r="I260" s="1255" t="s">
        <v>317</v>
      </c>
      <c r="J260" s="1255" t="s">
        <v>317</v>
      </c>
      <c r="K260" s="1255" t="s">
        <v>317</v>
      </c>
      <c r="L260" s="1255"/>
      <c r="M260" s="1255"/>
      <c r="N260" s="1256" t="s">
        <v>317</v>
      </c>
      <c r="O260" s="1255" t="s">
        <v>317</v>
      </c>
      <c r="P260" s="1255" t="s">
        <v>317</v>
      </c>
      <c r="Q260" s="1255" t="s">
        <v>317</v>
      </c>
      <c r="R260" s="1255" t="s">
        <v>317</v>
      </c>
      <c r="S260" s="1255"/>
      <c r="T260" s="1255"/>
      <c r="U260" s="1255" t="s">
        <v>317</v>
      </c>
      <c r="V260" s="1255" t="s">
        <v>317</v>
      </c>
      <c r="W260" s="1255" t="s">
        <v>317</v>
      </c>
      <c r="X260" s="1255" t="s">
        <v>317</v>
      </c>
      <c r="Y260" s="1255" t="s">
        <v>317</v>
      </c>
      <c r="Z260" s="1255"/>
      <c r="AA260" s="1255"/>
      <c r="AB260" s="1255" t="s">
        <v>317</v>
      </c>
      <c r="AC260" s="1255" t="s">
        <v>317</v>
      </c>
      <c r="AD260" s="1255" t="s">
        <v>317</v>
      </c>
      <c r="AE260" s="1255" t="s">
        <v>317</v>
      </c>
      <c r="AF260" s="1255" t="s">
        <v>317</v>
      </c>
      <c r="AG260" s="2062"/>
      <c r="AH260" s="189"/>
      <c r="AI260" s="190"/>
    </row>
    <row r="261" spans="1:35" ht="21" customHeight="1" x14ac:dyDescent="0.2">
      <c r="AG261" s="2062"/>
      <c r="AH261" s="189"/>
      <c r="AI261" s="190"/>
    </row>
    <row r="262" spans="1:35" ht="21" customHeight="1" thickBot="1" x14ac:dyDescent="0.25">
      <c r="AG262" s="2063"/>
      <c r="AH262" s="189"/>
      <c r="AI262" s="190"/>
    </row>
    <row r="263" spans="1:35" ht="21" customHeight="1" thickBot="1" x14ac:dyDescent="0.25">
      <c r="A263" s="162" t="s">
        <v>318</v>
      </c>
    </row>
    <row r="264" spans="1:35" ht="21" customHeight="1" x14ac:dyDescent="0.2">
      <c r="B264" s="530" t="s">
        <v>267</v>
      </c>
      <c r="C264" s="500"/>
      <c r="D264" s="516" t="s">
        <v>90</v>
      </c>
      <c r="E264" s="473"/>
      <c r="F264" s="504"/>
      <c r="G264" s="500"/>
      <c r="H264" s="516" t="s">
        <v>91</v>
      </c>
      <c r="I264" s="473"/>
      <c r="J264" s="504"/>
      <c r="K264" s="500"/>
      <c r="L264" s="516" t="s">
        <v>92</v>
      </c>
      <c r="M264" s="473"/>
      <c r="N264" s="504"/>
      <c r="O264" s="500"/>
      <c r="P264" s="516" t="s">
        <v>93</v>
      </c>
      <c r="Q264" s="473"/>
      <c r="R264" s="504"/>
      <c r="S264" s="500"/>
      <c r="T264" s="516" t="s">
        <v>94</v>
      </c>
      <c r="U264" s="473"/>
      <c r="V264" s="504"/>
      <c r="W264" s="500"/>
      <c r="X264" s="516" t="s">
        <v>95</v>
      </c>
      <c r="Y264" s="473"/>
      <c r="Z264" s="504"/>
      <c r="AA264" s="500"/>
      <c r="AB264" s="516" t="s">
        <v>96</v>
      </c>
      <c r="AC264" s="473"/>
      <c r="AD264" s="473"/>
      <c r="AE264" s="519" t="s">
        <v>97</v>
      </c>
      <c r="AF264" s="473"/>
    </row>
    <row r="265" spans="1:35" ht="21" customHeight="1" thickBot="1" x14ac:dyDescent="0.25">
      <c r="B265" s="3">
        <v>8500</v>
      </c>
      <c r="C265" s="1283" t="s">
        <v>319</v>
      </c>
      <c r="D265" s="117"/>
      <c r="E265" s="14"/>
      <c r="F265" s="116"/>
      <c r="G265" s="1283" t="s">
        <v>319</v>
      </c>
      <c r="H265" s="117"/>
      <c r="I265" s="14"/>
      <c r="J265" s="116"/>
      <c r="K265" s="1283" t="s">
        <v>319</v>
      </c>
      <c r="L265" s="117"/>
      <c r="M265" s="14"/>
      <c r="N265" s="116"/>
      <c r="O265" s="1283" t="s">
        <v>319</v>
      </c>
      <c r="P265" s="117"/>
      <c r="Q265" s="14"/>
      <c r="R265" s="116"/>
      <c r="S265" s="1283" t="s">
        <v>320</v>
      </c>
      <c r="T265" s="117"/>
      <c r="U265" s="14"/>
      <c r="V265" s="116"/>
      <c r="W265" s="8"/>
      <c r="X265" s="117"/>
      <c r="Y265" s="14"/>
      <c r="Z265" s="116"/>
      <c r="AA265" s="8"/>
      <c r="AB265" s="117"/>
      <c r="AC265" s="14"/>
      <c r="AD265" s="14"/>
      <c r="AE265" s="118"/>
      <c r="AF265" s="14"/>
    </row>
    <row r="266" spans="1:35" ht="21" customHeight="1" thickBot="1" x14ac:dyDescent="0.25">
      <c r="A266" s="110"/>
      <c r="B266" s="1115"/>
      <c r="C266" s="1116"/>
      <c r="D266" s="1528"/>
      <c r="E266" s="1506"/>
      <c r="F266" s="1507"/>
      <c r="G266" s="1116"/>
      <c r="H266" s="1508"/>
      <c r="I266" s="1506"/>
      <c r="J266" s="1507"/>
      <c r="K266" s="1116"/>
      <c r="L266" s="1508"/>
      <c r="M266" s="1506"/>
      <c r="N266" s="1507"/>
      <c r="O266" s="1116"/>
      <c r="P266" s="1508"/>
      <c r="Q266" s="1506"/>
      <c r="R266" s="1507"/>
      <c r="S266" s="1116"/>
      <c r="T266" s="1508"/>
      <c r="U266" s="1506"/>
      <c r="V266" s="1507"/>
      <c r="W266" s="1094"/>
      <c r="X266" s="1508"/>
      <c r="Y266" s="1506"/>
      <c r="Z266" s="1507"/>
      <c r="AA266" s="1094"/>
      <c r="AB266" s="1508"/>
      <c r="AC266" s="1506"/>
      <c r="AD266" s="1506"/>
      <c r="AE266" s="1098"/>
      <c r="AF266" s="1506"/>
      <c r="AG266" s="473"/>
      <c r="AH266" s="473"/>
      <c r="AI266" s="474"/>
    </row>
    <row r="267" spans="1:35" ht="21" customHeight="1" x14ac:dyDescent="0.2">
      <c r="A267" s="16" t="s">
        <v>321</v>
      </c>
      <c r="AG267" s="14"/>
      <c r="AH267" s="14"/>
      <c r="AI267" s="119"/>
    </row>
    <row r="268" spans="1:35" ht="21" customHeight="1" thickBot="1" x14ac:dyDescent="0.25">
      <c r="A268" s="1118"/>
      <c r="B268" s="1119" t="s">
        <v>29</v>
      </c>
      <c r="C268" s="1186">
        <v>1</v>
      </c>
      <c r="D268" s="1186">
        <v>2</v>
      </c>
      <c r="E268" s="1185">
        <v>3</v>
      </c>
      <c r="F268" s="1185">
        <v>4</v>
      </c>
      <c r="G268" s="1186">
        <v>5</v>
      </c>
      <c r="H268" s="1186">
        <v>6</v>
      </c>
      <c r="I268" s="1186">
        <v>7</v>
      </c>
      <c r="J268" s="1186">
        <v>8</v>
      </c>
      <c r="K268" s="1186">
        <v>9</v>
      </c>
      <c r="L268" s="1185">
        <v>10</v>
      </c>
      <c r="M268" s="1185">
        <v>11</v>
      </c>
      <c r="N268" s="1186">
        <v>12</v>
      </c>
      <c r="O268" s="1186">
        <v>13</v>
      </c>
      <c r="P268" s="1186">
        <v>14</v>
      </c>
      <c r="Q268" s="1186">
        <v>15</v>
      </c>
      <c r="R268" s="1186">
        <v>16</v>
      </c>
      <c r="S268" s="1185">
        <v>17</v>
      </c>
      <c r="T268" s="1185">
        <v>18</v>
      </c>
      <c r="U268" s="1186">
        <v>19</v>
      </c>
      <c r="V268" s="1186">
        <v>20</v>
      </c>
      <c r="W268" s="1186">
        <v>21</v>
      </c>
      <c r="X268" s="1186">
        <v>22</v>
      </c>
      <c r="Y268" s="1186">
        <v>23</v>
      </c>
      <c r="Z268" s="1185">
        <v>24</v>
      </c>
      <c r="AA268" s="1185">
        <v>25</v>
      </c>
      <c r="AB268" s="1186">
        <v>26</v>
      </c>
      <c r="AC268" s="1186">
        <v>27</v>
      </c>
      <c r="AD268" s="1186">
        <v>28</v>
      </c>
      <c r="AE268" s="1186">
        <v>29</v>
      </c>
      <c r="AF268" s="1186">
        <v>30</v>
      </c>
      <c r="AG268" s="1506"/>
      <c r="AH268" s="1506"/>
      <c r="AI268" s="1099"/>
    </row>
    <row r="269" spans="1:35" ht="21" customHeight="1" x14ac:dyDescent="0.2">
      <c r="A269" s="8">
        <v>8500</v>
      </c>
      <c r="B269" s="157"/>
      <c r="C269" s="1612" t="s">
        <v>31</v>
      </c>
      <c r="D269" s="1612" t="s">
        <v>31</v>
      </c>
      <c r="E269" s="1612"/>
      <c r="F269" s="1629"/>
      <c r="G269" s="1612" t="s">
        <v>31</v>
      </c>
      <c r="H269" s="1612" t="s">
        <v>31</v>
      </c>
      <c r="I269" s="1612" t="s">
        <v>31</v>
      </c>
      <c r="J269" s="1612" t="s">
        <v>31</v>
      </c>
      <c r="K269" s="1612" t="s">
        <v>31</v>
      </c>
      <c r="L269" s="1612"/>
      <c r="M269" s="1612"/>
      <c r="N269" s="1633" t="s">
        <v>31</v>
      </c>
      <c r="O269" s="1633" t="s">
        <v>31</v>
      </c>
      <c r="P269" s="1633" t="s">
        <v>31</v>
      </c>
      <c r="Q269" s="1628" t="s">
        <v>31</v>
      </c>
      <c r="R269" s="1633" t="s">
        <v>31</v>
      </c>
      <c r="S269" s="1612"/>
      <c r="T269" s="1612"/>
      <c r="U269" s="1633" t="s">
        <v>31</v>
      </c>
      <c r="V269" s="1633" t="s">
        <v>31</v>
      </c>
      <c r="W269" s="1633" t="s">
        <v>31</v>
      </c>
      <c r="X269" s="1612" t="s">
        <v>31</v>
      </c>
      <c r="Y269" s="1633" t="s">
        <v>31</v>
      </c>
      <c r="Z269" s="1612"/>
      <c r="AA269" s="1612"/>
      <c r="AB269" s="1612" t="s">
        <v>31</v>
      </c>
      <c r="AC269" s="1612" t="s">
        <v>31</v>
      </c>
      <c r="AD269" s="1629" t="s">
        <v>31</v>
      </c>
      <c r="AE269" s="1612" t="s">
        <v>31</v>
      </c>
      <c r="AF269" s="1629" t="s">
        <v>31</v>
      </c>
    </row>
    <row r="270" spans="1:35" ht="21" customHeight="1" thickBot="1" x14ac:dyDescent="0.25">
      <c r="A270" s="1191"/>
      <c r="B270" s="1901" t="s">
        <v>323</v>
      </c>
      <c r="C270" s="1612" t="s">
        <v>31</v>
      </c>
      <c r="D270" s="1612" t="s">
        <v>31</v>
      </c>
      <c r="E270" s="1612"/>
      <c r="F270" s="1629"/>
      <c r="G270" s="1612" t="s">
        <v>31</v>
      </c>
      <c r="H270" s="1612" t="s">
        <v>31</v>
      </c>
      <c r="I270" s="1612" t="s">
        <v>31</v>
      </c>
      <c r="J270" s="1612" t="s">
        <v>31</v>
      </c>
      <c r="K270" s="1612" t="s">
        <v>31</v>
      </c>
      <c r="L270" s="1612"/>
      <c r="M270" s="1612"/>
      <c r="N270" s="1633" t="s">
        <v>31</v>
      </c>
      <c r="O270" s="1633" t="s">
        <v>31</v>
      </c>
      <c r="P270" s="1633" t="s">
        <v>31</v>
      </c>
      <c r="Q270" s="1628" t="s">
        <v>31</v>
      </c>
      <c r="R270" s="1633" t="s">
        <v>31</v>
      </c>
      <c r="S270" s="1612"/>
      <c r="T270" s="1612"/>
      <c r="U270" s="1633" t="s">
        <v>31</v>
      </c>
      <c r="V270" s="1633" t="s">
        <v>31</v>
      </c>
      <c r="W270" s="1633" t="s">
        <v>31</v>
      </c>
      <c r="X270" s="1612" t="s">
        <v>31</v>
      </c>
      <c r="Y270" s="1633" t="s">
        <v>31</v>
      </c>
      <c r="Z270" s="1612"/>
      <c r="AA270" s="1612"/>
      <c r="AB270" s="1612" t="s">
        <v>31</v>
      </c>
      <c r="AC270" s="1612" t="s">
        <v>31</v>
      </c>
      <c r="AD270" s="1629" t="s">
        <v>31</v>
      </c>
      <c r="AE270" s="1612" t="s">
        <v>31</v>
      </c>
      <c r="AF270" s="1629" t="s">
        <v>31</v>
      </c>
      <c r="AG270" s="2064">
        <v>31</v>
      </c>
      <c r="AH270" s="184"/>
      <c r="AI270" s="185"/>
    </row>
    <row r="271" spans="1:35" ht="21" customHeight="1" x14ac:dyDescent="0.2">
      <c r="A271" s="1902"/>
      <c r="B271" s="1901" t="s">
        <v>324</v>
      </c>
      <c r="C271" s="1612" t="s">
        <v>31</v>
      </c>
      <c r="D271" s="1612" t="s">
        <v>31</v>
      </c>
      <c r="E271" s="1612"/>
      <c r="F271" s="1629"/>
      <c r="G271" s="1612" t="s">
        <v>31</v>
      </c>
      <c r="H271" s="1612" t="s">
        <v>31</v>
      </c>
      <c r="I271" s="1612" t="s">
        <v>31</v>
      </c>
      <c r="J271" s="1612" t="s">
        <v>31</v>
      </c>
      <c r="K271" s="1612" t="s">
        <v>31</v>
      </c>
      <c r="L271" s="1612"/>
      <c r="M271" s="1612"/>
      <c r="N271" s="1633" t="s">
        <v>31</v>
      </c>
      <c r="O271" s="1633" t="s">
        <v>31</v>
      </c>
      <c r="P271" s="1633" t="s">
        <v>31</v>
      </c>
      <c r="Q271" s="1628" t="s">
        <v>31</v>
      </c>
      <c r="R271" s="1633" t="s">
        <v>31</v>
      </c>
      <c r="S271" s="1612"/>
      <c r="T271" s="1612"/>
      <c r="U271" s="1633" t="s">
        <v>31</v>
      </c>
      <c r="V271" s="1633" t="s">
        <v>31</v>
      </c>
      <c r="W271" s="1633" t="s">
        <v>31</v>
      </c>
      <c r="X271" s="1612" t="s">
        <v>31</v>
      </c>
      <c r="Y271" s="1633" t="s">
        <v>31</v>
      </c>
      <c r="Z271" s="1612"/>
      <c r="AA271" s="1612"/>
      <c r="AB271" s="1612" t="s">
        <v>31</v>
      </c>
      <c r="AC271" s="1612" t="s">
        <v>31</v>
      </c>
      <c r="AD271" s="1629" t="s">
        <v>31</v>
      </c>
      <c r="AE271" s="1612" t="s">
        <v>31</v>
      </c>
      <c r="AF271" s="1629" t="s">
        <v>31</v>
      </c>
      <c r="AG271" s="1629"/>
      <c r="AH271" s="196"/>
      <c r="AI271" s="197"/>
    </row>
    <row r="272" spans="1:35" ht="21" customHeight="1" x14ac:dyDescent="0.2">
      <c r="A272" s="102"/>
      <c r="B272" s="1904"/>
      <c r="C272" s="1629"/>
      <c r="D272" s="1629"/>
      <c r="E272" s="1629"/>
      <c r="F272" s="1629"/>
      <c r="G272" s="1629"/>
      <c r="H272" s="1629"/>
      <c r="I272" s="1629"/>
      <c r="J272" s="1629"/>
      <c r="K272" s="1629"/>
      <c r="L272" s="1629"/>
      <c r="M272" s="1629"/>
      <c r="N272" s="1629"/>
      <c r="O272" s="1629"/>
      <c r="P272" s="1629"/>
      <c r="Q272" s="1629"/>
      <c r="R272" s="1629"/>
      <c r="S272" s="1629"/>
      <c r="T272" s="1629"/>
      <c r="U272" s="1629"/>
      <c r="V272" s="1629"/>
      <c r="W272" s="1629"/>
      <c r="X272" s="1629"/>
      <c r="Y272" s="1629"/>
      <c r="Z272" s="1629"/>
      <c r="AA272" s="1629"/>
      <c r="AB272" s="1629"/>
      <c r="AC272" s="1629"/>
      <c r="AD272" s="1629"/>
      <c r="AE272" s="1629"/>
      <c r="AF272" s="1629"/>
      <c r="AG272" s="1629"/>
      <c r="AH272" s="196"/>
      <c r="AI272" s="197"/>
    </row>
    <row r="273" spans="1:35" ht="22.15" customHeight="1" x14ac:dyDescent="0.2">
      <c r="A273" s="1851"/>
      <c r="B273" s="1904"/>
      <c r="C273" s="1259"/>
      <c r="D273" s="1259"/>
      <c r="E273" s="1259"/>
      <c r="F273" s="1259"/>
      <c r="G273" s="1259"/>
      <c r="H273" s="1259"/>
      <c r="I273" s="1259"/>
      <c r="J273" s="1259"/>
      <c r="K273" s="1259"/>
      <c r="L273" s="1259"/>
      <c r="M273" s="1259"/>
      <c r="N273" s="1258"/>
      <c r="O273" s="1258"/>
      <c r="P273" s="1259"/>
      <c r="Q273" s="1259"/>
      <c r="R273" s="1259"/>
      <c r="S273" s="1259"/>
      <c r="T273" s="1259"/>
      <c r="U273" s="1259"/>
      <c r="V273" s="1259"/>
      <c r="W273" s="1259"/>
      <c r="X273" s="1259"/>
      <c r="Y273" s="1259"/>
      <c r="Z273" s="1259"/>
      <c r="AA273" s="1259"/>
      <c r="AB273" s="1258"/>
      <c r="AC273" s="1258"/>
      <c r="AD273" s="1259"/>
      <c r="AE273" s="1259"/>
      <c r="AF273" s="1259"/>
      <c r="AG273" s="1629"/>
      <c r="AH273" s="196"/>
      <c r="AI273" s="197"/>
    </row>
    <row r="274" spans="1:35" ht="22.15" customHeight="1" x14ac:dyDescent="0.2">
      <c r="A274" s="1534"/>
      <c r="B274" s="1905"/>
      <c r="C274" s="1259"/>
      <c r="D274" s="1259"/>
      <c r="E274" s="1259"/>
      <c r="F274" s="1259"/>
      <c r="G274" s="1259"/>
      <c r="H274" s="1259"/>
      <c r="I274" s="1259"/>
      <c r="J274" s="1259"/>
      <c r="K274" s="1259"/>
      <c r="L274" s="1259"/>
      <c r="M274" s="1259"/>
      <c r="N274" s="1258"/>
      <c r="O274" s="1258"/>
      <c r="P274" s="1259"/>
      <c r="Q274" s="1259"/>
      <c r="R274" s="1259"/>
      <c r="S274" s="1259"/>
      <c r="T274" s="1259"/>
      <c r="U274" s="1259"/>
      <c r="V274" s="1259"/>
      <c r="W274" s="1259"/>
      <c r="X274" s="1259"/>
      <c r="Y274" s="1259"/>
      <c r="Z274" s="1259"/>
      <c r="AA274" s="1259"/>
      <c r="AB274" s="1258"/>
      <c r="AC274" s="1258"/>
      <c r="AD274" s="1259"/>
      <c r="AE274" s="1259"/>
      <c r="AF274" s="1259"/>
      <c r="AG274" s="1636"/>
      <c r="AH274" s="196"/>
      <c r="AI274" s="197"/>
    </row>
    <row r="275" spans="1:35" ht="21" customHeight="1" thickBot="1" x14ac:dyDescent="0.25">
      <c r="A275" s="688"/>
      <c r="B275" s="685"/>
      <c r="C275" s="1126"/>
      <c r="D275" s="1127"/>
      <c r="E275" s="1127"/>
      <c r="F275" s="1127"/>
      <c r="G275" s="1127"/>
      <c r="H275" s="1127"/>
      <c r="I275" s="1127"/>
      <c r="J275" s="1127"/>
      <c r="K275" s="1127"/>
      <c r="L275" s="1127"/>
      <c r="M275" s="1127"/>
      <c r="N275" s="1128"/>
      <c r="O275" s="1128"/>
      <c r="P275" s="1127"/>
      <c r="Q275" s="1127"/>
      <c r="R275" s="1127"/>
      <c r="S275" s="1127"/>
      <c r="T275" s="1127"/>
      <c r="U275" s="1127"/>
      <c r="V275" s="1127"/>
      <c r="W275" s="1127"/>
      <c r="X275" s="1127"/>
      <c r="Y275" s="1127"/>
      <c r="Z275" s="1127"/>
      <c r="AA275" s="1127"/>
      <c r="AB275" s="1128"/>
      <c r="AC275" s="1128"/>
      <c r="AD275" s="1127"/>
      <c r="AE275" s="1127"/>
      <c r="AF275" s="1127"/>
      <c r="AG275" s="1259"/>
      <c r="AH275" s="198"/>
      <c r="AI275" s="199"/>
    </row>
    <row r="276" spans="1:35" ht="22.15" customHeight="1" x14ac:dyDescent="0.2">
      <c r="A276" s="262"/>
      <c r="B276" s="263"/>
      <c r="C276" s="255"/>
      <c r="D276" s="255"/>
      <c r="E276" s="255"/>
      <c r="F276" s="255"/>
      <c r="G276" s="255"/>
      <c r="H276" s="255"/>
      <c r="I276" s="255"/>
      <c r="J276" s="255"/>
      <c r="K276" s="255"/>
      <c r="L276" s="255"/>
      <c r="M276" s="255"/>
      <c r="N276" s="229"/>
      <c r="O276" s="229"/>
      <c r="P276" s="255"/>
      <c r="Q276" s="255"/>
      <c r="R276" s="255"/>
      <c r="S276" s="255"/>
      <c r="T276" s="255"/>
      <c r="U276" s="255"/>
      <c r="V276" s="255"/>
      <c r="W276" s="255"/>
      <c r="X276" s="255"/>
      <c r="Y276" s="255"/>
      <c r="Z276" s="255"/>
      <c r="AA276" s="255"/>
      <c r="AB276" s="229"/>
      <c r="AC276" s="229"/>
      <c r="AD276" s="255"/>
      <c r="AE276" s="255"/>
      <c r="AF276" s="255"/>
      <c r="AG276" s="1259"/>
      <c r="AH276" s="198"/>
      <c r="AI276" s="199"/>
    </row>
    <row r="277" spans="1:35" ht="22.15" customHeight="1" thickBot="1" x14ac:dyDescent="0.25">
      <c r="AG277" s="1129"/>
      <c r="AH277" s="198"/>
      <c r="AI277" s="199"/>
    </row>
    <row r="278" spans="1:35" ht="22.15" customHeight="1" thickBot="1" x14ac:dyDescent="0.25">
      <c r="A278" s="162" t="s">
        <v>325</v>
      </c>
      <c r="AG278" s="255"/>
      <c r="AH278" s="264"/>
      <c r="AI278" s="199"/>
    </row>
    <row r="279" spans="1:35" ht="24" customHeight="1" x14ac:dyDescent="0.2">
      <c r="A279" s="1"/>
      <c r="B279" s="530" t="s">
        <v>267</v>
      </c>
      <c r="C279" s="500"/>
      <c r="D279" s="516" t="s">
        <v>90</v>
      </c>
      <c r="E279" s="473"/>
      <c r="F279" s="504"/>
      <c r="G279" s="500"/>
      <c r="H279" s="516" t="s">
        <v>91</v>
      </c>
      <c r="I279" s="473"/>
      <c r="J279" s="504"/>
      <c r="K279" s="500"/>
      <c r="L279" s="516" t="s">
        <v>92</v>
      </c>
      <c r="M279" s="473"/>
      <c r="N279" s="504"/>
      <c r="O279" s="500"/>
      <c r="P279" s="516" t="s">
        <v>93</v>
      </c>
      <c r="Q279" s="473"/>
      <c r="R279" s="504"/>
      <c r="S279" s="500"/>
      <c r="T279" s="516" t="s">
        <v>94</v>
      </c>
      <c r="U279" s="473"/>
      <c r="V279" s="504"/>
      <c r="W279" s="500"/>
      <c r="X279" s="516" t="s">
        <v>95</v>
      </c>
      <c r="Y279" s="473"/>
      <c r="Z279" s="504"/>
      <c r="AA279" s="500"/>
      <c r="AB279" s="516" t="s">
        <v>96</v>
      </c>
      <c r="AC279" s="473"/>
      <c r="AD279" s="473"/>
      <c r="AE279" s="519" t="s">
        <v>97</v>
      </c>
      <c r="AF279" s="473"/>
    </row>
    <row r="280" spans="1:35" ht="25.5" customHeight="1" thickBot="1" x14ac:dyDescent="0.25">
      <c r="A280" s="1"/>
      <c r="B280" s="3"/>
      <c r="C280" s="8"/>
      <c r="D280" s="117"/>
      <c r="E280" s="14"/>
      <c r="F280" s="116"/>
      <c r="G280" s="8"/>
      <c r="H280" s="117"/>
      <c r="I280" s="14"/>
      <c r="J280" s="116"/>
      <c r="K280" s="8"/>
      <c r="L280" s="117"/>
      <c r="M280" s="14"/>
      <c r="N280" s="116"/>
      <c r="O280" s="8"/>
      <c r="P280" s="117"/>
      <c r="Q280" s="14"/>
      <c r="R280" s="116"/>
      <c r="S280" s="8"/>
      <c r="T280" s="117"/>
      <c r="U280" s="14"/>
      <c r="V280" s="116"/>
      <c r="W280" s="8"/>
      <c r="X280" s="117"/>
      <c r="Y280" s="14"/>
      <c r="Z280" s="116"/>
      <c r="AA280" s="8"/>
      <c r="AB280" s="117"/>
      <c r="AC280" s="14"/>
      <c r="AD280" s="14"/>
      <c r="AE280" s="118"/>
      <c r="AF280" s="14"/>
    </row>
    <row r="281" spans="1:35" ht="21" customHeight="1" x14ac:dyDescent="0.2">
      <c r="A281" s="110"/>
      <c r="B281" s="1890"/>
      <c r="C281" s="1283"/>
      <c r="D281" s="1167"/>
      <c r="E281" s="1167"/>
      <c r="F281" s="1393"/>
      <c r="G281" s="1283"/>
      <c r="H281" s="1167"/>
      <c r="I281" s="1167"/>
      <c r="J281" s="1393"/>
      <c r="K281" s="1283"/>
      <c r="L281" s="1167"/>
      <c r="M281" s="1167"/>
      <c r="N281" s="1393"/>
      <c r="O281" s="1283"/>
      <c r="P281" s="1167"/>
      <c r="Q281" s="1167"/>
      <c r="R281" s="1393"/>
      <c r="S281" s="1283"/>
      <c r="T281" s="1167"/>
      <c r="U281" s="1167"/>
      <c r="V281" s="1393"/>
      <c r="W281" s="1283"/>
      <c r="X281" s="1167"/>
      <c r="Y281" s="1167"/>
      <c r="Z281" s="1393"/>
      <c r="AA281" s="1391"/>
      <c r="AB281" s="1167"/>
      <c r="AC281" s="1167"/>
      <c r="AD281" s="1284"/>
      <c r="AE281" s="1906"/>
      <c r="AF281" s="1167"/>
      <c r="AG281" s="473"/>
      <c r="AH281" s="473"/>
      <c r="AI281" s="474"/>
    </row>
    <row r="282" spans="1:35" ht="21" customHeight="1" thickBot="1" x14ac:dyDescent="0.25">
      <c r="A282" s="1"/>
      <c r="B282" s="1989"/>
      <c r="C282" s="1404"/>
      <c r="D282" s="1238"/>
      <c r="E282" s="1238"/>
      <c r="F282" s="1425"/>
      <c r="G282" s="1404"/>
      <c r="H282" s="1238"/>
      <c r="I282" s="1238"/>
      <c r="J282" s="1425"/>
      <c r="K282" s="1404"/>
      <c r="L282" s="1238"/>
      <c r="M282" s="1238"/>
      <c r="N282" s="1425"/>
      <c r="O282" s="1404"/>
      <c r="P282" s="1238"/>
      <c r="Q282" s="1238"/>
      <c r="R282" s="1425"/>
      <c r="S282" s="1404"/>
      <c r="T282" s="1238"/>
      <c r="U282" s="1238"/>
      <c r="V282" s="1425"/>
      <c r="W282" s="1423"/>
      <c r="X282" s="1238"/>
      <c r="Y282" s="1238"/>
      <c r="Z282" s="1425"/>
      <c r="AA282" s="1423"/>
      <c r="AB282" s="1238"/>
      <c r="AC282" s="1238"/>
      <c r="AD282" s="1411"/>
      <c r="AE282" s="1423"/>
      <c r="AF282" s="1238"/>
      <c r="AG282" s="14"/>
      <c r="AH282" s="14"/>
      <c r="AI282" s="119"/>
    </row>
    <row r="283" spans="1:35" ht="21" customHeight="1" x14ac:dyDescent="0.2">
      <c r="A283" s="1"/>
      <c r="B283" s="18"/>
      <c r="C283" s="64"/>
      <c r="F283" s="69"/>
      <c r="G283" s="64"/>
      <c r="J283" s="69"/>
      <c r="K283" s="64"/>
      <c r="N283" s="69"/>
      <c r="O283" s="64"/>
      <c r="R283" s="69"/>
      <c r="S283" s="64"/>
      <c r="V283" s="69"/>
      <c r="W283" s="69"/>
      <c r="Z283" s="69"/>
      <c r="AA283" s="69"/>
      <c r="AD283" s="69"/>
      <c r="AE283" s="69"/>
      <c r="AG283" s="1167"/>
      <c r="AH283" s="1284"/>
      <c r="AI283" s="1176"/>
    </row>
    <row r="284" spans="1:35" ht="21" customHeight="1" thickBot="1" x14ac:dyDescent="0.25">
      <c r="A284" s="162" t="s">
        <v>326</v>
      </c>
      <c r="B284" s="18"/>
      <c r="C284" s="64"/>
      <c r="F284" s="69"/>
      <c r="G284" s="64"/>
      <c r="J284" s="69"/>
      <c r="K284" s="64"/>
      <c r="N284" s="69"/>
      <c r="O284" s="64"/>
      <c r="R284" s="69"/>
      <c r="S284" s="64"/>
      <c r="V284" s="69"/>
      <c r="W284" s="69"/>
      <c r="Z284" s="69"/>
      <c r="AA284" s="69"/>
      <c r="AD284" s="69"/>
      <c r="AE284" s="69"/>
      <c r="AG284" s="1238"/>
      <c r="AH284" s="1411"/>
      <c r="AI284" s="1245"/>
    </row>
    <row r="285" spans="1:35" ht="21" customHeight="1" thickBot="1" x14ac:dyDescent="0.25">
      <c r="A285" s="1131" t="s">
        <v>28</v>
      </c>
      <c r="B285" s="1119" t="s">
        <v>29</v>
      </c>
      <c r="C285" s="1186">
        <v>1</v>
      </c>
      <c r="D285" s="1186">
        <v>2</v>
      </c>
      <c r="E285" s="1185">
        <v>3</v>
      </c>
      <c r="F285" s="1185">
        <v>4</v>
      </c>
      <c r="G285" s="1186">
        <v>5</v>
      </c>
      <c r="H285" s="1186">
        <v>6</v>
      </c>
      <c r="I285" s="1186">
        <v>7</v>
      </c>
      <c r="J285" s="1186">
        <v>8</v>
      </c>
      <c r="K285" s="1186">
        <v>9</v>
      </c>
      <c r="L285" s="1185">
        <v>10</v>
      </c>
      <c r="M285" s="1185">
        <v>11</v>
      </c>
      <c r="N285" s="1186">
        <v>12</v>
      </c>
      <c r="O285" s="1186">
        <v>13</v>
      </c>
      <c r="P285" s="1186">
        <v>14</v>
      </c>
      <c r="Q285" s="1186">
        <v>15</v>
      </c>
      <c r="R285" s="1186">
        <v>16</v>
      </c>
      <c r="S285" s="1185">
        <v>17</v>
      </c>
      <c r="T285" s="1185">
        <v>18</v>
      </c>
      <c r="U285" s="1186">
        <v>19</v>
      </c>
      <c r="V285" s="1186">
        <v>20</v>
      </c>
      <c r="W285" s="1186">
        <v>21</v>
      </c>
      <c r="X285" s="1186">
        <v>22</v>
      </c>
      <c r="Y285" s="1186">
        <v>23</v>
      </c>
      <c r="Z285" s="1185">
        <v>24</v>
      </c>
      <c r="AA285" s="1185">
        <v>25</v>
      </c>
      <c r="AB285" s="1186">
        <v>26</v>
      </c>
      <c r="AC285" s="1186">
        <v>27</v>
      </c>
      <c r="AD285" s="1186">
        <v>28</v>
      </c>
      <c r="AE285" s="1186">
        <v>29</v>
      </c>
      <c r="AF285" s="1186">
        <v>30</v>
      </c>
      <c r="AH285" s="69"/>
    </row>
    <row r="286" spans="1:35" ht="33" customHeight="1" x14ac:dyDescent="0.2">
      <c r="A286" s="88"/>
      <c r="B286" s="158" t="s">
        <v>327</v>
      </c>
      <c r="C286" s="1712" t="s">
        <v>31</v>
      </c>
      <c r="D286" s="1712" t="s">
        <v>31</v>
      </c>
      <c r="E286" s="1712"/>
      <c r="F286" s="1712"/>
      <c r="G286" s="1612" t="s">
        <v>31</v>
      </c>
      <c r="H286" s="1612" t="s">
        <v>31</v>
      </c>
      <c r="I286" s="1612" t="s">
        <v>31</v>
      </c>
      <c r="J286" s="1612" t="s">
        <v>31</v>
      </c>
      <c r="K286" s="1612" t="s">
        <v>31</v>
      </c>
      <c r="L286" s="1612"/>
      <c r="M286" s="1612"/>
      <c r="N286" s="1633" t="s">
        <v>31</v>
      </c>
      <c r="O286" s="1633" t="s">
        <v>31</v>
      </c>
      <c r="P286" s="1633" t="s">
        <v>31</v>
      </c>
      <c r="Q286" s="1628" t="s">
        <v>31</v>
      </c>
      <c r="R286" s="1633" t="s">
        <v>31</v>
      </c>
      <c r="S286" s="1612"/>
      <c r="T286" s="1612"/>
      <c r="U286" s="1633" t="s">
        <v>31</v>
      </c>
      <c r="V286" s="1633" t="s">
        <v>31</v>
      </c>
      <c r="W286" s="1633" t="s">
        <v>31</v>
      </c>
      <c r="X286" s="1612" t="s">
        <v>31</v>
      </c>
      <c r="Y286" s="1633" t="s">
        <v>31</v>
      </c>
      <c r="Z286" s="1612"/>
      <c r="AA286" s="1612"/>
      <c r="AB286" s="1612" t="s">
        <v>31</v>
      </c>
      <c r="AC286" s="1612" t="s">
        <v>31</v>
      </c>
      <c r="AD286" s="1629" t="s">
        <v>31</v>
      </c>
      <c r="AE286" s="1612" t="s">
        <v>31</v>
      </c>
      <c r="AF286" s="1629" t="s">
        <v>31</v>
      </c>
      <c r="AH286" s="69"/>
    </row>
    <row r="287" spans="1:35" ht="21" customHeight="1" thickBot="1" x14ac:dyDescent="0.25">
      <c r="A287" s="1907"/>
      <c r="B287" s="1908" t="s">
        <v>328</v>
      </c>
      <c r="C287" s="1612" t="s">
        <v>31</v>
      </c>
      <c r="D287" s="1612" t="s">
        <v>31</v>
      </c>
      <c r="E287" s="1612"/>
      <c r="F287" s="1629"/>
      <c r="G287" s="1612" t="s">
        <v>31</v>
      </c>
      <c r="H287" s="1612" t="s">
        <v>31</v>
      </c>
      <c r="I287" s="1612" t="s">
        <v>31</v>
      </c>
      <c r="J287" s="1612" t="s">
        <v>31</v>
      </c>
      <c r="K287" s="1612" t="s">
        <v>31</v>
      </c>
      <c r="L287" s="1612"/>
      <c r="M287" s="1612"/>
      <c r="N287" s="1958" t="s">
        <v>31</v>
      </c>
      <c r="O287" s="1958" t="s">
        <v>31</v>
      </c>
      <c r="P287" s="1958" t="s">
        <v>31</v>
      </c>
      <c r="Q287" s="1958" t="s">
        <v>31</v>
      </c>
      <c r="R287" s="1958" t="s">
        <v>31</v>
      </c>
      <c r="S287" s="1612"/>
      <c r="T287" s="1612"/>
      <c r="U287" s="1633" t="s">
        <v>31</v>
      </c>
      <c r="V287" s="1633" t="s">
        <v>31</v>
      </c>
      <c r="W287" s="1633" t="s">
        <v>31</v>
      </c>
      <c r="X287" s="1612" t="s">
        <v>31</v>
      </c>
      <c r="Y287" s="1633" t="s">
        <v>31</v>
      </c>
      <c r="Z287" s="1612"/>
      <c r="AA287" s="1612"/>
      <c r="AB287" s="1612" t="s">
        <v>31</v>
      </c>
      <c r="AC287" s="1612" t="s">
        <v>31</v>
      </c>
      <c r="AD287" s="1629" t="s">
        <v>31</v>
      </c>
      <c r="AE287" s="1612" t="s">
        <v>31</v>
      </c>
      <c r="AF287" s="1629" t="s">
        <v>31</v>
      </c>
      <c r="AG287" s="2064">
        <v>31</v>
      </c>
      <c r="AH287" s="200"/>
      <c r="AI287" s="185"/>
    </row>
    <row r="288" spans="1:35" ht="21" customHeight="1" x14ac:dyDescent="0.2">
      <c r="A288" s="1893"/>
      <c r="B288" s="1908" t="s">
        <v>329</v>
      </c>
      <c r="C288" s="1612" t="s">
        <v>31</v>
      </c>
      <c r="D288" s="1612" t="s">
        <v>31</v>
      </c>
      <c r="E288" s="1612"/>
      <c r="F288" s="1629"/>
      <c r="G288" s="1612" t="s">
        <v>31</v>
      </c>
      <c r="H288" s="1612" t="s">
        <v>31</v>
      </c>
      <c r="I288" s="1612" t="s">
        <v>31</v>
      </c>
      <c r="J288" s="1612" t="s">
        <v>31</v>
      </c>
      <c r="K288" s="1712" t="s">
        <v>31</v>
      </c>
      <c r="L288" s="1612"/>
      <c r="M288" s="1612"/>
      <c r="N288" s="1633" t="s">
        <v>31</v>
      </c>
      <c r="O288" s="1633" t="s">
        <v>31</v>
      </c>
      <c r="P288" s="1633" t="s">
        <v>31</v>
      </c>
      <c r="Q288" s="1628" t="s">
        <v>31</v>
      </c>
      <c r="R288" s="1633" t="s">
        <v>31</v>
      </c>
      <c r="S288" s="1612"/>
      <c r="T288" s="1612"/>
      <c r="U288" s="1633" t="s">
        <v>31</v>
      </c>
      <c r="V288" s="1633" t="s">
        <v>31</v>
      </c>
      <c r="W288" s="1633" t="s">
        <v>31</v>
      </c>
      <c r="X288" s="1612" t="s">
        <v>31</v>
      </c>
      <c r="Y288" s="1633" t="s">
        <v>31</v>
      </c>
      <c r="Z288" s="1612"/>
      <c r="AA288" s="1612"/>
      <c r="AB288" s="1612" t="s">
        <v>31</v>
      </c>
      <c r="AC288" s="1612" t="s">
        <v>31</v>
      </c>
      <c r="AD288" s="1629" t="s">
        <v>31</v>
      </c>
      <c r="AE288" s="1612" t="s">
        <v>31</v>
      </c>
      <c r="AF288" s="1629" t="s">
        <v>31</v>
      </c>
      <c r="AG288" s="1629"/>
      <c r="AH288" s="201"/>
      <c r="AI288" s="197"/>
    </row>
    <row r="289" spans="1:35" ht="21" customHeight="1" x14ac:dyDescent="0.2">
      <c r="A289" s="1893"/>
      <c r="B289" s="1908" t="s">
        <v>330</v>
      </c>
      <c r="C289" s="1612" t="s">
        <v>31</v>
      </c>
      <c r="D289" s="1612" t="s">
        <v>31</v>
      </c>
      <c r="E289" s="1612"/>
      <c r="F289" s="1629"/>
      <c r="G289" s="1612" t="s">
        <v>31</v>
      </c>
      <c r="H289" s="1612" t="s">
        <v>31</v>
      </c>
      <c r="I289" s="1612" t="s">
        <v>31</v>
      </c>
      <c r="J289" s="1612" t="s">
        <v>31</v>
      </c>
      <c r="K289" s="1612" t="s">
        <v>31</v>
      </c>
      <c r="L289" s="1612"/>
      <c r="M289" s="1612"/>
      <c r="N289" s="1633" t="s">
        <v>31</v>
      </c>
      <c r="O289" s="1633" t="s">
        <v>31</v>
      </c>
      <c r="P289" s="1633" t="s">
        <v>31</v>
      </c>
      <c r="Q289" s="1628" t="s">
        <v>31</v>
      </c>
      <c r="R289" s="1633" t="s">
        <v>31</v>
      </c>
      <c r="S289" s="1612"/>
      <c r="T289" s="1612"/>
      <c r="U289" s="1633" t="s">
        <v>31</v>
      </c>
      <c r="V289" s="1633" t="s">
        <v>31</v>
      </c>
      <c r="W289" s="1633" t="s">
        <v>31</v>
      </c>
      <c r="X289" s="1612" t="s">
        <v>31</v>
      </c>
      <c r="Y289" s="1633" t="s">
        <v>31</v>
      </c>
      <c r="Z289" s="1612"/>
      <c r="AA289" s="1612"/>
      <c r="AB289" s="1612" t="s">
        <v>31</v>
      </c>
      <c r="AC289" s="1612" t="s">
        <v>31</v>
      </c>
      <c r="AD289" s="1629" t="s">
        <v>31</v>
      </c>
      <c r="AE289" s="1612" t="s">
        <v>31</v>
      </c>
      <c r="AF289" s="1629" t="s">
        <v>31</v>
      </c>
      <c r="AG289" s="1629"/>
      <c r="AH289" s="201"/>
      <c r="AI289" s="197"/>
    </row>
    <row r="290" spans="1:35" ht="21" customHeight="1" x14ac:dyDescent="0.2">
      <c r="A290" s="1893"/>
      <c r="B290" s="1908" t="s">
        <v>331</v>
      </c>
      <c r="C290" s="1612" t="s">
        <v>31</v>
      </c>
      <c r="D290" s="1958" t="s">
        <v>31</v>
      </c>
      <c r="E290" s="1612"/>
      <c r="F290" s="1629"/>
      <c r="G290" s="1612" t="s">
        <v>31</v>
      </c>
      <c r="H290" s="1612" t="s">
        <v>31</v>
      </c>
      <c r="I290" s="1612" t="s">
        <v>31</v>
      </c>
      <c r="J290" s="1612" t="s">
        <v>31</v>
      </c>
      <c r="K290" s="1612" t="s">
        <v>31</v>
      </c>
      <c r="L290" s="1612"/>
      <c r="M290" s="1612"/>
      <c r="N290" s="1958" t="s">
        <v>31</v>
      </c>
      <c r="O290" s="1958" t="s">
        <v>31</v>
      </c>
      <c r="P290" s="1958" t="s">
        <v>31</v>
      </c>
      <c r="Q290" s="1958" t="s">
        <v>31</v>
      </c>
      <c r="R290" s="1958" t="s">
        <v>31</v>
      </c>
      <c r="S290" s="1612"/>
      <c r="T290" s="1612"/>
      <c r="U290" s="1633" t="s">
        <v>31</v>
      </c>
      <c r="V290" s="1633" t="s">
        <v>31</v>
      </c>
      <c r="W290" s="1633" t="s">
        <v>31</v>
      </c>
      <c r="X290" s="1958" t="s">
        <v>31</v>
      </c>
      <c r="Y290" s="1633" t="s">
        <v>31</v>
      </c>
      <c r="Z290" s="1612"/>
      <c r="AA290" s="1612"/>
      <c r="AB290" s="1612" t="s">
        <v>31</v>
      </c>
      <c r="AC290" s="1612" t="s">
        <v>31</v>
      </c>
      <c r="AD290" s="1629" t="s">
        <v>31</v>
      </c>
      <c r="AE290" s="1612" t="s">
        <v>31</v>
      </c>
      <c r="AF290" s="1958" t="s">
        <v>31</v>
      </c>
      <c r="AG290" s="1629"/>
      <c r="AH290" s="201"/>
      <c r="AI290" s="197"/>
    </row>
    <row r="291" spans="1:35" ht="21" customHeight="1" x14ac:dyDescent="0.2">
      <c r="A291" s="1893"/>
      <c r="B291" s="1908" t="s">
        <v>332</v>
      </c>
      <c r="C291" s="1612" t="s">
        <v>31</v>
      </c>
      <c r="D291" s="1612" t="s">
        <v>31</v>
      </c>
      <c r="E291" s="1612"/>
      <c r="F291" s="1629"/>
      <c r="G291" s="1612" t="s">
        <v>31</v>
      </c>
      <c r="H291" s="1612" t="s">
        <v>31</v>
      </c>
      <c r="I291" s="1612" t="s">
        <v>31</v>
      </c>
      <c r="J291" s="1612" t="s">
        <v>31</v>
      </c>
      <c r="K291" s="1612" t="s">
        <v>31</v>
      </c>
      <c r="L291" s="1612"/>
      <c r="M291" s="1612"/>
      <c r="N291" s="1633" t="s">
        <v>31</v>
      </c>
      <c r="O291" s="1633" t="s">
        <v>31</v>
      </c>
      <c r="P291" s="1633" t="s">
        <v>31</v>
      </c>
      <c r="Q291" s="1628" t="s">
        <v>31</v>
      </c>
      <c r="R291" s="1633" t="s">
        <v>31</v>
      </c>
      <c r="S291" s="1612"/>
      <c r="T291" s="1612"/>
      <c r="U291" s="1633" t="s">
        <v>31</v>
      </c>
      <c r="V291" s="1633" t="s">
        <v>31</v>
      </c>
      <c r="W291" s="1633" t="s">
        <v>31</v>
      </c>
      <c r="X291" s="1612" t="s">
        <v>31</v>
      </c>
      <c r="Y291" s="1958" t="s">
        <v>31</v>
      </c>
      <c r="Z291" s="1612"/>
      <c r="AA291" s="1612"/>
      <c r="AB291" s="1612" t="s">
        <v>31</v>
      </c>
      <c r="AC291" s="1612" t="s">
        <v>31</v>
      </c>
      <c r="AD291" s="1629" t="s">
        <v>31</v>
      </c>
      <c r="AE291" s="1612" t="s">
        <v>31</v>
      </c>
      <c r="AF291" s="1629" t="s">
        <v>31</v>
      </c>
      <c r="AG291" s="1629"/>
      <c r="AH291" s="201"/>
      <c r="AI291" s="197"/>
    </row>
    <row r="292" spans="1:35" ht="21" customHeight="1" x14ac:dyDescent="0.2">
      <c r="A292" s="1893"/>
      <c r="B292" s="1908" t="s">
        <v>333</v>
      </c>
      <c r="C292" s="1612" t="s">
        <v>31</v>
      </c>
      <c r="D292" s="1612" t="s">
        <v>31</v>
      </c>
      <c r="E292" s="1612"/>
      <c r="F292" s="1629"/>
      <c r="G292" s="1612" t="s">
        <v>31</v>
      </c>
      <c r="H292" s="1612" t="s">
        <v>31</v>
      </c>
      <c r="I292" s="1612" t="s">
        <v>31</v>
      </c>
      <c r="J292" s="1612" t="s">
        <v>31</v>
      </c>
      <c r="K292" s="1612" t="s">
        <v>31</v>
      </c>
      <c r="L292" s="1612"/>
      <c r="M292" s="1612"/>
      <c r="N292" s="1633" t="s">
        <v>31</v>
      </c>
      <c r="O292" s="1633" t="s">
        <v>31</v>
      </c>
      <c r="P292" s="1633" t="s">
        <v>31</v>
      </c>
      <c r="Q292" s="1628" t="s">
        <v>31</v>
      </c>
      <c r="R292" s="1633" t="s">
        <v>31</v>
      </c>
      <c r="S292" s="1612"/>
      <c r="T292" s="1612"/>
      <c r="U292" s="1633" t="s">
        <v>31</v>
      </c>
      <c r="V292" s="1633" t="s">
        <v>31</v>
      </c>
      <c r="W292" s="1633" t="s">
        <v>31</v>
      </c>
      <c r="X292" s="1612" t="s">
        <v>31</v>
      </c>
      <c r="Y292" s="1633" t="s">
        <v>31</v>
      </c>
      <c r="Z292" s="1612"/>
      <c r="AA292" s="1612"/>
      <c r="AB292" s="1612" t="s">
        <v>31</v>
      </c>
      <c r="AC292" s="1612" t="s">
        <v>31</v>
      </c>
      <c r="AD292" s="1629" t="s">
        <v>31</v>
      </c>
      <c r="AE292" s="1612" t="s">
        <v>31</v>
      </c>
      <c r="AF292" s="1629" t="s">
        <v>31</v>
      </c>
      <c r="AG292" s="1259"/>
      <c r="AH292" s="201"/>
      <c r="AI292" s="197"/>
    </row>
    <row r="293" spans="1:35" ht="21" customHeight="1" x14ac:dyDescent="0.2">
      <c r="A293" s="1893"/>
      <c r="B293" s="1908" t="s">
        <v>334</v>
      </c>
      <c r="C293" s="1612" t="s">
        <v>31</v>
      </c>
      <c r="D293" s="1612" t="s">
        <v>31</v>
      </c>
      <c r="E293" s="1612"/>
      <c r="F293" s="1629"/>
      <c r="G293" s="1612" t="s">
        <v>31</v>
      </c>
      <c r="H293" s="1612" t="s">
        <v>31</v>
      </c>
      <c r="I293" s="1612" t="s">
        <v>31</v>
      </c>
      <c r="J293" s="1612" t="s">
        <v>31</v>
      </c>
      <c r="K293" s="1612" t="s">
        <v>31</v>
      </c>
      <c r="L293" s="1612"/>
      <c r="M293" s="1612"/>
      <c r="N293" s="1633" t="s">
        <v>31</v>
      </c>
      <c r="O293" s="1633" t="s">
        <v>31</v>
      </c>
      <c r="P293" s="1633" t="s">
        <v>31</v>
      </c>
      <c r="Q293" s="1957" t="s">
        <v>31</v>
      </c>
      <c r="R293" s="1633" t="s">
        <v>31</v>
      </c>
      <c r="S293" s="1612"/>
      <c r="T293" s="1612"/>
      <c r="U293" s="1633" t="s">
        <v>31</v>
      </c>
      <c r="V293" s="1633" t="s">
        <v>31</v>
      </c>
      <c r="W293" s="1633" t="s">
        <v>31</v>
      </c>
      <c r="X293" s="1612" t="s">
        <v>31</v>
      </c>
      <c r="Y293" s="1633" t="s">
        <v>31</v>
      </c>
      <c r="Z293" s="1612"/>
      <c r="AA293" s="1612"/>
      <c r="AB293" s="1612" t="s">
        <v>31</v>
      </c>
      <c r="AC293" s="1612" t="s">
        <v>31</v>
      </c>
      <c r="AD293" s="1629" t="s">
        <v>31</v>
      </c>
      <c r="AE293" s="1612" t="s">
        <v>31</v>
      </c>
      <c r="AF293" s="1629" t="s">
        <v>31</v>
      </c>
      <c r="AG293" s="1259"/>
      <c r="AH293" s="201"/>
      <c r="AI293" s="197"/>
    </row>
    <row r="294" spans="1:35" ht="21" customHeight="1" x14ac:dyDescent="0.2">
      <c r="A294" s="1893"/>
      <c r="B294" s="1901" t="s">
        <v>400</v>
      </c>
      <c r="C294" s="1612" t="s">
        <v>31</v>
      </c>
      <c r="D294" s="1612" t="s">
        <v>31</v>
      </c>
      <c r="E294" s="1612"/>
      <c r="F294" s="1629"/>
      <c r="G294" s="1612" t="s">
        <v>31</v>
      </c>
      <c r="H294" s="1612" t="s">
        <v>31</v>
      </c>
      <c r="I294" s="1612" t="s">
        <v>31</v>
      </c>
      <c r="J294" s="1612" t="s">
        <v>31</v>
      </c>
      <c r="K294" s="1612" t="s">
        <v>31</v>
      </c>
      <c r="L294" s="1612"/>
      <c r="M294" s="1612"/>
      <c r="N294" s="1633" t="s">
        <v>31</v>
      </c>
      <c r="O294" s="1633" t="s">
        <v>31</v>
      </c>
      <c r="P294" s="1633" t="s">
        <v>31</v>
      </c>
      <c r="Q294" s="1628" t="s">
        <v>31</v>
      </c>
      <c r="R294" s="1633" t="s">
        <v>31</v>
      </c>
      <c r="S294" s="1612"/>
      <c r="T294" s="1612"/>
      <c r="U294" s="1633" t="s">
        <v>31</v>
      </c>
      <c r="V294" s="1633" t="s">
        <v>31</v>
      </c>
      <c r="W294" s="1633" t="s">
        <v>31</v>
      </c>
      <c r="X294" s="1612" t="s">
        <v>31</v>
      </c>
      <c r="Y294" s="1633" t="s">
        <v>31</v>
      </c>
      <c r="Z294" s="1612"/>
      <c r="AA294" s="1612"/>
      <c r="AB294" s="1612" t="s">
        <v>31</v>
      </c>
      <c r="AC294" s="1612" t="s">
        <v>31</v>
      </c>
      <c r="AD294" s="1629" t="s">
        <v>31</v>
      </c>
      <c r="AE294" s="1612" t="s">
        <v>31</v>
      </c>
      <c r="AF294" s="1629" t="s">
        <v>31</v>
      </c>
      <c r="AG294" s="1259"/>
      <c r="AH294" s="201"/>
      <c r="AI294" s="197"/>
    </row>
    <row r="295" spans="1:35" ht="21" customHeight="1" x14ac:dyDescent="0.2">
      <c r="A295" s="1893"/>
      <c r="B295" s="1910" t="s">
        <v>335</v>
      </c>
      <c r="C295" s="1612" t="s">
        <v>31</v>
      </c>
      <c r="D295" s="1612" t="s">
        <v>31</v>
      </c>
      <c r="E295" s="1612"/>
      <c r="F295" s="1629"/>
      <c r="G295" s="1612" t="s">
        <v>31</v>
      </c>
      <c r="H295" s="1612" t="s">
        <v>31</v>
      </c>
      <c r="I295" s="1612" t="s">
        <v>31</v>
      </c>
      <c r="J295" s="1612" t="s">
        <v>31</v>
      </c>
      <c r="K295" s="1612" t="s">
        <v>31</v>
      </c>
      <c r="L295" s="1612"/>
      <c r="M295" s="1612"/>
      <c r="N295" s="1633" t="s">
        <v>31</v>
      </c>
      <c r="O295" s="1633" t="s">
        <v>31</v>
      </c>
      <c r="P295" s="1633" t="s">
        <v>31</v>
      </c>
      <c r="Q295" s="1628" t="s">
        <v>31</v>
      </c>
      <c r="R295" s="1633" t="s">
        <v>31</v>
      </c>
      <c r="S295" s="1612"/>
      <c r="T295" s="1612"/>
      <c r="U295" s="1633" t="s">
        <v>31</v>
      </c>
      <c r="V295" s="1633" t="s">
        <v>31</v>
      </c>
      <c r="W295" s="1633" t="s">
        <v>31</v>
      </c>
      <c r="X295" s="1612" t="s">
        <v>31</v>
      </c>
      <c r="Y295" s="1633" t="s">
        <v>31</v>
      </c>
      <c r="Z295" s="1612"/>
      <c r="AA295" s="1612"/>
      <c r="AB295" s="1612" t="s">
        <v>31</v>
      </c>
      <c r="AC295" s="1612" t="s">
        <v>31</v>
      </c>
      <c r="AD295" s="1629" t="s">
        <v>31</v>
      </c>
      <c r="AE295" s="1612" t="s">
        <v>31</v>
      </c>
      <c r="AF295" s="1629" t="s">
        <v>31</v>
      </c>
      <c r="AG295" s="1259"/>
      <c r="AH295" s="201"/>
      <c r="AI295" s="197"/>
    </row>
    <row r="296" spans="1:35" ht="21" customHeight="1" x14ac:dyDescent="0.2">
      <c r="A296" s="1893"/>
      <c r="B296" s="1665" t="s">
        <v>336</v>
      </c>
      <c r="C296" s="1612" t="s">
        <v>31</v>
      </c>
      <c r="D296" s="1612" t="s">
        <v>31</v>
      </c>
      <c r="E296" s="1612"/>
      <c r="F296" s="1629"/>
      <c r="G296" s="1612" t="s">
        <v>31</v>
      </c>
      <c r="H296" s="1612" t="s">
        <v>31</v>
      </c>
      <c r="I296" s="1612" t="s">
        <v>31</v>
      </c>
      <c r="J296" s="1612" t="s">
        <v>31</v>
      </c>
      <c r="K296" s="1712" t="s">
        <v>31</v>
      </c>
      <c r="L296" s="1612"/>
      <c r="M296" s="1612"/>
      <c r="N296" s="1633" t="s">
        <v>31</v>
      </c>
      <c r="O296" s="1633" t="s">
        <v>31</v>
      </c>
      <c r="P296" s="1633" t="s">
        <v>31</v>
      </c>
      <c r="Q296" s="1628" t="s">
        <v>31</v>
      </c>
      <c r="R296" s="1633" t="s">
        <v>31</v>
      </c>
      <c r="S296" s="1612"/>
      <c r="T296" s="1612"/>
      <c r="U296" s="1633" t="s">
        <v>31</v>
      </c>
      <c r="V296" s="1633" t="s">
        <v>31</v>
      </c>
      <c r="W296" s="1633" t="s">
        <v>31</v>
      </c>
      <c r="X296" s="1612" t="s">
        <v>31</v>
      </c>
      <c r="Y296" s="1633" t="s">
        <v>31</v>
      </c>
      <c r="Z296" s="1612"/>
      <c r="AA296" s="1612"/>
      <c r="AB296" s="1612" t="s">
        <v>31</v>
      </c>
      <c r="AC296" s="1612" t="s">
        <v>31</v>
      </c>
      <c r="AD296" s="1629" t="s">
        <v>31</v>
      </c>
      <c r="AE296" s="1612" t="s">
        <v>31</v>
      </c>
      <c r="AF296" s="1629" t="s">
        <v>31</v>
      </c>
      <c r="AG296" s="1259"/>
      <c r="AH296" s="201"/>
      <c r="AI296" s="197"/>
    </row>
    <row r="297" spans="1:35" ht="21" customHeight="1" x14ac:dyDescent="0.2">
      <c r="A297" s="1893"/>
      <c r="B297" s="1910"/>
      <c r="C297" s="1629"/>
      <c r="D297" s="1546"/>
      <c r="E297" s="1629"/>
      <c r="F297" s="1629"/>
      <c r="G297" s="1629"/>
      <c r="H297" s="1629"/>
      <c r="I297" s="1629"/>
      <c r="J297" s="1629"/>
      <c r="K297" s="1629"/>
      <c r="L297" s="1629"/>
      <c r="M297" s="1629"/>
      <c r="N297" s="1629"/>
      <c r="O297" s="1629"/>
      <c r="P297" s="1629"/>
      <c r="Q297" s="1629"/>
      <c r="R297" s="1629"/>
      <c r="S297" s="1629"/>
      <c r="T297" s="1629"/>
      <c r="U297" s="1629"/>
      <c r="V297" s="1629"/>
      <c r="W297" s="1629"/>
      <c r="X297" s="1629"/>
      <c r="Y297" s="1629"/>
      <c r="Z297" s="1629"/>
      <c r="AA297" s="1629"/>
      <c r="AB297" s="1629"/>
      <c r="AC297" s="1629"/>
      <c r="AD297" s="1629"/>
      <c r="AE297" s="1629"/>
      <c r="AF297" s="1629"/>
      <c r="AG297" s="1259"/>
      <c r="AH297" s="201"/>
      <c r="AI297" s="197"/>
    </row>
    <row r="298" spans="1:35" ht="21" customHeight="1" x14ac:dyDescent="0.2">
      <c r="A298" s="1277"/>
      <c r="B298" s="1910"/>
      <c r="C298" s="1259"/>
      <c r="D298" s="1259"/>
      <c r="E298" s="1259"/>
      <c r="F298" s="1259"/>
      <c r="G298" s="1259"/>
      <c r="H298" s="1259"/>
      <c r="I298" s="1259"/>
      <c r="J298" s="1259"/>
      <c r="K298" s="1259"/>
      <c r="L298" s="1259"/>
      <c r="M298" s="1259"/>
      <c r="N298" s="1258"/>
      <c r="O298" s="1258"/>
      <c r="P298" s="1259"/>
      <c r="Q298" s="1259"/>
      <c r="R298" s="1259"/>
      <c r="S298" s="1259"/>
      <c r="T298" s="1259"/>
      <c r="U298" s="1259"/>
      <c r="V298" s="1259"/>
      <c r="W298" s="1259"/>
      <c r="X298" s="1259"/>
      <c r="Y298" s="1259"/>
      <c r="Z298" s="1259"/>
      <c r="AA298" s="1259"/>
      <c r="AB298" s="1258"/>
      <c r="AC298" s="1258"/>
      <c r="AD298" s="1259"/>
      <c r="AE298" s="1259"/>
      <c r="AF298" s="1259"/>
      <c r="AG298" s="1259"/>
      <c r="AH298" s="201"/>
      <c r="AI298" s="197"/>
    </row>
    <row r="299" spans="1:35" ht="21" customHeight="1" thickBot="1" x14ac:dyDescent="0.25">
      <c r="A299" s="686"/>
      <c r="B299" s="687"/>
      <c r="C299" s="1126"/>
      <c r="D299" s="1127"/>
      <c r="E299" s="1127"/>
      <c r="F299" s="1127"/>
      <c r="G299" s="1127"/>
      <c r="H299" s="1127"/>
      <c r="I299" s="1127"/>
      <c r="J299" s="1127"/>
      <c r="K299" s="1127"/>
      <c r="L299" s="1127"/>
      <c r="M299" s="1127"/>
      <c r="N299" s="1128"/>
      <c r="O299" s="1128"/>
      <c r="P299" s="1127"/>
      <c r="Q299" s="1127"/>
      <c r="R299" s="1127"/>
      <c r="S299" s="1127"/>
      <c r="T299" s="1127"/>
      <c r="U299" s="1127"/>
      <c r="V299" s="1127"/>
      <c r="W299" s="1127"/>
      <c r="X299" s="1127"/>
      <c r="Y299" s="1127"/>
      <c r="Z299" s="1127"/>
      <c r="AA299" s="1127"/>
      <c r="AB299" s="1128"/>
      <c r="AC299" s="1128"/>
      <c r="AD299" s="1127"/>
      <c r="AE299" s="1127"/>
      <c r="AF299" s="1127"/>
      <c r="AG299" s="1259"/>
      <c r="AH299" s="201"/>
      <c r="AI299" s="197"/>
    </row>
    <row r="300" spans="1:35" ht="21" customHeight="1" x14ac:dyDescent="0.2">
      <c r="AG300" s="1259"/>
      <c r="AH300" s="201"/>
      <c r="AI300" s="199"/>
    </row>
    <row r="301" spans="1:35" ht="21" customHeight="1" thickBot="1" x14ac:dyDescent="0.25">
      <c r="AG301" s="1127"/>
      <c r="AH301" s="201"/>
      <c r="AI301" s="199"/>
    </row>
  </sheetData>
  <protectedRanges>
    <protectedRange sqref="B224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8:B119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1:B123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firstPageNumber="0" fitToHeight="0" orientation="landscape" r:id="rId1"/>
  <headerFooter alignWithMargins="0">
    <oddHeader xml:space="preserve">&amp;R&amp;"Arial,fed"&amp;12&amp;A </oddHead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0EB5C-D82B-4929-9664-A1154B5C18B5}">
  <sheetPr codeName="Ark69"/>
  <dimension ref="A1:AL301"/>
  <sheetViews>
    <sheetView zoomScale="90" zoomScaleNormal="90" workbookViewId="0">
      <pane xSplit="2" ySplit="3" topLeftCell="C42" activePane="bottomRight" state="frozen"/>
      <selection pane="topRight" activeCell="AM167" sqref="AM167"/>
      <selection pane="bottomLeft" activeCell="AM167" sqref="AM167"/>
      <selection pane="bottomRight" activeCell="U83" sqref="U83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1911" t="s">
        <v>2</v>
      </c>
      <c r="C2" s="1912" t="s">
        <v>3</v>
      </c>
      <c r="D2" s="1913"/>
      <c r="E2" s="1914" t="s">
        <v>4</v>
      </c>
      <c r="F2" s="1915"/>
      <c r="G2" s="1916"/>
      <c r="H2" s="1916"/>
      <c r="I2" s="1916"/>
      <c r="J2" s="1916"/>
      <c r="K2" s="1917"/>
      <c r="L2" s="1918" t="s">
        <v>5</v>
      </c>
      <c r="M2" s="1919"/>
      <c r="N2" s="1920"/>
      <c r="O2" s="1921" t="s">
        <v>6</v>
      </c>
      <c r="P2" s="1922"/>
      <c r="Q2" s="1923"/>
      <c r="R2" s="1924"/>
      <c r="S2" s="1925" t="s">
        <v>7</v>
      </c>
      <c r="T2" s="1926"/>
      <c r="U2" s="1927"/>
      <c r="V2" s="1926"/>
      <c r="W2" s="1928" t="s">
        <v>8</v>
      </c>
      <c r="X2" s="1929"/>
      <c r="Y2" s="1930"/>
      <c r="Z2" s="164" t="s">
        <v>9</v>
      </c>
      <c r="AA2" s="1157"/>
      <c r="AB2" s="1158"/>
      <c r="AC2" s="1159"/>
      <c r="AD2" s="1160" t="s">
        <v>10</v>
      </c>
      <c r="AE2" s="1161"/>
      <c r="AF2" s="1161"/>
      <c r="AG2" s="1162"/>
    </row>
    <row r="3" spans="1:35" ht="13.35" customHeight="1" x14ac:dyDescent="0.2">
      <c r="A3" s="1"/>
      <c r="B3" s="1163" t="s">
        <v>11</v>
      </c>
      <c r="C3" s="1164" t="s">
        <v>12</v>
      </c>
      <c r="D3" s="1165"/>
      <c r="E3" s="91"/>
      <c r="F3" s="92"/>
      <c r="G3" s="92"/>
      <c r="H3" s="165" t="s">
        <v>13</v>
      </c>
      <c r="I3" s="93"/>
      <c r="J3" s="93"/>
      <c r="K3" s="94"/>
      <c r="L3" s="1166" t="s">
        <v>14</v>
      </c>
      <c r="M3" s="1167"/>
      <c r="N3" s="1168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1167"/>
      <c r="AA3" s="1167"/>
      <c r="AB3" s="1169"/>
      <c r="AC3" s="1170"/>
      <c r="AD3" s="1171" t="s">
        <v>17</v>
      </c>
      <c r="AE3" s="1172"/>
      <c r="AF3" s="1172"/>
      <c r="AG3" s="1173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1174" t="s">
        <v>20</v>
      </c>
      <c r="B6" s="1167"/>
      <c r="C6" s="1175"/>
      <c r="D6" s="1174" t="s">
        <v>21</v>
      </c>
      <c r="E6" s="1167"/>
      <c r="F6" s="1167"/>
      <c r="G6" s="1167"/>
      <c r="H6" s="1176"/>
      <c r="I6" s="1167"/>
      <c r="J6" s="1167"/>
      <c r="K6" s="1167"/>
      <c r="L6" s="1177" t="s">
        <v>22</v>
      </c>
      <c r="M6" s="1167"/>
      <c r="N6" s="1167"/>
      <c r="O6" s="1167"/>
      <c r="P6" s="1167"/>
      <c r="Q6" s="1167"/>
      <c r="R6" s="1167"/>
      <c r="S6" s="1175"/>
      <c r="T6" s="1178"/>
      <c r="U6" s="1167"/>
      <c r="V6" s="1167"/>
      <c r="W6" s="1167"/>
      <c r="X6" s="1167"/>
      <c r="Y6" s="1167"/>
      <c r="Z6" s="1167"/>
      <c r="AA6" s="1175"/>
      <c r="AB6" s="1179"/>
      <c r="AC6" s="1180"/>
      <c r="AD6" s="1180"/>
      <c r="AE6" s="1180"/>
      <c r="AF6" s="1180"/>
      <c r="AG6" s="1181"/>
    </row>
    <row r="7" spans="1:35" ht="22.15" customHeight="1" x14ac:dyDescent="0.2">
      <c r="A7" s="1174" t="s">
        <v>23</v>
      </c>
      <c r="B7" s="1167"/>
      <c r="C7" s="1167"/>
      <c r="D7" s="1167"/>
      <c r="E7" s="1167"/>
      <c r="F7" s="1167"/>
      <c r="G7" s="1167"/>
      <c r="H7" s="1167"/>
      <c r="I7" s="1167"/>
      <c r="J7" s="1167"/>
      <c r="K7" s="1175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167"/>
      <c r="V7" s="1167"/>
      <c r="W7" s="1167"/>
      <c r="X7" s="1167"/>
      <c r="Y7" s="1167"/>
      <c r="Z7" s="1167"/>
      <c r="AA7" s="1167"/>
      <c r="AB7" s="1182"/>
      <c r="AC7" s="1167"/>
      <c r="AD7" s="1167"/>
      <c r="AE7" s="1167"/>
      <c r="AF7" s="1167"/>
      <c r="AG7" s="1175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5" ht="22.15" customHeight="1" thickBot="1" x14ac:dyDescent="0.25">
      <c r="A11" s="1183" t="s">
        <v>28</v>
      </c>
      <c r="B11" s="1184" t="s">
        <v>29</v>
      </c>
      <c r="C11" s="1185">
        <v>1</v>
      </c>
      <c r="D11" s="1186">
        <v>2</v>
      </c>
      <c r="E11" s="1186">
        <v>3</v>
      </c>
      <c r="F11" s="1186">
        <v>4</v>
      </c>
      <c r="G11" s="1186">
        <v>5</v>
      </c>
      <c r="H11" s="1186">
        <v>6</v>
      </c>
      <c r="I11" s="1185">
        <v>7</v>
      </c>
      <c r="J11" s="1185">
        <v>8</v>
      </c>
      <c r="K11" s="1186">
        <v>9</v>
      </c>
      <c r="L11" s="1186">
        <v>10</v>
      </c>
      <c r="M11" s="1186">
        <v>11</v>
      </c>
      <c r="N11" s="1186">
        <v>12</v>
      </c>
      <c r="O11" s="1186">
        <v>13</v>
      </c>
      <c r="P11" s="1185">
        <v>14</v>
      </c>
      <c r="Q11" s="1185">
        <v>15</v>
      </c>
      <c r="R11" s="1186">
        <v>16</v>
      </c>
      <c r="S11" s="1186">
        <v>17</v>
      </c>
      <c r="T11" s="1186">
        <v>18</v>
      </c>
      <c r="U11" s="1186">
        <v>19</v>
      </c>
      <c r="V11" s="1186">
        <v>20</v>
      </c>
      <c r="W11" s="1185">
        <v>21</v>
      </c>
      <c r="X11" s="1185">
        <v>22</v>
      </c>
      <c r="Y11" s="1186">
        <v>23</v>
      </c>
      <c r="Z11" s="1186">
        <v>24</v>
      </c>
      <c r="AA11" s="1186">
        <v>25</v>
      </c>
      <c r="AB11" s="1186">
        <v>26</v>
      </c>
      <c r="AC11" s="1186">
        <v>27</v>
      </c>
      <c r="AD11" s="1185">
        <v>28</v>
      </c>
      <c r="AE11" s="1185">
        <v>29</v>
      </c>
      <c r="AF11" s="1186">
        <v>30</v>
      </c>
      <c r="AG11" s="1931"/>
      <c r="AH11" s="184"/>
      <c r="AI11" s="185"/>
    </row>
    <row r="12" spans="1:35" ht="22.15" customHeight="1" x14ac:dyDescent="0.2">
      <c r="A12" s="456">
        <v>8500</v>
      </c>
      <c r="B12" s="457" t="s">
        <v>30</v>
      </c>
      <c r="C12" s="458" t="s">
        <v>31</v>
      </c>
      <c r="D12" s="458" t="s">
        <v>31</v>
      </c>
      <c r="E12" s="458" t="s">
        <v>31</v>
      </c>
      <c r="F12" s="458" t="s">
        <v>31</v>
      </c>
      <c r="G12" s="462" t="s">
        <v>31</v>
      </c>
      <c r="H12" s="458" t="s">
        <v>31</v>
      </c>
      <c r="I12" s="458"/>
      <c r="J12" s="458"/>
      <c r="K12" s="463" t="s">
        <v>31</v>
      </c>
      <c r="L12" s="463" t="s">
        <v>31</v>
      </c>
      <c r="M12" s="463" t="s">
        <v>31</v>
      </c>
      <c r="N12" s="458" t="s">
        <v>31</v>
      </c>
      <c r="O12" s="458" t="s">
        <v>31</v>
      </c>
      <c r="P12" s="458"/>
      <c r="Q12" s="458"/>
      <c r="R12" s="458" t="s">
        <v>31</v>
      </c>
      <c r="S12" s="458" t="s">
        <v>31</v>
      </c>
      <c r="T12" s="458" t="s">
        <v>31</v>
      </c>
      <c r="U12" s="463" t="s">
        <v>31</v>
      </c>
      <c r="V12" s="463" t="s">
        <v>31</v>
      </c>
      <c r="W12" s="458"/>
      <c r="X12" s="458"/>
      <c r="Y12" s="458" t="s">
        <v>31</v>
      </c>
      <c r="Z12" s="458" t="s">
        <v>31</v>
      </c>
      <c r="AA12" s="458" t="s">
        <v>31</v>
      </c>
      <c r="AB12" s="458" t="s">
        <v>31</v>
      </c>
      <c r="AC12" s="463" t="s">
        <v>31</v>
      </c>
      <c r="AD12" s="458"/>
      <c r="AE12" s="458"/>
      <c r="AF12" s="458" t="s">
        <v>31</v>
      </c>
      <c r="AG12" s="464"/>
      <c r="AH12" s="190"/>
      <c r="AI12" s="190"/>
    </row>
    <row r="13" spans="1:35" ht="22.15" customHeight="1" x14ac:dyDescent="0.2">
      <c r="A13" s="1188" t="s">
        <v>33</v>
      </c>
      <c r="B13" s="1189"/>
      <c r="C13" s="1189"/>
      <c r="D13" s="1189"/>
      <c r="E13" s="1189"/>
      <c r="F13" s="1189"/>
      <c r="G13" s="1189"/>
      <c r="H13" s="1189"/>
      <c r="I13" s="1189"/>
      <c r="J13" s="1189"/>
      <c r="K13" s="1189"/>
      <c r="L13" s="1189"/>
      <c r="M13" s="1189"/>
      <c r="N13" s="1189"/>
      <c r="O13" s="1189"/>
      <c r="P13" s="1189"/>
      <c r="Q13" s="1189"/>
      <c r="R13" s="1189"/>
      <c r="S13" s="1189"/>
      <c r="T13" s="1189"/>
      <c r="U13" s="1189"/>
      <c r="V13" s="1189"/>
      <c r="W13" s="1189"/>
      <c r="X13" s="1189"/>
      <c r="Y13" s="1189"/>
      <c r="Z13" s="1189"/>
      <c r="AA13" s="1189"/>
      <c r="AB13" s="1189"/>
      <c r="AC13" s="1189"/>
      <c r="AD13" s="1189"/>
      <c r="AE13" s="1189"/>
      <c r="AF13" s="1189"/>
      <c r="AG13" s="1190"/>
      <c r="AH13" s="188"/>
      <c r="AI13" s="188"/>
    </row>
    <row r="14" spans="1:35" ht="22.15" customHeight="1" x14ac:dyDescent="0.2">
      <c r="A14" s="1191">
        <v>8546</v>
      </c>
      <c r="B14" s="1192" t="s">
        <v>34</v>
      </c>
      <c r="C14" s="1193"/>
      <c r="D14" s="1193">
        <v>2</v>
      </c>
      <c r="E14" s="1193">
        <v>2</v>
      </c>
      <c r="F14" s="1193">
        <v>2</v>
      </c>
      <c r="G14" s="1193">
        <v>2</v>
      </c>
      <c r="H14" s="1194">
        <v>2</v>
      </c>
      <c r="I14" s="1194" t="s">
        <v>36</v>
      </c>
      <c r="J14" s="1194" t="s">
        <v>36</v>
      </c>
      <c r="K14" s="1203" t="s">
        <v>35</v>
      </c>
      <c r="L14" s="1194" t="s">
        <v>35</v>
      </c>
      <c r="M14" s="1258" t="s">
        <v>35</v>
      </c>
      <c r="N14" s="1193" t="s">
        <v>35</v>
      </c>
      <c r="O14" s="1193" t="s">
        <v>35</v>
      </c>
      <c r="P14" s="1199"/>
      <c r="Q14" s="1199"/>
      <c r="R14" s="2091">
        <v>4</v>
      </c>
      <c r="S14" s="2048">
        <v>4</v>
      </c>
      <c r="T14" s="2092">
        <v>4</v>
      </c>
      <c r="U14" s="2092">
        <v>4</v>
      </c>
      <c r="V14" s="2091">
        <v>4</v>
      </c>
      <c r="W14" s="2091" t="s">
        <v>37</v>
      </c>
      <c r="X14" s="2091" t="s">
        <v>37</v>
      </c>
      <c r="Y14" s="1194" t="s">
        <v>35</v>
      </c>
      <c r="Z14" s="1194" t="s">
        <v>35</v>
      </c>
      <c r="AA14" s="1194" t="s">
        <v>35</v>
      </c>
      <c r="AB14" s="1194" t="s">
        <v>35</v>
      </c>
      <c r="AC14" s="1194" t="s">
        <v>35</v>
      </c>
      <c r="AD14" s="1199"/>
      <c r="AE14" s="1194"/>
      <c r="AF14" s="1194">
        <v>1</v>
      </c>
      <c r="AG14" s="1201"/>
      <c r="AH14" s="190"/>
      <c r="AI14" s="190"/>
    </row>
    <row r="15" spans="1:35" ht="22.15" customHeight="1" x14ac:dyDescent="0.2">
      <c r="A15" s="1191">
        <v>8546</v>
      </c>
      <c r="B15" s="1202" t="s">
        <v>38</v>
      </c>
      <c r="C15" s="1203"/>
      <c r="D15" s="1194">
        <v>1</v>
      </c>
      <c r="E15" s="1194">
        <v>1</v>
      </c>
      <c r="F15" s="1199">
        <v>1</v>
      </c>
      <c r="G15" s="1199">
        <v>1</v>
      </c>
      <c r="H15" s="1199">
        <v>1</v>
      </c>
      <c r="I15" s="1194"/>
      <c r="J15" s="1203"/>
      <c r="K15" s="1199">
        <v>2</v>
      </c>
      <c r="L15" s="1204" t="s">
        <v>401</v>
      </c>
      <c r="M15" s="2093">
        <v>2</v>
      </c>
      <c r="N15" s="2093">
        <v>2</v>
      </c>
      <c r="O15" s="2093">
        <v>2</v>
      </c>
      <c r="P15" s="2093" t="s">
        <v>36</v>
      </c>
      <c r="Q15" s="2093" t="s">
        <v>36</v>
      </c>
      <c r="R15" s="1194" t="s">
        <v>35</v>
      </c>
      <c r="S15" s="1194" t="s">
        <v>35</v>
      </c>
      <c r="T15" s="1194" t="s">
        <v>35</v>
      </c>
      <c r="U15" s="1194" t="s">
        <v>35</v>
      </c>
      <c r="V15" s="1194" t="s">
        <v>35</v>
      </c>
      <c r="W15" s="1194"/>
      <c r="X15" s="1194"/>
      <c r="Y15" s="1194">
        <v>4</v>
      </c>
      <c r="Z15" s="1194">
        <v>4</v>
      </c>
      <c r="AA15" s="1194">
        <v>4</v>
      </c>
      <c r="AB15" s="1194">
        <v>4</v>
      </c>
      <c r="AC15" s="1194">
        <v>4</v>
      </c>
      <c r="AD15" s="1194" t="s">
        <v>37</v>
      </c>
      <c r="AE15" s="1194" t="s">
        <v>37</v>
      </c>
      <c r="AF15" s="1194" t="s">
        <v>35</v>
      </c>
      <c r="AG15" s="1201"/>
      <c r="AH15" s="190"/>
      <c r="AI15" s="190"/>
    </row>
    <row r="16" spans="1:35" ht="22.15" customHeight="1" x14ac:dyDescent="0.2">
      <c r="A16" s="1191">
        <v>8546</v>
      </c>
      <c r="B16" s="1192" t="s">
        <v>39</v>
      </c>
      <c r="C16" s="1199"/>
      <c r="D16" s="1194">
        <v>4</v>
      </c>
      <c r="E16" s="1194">
        <v>4</v>
      </c>
      <c r="F16" s="1194">
        <v>4</v>
      </c>
      <c r="G16" s="1194">
        <v>4</v>
      </c>
      <c r="H16" s="1194">
        <v>4</v>
      </c>
      <c r="I16" s="1194" t="s">
        <v>37</v>
      </c>
      <c r="J16" s="1194" t="s">
        <v>37</v>
      </c>
      <c r="K16" s="1194" t="s">
        <v>35</v>
      </c>
      <c r="L16" s="1194" t="s">
        <v>35</v>
      </c>
      <c r="M16" s="1194" t="s">
        <v>35</v>
      </c>
      <c r="N16" s="1199" t="s">
        <v>35</v>
      </c>
      <c r="O16" s="1199" t="s">
        <v>35</v>
      </c>
      <c r="P16" s="1199"/>
      <c r="Q16" s="1199"/>
      <c r="R16" s="2065">
        <v>1</v>
      </c>
      <c r="S16" s="1195">
        <v>1</v>
      </c>
      <c r="T16" s="1195">
        <v>1</v>
      </c>
      <c r="U16" s="1195">
        <v>1</v>
      </c>
      <c r="V16" s="1195">
        <v>1</v>
      </c>
      <c r="W16" s="1203"/>
      <c r="X16" s="1194"/>
      <c r="Y16" s="1199">
        <v>2</v>
      </c>
      <c r="Z16" s="1199">
        <v>2</v>
      </c>
      <c r="AA16" s="1199">
        <v>2</v>
      </c>
      <c r="AB16" s="1199">
        <v>2</v>
      </c>
      <c r="AC16" s="1199">
        <v>2</v>
      </c>
      <c r="AD16" s="1194" t="s">
        <v>36</v>
      </c>
      <c r="AE16" s="1194" t="s">
        <v>36</v>
      </c>
      <c r="AF16" s="1194" t="s">
        <v>35</v>
      </c>
      <c r="AG16" s="1201"/>
      <c r="AH16" s="190"/>
      <c r="AI16" s="190"/>
    </row>
    <row r="17" spans="1:37" ht="22.15" customHeight="1" x14ac:dyDescent="0.2">
      <c r="A17" s="1191">
        <v>8546</v>
      </c>
      <c r="B17" s="1202" t="s">
        <v>40</v>
      </c>
      <c r="C17" s="1194" t="s">
        <v>36</v>
      </c>
      <c r="D17" s="1203" t="s">
        <v>35</v>
      </c>
      <c r="E17" s="1194" t="s">
        <v>35</v>
      </c>
      <c r="F17" s="1199" t="s">
        <v>35</v>
      </c>
      <c r="G17" s="1194" t="s">
        <v>35</v>
      </c>
      <c r="H17" s="1194" t="s">
        <v>35</v>
      </c>
      <c r="I17" s="1194"/>
      <c r="J17" s="1194"/>
      <c r="K17" s="1194">
        <v>4</v>
      </c>
      <c r="L17" s="1194">
        <v>4</v>
      </c>
      <c r="M17" s="1193">
        <v>4</v>
      </c>
      <c r="N17" s="1193">
        <v>4</v>
      </c>
      <c r="O17" s="1193">
        <v>4</v>
      </c>
      <c r="P17" s="1193" t="s">
        <v>37</v>
      </c>
      <c r="Q17" s="1193" t="s">
        <v>37</v>
      </c>
      <c r="R17" s="1193" t="s">
        <v>35</v>
      </c>
      <c r="S17" s="1193" t="s">
        <v>35</v>
      </c>
      <c r="T17" s="1194" t="s">
        <v>35</v>
      </c>
      <c r="U17" s="1194" t="s">
        <v>35</v>
      </c>
      <c r="V17" s="1194" t="s">
        <v>35</v>
      </c>
      <c r="W17" s="1194"/>
      <c r="X17" s="1203"/>
      <c r="Y17" s="1194">
        <v>1</v>
      </c>
      <c r="Z17" s="1194">
        <v>1</v>
      </c>
      <c r="AA17" s="1206">
        <v>1</v>
      </c>
      <c r="AB17" s="1206">
        <v>1</v>
      </c>
      <c r="AC17" s="1206">
        <v>1</v>
      </c>
      <c r="AD17" s="1206"/>
      <c r="AE17" s="1206"/>
      <c r="AF17" s="2094">
        <v>2</v>
      </c>
      <c r="AG17" s="1201"/>
      <c r="AH17" s="190"/>
      <c r="AI17" s="190"/>
    </row>
    <row r="18" spans="1:37" ht="22.15" customHeight="1" x14ac:dyDescent="0.2">
      <c r="A18" s="1191">
        <v>8546</v>
      </c>
      <c r="B18" s="1192" t="s">
        <v>41</v>
      </c>
      <c r="C18" s="1194" t="s">
        <v>37</v>
      </c>
      <c r="D18" s="1203" t="s">
        <v>35</v>
      </c>
      <c r="E18" s="1194" t="s">
        <v>35</v>
      </c>
      <c r="F18" s="1194" t="s">
        <v>35</v>
      </c>
      <c r="G18" s="1194" t="s">
        <v>35</v>
      </c>
      <c r="H18" s="1194" t="s">
        <v>35</v>
      </c>
      <c r="I18" s="1194"/>
      <c r="J18" s="1199"/>
      <c r="K18" s="1270">
        <v>1</v>
      </c>
      <c r="L18" s="1270">
        <v>1</v>
      </c>
      <c r="M18" s="1270">
        <v>1</v>
      </c>
      <c r="N18" s="2065">
        <v>1</v>
      </c>
      <c r="O18" s="1195">
        <v>1</v>
      </c>
      <c r="P18" s="1194"/>
      <c r="Q18" s="1194"/>
      <c r="R18" s="1194">
        <v>2</v>
      </c>
      <c r="S18" s="1194">
        <v>2</v>
      </c>
      <c r="T18" s="1194">
        <v>2</v>
      </c>
      <c r="U18" s="1199">
        <v>2</v>
      </c>
      <c r="V18" s="1199">
        <v>2</v>
      </c>
      <c r="W18" s="1194" t="s">
        <v>36</v>
      </c>
      <c r="X18" s="1194" t="s">
        <v>36</v>
      </c>
      <c r="Y18" s="1194" t="s">
        <v>35</v>
      </c>
      <c r="Z18" s="1194" t="s">
        <v>35</v>
      </c>
      <c r="AA18" s="1194" t="s">
        <v>35</v>
      </c>
      <c r="AB18" s="1194" t="s">
        <v>35</v>
      </c>
      <c r="AC18" s="1207" t="s">
        <v>35</v>
      </c>
      <c r="AD18" s="1194"/>
      <c r="AE18" s="1194"/>
      <c r="AF18" s="1194">
        <v>4</v>
      </c>
      <c r="AG18" s="1201"/>
      <c r="AH18" s="190"/>
      <c r="AI18" s="190"/>
    </row>
    <row r="19" spans="1:37" ht="22.15" customHeight="1" thickBot="1" x14ac:dyDescent="0.25">
      <c r="A19" s="1208" t="s">
        <v>42</v>
      </c>
      <c r="B19" s="1209"/>
      <c r="C19" s="1210"/>
      <c r="D19" s="1210"/>
      <c r="E19" s="1210"/>
      <c r="F19" s="1210"/>
      <c r="G19" s="1210"/>
      <c r="H19" s="1210"/>
      <c r="I19" s="1210"/>
      <c r="J19" s="1210"/>
      <c r="K19" s="1210"/>
      <c r="L19" s="1210"/>
      <c r="M19" s="1210"/>
      <c r="N19" s="1210"/>
      <c r="O19" s="1210"/>
      <c r="P19" s="1210"/>
      <c r="Q19" s="1210"/>
      <c r="R19" s="1210"/>
      <c r="S19" s="1210"/>
      <c r="T19" s="1210"/>
      <c r="U19" s="1210"/>
      <c r="V19" s="1210"/>
      <c r="W19" s="1210"/>
      <c r="X19" s="1210"/>
      <c r="Y19" s="1210"/>
      <c r="Z19" s="1210"/>
      <c r="AA19" s="1210"/>
      <c r="AB19" s="1210"/>
      <c r="AC19" s="1210"/>
      <c r="AD19" s="1210"/>
      <c r="AE19" s="1210"/>
      <c r="AF19" s="1210"/>
      <c r="AG19" s="1932"/>
      <c r="AH19" s="188"/>
      <c r="AI19" s="188"/>
    </row>
    <row r="20" spans="1:37" ht="22.15" customHeight="1" thickBot="1" x14ac:dyDescent="0.25">
      <c r="A20" s="465">
        <v>8500</v>
      </c>
      <c r="B20" s="466" t="s">
        <v>43</v>
      </c>
      <c r="C20" s="638"/>
      <c r="D20" s="638" t="s">
        <v>31</v>
      </c>
      <c r="E20" s="638" t="s">
        <v>360</v>
      </c>
      <c r="F20" s="641" t="s">
        <v>31</v>
      </c>
      <c r="G20" s="641" t="s">
        <v>31</v>
      </c>
      <c r="H20" s="641" t="s">
        <v>31</v>
      </c>
      <c r="I20" s="535"/>
      <c r="J20" s="534"/>
      <c r="K20" s="534" t="s">
        <v>31</v>
      </c>
      <c r="L20" s="534" t="s">
        <v>31</v>
      </c>
      <c r="M20" s="552" t="s">
        <v>31</v>
      </c>
      <c r="N20" s="534" t="s">
        <v>31</v>
      </c>
      <c r="O20" s="534" t="s">
        <v>31</v>
      </c>
      <c r="P20" s="534"/>
      <c r="Q20" s="534"/>
      <c r="R20" s="534" t="s">
        <v>31</v>
      </c>
      <c r="S20" s="534" t="s">
        <v>31</v>
      </c>
      <c r="T20" s="535" t="s">
        <v>31</v>
      </c>
      <c r="U20" s="535" t="s">
        <v>31</v>
      </c>
      <c r="V20" s="535" t="s">
        <v>31</v>
      </c>
      <c r="W20" s="535"/>
      <c r="X20" s="535"/>
      <c r="Y20" s="534" t="s">
        <v>31</v>
      </c>
      <c r="Z20" s="536" t="s">
        <v>31</v>
      </c>
      <c r="AA20" s="651" t="s">
        <v>31</v>
      </c>
      <c r="AB20" s="651" t="s">
        <v>31</v>
      </c>
      <c r="AC20" s="535" t="s">
        <v>31</v>
      </c>
      <c r="AD20" s="535"/>
      <c r="AE20" s="535" t="s">
        <v>0</v>
      </c>
      <c r="AF20" s="535" t="s">
        <v>31</v>
      </c>
      <c r="AG20" s="537"/>
      <c r="AH20" s="190"/>
      <c r="AI20" s="190"/>
    </row>
    <row r="21" spans="1:37" ht="22.15" customHeight="1" x14ac:dyDescent="0.2">
      <c r="A21" s="1626">
        <v>8500</v>
      </c>
      <c r="B21" s="1627" t="s">
        <v>44</v>
      </c>
      <c r="C21" s="1712"/>
      <c r="D21" s="1712" t="s">
        <v>31</v>
      </c>
      <c r="E21" s="1712" t="s">
        <v>31</v>
      </c>
      <c r="F21" s="1712" t="s">
        <v>31</v>
      </c>
      <c r="G21" s="1712" t="s">
        <v>31</v>
      </c>
      <c r="H21" s="1712" t="s">
        <v>31</v>
      </c>
      <c r="I21" s="1712"/>
      <c r="J21" s="1712"/>
      <c r="K21" s="1612" t="s">
        <v>31</v>
      </c>
      <c r="L21" s="1714" t="s">
        <v>31</v>
      </c>
      <c r="M21" s="1628" t="s">
        <v>31</v>
      </c>
      <c r="N21" s="1629" t="s">
        <v>31</v>
      </c>
      <c r="O21" s="1612" t="s">
        <v>31</v>
      </c>
      <c r="P21" s="1612"/>
      <c r="Q21" s="1612"/>
      <c r="R21" s="1612">
        <v>1</v>
      </c>
      <c r="S21" s="1612">
        <v>1</v>
      </c>
      <c r="T21" s="1612">
        <v>1</v>
      </c>
      <c r="U21" s="1612">
        <v>1</v>
      </c>
      <c r="V21" s="1612">
        <v>1</v>
      </c>
      <c r="W21" s="1612" t="s">
        <v>112</v>
      </c>
      <c r="X21" s="1612" t="s">
        <v>112</v>
      </c>
      <c r="Y21" s="1628" t="s">
        <v>246</v>
      </c>
      <c r="Z21" s="1628" t="s">
        <v>235</v>
      </c>
      <c r="AA21" s="1612" t="s">
        <v>31</v>
      </c>
      <c r="AB21" s="1612" t="s">
        <v>223</v>
      </c>
      <c r="AC21" s="1612" t="s">
        <v>223</v>
      </c>
      <c r="AD21" s="1612"/>
      <c r="AE21" s="643"/>
      <c r="AF21" s="1735">
        <v>2</v>
      </c>
      <c r="AG21" s="1634"/>
      <c r="AH21" s="190"/>
      <c r="AI21" s="190"/>
    </row>
    <row r="22" spans="1:37" ht="22.15" customHeight="1" x14ac:dyDescent="0.2">
      <c r="A22" s="1626">
        <v>8500</v>
      </c>
      <c r="B22" s="1630" t="s">
        <v>45</v>
      </c>
      <c r="C22" s="1612"/>
      <c r="D22" s="1612" t="s">
        <v>31</v>
      </c>
      <c r="E22" s="1612" t="s">
        <v>31</v>
      </c>
      <c r="F22" s="1629" t="s">
        <v>31</v>
      </c>
      <c r="G22" s="1612" t="s">
        <v>223</v>
      </c>
      <c r="H22" s="1612" t="s">
        <v>31</v>
      </c>
      <c r="I22" s="1612" t="s">
        <v>0</v>
      </c>
      <c r="J22" s="1612"/>
      <c r="K22" s="1725">
        <v>1</v>
      </c>
      <c r="L22" s="1725">
        <v>1</v>
      </c>
      <c r="M22" s="1725">
        <v>1</v>
      </c>
      <c r="N22" s="1725">
        <v>1</v>
      </c>
      <c r="O22" s="1725">
        <v>1</v>
      </c>
      <c r="P22" s="1725"/>
      <c r="Q22" s="1725"/>
      <c r="R22" s="1633">
        <v>4</v>
      </c>
      <c r="S22" s="1612">
        <v>4</v>
      </c>
      <c r="T22" s="1612">
        <v>4</v>
      </c>
      <c r="U22" s="1633">
        <v>4</v>
      </c>
      <c r="V22" s="1633">
        <v>4</v>
      </c>
      <c r="W22" s="1633" t="s">
        <v>37</v>
      </c>
      <c r="X22" s="1612" t="s">
        <v>37</v>
      </c>
      <c r="Y22" s="1712" t="s">
        <v>31</v>
      </c>
      <c r="Z22" s="1712" t="s">
        <v>31</v>
      </c>
      <c r="AA22" s="1712" t="s">
        <v>31</v>
      </c>
      <c r="AB22" s="1712" t="s">
        <v>31</v>
      </c>
      <c r="AC22" s="1712" t="s">
        <v>31</v>
      </c>
      <c r="AD22" s="1712"/>
      <c r="AE22" s="1712"/>
      <c r="AF22" s="1629" t="s">
        <v>31</v>
      </c>
      <c r="AG22" s="1634"/>
      <c r="AH22" s="190"/>
      <c r="AI22" s="190"/>
    </row>
    <row r="23" spans="1:37" ht="22.15" customHeight="1" x14ac:dyDescent="0.2">
      <c r="A23" s="1626"/>
      <c r="B23" s="1635"/>
      <c r="C23" s="1629"/>
      <c r="D23" s="1628"/>
      <c r="E23" s="1612"/>
      <c r="F23" s="1612"/>
      <c r="G23" s="1612"/>
      <c r="H23" s="1612"/>
      <c r="I23" s="1629"/>
      <c r="J23" s="1629"/>
      <c r="K23" s="1629"/>
      <c r="L23" s="1629"/>
      <c r="M23" s="1629"/>
      <c r="N23" s="1629"/>
      <c r="O23" s="1636"/>
      <c r="P23" s="1629"/>
      <c r="Q23" s="1629"/>
      <c r="R23" s="1637"/>
      <c r="S23" s="1637"/>
      <c r="T23" s="1629"/>
      <c r="U23" s="1629"/>
      <c r="V23" s="1629"/>
      <c r="W23" s="1629"/>
      <c r="X23" s="1629"/>
      <c r="Y23" s="1629"/>
      <c r="Z23" s="1629"/>
      <c r="AA23" s="1629"/>
      <c r="AB23" s="1629"/>
      <c r="AC23" s="1633"/>
      <c r="AD23" s="1633"/>
      <c r="AE23" s="1633"/>
      <c r="AF23" s="1633"/>
      <c r="AG23" s="1634"/>
    </row>
    <row r="24" spans="1:37" ht="22.15" customHeight="1" thickBot="1" x14ac:dyDescent="0.25">
      <c r="A24" s="688"/>
      <c r="B24" s="1665" t="s">
        <v>287</v>
      </c>
      <c r="C24" s="1612"/>
      <c r="D24" s="1612" t="s">
        <v>31</v>
      </c>
      <c r="E24" s="1612" t="s">
        <v>31</v>
      </c>
      <c r="F24" s="1629" t="s">
        <v>31</v>
      </c>
      <c r="G24" s="1612" t="s">
        <v>31</v>
      </c>
      <c r="H24" s="1612" t="s">
        <v>31</v>
      </c>
      <c r="I24" s="1612"/>
      <c r="J24" s="1612"/>
      <c r="K24" s="1612" t="s">
        <v>31</v>
      </c>
      <c r="L24" s="1612" t="s">
        <v>31</v>
      </c>
      <c r="M24" s="1612" t="s">
        <v>31</v>
      </c>
      <c r="N24" s="1633" t="s">
        <v>31</v>
      </c>
      <c r="O24" s="1633" t="s">
        <v>31</v>
      </c>
      <c r="P24" s="1633"/>
      <c r="Q24" s="1628"/>
      <c r="R24" s="1633" t="s">
        <v>31</v>
      </c>
      <c r="S24" s="1612" t="s">
        <v>31</v>
      </c>
      <c r="T24" s="1612" t="s">
        <v>31</v>
      </c>
      <c r="U24" s="1633" t="s">
        <v>31</v>
      </c>
      <c r="V24" s="1633" t="s">
        <v>31</v>
      </c>
      <c r="W24" s="1633"/>
      <c r="X24" s="1612"/>
      <c r="Y24" s="1633" t="s">
        <v>31</v>
      </c>
      <c r="Z24" s="1612" t="s">
        <v>31</v>
      </c>
      <c r="AA24" s="1612" t="s">
        <v>31</v>
      </c>
      <c r="AB24" s="1612" t="s">
        <v>31</v>
      </c>
      <c r="AC24" s="1958" t="s">
        <v>31</v>
      </c>
      <c r="AD24" s="1629"/>
      <c r="AE24" s="1612"/>
      <c r="AF24" s="1629" t="s">
        <v>31</v>
      </c>
      <c r="AG24" s="1634"/>
    </row>
    <row r="25" spans="1:37" ht="22.15" customHeight="1" x14ac:dyDescent="0.2">
      <c r="A25" s="102"/>
      <c r="D25" t="s">
        <v>0</v>
      </c>
      <c r="E25" t="s">
        <v>0</v>
      </c>
      <c r="F25" t="s">
        <v>0</v>
      </c>
      <c r="G25" t="s">
        <v>0</v>
      </c>
      <c r="I25" t="s">
        <v>0</v>
      </c>
      <c r="J25" t="s">
        <v>0</v>
      </c>
      <c r="K25" s="2095" t="s">
        <v>0</v>
      </c>
      <c r="L25" s="2095" t="s">
        <v>0</v>
      </c>
      <c r="M25" s="2095" t="s">
        <v>0</v>
      </c>
      <c r="N25" s="2096" t="s">
        <v>0</v>
      </c>
      <c r="O25" s="2096" t="s">
        <v>0</v>
      </c>
      <c r="V25" s="1612" t="s">
        <v>0</v>
      </c>
      <c r="W25" t="s">
        <v>0</v>
      </c>
      <c r="X25" t="s">
        <v>0</v>
      </c>
      <c r="Y25" t="s">
        <v>0</v>
      </c>
      <c r="Z25" t="s">
        <v>0</v>
      </c>
      <c r="AA25" s="2095" t="s">
        <v>0</v>
      </c>
      <c r="AB25" t="s">
        <v>0</v>
      </c>
      <c r="AC25" t="s">
        <v>0</v>
      </c>
      <c r="AD25" t="s">
        <v>0</v>
      </c>
      <c r="AE25" s="535" t="s">
        <v>0</v>
      </c>
      <c r="AF25">
        <v>89</v>
      </c>
    </row>
    <row r="26" spans="1:37" ht="22.15" customHeight="1" x14ac:dyDescent="0.2">
      <c r="A26" s="102"/>
      <c r="I26" t="s">
        <v>0</v>
      </c>
      <c r="K26" t="s">
        <v>0</v>
      </c>
      <c r="L26" t="s">
        <v>0</v>
      </c>
      <c r="M26" t="s">
        <v>0</v>
      </c>
      <c r="N26" t="s">
        <v>0</v>
      </c>
      <c r="O26" t="s">
        <v>0</v>
      </c>
      <c r="W26" t="s">
        <v>0</v>
      </c>
      <c r="X26" t="s">
        <v>0</v>
      </c>
      <c r="Y26" t="s">
        <v>0</v>
      </c>
      <c r="Z26" t="s">
        <v>0</v>
      </c>
      <c r="AA26" t="s">
        <v>0</v>
      </c>
      <c r="AB26" t="s">
        <v>0</v>
      </c>
      <c r="AC26" t="s">
        <v>0</v>
      </c>
      <c r="AF26" t="s">
        <v>0</v>
      </c>
    </row>
    <row r="27" spans="1:37" ht="22.15" customHeight="1" x14ac:dyDescent="0.2">
      <c r="A27" s="102"/>
      <c r="K27" t="s">
        <v>0</v>
      </c>
      <c r="L27" t="s">
        <v>0</v>
      </c>
      <c r="M27" t="s">
        <v>0</v>
      </c>
      <c r="N27" t="s">
        <v>0</v>
      </c>
      <c r="O27" t="s">
        <v>0</v>
      </c>
      <c r="P27" t="s">
        <v>0</v>
      </c>
      <c r="Q27" t="s">
        <v>0</v>
      </c>
    </row>
    <row r="28" spans="1:37" ht="22.15" customHeight="1" x14ac:dyDescent="0.2">
      <c r="A28" s="102"/>
    </row>
    <row r="29" spans="1:37" ht="22.15" customHeight="1" x14ac:dyDescent="0.2">
      <c r="A29" s="102"/>
    </row>
    <row r="30" spans="1:37" ht="12.75" customHeight="1" thickBot="1" x14ac:dyDescent="0.25">
      <c r="A30" s="162" t="s">
        <v>48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37" ht="28.5" customHeight="1" x14ac:dyDescent="0.2">
      <c r="A31" s="302" t="s">
        <v>49</v>
      </c>
      <c r="B31" s="404"/>
      <c r="C31" s="404"/>
      <c r="D31" s="471" t="s">
        <v>50</v>
      </c>
      <c r="E31" s="405"/>
      <c r="F31" s="405"/>
      <c r="G31" s="405"/>
      <c r="H31" s="405"/>
      <c r="I31" s="405"/>
      <c r="J31" s="405"/>
      <c r="K31" s="405"/>
      <c r="L31" s="405"/>
      <c r="M31" s="406" t="s">
        <v>51</v>
      </c>
      <c r="N31" s="405"/>
      <c r="O31" s="405"/>
      <c r="P31" s="405"/>
      <c r="Q31" s="405"/>
      <c r="R31" s="405"/>
      <c r="S31" s="407"/>
      <c r="T31" s="3653" t="s">
        <v>52</v>
      </c>
      <c r="U31" s="3654"/>
      <c r="V31" s="3654"/>
      <c r="W31" s="3654"/>
      <c r="X31" s="3654"/>
      <c r="Y31" s="3654"/>
      <c r="Z31" s="3655"/>
      <c r="AA31" s="472" t="s">
        <v>53</v>
      </c>
      <c r="AB31" s="473"/>
      <c r="AC31" s="473"/>
      <c r="AD31" s="473"/>
      <c r="AE31" s="473"/>
      <c r="AF31" s="473"/>
      <c r="AG31" s="474"/>
      <c r="AK31" s="1"/>
    </row>
    <row r="32" spans="1:37" ht="22.15" customHeight="1" x14ac:dyDescent="0.2">
      <c r="A32" s="1227" t="s">
        <v>54</v>
      </c>
      <c r="B32" s="1180"/>
      <c r="C32" s="1180"/>
      <c r="D32" s="1228" t="s">
        <v>55</v>
      </c>
      <c r="E32" s="1229"/>
      <c r="F32" s="1167"/>
      <c r="G32" s="1167"/>
      <c r="H32" s="1167"/>
      <c r="I32" s="1167"/>
      <c r="J32" s="1167"/>
      <c r="K32" s="1167"/>
      <c r="L32" s="1175"/>
      <c r="M32" s="1230" t="s">
        <v>56</v>
      </c>
      <c r="N32" s="1180"/>
      <c r="O32" s="1231"/>
      <c r="P32" s="1180"/>
      <c r="Q32" s="1180"/>
      <c r="R32" s="1180"/>
      <c r="S32" s="1232"/>
      <c r="T32" s="1228" t="s">
        <v>57</v>
      </c>
      <c r="U32" s="1167"/>
      <c r="V32" s="1229"/>
      <c r="W32" s="1167"/>
      <c r="X32" s="1167"/>
      <c r="Y32" s="1167"/>
      <c r="Z32" s="1175"/>
      <c r="AA32" s="163" t="s">
        <v>58</v>
      </c>
      <c r="AD32" s="100"/>
      <c r="AG32" s="103"/>
      <c r="AK32" s="1"/>
    </row>
    <row r="33" spans="1:38" ht="22.15" customHeight="1" x14ac:dyDescent="0.2">
      <c r="A33" s="1233" t="s">
        <v>59</v>
      </c>
      <c r="B33" s="1167"/>
      <c r="C33" s="1167"/>
      <c r="D33" s="1234"/>
      <c r="E33" s="1167"/>
      <c r="F33" s="1167"/>
      <c r="G33" s="1175"/>
      <c r="H33" s="1182" t="s">
        <v>60</v>
      </c>
      <c r="I33" s="1167"/>
      <c r="J33" s="1167"/>
      <c r="K33" s="1167"/>
      <c r="L33" s="1167"/>
      <c r="M33" s="1235"/>
      <c r="N33" s="1167"/>
      <c r="O33" s="1167"/>
      <c r="P33" s="1167" t="s">
        <v>402</v>
      </c>
      <c r="Q33" s="1167"/>
      <c r="R33" s="1167"/>
      <c r="S33" s="1167"/>
      <c r="T33" s="1234"/>
      <c r="U33" s="162" t="s">
        <v>61</v>
      </c>
      <c r="AA33" s="1231"/>
      <c r="AB33" s="1180"/>
      <c r="AC33" s="1180"/>
      <c r="AD33" s="1180"/>
      <c r="AE33" s="1180"/>
      <c r="AF33" s="1180"/>
      <c r="AG33" s="1236"/>
      <c r="AK33" s="64"/>
    </row>
    <row r="34" spans="1:38" ht="22.15" customHeight="1" thickBot="1" x14ac:dyDescent="0.25">
      <c r="A34" s="1935" t="s">
        <v>62</v>
      </c>
      <c r="B34" s="1238"/>
      <c r="C34" s="1238"/>
      <c r="D34" s="1239"/>
      <c r="E34" s="1238"/>
      <c r="F34" s="1238"/>
      <c r="G34" s="1240"/>
      <c r="H34" s="1241" t="s">
        <v>63</v>
      </c>
      <c r="I34" s="1240"/>
      <c r="J34" s="1238"/>
      <c r="K34" s="1238"/>
      <c r="L34" s="1238"/>
      <c r="M34" s="1242"/>
      <c r="N34" s="1238"/>
      <c r="O34" s="1238"/>
      <c r="P34" s="1238"/>
      <c r="Q34" s="1243"/>
      <c r="R34" s="1243"/>
      <c r="S34" s="1243"/>
      <c r="T34" s="1239"/>
      <c r="U34" s="1244" t="s">
        <v>64</v>
      </c>
      <c r="V34" s="1238"/>
      <c r="W34" s="1238"/>
      <c r="X34" s="1238"/>
      <c r="Y34" s="1238"/>
      <c r="Z34" s="1238"/>
      <c r="AA34" s="1238"/>
      <c r="AB34" s="1238"/>
      <c r="AC34" s="1238"/>
      <c r="AD34" s="1238"/>
      <c r="AE34" s="1238"/>
      <c r="AF34" s="1238"/>
      <c r="AG34" s="1245"/>
      <c r="AK34" s="1"/>
    </row>
    <row r="35" spans="1:38" ht="22.1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  <c r="AJ35" s="177"/>
    </row>
    <row r="36" spans="1:38" ht="22.15" customHeight="1" thickBot="1" x14ac:dyDescent="0.25">
      <c r="A36" s="1246" t="s">
        <v>28</v>
      </c>
      <c r="B36" s="1247" t="s">
        <v>29</v>
      </c>
      <c r="C36" s="1185">
        <v>1</v>
      </c>
      <c r="D36" s="1186">
        <v>2</v>
      </c>
      <c r="E36" s="1186">
        <v>3</v>
      </c>
      <c r="F36" s="1186">
        <v>4</v>
      </c>
      <c r="G36" s="1186">
        <v>5</v>
      </c>
      <c r="H36" s="1186">
        <v>6</v>
      </c>
      <c r="I36" s="1185">
        <v>7</v>
      </c>
      <c r="J36" s="1185">
        <v>8</v>
      </c>
      <c r="K36" s="1186">
        <v>9</v>
      </c>
      <c r="L36" s="1186">
        <v>10</v>
      </c>
      <c r="M36" s="1186">
        <v>11</v>
      </c>
      <c r="N36" s="1186">
        <v>12</v>
      </c>
      <c r="O36" s="1186">
        <v>13</v>
      </c>
      <c r="P36" s="1185">
        <v>14</v>
      </c>
      <c r="Q36" s="1185">
        <v>15</v>
      </c>
      <c r="R36" s="1186">
        <v>16</v>
      </c>
      <c r="S36" s="1186">
        <v>17</v>
      </c>
      <c r="T36" s="1186">
        <v>18</v>
      </c>
      <c r="U36" s="1186">
        <v>19</v>
      </c>
      <c r="V36" s="1186">
        <v>20</v>
      </c>
      <c r="W36" s="1185">
        <v>21</v>
      </c>
      <c r="X36" s="1185">
        <v>22</v>
      </c>
      <c r="Y36" s="1186">
        <v>23</v>
      </c>
      <c r="Z36" s="1186">
        <v>24</v>
      </c>
      <c r="AA36" s="1186">
        <v>25</v>
      </c>
      <c r="AB36" s="1186">
        <v>26</v>
      </c>
      <c r="AC36" s="1186">
        <v>27</v>
      </c>
      <c r="AD36" s="1185">
        <v>28</v>
      </c>
      <c r="AE36" s="1185">
        <v>29</v>
      </c>
      <c r="AF36" s="1186">
        <v>30</v>
      </c>
      <c r="AG36" s="1945"/>
      <c r="AH36" s="184"/>
      <c r="AI36" s="185"/>
      <c r="AL36" t="s">
        <v>0</v>
      </c>
    </row>
    <row r="37" spans="1:38" ht="22.15" customHeight="1" x14ac:dyDescent="0.2">
      <c r="A37" s="475">
        <v>1</v>
      </c>
      <c r="B37" s="476" t="s">
        <v>65</v>
      </c>
      <c r="C37" s="477" t="s">
        <v>69</v>
      </c>
      <c r="D37" s="458">
        <v>8</v>
      </c>
      <c r="E37" s="477">
        <v>8</v>
      </c>
      <c r="F37" s="477">
        <v>8</v>
      </c>
      <c r="G37" s="477">
        <v>8</v>
      </c>
      <c r="H37" s="477">
        <v>8</v>
      </c>
      <c r="I37" s="477"/>
      <c r="J37" s="458"/>
      <c r="K37" s="477" t="s">
        <v>35</v>
      </c>
      <c r="L37" s="477" t="s">
        <v>35</v>
      </c>
      <c r="M37" s="477" t="s">
        <v>35</v>
      </c>
      <c r="N37" s="477" t="s">
        <v>35</v>
      </c>
      <c r="O37" s="458" t="s">
        <v>35</v>
      </c>
      <c r="P37" s="477"/>
      <c r="Q37" s="459"/>
      <c r="R37" s="458">
        <v>1</v>
      </c>
      <c r="S37" s="458">
        <v>1</v>
      </c>
      <c r="T37" s="458">
        <v>1</v>
      </c>
      <c r="U37" s="458">
        <v>1</v>
      </c>
      <c r="V37" s="458">
        <v>1</v>
      </c>
      <c r="W37" s="477"/>
      <c r="X37" s="459"/>
      <c r="Y37" s="459">
        <v>9</v>
      </c>
      <c r="Z37" s="477">
        <v>9</v>
      </c>
      <c r="AA37" s="477">
        <v>9</v>
      </c>
      <c r="AB37" s="459">
        <v>9</v>
      </c>
      <c r="AC37" s="459">
        <v>9</v>
      </c>
      <c r="AD37" s="459" t="s">
        <v>66</v>
      </c>
      <c r="AE37" s="477" t="s">
        <v>67</v>
      </c>
      <c r="AF37" s="477" t="s">
        <v>35</v>
      </c>
      <c r="AG37" s="478"/>
      <c r="AH37" s="189"/>
      <c r="AI37" s="190"/>
    </row>
    <row r="38" spans="1:38" ht="22.15" customHeight="1" x14ac:dyDescent="0.2">
      <c r="A38" s="1249">
        <v>6</v>
      </c>
      <c r="B38" s="1665" t="s">
        <v>180</v>
      </c>
      <c r="C38" s="1193" t="s">
        <v>69</v>
      </c>
      <c r="D38" s="1193">
        <v>6</v>
      </c>
      <c r="E38" s="1193">
        <v>6</v>
      </c>
      <c r="F38" s="1193">
        <v>6</v>
      </c>
      <c r="G38" s="1193">
        <v>6</v>
      </c>
      <c r="H38" s="1193">
        <v>6</v>
      </c>
      <c r="I38" s="1193"/>
      <c r="J38" s="1193"/>
      <c r="K38" s="1193" t="s">
        <v>35</v>
      </c>
      <c r="L38" s="1193" t="s">
        <v>35</v>
      </c>
      <c r="M38" s="1193" t="s">
        <v>35</v>
      </c>
      <c r="N38" s="1193" t="s">
        <v>35</v>
      </c>
      <c r="O38" s="1193" t="s">
        <v>35</v>
      </c>
      <c r="P38" s="1193"/>
      <c r="Q38" s="1193"/>
      <c r="R38" s="2025">
        <v>5</v>
      </c>
      <c r="S38" s="2078">
        <v>5</v>
      </c>
      <c r="T38" s="2078">
        <v>5</v>
      </c>
      <c r="U38" s="2078">
        <v>5</v>
      </c>
      <c r="V38" s="2078">
        <v>5</v>
      </c>
      <c r="W38" s="1193"/>
      <c r="X38" s="1193"/>
      <c r="Y38" s="1193">
        <v>10</v>
      </c>
      <c r="Z38" s="1193">
        <v>10</v>
      </c>
      <c r="AA38" s="1193">
        <v>10</v>
      </c>
      <c r="AB38" s="1193">
        <v>10</v>
      </c>
      <c r="AC38" s="1193">
        <v>10</v>
      </c>
      <c r="AD38" s="1193" t="s">
        <v>67</v>
      </c>
      <c r="AE38" s="1193" t="s">
        <v>67</v>
      </c>
      <c r="AF38" s="1193" t="s">
        <v>35</v>
      </c>
      <c r="AG38" s="1251"/>
      <c r="AH38" s="189"/>
      <c r="AI38" s="190"/>
    </row>
    <row r="39" spans="1:38" ht="22.15" customHeight="1" thickBot="1" x14ac:dyDescent="0.25">
      <c r="A39" s="1936">
        <v>11</v>
      </c>
      <c r="B39" s="1253" t="s">
        <v>72</v>
      </c>
      <c r="C39" s="1254" t="s">
        <v>71</v>
      </c>
      <c r="D39" s="1255">
        <v>7</v>
      </c>
      <c r="E39" s="1255">
        <v>7</v>
      </c>
      <c r="F39" s="1255">
        <v>7</v>
      </c>
      <c r="G39" s="1255">
        <v>7</v>
      </c>
      <c r="H39" s="1255">
        <v>7</v>
      </c>
      <c r="I39" s="1255"/>
      <c r="J39" s="1255"/>
      <c r="K39" s="2097" t="s">
        <v>70</v>
      </c>
      <c r="L39" s="2097" t="s">
        <v>70</v>
      </c>
      <c r="M39" s="2097" t="s">
        <v>70</v>
      </c>
      <c r="N39" s="1186">
        <v>6</v>
      </c>
      <c r="O39" s="1255" t="s">
        <v>83</v>
      </c>
      <c r="P39" s="1255" t="s">
        <v>83</v>
      </c>
      <c r="Q39" s="1254">
        <v>22</v>
      </c>
      <c r="R39" s="1254">
        <v>3</v>
      </c>
      <c r="S39" s="1254">
        <v>3</v>
      </c>
      <c r="T39" s="1254">
        <v>3</v>
      </c>
      <c r="U39" s="1254">
        <v>3</v>
      </c>
      <c r="V39" s="1254">
        <v>3</v>
      </c>
      <c r="W39" s="1938"/>
      <c r="X39" s="1938"/>
      <c r="Y39" s="1255">
        <v>11</v>
      </c>
      <c r="Z39" s="1255">
        <v>11</v>
      </c>
      <c r="AA39" s="1255">
        <v>11</v>
      </c>
      <c r="AB39" s="1263">
        <v>11</v>
      </c>
      <c r="AC39" s="1263">
        <v>11</v>
      </c>
      <c r="AD39" s="1263" t="s">
        <v>73</v>
      </c>
      <c r="AE39" s="1255" t="s">
        <v>73</v>
      </c>
      <c r="AF39" s="1255" t="s">
        <v>35</v>
      </c>
      <c r="AG39" s="2021"/>
      <c r="AH39" s="189"/>
      <c r="AI39" s="190"/>
    </row>
    <row r="40" spans="1:38" ht="22.15" customHeight="1" x14ac:dyDescent="0.2">
      <c r="A40" s="475">
        <v>2</v>
      </c>
      <c r="B40" s="183" t="s">
        <v>74</v>
      </c>
      <c r="C40" s="458"/>
      <c r="D40" s="458" t="s">
        <v>35</v>
      </c>
      <c r="E40" s="458" t="s">
        <v>35</v>
      </c>
      <c r="F40" s="458" t="s">
        <v>35</v>
      </c>
      <c r="G40" s="458" t="s">
        <v>35</v>
      </c>
      <c r="H40" s="477" t="s">
        <v>35</v>
      </c>
      <c r="I40" s="477"/>
      <c r="J40" s="458"/>
      <c r="K40" s="458">
        <v>1</v>
      </c>
      <c r="L40" s="458">
        <v>1</v>
      </c>
      <c r="M40" s="458">
        <v>1</v>
      </c>
      <c r="N40" s="458">
        <v>1</v>
      </c>
      <c r="O40" s="458">
        <v>1</v>
      </c>
      <c r="P40" s="477"/>
      <c r="Q40" s="459"/>
      <c r="R40" s="459">
        <v>9</v>
      </c>
      <c r="S40" s="458">
        <v>9</v>
      </c>
      <c r="T40" s="459">
        <v>9</v>
      </c>
      <c r="U40" s="459">
        <v>9</v>
      </c>
      <c r="V40" s="459">
        <v>9</v>
      </c>
      <c r="W40" s="459" t="s">
        <v>66</v>
      </c>
      <c r="X40" s="459" t="s">
        <v>67</v>
      </c>
      <c r="Y40" s="477" t="s">
        <v>35</v>
      </c>
      <c r="Z40" s="477" t="s">
        <v>35</v>
      </c>
      <c r="AA40" s="477" t="s">
        <v>35</v>
      </c>
      <c r="AB40" s="477" t="s">
        <v>35</v>
      </c>
      <c r="AC40" s="459" t="s">
        <v>35</v>
      </c>
      <c r="AD40" s="459" t="s">
        <v>68</v>
      </c>
      <c r="AE40" s="477" t="s">
        <v>69</v>
      </c>
      <c r="AF40" s="477">
        <v>6</v>
      </c>
      <c r="AG40" s="478"/>
      <c r="AH40" s="189"/>
      <c r="AI40" s="190"/>
    </row>
    <row r="41" spans="1:38" ht="22.15" customHeight="1" x14ac:dyDescent="0.2">
      <c r="A41" s="1249">
        <v>7</v>
      </c>
      <c r="B41" s="1202" t="s">
        <v>75</v>
      </c>
      <c r="C41" s="1258"/>
      <c r="D41" s="1258" t="s">
        <v>35</v>
      </c>
      <c r="E41" s="1259" t="s">
        <v>35</v>
      </c>
      <c r="F41" s="1259" t="s">
        <v>35</v>
      </c>
      <c r="G41" s="1259" t="s">
        <v>35</v>
      </c>
      <c r="H41" s="1259" t="s">
        <v>35</v>
      </c>
      <c r="I41" s="1259"/>
      <c r="J41" s="1258"/>
      <c r="K41" s="1260">
        <v>5</v>
      </c>
      <c r="L41" s="1260">
        <v>5</v>
      </c>
      <c r="M41" s="1260">
        <v>5</v>
      </c>
      <c r="N41" s="1259">
        <v>5</v>
      </c>
      <c r="O41" s="1259">
        <v>5</v>
      </c>
      <c r="P41" s="1259"/>
      <c r="Q41" s="1258"/>
      <c r="R41" s="1259">
        <v>10</v>
      </c>
      <c r="S41" s="1259">
        <v>10</v>
      </c>
      <c r="T41" s="1260">
        <v>10</v>
      </c>
      <c r="U41" s="1260">
        <v>10</v>
      </c>
      <c r="V41" s="1260">
        <v>10</v>
      </c>
      <c r="W41" s="1260" t="s">
        <v>67</v>
      </c>
      <c r="X41" s="1259" t="s">
        <v>67</v>
      </c>
      <c r="Y41" s="1259" t="s">
        <v>35</v>
      </c>
      <c r="Z41" s="1259" t="s">
        <v>35</v>
      </c>
      <c r="AA41" s="1259" t="s">
        <v>35</v>
      </c>
      <c r="AB41" s="1259" t="s">
        <v>35</v>
      </c>
      <c r="AC41" s="1259" t="s">
        <v>35</v>
      </c>
      <c r="AD41" s="1259" t="s">
        <v>71</v>
      </c>
      <c r="AE41" s="1259" t="s">
        <v>71</v>
      </c>
      <c r="AF41" s="1259">
        <v>7</v>
      </c>
      <c r="AG41" s="1261"/>
      <c r="AH41" s="189"/>
      <c r="AI41" s="190"/>
    </row>
    <row r="42" spans="1:38" ht="22.15" customHeight="1" thickBot="1" x14ac:dyDescent="0.25">
      <c r="A42" s="1936">
        <v>12</v>
      </c>
      <c r="B42" s="1262" t="s">
        <v>76</v>
      </c>
      <c r="C42" s="1255"/>
      <c r="D42" s="1413">
        <v>99</v>
      </c>
      <c r="E42" s="1413">
        <v>99</v>
      </c>
      <c r="F42" s="1254">
        <v>4</v>
      </c>
      <c r="G42" s="1413">
        <v>99</v>
      </c>
      <c r="H42" s="1254">
        <v>4</v>
      </c>
      <c r="I42" s="1255"/>
      <c r="J42" s="1255"/>
      <c r="K42" s="1255">
        <v>79</v>
      </c>
      <c r="L42" s="1255">
        <v>79</v>
      </c>
      <c r="M42" s="1255">
        <v>79</v>
      </c>
      <c r="N42" s="1255">
        <v>79</v>
      </c>
      <c r="O42" s="1255">
        <v>79</v>
      </c>
      <c r="P42" s="1255"/>
      <c r="Q42" s="1254"/>
      <c r="R42" s="1255">
        <v>11</v>
      </c>
      <c r="S42" s="1255">
        <v>11</v>
      </c>
      <c r="T42" s="1255">
        <v>11</v>
      </c>
      <c r="U42" s="1263">
        <v>11</v>
      </c>
      <c r="V42" s="1263">
        <v>11</v>
      </c>
      <c r="W42" s="1263" t="s">
        <v>73</v>
      </c>
      <c r="X42" s="1255" t="s">
        <v>73</v>
      </c>
      <c r="Y42" s="1255" t="s">
        <v>35</v>
      </c>
      <c r="Z42" s="1255" t="s">
        <v>35</v>
      </c>
      <c r="AA42" s="1255" t="s">
        <v>35</v>
      </c>
      <c r="AB42" s="1255" t="s">
        <v>35</v>
      </c>
      <c r="AC42" s="1254" t="s">
        <v>35</v>
      </c>
      <c r="AD42" s="1941" t="s">
        <v>69</v>
      </c>
      <c r="AE42" s="1941" t="s">
        <v>69</v>
      </c>
      <c r="AF42" s="1256">
        <v>8</v>
      </c>
      <c r="AG42" s="1945"/>
      <c r="AH42" s="189"/>
      <c r="AI42" s="190"/>
    </row>
    <row r="43" spans="1:38" ht="22.15" customHeight="1" x14ac:dyDescent="0.2">
      <c r="A43" s="475">
        <v>3</v>
      </c>
      <c r="B43" s="479" t="s">
        <v>77</v>
      </c>
      <c r="C43" s="637"/>
      <c r="D43" s="539">
        <v>1</v>
      </c>
      <c r="E43" s="483">
        <v>1</v>
      </c>
      <c r="F43" s="483">
        <v>1</v>
      </c>
      <c r="G43" s="483">
        <v>1</v>
      </c>
      <c r="H43" s="483" t="s">
        <v>384</v>
      </c>
      <c r="I43" s="462"/>
      <c r="J43" s="462"/>
      <c r="K43" s="459">
        <v>9</v>
      </c>
      <c r="L43" s="459">
        <v>9</v>
      </c>
      <c r="M43" s="459">
        <v>9</v>
      </c>
      <c r="N43" s="459">
        <v>9</v>
      </c>
      <c r="O43" s="459">
        <v>9</v>
      </c>
      <c r="P43" s="459" t="s">
        <v>66</v>
      </c>
      <c r="Q43" s="459" t="s">
        <v>67</v>
      </c>
      <c r="R43" s="477" t="s">
        <v>35</v>
      </c>
      <c r="S43" s="477" t="s">
        <v>35</v>
      </c>
      <c r="T43" s="477" t="s">
        <v>35</v>
      </c>
      <c r="U43" s="477" t="s">
        <v>35</v>
      </c>
      <c r="V43" s="459" t="s">
        <v>35</v>
      </c>
      <c r="W43" s="481" t="s">
        <v>68</v>
      </c>
      <c r="X43" s="461" t="s">
        <v>69</v>
      </c>
      <c r="Y43" s="485">
        <v>6</v>
      </c>
      <c r="Z43" s="485">
        <v>6</v>
      </c>
      <c r="AA43" s="485">
        <v>6</v>
      </c>
      <c r="AB43" s="485">
        <v>6</v>
      </c>
      <c r="AC43" s="560">
        <v>6</v>
      </c>
      <c r="AD43" s="477"/>
      <c r="AE43" s="477"/>
      <c r="AF43" s="477" t="s">
        <v>35</v>
      </c>
      <c r="AG43" s="478"/>
      <c r="AH43" s="189"/>
      <c r="AI43" s="190"/>
    </row>
    <row r="44" spans="1:38" ht="22.15" customHeight="1" x14ac:dyDescent="0.2">
      <c r="A44" s="1249">
        <v>8</v>
      </c>
      <c r="B44" s="1202" t="s">
        <v>111</v>
      </c>
      <c r="C44" s="1199"/>
      <c r="D44" s="1199">
        <v>5</v>
      </c>
      <c r="E44" s="1199">
        <v>5</v>
      </c>
      <c r="F44" s="1199">
        <v>5</v>
      </c>
      <c r="G44" s="1199">
        <v>5</v>
      </c>
      <c r="H44" s="1199">
        <v>5</v>
      </c>
      <c r="I44" s="1259"/>
      <c r="J44" s="1258"/>
      <c r="K44" s="1193">
        <v>10</v>
      </c>
      <c r="L44" s="1193">
        <v>10</v>
      </c>
      <c r="M44" s="1193">
        <v>10</v>
      </c>
      <c r="N44" s="1199">
        <v>10</v>
      </c>
      <c r="O44" s="1259">
        <v>10</v>
      </c>
      <c r="P44" s="1259" t="s">
        <v>67</v>
      </c>
      <c r="Q44" s="1259" t="s">
        <v>67</v>
      </c>
      <c r="R44" s="1259" t="s">
        <v>35</v>
      </c>
      <c r="S44" s="1259" t="s">
        <v>35</v>
      </c>
      <c r="T44" s="1259" t="s">
        <v>35</v>
      </c>
      <c r="U44" s="1259" t="s">
        <v>35</v>
      </c>
      <c r="V44" s="1259" t="s">
        <v>35</v>
      </c>
      <c r="W44" s="1259" t="s">
        <v>71</v>
      </c>
      <c r="X44" s="1258" t="s">
        <v>71</v>
      </c>
      <c r="Y44" s="1259">
        <v>7</v>
      </c>
      <c r="Z44" s="1259">
        <v>7</v>
      </c>
      <c r="AA44" s="1259">
        <v>7</v>
      </c>
      <c r="AB44" s="1259">
        <v>7</v>
      </c>
      <c r="AC44" s="1259">
        <v>7</v>
      </c>
      <c r="AD44" s="1199"/>
      <c r="AE44" s="1199"/>
      <c r="AF44" s="1267">
        <v>4</v>
      </c>
      <c r="AG44" s="1261"/>
      <c r="AH44" s="189"/>
      <c r="AI44" s="190"/>
    </row>
    <row r="45" spans="1:38" ht="22.15" customHeight="1" thickBot="1" x14ac:dyDescent="0.25">
      <c r="A45" s="1936">
        <v>13</v>
      </c>
      <c r="B45" s="1253" t="s">
        <v>79</v>
      </c>
      <c r="C45" s="1254"/>
      <c r="D45" s="1941">
        <v>3</v>
      </c>
      <c r="E45" s="1941">
        <v>3</v>
      </c>
      <c r="F45" s="1271">
        <v>3</v>
      </c>
      <c r="G45" s="1271">
        <v>3</v>
      </c>
      <c r="H45" s="1271">
        <v>3</v>
      </c>
      <c r="I45" s="1255"/>
      <c r="J45" s="1254"/>
      <c r="K45" s="1255">
        <v>11</v>
      </c>
      <c r="L45" s="1263">
        <v>11</v>
      </c>
      <c r="M45" s="1255">
        <v>11</v>
      </c>
      <c r="N45" s="1263">
        <v>11</v>
      </c>
      <c r="O45" s="1263">
        <v>11</v>
      </c>
      <c r="P45" s="1263" t="s">
        <v>73</v>
      </c>
      <c r="Q45" s="1255" t="s">
        <v>73</v>
      </c>
      <c r="R45" s="1255" t="s">
        <v>35</v>
      </c>
      <c r="S45" s="1255" t="s">
        <v>35</v>
      </c>
      <c r="T45" s="1255" t="s">
        <v>35</v>
      </c>
      <c r="U45" s="1255" t="s">
        <v>35</v>
      </c>
      <c r="V45" s="1255" t="s">
        <v>35</v>
      </c>
      <c r="W45" s="1271" t="s">
        <v>69</v>
      </c>
      <c r="X45" s="1271" t="s">
        <v>69</v>
      </c>
      <c r="Y45" s="1254">
        <v>8</v>
      </c>
      <c r="Z45" s="1255">
        <v>8</v>
      </c>
      <c r="AA45" s="1255">
        <v>8</v>
      </c>
      <c r="AB45" s="1255">
        <v>8</v>
      </c>
      <c r="AC45" s="1255">
        <v>8</v>
      </c>
      <c r="AD45" s="1255"/>
      <c r="AE45" s="1254"/>
      <c r="AF45" s="1255" t="s">
        <v>35</v>
      </c>
      <c r="AG45" s="2021"/>
      <c r="AH45" s="189"/>
      <c r="AI45" s="190"/>
    </row>
    <row r="46" spans="1:38" ht="22.15" customHeight="1" x14ac:dyDescent="0.2">
      <c r="A46" s="475">
        <v>4</v>
      </c>
      <c r="B46" s="476" t="s">
        <v>403</v>
      </c>
      <c r="C46" s="459"/>
      <c r="D46" s="459">
        <v>9</v>
      </c>
      <c r="E46" s="477">
        <v>9</v>
      </c>
      <c r="F46" s="458">
        <v>9</v>
      </c>
      <c r="G46" s="458">
        <v>9</v>
      </c>
      <c r="H46" s="458">
        <v>9</v>
      </c>
      <c r="I46" s="458" t="s">
        <v>66</v>
      </c>
      <c r="J46" s="458" t="s">
        <v>67</v>
      </c>
      <c r="K46" s="458" t="s">
        <v>35</v>
      </c>
      <c r="L46" s="458" t="s">
        <v>35</v>
      </c>
      <c r="M46" s="458" t="s">
        <v>35</v>
      </c>
      <c r="N46" s="458" t="s">
        <v>35</v>
      </c>
      <c r="O46" s="458" t="s">
        <v>35</v>
      </c>
      <c r="P46" s="458" t="s">
        <v>68</v>
      </c>
      <c r="Q46" s="621" t="s">
        <v>69</v>
      </c>
      <c r="R46" s="621" t="s">
        <v>341</v>
      </c>
      <c r="S46" s="621">
        <v>6</v>
      </c>
      <c r="T46" s="621">
        <v>6</v>
      </c>
      <c r="U46" s="621">
        <v>6</v>
      </c>
      <c r="V46" s="621">
        <v>6</v>
      </c>
      <c r="W46" s="621"/>
      <c r="X46" s="621"/>
      <c r="Y46" s="621" t="s">
        <v>35</v>
      </c>
      <c r="Z46" s="621" t="s">
        <v>35</v>
      </c>
      <c r="AA46" s="621" t="s">
        <v>35</v>
      </c>
      <c r="AB46" s="621" t="s">
        <v>35</v>
      </c>
      <c r="AC46" s="621" t="s">
        <v>35</v>
      </c>
      <c r="AD46" s="621"/>
      <c r="AE46" s="621"/>
      <c r="AF46" s="621">
        <v>5</v>
      </c>
      <c r="AG46" s="655"/>
      <c r="AH46" s="189"/>
      <c r="AI46" s="190"/>
    </row>
    <row r="47" spans="1:38" ht="22.15" customHeight="1" x14ac:dyDescent="0.2">
      <c r="A47" s="1249">
        <v>9</v>
      </c>
      <c r="B47" s="1202" t="s">
        <v>84</v>
      </c>
      <c r="C47" s="1258"/>
      <c r="D47" s="1259">
        <v>10</v>
      </c>
      <c r="E47" s="1259">
        <v>10</v>
      </c>
      <c r="F47" s="1259">
        <v>10</v>
      </c>
      <c r="G47" s="1259">
        <v>10</v>
      </c>
      <c r="H47" s="1259">
        <v>10</v>
      </c>
      <c r="I47" s="1259" t="s">
        <v>67</v>
      </c>
      <c r="J47" s="1259" t="s">
        <v>67</v>
      </c>
      <c r="K47" s="1259" t="s">
        <v>35</v>
      </c>
      <c r="L47" s="1259" t="s">
        <v>35</v>
      </c>
      <c r="M47" s="1259" t="s">
        <v>35</v>
      </c>
      <c r="N47" s="1259" t="s">
        <v>35</v>
      </c>
      <c r="O47" s="1259" t="s">
        <v>35</v>
      </c>
      <c r="P47" s="1259" t="s">
        <v>71</v>
      </c>
      <c r="Q47" s="1258" t="s">
        <v>71</v>
      </c>
      <c r="R47" s="1259">
        <v>7</v>
      </c>
      <c r="S47" s="1259">
        <v>7</v>
      </c>
      <c r="T47" s="1259">
        <v>7</v>
      </c>
      <c r="U47" s="1259">
        <v>7</v>
      </c>
      <c r="V47" s="1259">
        <v>7</v>
      </c>
      <c r="W47" s="1259"/>
      <c r="X47" s="1259"/>
      <c r="Y47" s="1259">
        <v>4</v>
      </c>
      <c r="Z47" s="1259">
        <v>4</v>
      </c>
      <c r="AA47" s="1259">
        <v>4</v>
      </c>
      <c r="AB47" s="1259">
        <v>4</v>
      </c>
      <c r="AC47" s="1259">
        <v>4</v>
      </c>
      <c r="AD47" s="1259"/>
      <c r="AE47" s="1259"/>
      <c r="AF47" s="2098">
        <v>3</v>
      </c>
      <c r="AG47" s="1261"/>
      <c r="AH47" s="189"/>
      <c r="AI47" s="190"/>
    </row>
    <row r="48" spans="1:38" ht="22.15" customHeight="1" thickBot="1" x14ac:dyDescent="0.25">
      <c r="A48" s="1936">
        <v>14</v>
      </c>
      <c r="B48" s="1253" t="s">
        <v>85</v>
      </c>
      <c r="C48" s="1254"/>
      <c r="D48" s="1255">
        <v>11</v>
      </c>
      <c r="E48" s="1255">
        <v>11</v>
      </c>
      <c r="F48" s="1255">
        <v>11</v>
      </c>
      <c r="G48" s="1263">
        <v>11</v>
      </c>
      <c r="H48" s="1263">
        <v>11</v>
      </c>
      <c r="I48" s="1263" t="s">
        <v>73</v>
      </c>
      <c r="J48" s="1255" t="s">
        <v>73</v>
      </c>
      <c r="K48" s="1255" t="s">
        <v>35</v>
      </c>
      <c r="L48" s="1255" t="s">
        <v>35</v>
      </c>
      <c r="M48" s="1255" t="s">
        <v>35</v>
      </c>
      <c r="N48" s="1255" t="s">
        <v>35</v>
      </c>
      <c r="O48" s="1254" t="s">
        <v>35</v>
      </c>
      <c r="P48" s="1255" t="s">
        <v>69</v>
      </c>
      <c r="Q48" s="1255" t="s">
        <v>69</v>
      </c>
      <c r="R48" s="1254">
        <v>8</v>
      </c>
      <c r="S48" s="1255">
        <v>8</v>
      </c>
      <c r="T48" s="1255">
        <v>8</v>
      </c>
      <c r="U48" s="1255">
        <v>8</v>
      </c>
      <c r="V48" s="1255">
        <v>8</v>
      </c>
      <c r="W48" s="1255"/>
      <c r="X48" s="1254"/>
      <c r="Y48" s="1255" t="s">
        <v>35</v>
      </c>
      <c r="Z48" s="1255" t="s">
        <v>35</v>
      </c>
      <c r="AA48" s="1255" t="s">
        <v>35</v>
      </c>
      <c r="AB48" s="1255" t="s">
        <v>35</v>
      </c>
      <c r="AC48" s="1254" t="s">
        <v>35</v>
      </c>
      <c r="AD48" s="1255"/>
      <c r="AE48" s="1255"/>
      <c r="AF48" s="1254">
        <v>1</v>
      </c>
      <c r="AG48" s="1945"/>
      <c r="AH48" s="189"/>
      <c r="AI48" s="190"/>
    </row>
    <row r="49" spans="1:35" ht="22.15" customHeight="1" thickBot="1" x14ac:dyDescent="0.25">
      <c r="A49" s="475">
        <v>5</v>
      </c>
      <c r="B49" s="1202" t="s">
        <v>86</v>
      </c>
      <c r="C49" s="459" t="s">
        <v>67</v>
      </c>
      <c r="D49" s="477" t="s">
        <v>35</v>
      </c>
      <c r="E49" s="477" t="s">
        <v>35</v>
      </c>
      <c r="F49" s="459" t="s">
        <v>35</v>
      </c>
      <c r="G49" s="459" t="s">
        <v>35</v>
      </c>
      <c r="H49" s="459" t="s">
        <v>35</v>
      </c>
      <c r="I49" s="459" t="s">
        <v>68</v>
      </c>
      <c r="J49" s="459" t="s">
        <v>69</v>
      </c>
      <c r="K49" s="477">
        <v>6</v>
      </c>
      <c r="L49" s="477">
        <v>6</v>
      </c>
      <c r="M49" s="477">
        <v>6</v>
      </c>
      <c r="N49" s="621">
        <v>6</v>
      </c>
      <c r="O49" s="621">
        <v>6</v>
      </c>
      <c r="P49" s="621"/>
      <c r="Q49" s="621"/>
      <c r="R49" s="621" t="s">
        <v>35</v>
      </c>
      <c r="S49" s="621" t="s">
        <v>81</v>
      </c>
      <c r="T49" s="477" t="s">
        <v>35</v>
      </c>
      <c r="U49" s="459" t="s">
        <v>35</v>
      </c>
      <c r="V49" s="459" t="s">
        <v>35</v>
      </c>
      <c r="W49" s="459"/>
      <c r="X49" s="459"/>
      <c r="Y49" s="532">
        <v>5</v>
      </c>
      <c r="Z49" s="532">
        <v>5</v>
      </c>
      <c r="AA49" s="532">
        <v>5</v>
      </c>
      <c r="AB49" s="532">
        <v>5</v>
      </c>
      <c r="AC49" s="532">
        <v>5</v>
      </c>
      <c r="AD49" s="532"/>
      <c r="AE49" s="532"/>
      <c r="AF49" s="480">
        <v>10</v>
      </c>
      <c r="AG49" s="486"/>
      <c r="AH49" s="189"/>
      <c r="AI49" s="190"/>
    </row>
    <row r="50" spans="1:35" ht="22.15" customHeight="1" x14ac:dyDescent="0.2">
      <c r="A50" s="1249">
        <v>10</v>
      </c>
      <c r="B50" s="1202" t="s">
        <v>87</v>
      </c>
      <c r="C50" s="1259" t="s">
        <v>67</v>
      </c>
      <c r="D50" s="1259" t="s">
        <v>35</v>
      </c>
      <c r="E50" s="1259" t="s">
        <v>35</v>
      </c>
      <c r="F50" s="1199" t="s">
        <v>35</v>
      </c>
      <c r="G50" s="1193" t="s">
        <v>35</v>
      </c>
      <c r="H50" s="1193" t="s">
        <v>35</v>
      </c>
      <c r="I50" s="2099" t="s">
        <v>71</v>
      </c>
      <c r="J50" s="2099" t="s">
        <v>71</v>
      </c>
      <c r="K50" s="1193">
        <v>7</v>
      </c>
      <c r="L50" s="1193">
        <v>7</v>
      </c>
      <c r="M50" s="1193">
        <v>7</v>
      </c>
      <c r="N50" s="1193">
        <v>7</v>
      </c>
      <c r="O50" s="458">
        <v>7</v>
      </c>
      <c r="P50" s="1193"/>
      <c r="Q50" s="1193"/>
      <c r="R50" s="1198">
        <v>4</v>
      </c>
      <c r="S50" s="1198">
        <v>4</v>
      </c>
      <c r="T50" s="1198">
        <v>4</v>
      </c>
      <c r="U50" s="1198">
        <v>4</v>
      </c>
      <c r="V50" s="1198">
        <v>4</v>
      </c>
      <c r="W50" s="1199"/>
      <c r="X50" s="1259"/>
      <c r="Y50" s="1197">
        <v>3</v>
      </c>
      <c r="Z50" s="1269">
        <v>3</v>
      </c>
      <c r="AA50" s="1269">
        <v>3</v>
      </c>
      <c r="AB50" s="1269">
        <v>3</v>
      </c>
      <c r="AC50" s="1269">
        <v>3</v>
      </c>
      <c r="AD50" s="1259"/>
      <c r="AE50" s="1259"/>
      <c r="AF50" s="1259">
        <v>11</v>
      </c>
      <c r="AG50" s="1261"/>
      <c r="AH50" s="189"/>
      <c r="AI50" s="190"/>
    </row>
    <row r="51" spans="1:35" ht="22.15" customHeight="1" thickBot="1" x14ac:dyDescent="0.25">
      <c r="A51" s="1936">
        <v>15</v>
      </c>
      <c r="B51" s="1253" t="s">
        <v>88</v>
      </c>
      <c r="C51" s="1255" t="s">
        <v>73</v>
      </c>
      <c r="D51" s="1255" t="s">
        <v>35</v>
      </c>
      <c r="E51" s="1255" t="s">
        <v>35</v>
      </c>
      <c r="F51" s="1263" t="s">
        <v>35</v>
      </c>
      <c r="G51" s="1263" t="s">
        <v>35</v>
      </c>
      <c r="H51" s="1263" t="s">
        <v>35</v>
      </c>
      <c r="I51" s="2100" t="s">
        <v>69</v>
      </c>
      <c r="J51" s="1263" t="s">
        <v>69</v>
      </c>
      <c r="K51" s="1254">
        <v>8</v>
      </c>
      <c r="L51" s="1255">
        <v>8</v>
      </c>
      <c r="M51" s="1255">
        <v>8</v>
      </c>
      <c r="N51" s="1255">
        <v>8</v>
      </c>
      <c r="O51" s="1193">
        <v>8</v>
      </c>
      <c r="P51" s="1255"/>
      <c r="Q51" s="1254"/>
      <c r="R51" s="1255" t="s">
        <v>35</v>
      </c>
      <c r="S51" s="1255" t="s">
        <v>35</v>
      </c>
      <c r="T51" s="1255" t="s">
        <v>35</v>
      </c>
      <c r="U51" s="1255" t="s">
        <v>35</v>
      </c>
      <c r="V51" s="1255" t="s">
        <v>35</v>
      </c>
      <c r="W51" s="1255"/>
      <c r="X51" s="1255"/>
      <c r="Y51" s="1254">
        <v>1</v>
      </c>
      <c r="Z51" s="1254">
        <v>1</v>
      </c>
      <c r="AA51" s="1254" t="s">
        <v>228</v>
      </c>
      <c r="AB51" s="1254">
        <v>1</v>
      </c>
      <c r="AC51" s="1254">
        <v>1</v>
      </c>
      <c r="AD51" s="1255"/>
      <c r="AE51" s="1254"/>
      <c r="AF51" s="1263">
        <v>9</v>
      </c>
      <c r="AG51" s="2026"/>
      <c r="AH51" s="189"/>
      <c r="AI51" s="190"/>
    </row>
    <row r="52" spans="1:35" ht="22.15" customHeight="1" thickBot="1" x14ac:dyDescent="0.25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1255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35" ht="22.15" customHeight="1" x14ac:dyDescent="0.2">
      <c r="A53" s="109"/>
      <c r="B53" s="64" t="s">
        <v>89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35" ht="22.15" customHeight="1" x14ac:dyDescent="0.2">
      <c r="A54" s="1274" t="s">
        <v>28</v>
      </c>
      <c r="B54" s="1274"/>
      <c r="C54" s="1275"/>
      <c r="D54" s="1274" t="s">
        <v>90</v>
      </c>
      <c r="E54" s="1276"/>
      <c r="F54" s="1275"/>
      <c r="G54" s="1274" t="s">
        <v>91</v>
      </c>
      <c r="H54" s="1276"/>
      <c r="I54" s="1275"/>
      <c r="J54" s="1274" t="s">
        <v>92</v>
      </c>
      <c r="K54" s="1276"/>
      <c r="L54" s="1275"/>
      <c r="M54" s="1274" t="s">
        <v>93</v>
      </c>
      <c r="N54" s="1276"/>
      <c r="O54" s="1275"/>
      <c r="P54" s="1274" t="s">
        <v>94</v>
      </c>
      <c r="Q54" s="1276"/>
      <c r="R54" s="1277"/>
      <c r="S54" s="1278" t="s">
        <v>95</v>
      </c>
      <c r="T54" s="1276"/>
      <c r="U54" s="1275"/>
      <c r="V54" s="1274" t="s">
        <v>96</v>
      </c>
      <c r="W54" s="1276"/>
      <c r="X54" s="1279" t="s">
        <v>97</v>
      </c>
      <c r="Y54" s="1276"/>
      <c r="Z54" s="1276"/>
      <c r="AA54" s="1280"/>
      <c r="AB54" s="1169"/>
      <c r="AC54" s="1169"/>
      <c r="AD54" s="1169"/>
      <c r="AE54" s="1169"/>
      <c r="AF54" s="1169"/>
      <c r="AG54" s="1170"/>
      <c r="AH54" s="1"/>
    </row>
    <row r="55" spans="1:35" ht="22.15" customHeight="1" x14ac:dyDescent="0.2">
      <c r="A55" s="1281">
        <v>8517</v>
      </c>
      <c r="B55" s="1282" t="s">
        <v>98</v>
      </c>
      <c r="C55" s="1283" t="s">
        <v>99</v>
      </c>
      <c r="D55" s="1284"/>
      <c r="E55" s="1168"/>
      <c r="F55" s="1283" t="s">
        <v>99</v>
      </c>
      <c r="G55" s="1284"/>
      <c r="H55" s="1168"/>
      <c r="I55" s="1283" t="s">
        <v>99</v>
      </c>
      <c r="J55" s="1284"/>
      <c r="K55" s="1168"/>
      <c r="L55" s="1283" t="s">
        <v>99</v>
      </c>
      <c r="M55" s="1284"/>
      <c r="N55" s="1168"/>
      <c r="O55" s="1283" t="s">
        <v>100</v>
      </c>
      <c r="P55" s="1284"/>
      <c r="Q55" s="1168"/>
      <c r="R55" s="1283" t="s">
        <v>99</v>
      </c>
      <c r="S55" s="1284"/>
      <c r="T55" s="1168"/>
      <c r="U55" s="1283" t="s">
        <v>99</v>
      </c>
      <c r="V55" s="1284"/>
      <c r="W55" s="1168"/>
      <c r="X55" s="1166"/>
      <c r="Y55" s="1169"/>
      <c r="Z55" s="1169"/>
      <c r="AA55" s="1169"/>
      <c r="AB55" s="1169"/>
      <c r="AC55" s="1169"/>
      <c r="AD55" s="1169"/>
      <c r="AE55" s="1169"/>
      <c r="AF55" s="1169"/>
      <c r="AG55" s="1170"/>
      <c r="AH55" s="1"/>
    </row>
    <row r="56" spans="1:35" ht="22.15" customHeight="1" x14ac:dyDescent="0.2">
      <c r="B56" s="1191" t="s">
        <v>101</v>
      </c>
      <c r="C56" s="1285" t="s">
        <v>102</v>
      </c>
      <c r="D56" s="1286"/>
      <c r="E56" s="1287"/>
      <c r="F56" s="1285" t="s">
        <v>102</v>
      </c>
      <c r="G56" s="1288"/>
      <c r="H56" s="1287"/>
      <c r="I56" s="1283" t="s">
        <v>102</v>
      </c>
      <c r="J56" s="1284"/>
      <c r="K56" s="1289"/>
      <c r="L56" s="1283" t="s">
        <v>102</v>
      </c>
      <c r="M56" s="1284"/>
      <c r="N56" s="1289"/>
      <c r="O56" s="1283" t="s">
        <v>103</v>
      </c>
      <c r="P56" s="1284"/>
      <c r="Q56" s="1168"/>
      <c r="R56" s="1290" t="s">
        <v>0</v>
      </c>
      <c r="S56" s="1284"/>
      <c r="T56" s="1289"/>
      <c r="U56" s="1284" t="s">
        <v>0</v>
      </c>
      <c r="V56" s="1284"/>
      <c r="W56" s="1168"/>
      <c r="X56" s="2069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35" ht="22.15" customHeight="1" x14ac:dyDescent="0.2">
      <c r="A57" s="1292"/>
      <c r="B57" s="1282" t="s">
        <v>104</v>
      </c>
      <c r="C57" s="1283" t="s">
        <v>105</v>
      </c>
      <c r="D57" s="1284"/>
      <c r="E57" s="1168"/>
      <c r="F57" s="1283" t="s">
        <v>105</v>
      </c>
      <c r="G57" s="1284"/>
      <c r="H57" s="1289"/>
      <c r="I57" s="1283" t="s">
        <v>105</v>
      </c>
      <c r="J57" s="1284"/>
      <c r="K57" s="1289"/>
      <c r="L57" s="1283" t="s">
        <v>105</v>
      </c>
      <c r="M57" s="1284"/>
      <c r="N57" s="1289"/>
      <c r="O57" s="1283" t="s">
        <v>106</v>
      </c>
      <c r="P57" s="1284"/>
      <c r="Q57" s="1168"/>
      <c r="R57" s="112"/>
      <c r="S57" s="113"/>
      <c r="T57" s="1289"/>
      <c r="U57" s="1284"/>
      <c r="V57" s="1284"/>
      <c r="W57" s="1168"/>
      <c r="X57" s="1166"/>
      <c r="Y57" s="1169"/>
      <c r="Z57" s="1169"/>
      <c r="AA57" s="1169"/>
      <c r="AB57" s="1169"/>
      <c r="AC57" s="1169"/>
      <c r="AD57" s="1169"/>
      <c r="AE57" s="1169"/>
      <c r="AF57" s="1169"/>
      <c r="AG57" s="1170"/>
      <c r="AH57" s="1"/>
    </row>
    <row r="58" spans="1:35" ht="22.15" customHeight="1" x14ac:dyDescent="0.2">
      <c r="A58" s="1274"/>
      <c r="B58" s="1191" t="s">
        <v>107</v>
      </c>
      <c r="C58" s="1293" t="s">
        <v>108</v>
      </c>
      <c r="D58" s="1293"/>
      <c r="E58" s="1294"/>
      <c r="F58" s="1293" t="s">
        <v>108</v>
      </c>
      <c r="G58" s="1293"/>
      <c r="H58" s="1294"/>
      <c r="I58" s="1293" t="s">
        <v>108</v>
      </c>
      <c r="J58" s="1293"/>
      <c r="K58" s="1294"/>
      <c r="L58" s="1293" t="s">
        <v>108</v>
      </c>
      <c r="M58" s="1293"/>
      <c r="N58" s="1294"/>
      <c r="O58" s="1293" t="s">
        <v>108</v>
      </c>
      <c r="P58" s="1293"/>
      <c r="Q58" s="1294"/>
      <c r="R58" s="1293" t="s">
        <v>108</v>
      </c>
      <c r="S58" s="1293"/>
      <c r="T58" s="1294"/>
      <c r="U58" s="1293" t="s">
        <v>108</v>
      </c>
      <c r="V58" s="1293"/>
      <c r="W58" s="1294"/>
      <c r="X58" s="1166"/>
      <c r="Y58" s="1169"/>
      <c r="Z58" s="1169"/>
      <c r="AA58" s="1169"/>
      <c r="AB58" s="1169"/>
      <c r="AC58" s="1169"/>
      <c r="AD58" s="1169"/>
      <c r="AE58" s="1169"/>
      <c r="AF58" s="1169"/>
      <c r="AG58" s="1170"/>
      <c r="AH58" s="1"/>
    </row>
    <row r="59" spans="1:35" ht="22.1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35" ht="22.15" customHeight="1" thickBot="1" x14ac:dyDescent="0.25">
      <c r="A60" s="1295"/>
      <c r="B60" s="1184" t="s">
        <v>29</v>
      </c>
      <c r="C60" s="1185">
        <v>1</v>
      </c>
      <c r="D60" s="1186">
        <v>2</v>
      </c>
      <c r="E60" s="1186">
        <v>3</v>
      </c>
      <c r="F60" s="1186">
        <v>4</v>
      </c>
      <c r="G60" s="1186">
        <v>5</v>
      </c>
      <c r="H60" s="1186">
        <v>6</v>
      </c>
      <c r="I60" s="1185">
        <v>7</v>
      </c>
      <c r="J60" s="1185">
        <v>8</v>
      </c>
      <c r="K60" s="1186">
        <v>9</v>
      </c>
      <c r="L60" s="1186">
        <v>10</v>
      </c>
      <c r="M60" s="1186">
        <v>11</v>
      </c>
      <c r="N60" s="1186">
        <v>12</v>
      </c>
      <c r="O60" s="1186">
        <v>13</v>
      </c>
      <c r="P60" s="1185">
        <v>14</v>
      </c>
      <c r="Q60" s="1185">
        <v>15</v>
      </c>
      <c r="R60" s="1186">
        <v>16</v>
      </c>
      <c r="S60" s="1186">
        <v>17</v>
      </c>
      <c r="T60" s="1186">
        <v>18</v>
      </c>
      <c r="U60" s="1186">
        <v>19</v>
      </c>
      <c r="V60" s="1186">
        <v>20</v>
      </c>
      <c r="W60" s="1185">
        <v>21</v>
      </c>
      <c r="X60" s="1185">
        <v>22</v>
      </c>
      <c r="Y60" s="1186">
        <v>23</v>
      </c>
      <c r="Z60" s="1186">
        <v>24</v>
      </c>
      <c r="AA60" s="1186">
        <v>25</v>
      </c>
      <c r="AB60" s="1186">
        <v>26</v>
      </c>
      <c r="AC60" s="1186">
        <v>27</v>
      </c>
      <c r="AD60" s="1185">
        <v>28</v>
      </c>
      <c r="AE60" s="1185">
        <v>29</v>
      </c>
      <c r="AF60" s="1186">
        <v>30</v>
      </c>
      <c r="AG60" s="1945"/>
      <c r="AH60" s="1"/>
    </row>
    <row r="61" spans="1:35" ht="22.15" customHeight="1" x14ac:dyDescent="0.2">
      <c r="A61" s="252"/>
      <c r="B61" s="265" t="s">
        <v>109</v>
      </c>
      <c r="C61" s="266"/>
      <c r="D61" s="266">
        <v>26</v>
      </c>
      <c r="E61" s="266">
        <v>26</v>
      </c>
      <c r="F61" s="266">
        <v>26</v>
      </c>
      <c r="G61" s="266">
        <v>26</v>
      </c>
      <c r="H61" s="266">
        <v>26</v>
      </c>
      <c r="I61" s="266">
        <v>26</v>
      </c>
      <c r="J61" s="266">
        <v>26</v>
      </c>
      <c r="K61" s="266" t="s">
        <v>35</v>
      </c>
      <c r="L61" s="266" t="s">
        <v>35</v>
      </c>
      <c r="M61" s="266" t="s">
        <v>35</v>
      </c>
      <c r="N61" s="1612" t="s">
        <v>31</v>
      </c>
      <c r="O61" s="1612" t="s">
        <v>31</v>
      </c>
      <c r="P61" s="266"/>
      <c r="Q61" s="266"/>
      <c r="R61" s="266">
        <v>5</v>
      </c>
      <c r="S61" s="1629">
        <v>5</v>
      </c>
      <c r="T61" s="1629">
        <v>5</v>
      </c>
      <c r="U61" s="1629">
        <v>5</v>
      </c>
      <c r="V61" s="1629">
        <v>5</v>
      </c>
      <c r="W61" s="266"/>
      <c r="X61" s="267"/>
      <c r="Y61" s="266">
        <v>5</v>
      </c>
      <c r="Z61" s="267">
        <v>5</v>
      </c>
      <c r="AA61" s="267">
        <v>5</v>
      </c>
      <c r="AB61" s="269">
        <v>5</v>
      </c>
      <c r="AC61" s="269">
        <v>5</v>
      </c>
      <c r="AD61" s="269"/>
      <c r="AE61" s="269"/>
      <c r="AF61" s="269">
        <v>26</v>
      </c>
      <c r="AG61" s="270"/>
      <c r="AH61" s="1"/>
    </row>
    <row r="62" spans="1:35" ht="22.15" customHeight="1" x14ac:dyDescent="0.2">
      <c r="A62" s="1709"/>
      <c r="B62" s="1665" t="s">
        <v>129</v>
      </c>
      <c r="C62" s="1629"/>
      <c r="D62" s="1612" t="s">
        <v>243</v>
      </c>
      <c r="E62" s="1612" t="s">
        <v>243</v>
      </c>
      <c r="F62" s="1612" t="s">
        <v>243</v>
      </c>
      <c r="G62" s="1612" t="s">
        <v>243</v>
      </c>
      <c r="H62" s="1612" t="s">
        <v>243</v>
      </c>
      <c r="I62" s="1612"/>
      <c r="J62" s="1612"/>
      <c r="K62" s="1612" t="s">
        <v>243</v>
      </c>
      <c r="L62" s="1612" t="s">
        <v>243</v>
      </c>
      <c r="M62" s="1612" t="s">
        <v>243</v>
      </c>
      <c r="N62" s="2101" t="s">
        <v>243</v>
      </c>
      <c r="O62" s="1612" t="s">
        <v>243</v>
      </c>
      <c r="P62" s="1612"/>
      <c r="Q62" s="1612"/>
      <c r="R62" s="1612" t="s">
        <v>243</v>
      </c>
      <c r="S62" s="1612" t="s">
        <v>243</v>
      </c>
      <c r="T62" s="1612" t="s">
        <v>243</v>
      </c>
      <c r="U62" s="1612" t="s">
        <v>243</v>
      </c>
      <c r="V62" s="1612" t="s">
        <v>243</v>
      </c>
      <c r="W62" s="1716"/>
      <c r="X62" s="1716"/>
      <c r="Y62" s="1712" t="s">
        <v>243</v>
      </c>
      <c r="Z62" s="1712" t="s">
        <v>243</v>
      </c>
      <c r="AA62" s="1712" t="s">
        <v>243</v>
      </c>
      <c r="AB62" s="1612" t="s">
        <v>243</v>
      </c>
      <c r="AC62" s="1612" t="s">
        <v>243</v>
      </c>
      <c r="AD62" s="1612"/>
      <c r="AE62" s="1628"/>
      <c r="AF62" s="1623" t="s">
        <v>243</v>
      </c>
      <c r="AG62" s="1634"/>
      <c r="AH62" s="1"/>
    </row>
    <row r="63" spans="1:35" ht="22.15" customHeight="1" x14ac:dyDescent="0.2">
      <c r="A63" s="1630"/>
      <c r="B63" s="1665" t="s">
        <v>113</v>
      </c>
      <c r="C63" s="1628"/>
      <c r="D63" s="1628">
        <v>25</v>
      </c>
      <c r="E63" s="1629">
        <v>25</v>
      </c>
      <c r="F63" s="1628">
        <v>25</v>
      </c>
      <c r="G63" s="1628">
        <v>25</v>
      </c>
      <c r="H63" s="1628">
        <v>25</v>
      </c>
      <c r="I63" s="1259" t="s">
        <v>71</v>
      </c>
      <c r="J63" s="1258" t="s">
        <v>71</v>
      </c>
      <c r="K63" s="1612" t="s">
        <v>35</v>
      </c>
      <c r="L63" s="1612" t="s">
        <v>35</v>
      </c>
      <c r="M63" s="1628" t="s">
        <v>35</v>
      </c>
      <c r="N63" s="1612" t="s">
        <v>31</v>
      </c>
      <c r="O63" s="1612" t="s">
        <v>31</v>
      </c>
      <c r="P63" s="1628"/>
      <c r="Q63" s="1628"/>
      <c r="R63" s="1719" t="s">
        <v>31</v>
      </c>
      <c r="S63" s="1629">
        <v>22</v>
      </c>
      <c r="T63" s="1612" t="s">
        <v>35</v>
      </c>
      <c r="U63" s="1612" t="s">
        <v>31</v>
      </c>
      <c r="V63" s="1612" t="s">
        <v>223</v>
      </c>
      <c r="W63" s="1612"/>
      <c r="X63" s="1612"/>
      <c r="Y63" s="1719" t="s">
        <v>31</v>
      </c>
      <c r="Z63" s="1629" t="s">
        <v>31</v>
      </c>
      <c r="AA63" s="1629" t="s">
        <v>31</v>
      </c>
      <c r="AB63" s="1629" t="s">
        <v>31</v>
      </c>
      <c r="AC63" s="1629" t="s">
        <v>31</v>
      </c>
      <c r="AD63" s="1629" t="s">
        <v>0</v>
      </c>
      <c r="AE63" s="1628"/>
      <c r="AF63" s="1637">
        <v>5</v>
      </c>
      <c r="AG63" s="1634"/>
      <c r="AH63" s="1"/>
    </row>
    <row r="64" spans="1:35" ht="22.15" customHeight="1" thickBot="1" x14ac:dyDescent="0.25">
      <c r="A64" s="1665"/>
      <c r="B64" s="1715" t="s">
        <v>114</v>
      </c>
      <c r="C64" s="1612"/>
      <c r="D64" s="1384" t="s">
        <v>110</v>
      </c>
      <c r="E64" s="1384" t="s">
        <v>110</v>
      </c>
      <c r="F64" s="1384" t="s">
        <v>110</v>
      </c>
      <c r="G64" s="1384" t="s">
        <v>110</v>
      </c>
      <c r="H64" s="1384" t="s">
        <v>110</v>
      </c>
      <c r="I64" s="1384" t="s">
        <v>46</v>
      </c>
      <c r="J64" s="1384" t="s">
        <v>46</v>
      </c>
      <c r="K64" s="1639" t="s">
        <v>35</v>
      </c>
      <c r="L64" s="1639" t="s">
        <v>35</v>
      </c>
      <c r="M64" s="1639" t="s">
        <v>35</v>
      </c>
      <c r="N64" s="1612" t="s">
        <v>31</v>
      </c>
      <c r="O64" s="1629">
        <v>7</v>
      </c>
      <c r="P64" s="1629" t="s">
        <v>112</v>
      </c>
      <c r="Q64" s="1629"/>
      <c r="R64" s="1629">
        <v>25</v>
      </c>
      <c r="S64" s="1629">
        <v>25</v>
      </c>
      <c r="T64" s="1629">
        <v>25</v>
      </c>
      <c r="U64" s="1629">
        <v>25</v>
      </c>
      <c r="V64" s="1629">
        <v>25</v>
      </c>
      <c r="W64" s="1628"/>
      <c r="X64" s="1629"/>
      <c r="Y64" s="1612" t="s">
        <v>31</v>
      </c>
      <c r="Z64" s="1612" t="s">
        <v>31</v>
      </c>
      <c r="AA64" s="1612" t="s">
        <v>31</v>
      </c>
      <c r="AB64" s="1612" t="s">
        <v>31</v>
      </c>
      <c r="AC64" s="1612" t="s">
        <v>31</v>
      </c>
      <c r="AD64" s="1629"/>
      <c r="AE64" s="1629"/>
      <c r="AF64" s="1629" t="s">
        <v>31</v>
      </c>
      <c r="AG64" s="1634"/>
      <c r="AH64" s="1"/>
    </row>
    <row r="65" spans="1:34" ht="22.15" customHeight="1" thickBot="1" x14ac:dyDescent="0.25">
      <c r="A65" s="1665"/>
      <c r="B65" s="1330" t="s">
        <v>254</v>
      </c>
      <c r="C65" s="1629"/>
      <c r="D65" s="1628" t="s">
        <v>31</v>
      </c>
      <c r="E65" s="1628" t="s">
        <v>31</v>
      </c>
      <c r="F65" s="1628" t="s">
        <v>31</v>
      </c>
      <c r="G65" s="1628" t="s">
        <v>31</v>
      </c>
      <c r="H65" s="1628" t="s">
        <v>31</v>
      </c>
      <c r="I65" s="1639" t="s">
        <v>0</v>
      </c>
      <c r="J65" s="1639" t="s">
        <v>0</v>
      </c>
      <c r="K65" s="1629" t="s">
        <v>31</v>
      </c>
      <c r="L65" s="1629" t="s">
        <v>31</v>
      </c>
      <c r="M65" s="1716" t="s">
        <v>31</v>
      </c>
      <c r="N65" s="1629" t="s">
        <v>31</v>
      </c>
      <c r="O65" s="1629" t="s">
        <v>31</v>
      </c>
      <c r="P65" s="1639"/>
      <c r="Q65" s="1629"/>
      <c r="R65" s="1629" t="s">
        <v>31</v>
      </c>
      <c r="S65" s="1629" t="s">
        <v>31</v>
      </c>
      <c r="T65" s="1716" t="s">
        <v>31</v>
      </c>
      <c r="U65" s="1629" t="s">
        <v>31</v>
      </c>
      <c r="V65" s="1629" t="s">
        <v>31</v>
      </c>
      <c r="W65" s="1629"/>
      <c r="X65" s="1639"/>
      <c r="Y65" s="1612" t="s">
        <v>31</v>
      </c>
      <c r="Z65" s="1612" t="s">
        <v>31</v>
      </c>
      <c r="AA65" s="1612">
        <v>1</v>
      </c>
      <c r="AB65" s="1612" t="s">
        <v>31</v>
      </c>
      <c r="AC65" s="1629" t="s">
        <v>31</v>
      </c>
      <c r="AD65" s="1612"/>
      <c r="AE65" s="1612"/>
      <c r="AF65" s="1612"/>
      <c r="AG65" s="1634"/>
      <c r="AH65" s="1"/>
    </row>
    <row r="66" spans="1:34" ht="22.15" customHeight="1" thickBot="1" x14ac:dyDescent="0.25">
      <c r="A66" s="1665"/>
      <c r="B66" s="1665" t="s">
        <v>117</v>
      </c>
      <c r="C66" s="1629">
        <v>26</v>
      </c>
      <c r="D66" s="1629" t="s">
        <v>35</v>
      </c>
      <c r="E66" s="1629" t="s">
        <v>35</v>
      </c>
      <c r="F66" s="1629" t="s">
        <v>35</v>
      </c>
      <c r="G66" s="1633" t="s">
        <v>31</v>
      </c>
      <c r="H66" s="1623">
        <v>23</v>
      </c>
      <c r="I66" s="1623">
        <v>23</v>
      </c>
      <c r="J66" s="1623">
        <v>23</v>
      </c>
      <c r="K66" s="1623" t="s">
        <v>35</v>
      </c>
      <c r="L66" s="1623" t="s">
        <v>81</v>
      </c>
      <c r="M66" s="1734" t="s">
        <v>35</v>
      </c>
      <c r="N66" s="1629" t="s">
        <v>31</v>
      </c>
      <c r="O66" s="1629" t="s">
        <v>31</v>
      </c>
      <c r="P66" s="1628"/>
      <c r="Q66" s="1628" t="s">
        <v>0</v>
      </c>
      <c r="R66" s="1629">
        <v>4</v>
      </c>
      <c r="S66" s="1612" t="s">
        <v>31</v>
      </c>
      <c r="T66" s="1612" t="s">
        <v>31</v>
      </c>
      <c r="U66" s="1612" t="s">
        <v>228</v>
      </c>
      <c r="V66" s="540" t="s">
        <v>31</v>
      </c>
      <c r="W66" s="1629"/>
      <c r="X66" s="1639"/>
      <c r="Y66" s="1639">
        <v>26</v>
      </c>
      <c r="Z66" s="1639">
        <v>26</v>
      </c>
      <c r="AA66" s="1639">
        <v>26</v>
      </c>
      <c r="AB66" s="1639">
        <v>26</v>
      </c>
      <c r="AC66" s="1639">
        <v>26</v>
      </c>
      <c r="AD66" s="1714">
        <v>26</v>
      </c>
      <c r="AE66" s="1639">
        <v>26</v>
      </c>
      <c r="AF66" s="1629" t="s">
        <v>35</v>
      </c>
      <c r="AG66" s="1634"/>
      <c r="AH66" s="1"/>
    </row>
    <row r="67" spans="1:34" ht="22.15" customHeight="1" x14ac:dyDescent="0.2">
      <c r="A67" s="1665"/>
      <c r="B67" s="1715" t="s">
        <v>119</v>
      </c>
      <c r="C67" s="1639"/>
      <c r="D67" s="1719" t="s">
        <v>31</v>
      </c>
      <c r="E67" s="1719" t="s">
        <v>31</v>
      </c>
      <c r="F67" s="1719" t="s">
        <v>31</v>
      </c>
      <c r="G67" s="1719" t="s">
        <v>31</v>
      </c>
      <c r="H67" s="1719" t="s">
        <v>31</v>
      </c>
      <c r="I67" s="1719" t="s">
        <v>69</v>
      </c>
      <c r="J67" s="1719"/>
      <c r="K67" s="1719" t="s">
        <v>31</v>
      </c>
      <c r="L67" s="1629" t="s">
        <v>223</v>
      </c>
      <c r="M67" s="1612" t="s">
        <v>31</v>
      </c>
      <c r="N67" s="1612" t="s">
        <v>31</v>
      </c>
      <c r="O67" s="1612">
        <v>8</v>
      </c>
      <c r="P67" s="1629"/>
      <c r="Q67" s="1629"/>
      <c r="R67" s="1629">
        <v>99</v>
      </c>
      <c r="S67" s="1629">
        <v>99</v>
      </c>
      <c r="T67" s="1612">
        <v>99</v>
      </c>
      <c r="U67" s="1629" t="s">
        <v>246</v>
      </c>
      <c r="V67" s="1612" t="s">
        <v>246</v>
      </c>
      <c r="W67" s="544" t="s">
        <v>0</v>
      </c>
      <c r="X67" s="541" t="s">
        <v>0</v>
      </c>
      <c r="Y67" s="1629" t="s">
        <v>385</v>
      </c>
      <c r="Z67" s="1629" t="s">
        <v>385</v>
      </c>
      <c r="AA67" s="1629" t="s">
        <v>385</v>
      </c>
      <c r="AB67" s="1629" t="s">
        <v>385</v>
      </c>
      <c r="AC67" s="1629" t="s">
        <v>385</v>
      </c>
      <c r="AD67" s="1629"/>
      <c r="AE67" s="1629"/>
      <c r="AF67" s="1629">
        <v>8</v>
      </c>
      <c r="AG67" s="1634"/>
      <c r="AH67" s="1"/>
    </row>
    <row r="68" spans="1:34" ht="22.15" customHeight="1" x14ac:dyDescent="0.2">
      <c r="A68" s="1665"/>
      <c r="B68" s="1715" t="s">
        <v>120</v>
      </c>
      <c r="C68" s="1735"/>
      <c r="D68" s="1721" t="s">
        <v>31</v>
      </c>
      <c r="E68" s="1721" t="s">
        <v>31</v>
      </c>
      <c r="F68" s="1720" t="s">
        <v>31</v>
      </c>
      <c r="G68" s="1720" t="s">
        <v>31</v>
      </c>
      <c r="H68" s="1720" t="s">
        <v>31</v>
      </c>
      <c r="I68" s="1720"/>
      <c r="J68" s="1720"/>
      <c r="K68" s="1720" t="s">
        <v>31</v>
      </c>
      <c r="L68" s="1721" t="s">
        <v>31</v>
      </c>
      <c r="M68" s="1721" t="s">
        <v>31</v>
      </c>
      <c r="N68" s="1721" t="s">
        <v>31</v>
      </c>
      <c r="O68" s="1721" t="s">
        <v>31</v>
      </c>
      <c r="P68" s="1721"/>
      <c r="Q68" s="1721"/>
      <c r="R68" s="1721" t="s">
        <v>31</v>
      </c>
      <c r="S68" s="1721" t="s">
        <v>31</v>
      </c>
      <c r="T68" s="2071" t="s">
        <v>31</v>
      </c>
      <c r="U68" s="2102" t="s">
        <v>31</v>
      </c>
      <c r="V68" s="2102" t="s">
        <v>31</v>
      </c>
      <c r="W68" s="1735"/>
      <c r="X68" s="1735"/>
      <c r="Y68" s="1735" t="s">
        <v>31</v>
      </c>
      <c r="Z68" s="1735" t="s">
        <v>31</v>
      </c>
      <c r="AA68" s="1460"/>
      <c r="AB68" s="1735" t="s">
        <v>31</v>
      </c>
      <c r="AC68" s="1735" t="s">
        <v>31</v>
      </c>
      <c r="AD68" s="1623"/>
      <c r="AE68" s="1623"/>
      <c r="AF68" s="1623" t="s">
        <v>31</v>
      </c>
      <c r="AG68" s="1738"/>
      <c r="AH68" s="1"/>
    </row>
    <row r="69" spans="1:34" ht="22.15" customHeight="1" x14ac:dyDescent="0.2">
      <c r="A69" s="1715"/>
      <c r="B69" s="1729" t="s">
        <v>372</v>
      </c>
      <c r="C69" s="1612" t="s">
        <v>0</v>
      </c>
      <c r="D69" s="1612" t="s">
        <v>31</v>
      </c>
      <c r="E69" s="1612" t="s">
        <v>236</v>
      </c>
      <c r="F69" s="1612" t="s">
        <v>236</v>
      </c>
      <c r="G69" s="1612" t="s">
        <v>31</v>
      </c>
      <c r="H69" s="1612">
        <v>69</v>
      </c>
      <c r="I69" s="1629"/>
      <c r="J69" s="1710">
        <v>23</v>
      </c>
      <c r="K69" s="1636">
        <v>25</v>
      </c>
      <c r="L69" s="1636">
        <v>25</v>
      </c>
      <c r="M69" s="1636">
        <v>25</v>
      </c>
      <c r="N69" s="1636">
        <v>25</v>
      </c>
      <c r="O69" s="1636">
        <v>25</v>
      </c>
      <c r="P69" s="1612"/>
      <c r="Q69" s="1612"/>
      <c r="R69" s="1636" t="s">
        <v>385</v>
      </c>
      <c r="S69" s="1636" t="s">
        <v>385</v>
      </c>
      <c r="T69" s="1636" t="s">
        <v>385</v>
      </c>
      <c r="U69" s="1716" t="s">
        <v>385</v>
      </c>
      <c r="V69" s="1629" t="s">
        <v>385</v>
      </c>
      <c r="W69" s="1629"/>
      <c r="X69" s="1629"/>
      <c r="Y69" s="1629" t="s">
        <v>243</v>
      </c>
      <c r="Z69" s="1612" t="s">
        <v>243</v>
      </c>
      <c r="AA69" s="1629" t="s">
        <v>243</v>
      </c>
      <c r="AB69" s="1629">
        <v>25</v>
      </c>
      <c r="AC69" s="1629">
        <v>25</v>
      </c>
      <c r="AD69" t="s">
        <v>69</v>
      </c>
      <c r="AE69" t="s">
        <v>69</v>
      </c>
      <c r="AF69" s="1629" t="s">
        <v>35</v>
      </c>
      <c r="AG69" s="1842"/>
      <c r="AH69" s="1"/>
    </row>
    <row r="70" spans="1:34" ht="22.15" customHeight="1" x14ac:dyDescent="0.2">
      <c r="A70" s="1715"/>
      <c r="B70" s="1722" t="s">
        <v>404</v>
      </c>
      <c r="C70" s="1629"/>
      <c r="D70" s="1629" t="s">
        <v>132</v>
      </c>
      <c r="E70" s="1629" t="s">
        <v>132</v>
      </c>
      <c r="F70" s="1629" t="s">
        <v>132</v>
      </c>
      <c r="G70" s="1629" t="s">
        <v>132</v>
      </c>
      <c r="H70" s="1629" t="s">
        <v>132</v>
      </c>
      <c r="I70" s="1629"/>
      <c r="J70" s="1629"/>
      <c r="K70" s="2006" t="s">
        <v>31</v>
      </c>
      <c r="L70" s="2006" t="s">
        <v>31</v>
      </c>
      <c r="M70" s="2006" t="s">
        <v>31</v>
      </c>
      <c r="N70" s="2006" t="s">
        <v>31</v>
      </c>
      <c r="O70" s="2006" t="s">
        <v>31</v>
      </c>
      <c r="P70" s="1636"/>
      <c r="Q70" s="1636"/>
      <c r="R70" s="1725">
        <v>26</v>
      </c>
      <c r="S70" s="1636">
        <v>26</v>
      </c>
      <c r="T70" s="1636">
        <v>26</v>
      </c>
      <c r="U70" s="1636">
        <v>26</v>
      </c>
      <c r="V70" s="1636">
        <v>26</v>
      </c>
      <c r="W70" s="1636">
        <v>26</v>
      </c>
      <c r="X70" s="1636">
        <v>26</v>
      </c>
      <c r="Y70" s="1710" t="s">
        <v>35</v>
      </c>
      <c r="Z70" s="1629" t="s">
        <v>35</v>
      </c>
      <c r="AA70" s="1629" t="s">
        <v>35</v>
      </c>
      <c r="AB70" s="1629" t="s">
        <v>35</v>
      </c>
      <c r="AC70" s="1629" t="s">
        <v>35</v>
      </c>
      <c r="AD70" s="1629"/>
      <c r="AE70" s="1629"/>
      <c r="AF70" s="1612">
        <v>25</v>
      </c>
      <c r="AG70" s="1634"/>
      <c r="AH70" s="1"/>
    </row>
    <row r="71" spans="1:34" ht="22.15" customHeight="1" thickBot="1" x14ac:dyDescent="0.25">
      <c r="A71" s="1725"/>
      <c r="B71" s="1627" t="s">
        <v>122</v>
      </c>
      <c r="C71" s="1612"/>
      <c r="D71" s="1612" t="s">
        <v>175</v>
      </c>
      <c r="E71" s="1334" t="s">
        <v>175</v>
      </c>
      <c r="F71" s="1334" t="s">
        <v>175</v>
      </c>
      <c r="G71" s="1258" t="s">
        <v>175</v>
      </c>
      <c r="H71" s="1629" t="s">
        <v>181</v>
      </c>
      <c r="I71" s="1258"/>
      <c r="J71" s="1612"/>
      <c r="K71" s="2103" t="s">
        <v>385</v>
      </c>
      <c r="L71" s="2103" t="s">
        <v>385</v>
      </c>
      <c r="M71" s="2103" t="s">
        <v>385</v>
      </c>
      <c r="N71" s="2103" t="s">
        <v>32</v>
      </c>
      <c r="O71" s="2103" t="s">
        <v>385</v>
      </c>
      <c r="P71" s="1612"/>
      <c r="Q71" s="1612"/>
      <c r="R71" s="1612" t="s">
        <v>132</v>
      </c>
      <c r="S71" s="1612" t="s">
        <v>223</v>
      </c>
      <c r="T71" s="1612" t="s">
        <v>223</v>
      </c>
      <c r="U71" s="1612" t="s">
        <v>223</v>
      </c>
      <c r="V71" s="1612" t="s">
        <v>228</v>
      </c>
      <c r="W71" s="1612"/>
      <c r="X71" s="1612"/>
      <c r="Y71" s="1612" t="s">
        <v>228</v>
      </c>
      <c r="Z71" s="1612" t="s">
        <v>228</v>
      </c>
      <c r="AA71" s="1612" t="s">
        <v>238</v>
      </c>
      <c r="AB71" s="1612" t="s">
        <v>228</v>
      </c>
      <c r="AC71" s="1612" t="s">
        <v>228</v>
      </c>
      <c r="AD71" s="1612"/>
      <c r="AE71" s="1612"/>
      <c r="AF71" s="1612" t="s">
        <v>228</v>
      </c>
      <c r="AG71" s="1728"/>
      <c r="AH71" s="1"/>
    </row>
    <row r="72" spans="1:34" ht="22.15" customHeight="1" x14ac:dyDescent="0.2">
      <c r="A72" s="1725"/>
      <c r="B72" s="379" t="s">
        <v>123</v>
      </c>
      <c r="C72" s="1612"/>
      <c r="D72" s="2036">
        <v>25</v>
      </c>
      <c r="E72" s="2036">
        <v>25</v>
      </c>
      <c r="F72" s="2104">
        <v>25</v>
      </c>
      <c r="G72" s="2036">
        <v>25</v>
      </c>
      <c r="H72" s="1612">
        <v>23</v>
      </c>
      <c r="I72" s="1624">
        <v>23</v>
      </c>
      <c r="J72" s="1612"/>
      <c r="K72" s="1612" t="s">
        <v>31</v>
      </c>
      <c r="L72" s="1612" t="s">
        <v>31</v>
      </c>
      <c r="M72" s="1380" t="s">
        <v>235</v>
      </c>
      <c r="N72" s="1380" t="s">
        <v>243</v>
      </c>
      <c r="O72" s="1380">
        <v>6</v>
      </c>
      <c r="P72" s="1380"/>
      <c r="Q72" s="1612"/>
      <c r="R72" s="1612">
        <v>6</v>
      </c>
      <c r="S72" s="1612">
        <v>6</v>
      </c>
      <c r="T72" s="1612">
        <v>6</v>
      </c>
      <c r="U72" s="1612">
        <v>6</v>
      </c>
      <c r="V72" s="1612">
        <v>6</v>
      </c>
      <c r="W72" s="1612" t="s">
        <v>112</v>
      </c>
      <c r="X72" s="1612" t="s">
        <v>112</v>
      </c>
      <c r="Y72" s="1612">
        <v>23</v>
      </c>
      <c r="Z72" s="1612">
        <v>23</v>
      </c>
      <c r="AA72" s="1612">
        <v>23</v>
      </c>
      <c r="AB72" s="1612">
        <v>23</v>
      </c>
      <c r="AC72" s="1612">
        <v>23</v>
      </c>
      <c r="AD72" s="1612">
        <v>23</v>
      </c>
      <c r="AE72" s="1612">
        <v>23</v>
      </c>
      <c r="AF72" s="1612" t="s">
        <v>35</v>
      </c>
      <c r="AG72" s="1728"/>
      <c r="AH72" s="1"/>
    </row>
    <row r="73" spans="1:34" ht="22.15" customHeight="1" x14ac:dyDescent="0.2">
      <c r="A73" s="1725"/>
      <c r="B73" s="1729" t="s">
        <v>127</v>
      </c>
      <c r="C73" s="1612"/>
      <c r="D73" s="1612">
        <v>21</v>
      </c>
      <c r="E73" s="1612">
        <v>21</v>
      </c>
      <c r="F73" s="1612">
        <v>21</v>
      </c>
      <c r="G73" s="1612">
        <v>21</v>
      </c>
      <c r="H73" s="1612">
        <v>21</v>
      </c>
      <c r="I73" s="1612">
        <v>21</v>
      </c>
      <c r="J73" s="1612">
        <v>21</v>
      </c>
      <c r="K73" s="1612" t="s">
        <v>35</v>
      </c>
      <c r="L73" s="1612" t="s">
        <v>35</v>
      </c>
      <c r="M73" s="1612" t="s">
        <v>35</v>
      </c>
      <c r="N73" s="1612" t="s">
        <v>31</v>
      </c>
      <c r="O73" s="1612" t="s">
        <v>31</v>
      </c>
      <c r="P73" s="1612" t="s">
        <v>0</v>
      </c>
      <c r="Q73" s="1612"/>
      <c r="R73" s="1612" t="s">
        <v>31</v>
      </c>
      <c r="S73" s="1612">
        <v>21</v>
      </c>
      <c r="T73" s="1612">
        <v>23</v>
      </c>
      <c r="U73" s="1612">
        <v>23</v>
      </c>
      <c r="V73" s="1612">
        <v>23</v>
      </c>
      <c r="W73" s="1612">
        <v>23</v>
      </c>
      <c r="X73" s="2105">
        <v>23</v>
      </c>
      <c r="Y73" s="2106" t="s">
        <v>35</v>
      </c>
      <c r="Z73" s="2106" t="s">
        <v>35</v>
      </c>
      <c r="AA73" s="2106" t="s">
        <v>35</v>
      </c>
      <c r="AB73" s="2106" t="s">
        <v>35</v>
      </c>
      <c r="AC73" s="2106" t="s">
        <v>35</v>
      </c>
      <c r="AD73" s="2105" t="s">
        <v>0</v>
      </c>
      <c r="AE73" s="656"/>
      <c r="AF73" s="1612" t="s">
        <v>31</v>
      </c>
      <c r="AG73" s="1728"/>
      <c r="AH73" s="1"/>
    </row>
    <row r="74" spans="1:34" ht="22.15" customHeight="1" thickBot="1" x14ac:dyDescent="0.25">
      <c r="A74" s="669"/>
      <c r="B74" s="2107" t="s">
        <v>348</v>
      </c>
      <c r="C74" s="2106"/>
      <c r="D74" s="2106" t="s">
        <v>31</v>
      </c>
      <c r="E74" s="2106" t="s">
        <v>31</v>
      </c>
      <c r="F74" s="2106" t="s">
        <v>31</v>
      </c>
      <c r="G74" s="2106" t="s">
        <v>236</v>
      </c>
      <c r="H74" s="2106" t="s">
        <v>236</v>
      </c>
      <c r="I74" s="2106"/>
      <c r="J74" s="2106"/>
      <c r="K74" s="1612">
        <v>26</v>
      </c>
      <c r="L74" s="1612">
        <v>26</v>
      </c>
      <c r="M74" s="1612">
        <v>26</v>
      </c>
      <c r="N74" s="1612">
        <v>26</v>
      </c>
      <c r="O74" s="1612">
        <v>26</v>
      </c>
      <c r="P74" s="1612">
        <v>26</v>
      </c>
      <c r="Q74" s="1612">
        <v>26</v>
      </c>
      <c r="R74" s="2106" t="s">
        <v>35</v>
      </c>
      <c r="S74" s="2106">
        <v>23</v>
      </c>
      <c r="T74" s="2106" t="s">
        <v>35</v>
      </c>
      <c r="U74" s="2106" t="s">
        <v>35</v>
      </c>
      <c r="V74" s="2106" t="s">
        <v>35</v>
      </c>
      <c r="W74" s="1734" t="s">
        <v>69</v>
      </c>
      <c r="X74" s="1734" t="s">
        <v>69</v>
      </c>
      <c r="Y74" s="1734">
        <v>6</v>
      </c>
      <c r="Z74" s="1734">
        <v>6</v>
      </c>
      <c r="AA74" s="1734">
        <v>6</v>
      </c>
      <c r="AB74" s="1734">
        <v>6</v>
      </c>
      <c r="AC74" s="1734">
        <v>6</v>
      </c>
      <c r="AD74" s="1725"/>
      <c r="AE74" s="2106"/>
      <c r="AF74" s="2106" t="s">
        <v>385</v>
      </c>
      <c r="AG74" s="237"/>
      <c r="AH74" s="1"/>
    </row>
    <row r="75" spans="1:34" ht="22.15" customHeight="1" thickBot="1" x14ac:dyDescent="0.25">
      <c r="A75" s="2074"/>
      <c r="B75" s="2108" t="s">
        <v>124</v>
      </c>
      <c r="C75" s="1725" t="s">
        <v>0</v>
      </c>
      <c r="D75" s="1719" t="s">
        <v>385</v>
      </c>
      <c r="E75" s="1719" t="s">
        <v>385</v>
      </c>
      <c r="F75" s="1719" t="s">
        <v>385</v>
      </c>
      <c r="G75" s="1719" t="s">
        <v>385</v>
      </c>
      <c r="H75" s="1719" t="s">
        <v>385</v>
      </c>
      <c r="I75" s="1725"/>
      <c r="J75" s="1725"/>
      <c r="K75" s="541" t="s">
        <v>110</v>
      </c>
      <c r="L75" s="541" t="s">
        <v>110</v>
      </c>
      <c r="M75" s="541" t="s">
        <v>110</v>
      </c>
      <c r="N75" s="541" t="s">
        <v>110</v>
      </c>
      <c r="O75" s="541" t="s">
        <v>110</v>
      </c>
      <c r="P75" s="544" t="s">
        <v>46</v>
      </c>
      <c r="Q75" s="541" t="s">
        <v>46</v>
      </c>
      <c r="R75" s="1725" t="s">
        <v>35</v>
      </c>
      <c r="S75" s="1725" t="s">
        <v>35</v>
      </c>
      <c r="T75" s="1612" t="s">
        <v>35</v>
      </c>
      <c r="U75" s="1725" t="s">
        <v>35</v>
      </c>
      <c r="V75" s="1725" t="s">
        <v>35</v>
      </c>
      <c r="W75" s="1734" t="s">
        <v>68</v>
      </c>
      <c r="X75" s="1734" t="s">
        <v>69</v>
      </c>
      <c r="Y75" s="1725">
        <v>25</v>
      </c>
      <c r="Z75" s="1725">
        <v>25</v>
      </c>
      <c r="AA75" s="1725">
        <v>25</v>
      </c>
      <c r="AB75" s="1725" t="s">
        <v>35</v>
      </c>
      <c r="AC75" s="1725" t="s">
        <v>35</v>
      </c>
      <c r="AD75" s="657"/>
      <c r="AE75" s="1725"/>
      <c r="AF75" s="1725" t="s">
        <v>110</v>
      </c>
      <c r="AG75" s="934"/>
      <c r="AH75" s="1"/>
    </row>
    <row r="76" spans="1:34" ht="22.15" customHeight="1" thickBot="1" x14ac:dyDescent="0.25">
      <c r="A76" s="377"/>
      <c r="B76" s="2109" t="s">
        <v>125</v>
      </c>
      <c r="C76" s="2110">
        <v>1</v>
      </c>
      <c r="D76" s="2079">
        <v>2</v>
      </c>
      <c r="E76" s="2079">
        <v>3</v>
      </c>
      <c r="F76" s="2079">
        <v>4</v>
      </c>
      <c r="G76" s="2079">
        <v>5</v>
      </c>
      <c r="H76" s="2079">
        <v>6</v>
      </c>
      <c r="I76" s="2110">
        <v>7</v>
      </c>
      <c r="J76" s="2110">
        <v>8</v>
      </c>
      <c r="K76" s="2079">
        <v>9</v>
      </c>
      <c r="L76" s="2079">
        <v>10</v>
      </c>
      <c r="M76" s="2079">
        <v>11</v>
      </c>
      <c r="N76" s="2079">
        <v>12</v>
      </c>
      <c r="O76" s="2079">
        <v>13</v>
      </c>
      <c r="P76" s="2110">
        <v>14</v>
      </c>
      <c r="Q76" s="2110">
        <v>15</v>
      </c>
      <c r="R76" s="2079">
        <v>16</v>
      </c>
      <c r="S76" s="2079">
        <v>17</v>
      </c>
      <c r="T76" s="2079">
        <v>18</v>
      </c>
      <c r="U76" s="2079">
        <v>19</v>
      </c>
      <c r="V76" s="2079">
        <v>20</v>
      </c>
      <c r="W76" s="2110">
        <v>21</v>
      </c>
      <c r="X76" s="2110">
        <v>22</v>
      </c>
      <c r="Y76" s="2079">
        <v>23</v>
      </c>
      <c r="Z76" s="2079">
        <v>24</v>
      </c>
      <c r="AA76" s="2079">
        <v>25</v>
      </c>
      <c r="AB76" s="2079">
        <v>26</v>
      </c>
      <c r="AC76" s="2111">
        <v>27</v>
      </c>
      <c r="AD76" s="2110">
        <v>28</v>
      </c>
      <c r="AE76" s="2110">
        <v>29</v>
      </c>
      <c r="AF76" s="2111">
        <v>30</v>
      </c>
      <c r="AG76" s="1945"/>
      <c r="AH76" s="1"/>
    </row>
    <row r="77" spans="1:34" ht="22.15" customHeight="1" x14ac:dyDescent="0.2">
      <c r="A77" s="379"/>
      <c r="B77" s="379"/>
      <c r="C77" s="1612"/>
      <c r="D77" s="1612" t="s">
        <v>31</v>
      </c>
      <c r="E77" s="1612" t="s">
        <v>31</v>
      </c>
      <c r="F77" s="1716" t="s">
        <v>31</v>
      </c>
      <c r="G77" s="1612" t="s">
        <v>31</v>
      </c>
      <c r="H77" s="1612" t="s">
        <v>31</v>
      </c>
      <c r="I77" s="1612"/>
      <c r="J77" s="1612"/>
      <c r="K77" s="1612" t="s">
        <v>31</v>
      </c>
      <c r="L77" s="1612" t="s">
        <v>31</v>
      </c>
      <c r="M77" s="1380" t="s">
        <v>31</v>
      </c>
      <c r="N77" s="1380" t="s">
        <v>31</v>
      </c>
      <c r="O77" s="1380" t="s">
        <v>31</v>
      </c>
      <c r="P77" s="1380"/>
      <c r="Q77" s="1612"/>
      <c r="R77" s="1612" t="s">
        <v>31</v>
      </c>
      <c r="S77" s="1612" t="s">
        <v>31</v>
      </c>
      <c r="T77" s="1612" t="s">
        <v>31</v>
      </c>
      <c r="U77" s="1612" t="s">
        <v>31</v>
      </c>
      <c r="V77" s="1612" t="s">
        <v>31</v>
      </c>
      <c r="W77" s="1612"/>
      <c r="X77" s="1612"/>
      <c r="Y77" s="1612" t="s">
        <v>31</v>
      </c>
      <c r="Z77" s="1612" t="s">
        <v>31</v>
      </c>
      <c r="AA77" s="1612" t="s">
        <v>31</v>
      </c>
      <c r="AB77" s="1612" t="s">
        <v>31</v>
      </c>
      <c r="AC77" s="1612" t="s">
        <v>31</v>
      </c>
      <c r="AD77" s="1612"/>
      <c r="AE77" s="1612"/>
      <c r="AF77" s="1612" t="s">
        <v>31</v>
      </c>
      <c r="AG77" s="387"/>
      <c r="AH77" s="1"/>
    </row>
    <row r="78" spans="1:34" ht="22.15" customHeight="1" x14ac:dyDescent="0.2">
      <c r="A78" s="1715"/>
      <c r="B78" s="1715"/>
      <c r="C78" s="1629"/>
      <c r="D78" s="1629"/>
      <c r="E78" s="1629"/>
      <c r="F78" s="1629"/>
      <c r="G78" s="1629"/>
      <c r="H78" s="1629"/>
      <c r="I78" s="1629"/>
      <c r="J78" s="1629"/>
      <c r="K78" s="1636"/>
      <c r="L78" s="1636"/>
      <c r="M78" s="1636"/>
      <c r="N78" s="1636"/>
      <c r="O78" s="1636"/>
      <c r="P78" s="1636"/>
      <c r="Q78" s="1636"/>
      <c r="R78" s="1636"/>
      <c r="S78" s="1629"/>
      <c r="T78" s="1629"/>
      <c r="U78" s="1625"/>
      <c r="V78" s="1625"/>
      <c r="W78" s="1625"/>
      <c r="X78" s="1629"/>
      <c r="Y78" s="1712"/>
      <c r="Z78" s="1712"/>
      <c r="AA78" s="1712"/>
      <c r="AB78" s="1712"/>
      <c r="AC78" s="1712"/>
      <c r="AD78" s="1712"/>
      <c r="AE78" s="1712"/>
      <c r="AF78" s="1629"/>
      <c r="AG78" s="1728"/>
      <c r="AH78" s="1"/>
    </row>
    <row r="79" spans="1:34" ht="22.15" customHeight="1" x14ac:dyDescent="0.2">
      <c r="A79" s="1733"/>
      <c r="B79" s="1715"/>
      <c r="C79" s="1629"/>
      <c r="D79" s="1629"/>
      <c r="E79" s="1629"/>
      <c r="F79" s="1629"/>
      <c r="G79" s="1629"/>
      <c r="H79" s="1629"/>
      <c r="I79" s="1629"/>
      <c r="J79" s="1629"/>
      <c r="K79" s="1629"/>
      <c r="L79" s="1629"/>
      <c r="M79" s="1629"/>
      <c r="N79" s="1629"/>
      <c r="O79" s="1629"/>
      <c r="P79" s="1629"/>
      <c r="Q79" s="1629"/>
      <c r="R79" s="1629"/>
      <c r="S79" s="1629"/>
      <c r="T79" s="1629"/>
      <c r="U79" s="1629"/>
      <c r="V79" s="1629"/>
      <c r="W79" s="1629"/>
      <c r="X79" s="1629"/>
      <c r="Y79" s="1629"/>
      <c r="Z79" s="1629"/>
      <c r="AA79" s="1629"/>
      <c r="AB79" s="1629"/>
      <c r="AC79" s="1629"/>
      <c r="AD79" s="1629"/>
      <c r="AE79" s="1629"/>
      <c r="AF79" s="1629"/>
      <c r="AG79" s="1842"/>
      <c r="AH79" s="1"/>
    </row>
    <row r="80" spans="1:34" ht="22.15" customHeight="1" thickBot="1" x14ac:dyDescent="0.25">
      <c r="A80" s="691"/>
      <c r="B80" s="692"/>
      <c r="C80" s="690"/>
      <c r="D80" s="693"/>
      <c r="E80" s="693"/>
      <c r="F80" s="693"/>
      <c r="G80" s="693"/>
      <c r="H80" s="693"/>
      <c r="I80" s="690"/>
      <c r="J80" s="690"/>
      <c r="K80" s="693"/>
      <c r="L80" s="693"/>
      <c r="M80" s="693"/>
      <c r="N80" s="693"/>
      <c r="O80" s="693"/>
      <c r="P80" s="696"/>
      <c r="Q80" s="696"/>
      <c r="R80" s="690"/>
      <c r="S80" s="696"/>
      <c r="T80" s="696"/>
      <c r="U80" s="696"/>
      <c r="V80" s="696"/>
      <c r="W80" s="696"/>
      <c r="X80" s="690"/>
      <c r="Y80" s="696"/>
      <c r="Z80" s="696"/>
      <c r="AA80" s="696"/>
      <c r="AB80" s="696"/>
      <c r="AC80" s="690"/>
      <c r="AD80" s="696"/>
      <c r="AE80" s="696"/>
      <c r="AF80" s="690"/>
      <c r="AG80" s="218"/>
      <c r="AH80" s="1"/>
    </row>
    <row r="81" spans="1:35" ht="22.15" customHeight="1" thickBot="1" x14ac:dyDescent="0.25">
      <c r="A81" s="223"/>
      <c r="B81" s="224" t="s">
        <v>387</v>
      </c>
      <c r="C81" s="219"/>
      <c r="D81" s="225"/>
      <c r="E81" s="225"/>
      <c r="F81" s="225"/>
      <c r="G81" s="225"/>
      <c r="H81" s="225"/>
      <c r="I81" s="219"/>
      <c r="J81" s="219"/>
      <c r="K81" s="225"/>
      <c r="L81" s="225"/>
      <c r="M81" s="225"/>
      <c r="N81" s="225"/>
      <c r="O81" s="225"/>
      <c r="P81" s="219"/>
      <c r="Q81" s="219"/>
      <c r="R81" s="219"/>
      <c r="S81" s="226"/>
      <c r="T81" s="226"/>
      <c r="U81" s="226"/>
      <c r="V81" s="220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48"/>
      <c r="AH81" s="1"/>
    </row>
    <row r="82" spans="1:35" ht="22.15" customHeight="1" thickBot="1" x14ac:dyDescent="0.25">
      <c r="A82" s="221"/>
      <c r="B82" s="222" t="s">
        <v>375</v>
      </c>
      <c r="C82" s="1612"/>
      <c r="D82" s="1612" t="s">
        <v>31</v>
      </c>
      <c r="E82" s="1612" t="s">
        <v>31</v>
      </c>
      <c r="F82" s="1716" t="s">
        <v>31</v>
      </c>
      <c r="G82" s="1612" t="s">
        <v>31</v>
      </c>
      <c r="H82" s="1612" t="s">
        <v>360</v>
      </c>
      <c r="I82" s="1612"/>
      <c r="J82" s="1612"/>
      <c r="K82" s="1612"/>
      <c r="L82" s="1612"/>
      <c r="M82" s="1380"/>
      <c r="N82" s="1380"/>
      <c r="O82" s="1380"/>
      <c r="P82" s="1380"/>
      <c r="Q82" s="1612"/>
      <c r="R82" s="1612"/>
      <c r="S82" s="1612"/>
      <c r="T82" s="1612"/>
      <c r="U82" s="1612"/>
      <c r="V82" s="1612"/>
      <c r="W82" s="1612"/>
      <c r="X82" s="1612"/>
      <c r="Y82" s="1612"/>
      <c r="Z82" s="1612"/>
      <c r="AA82" s="1612"/>
      <c r="AB82" s="1612"/>
      <c r="AC82" s="1612"/>
      <c r="AD82" s="1612"/>
      <c r="AE82" s="1612"/>
      <c r="AF82" s="1612"/>
      <c r="AG82" s="2076"/>
      <c r="AH82" s="1"/>
    </row>
    <row r="83" spans="1:35" ht="22.15" customHeight="1" x14ac:dyDescent="0.2">
      <c r="A83" s="64" t="s">
        <v>134</v>
      </c>
      <c r="AH83" s="1"/>
    </row>
    <row r="84" spans="1:35" ht="22.15" customHeight="1" thickBot="1" x14ac:dyDescent="0.25">
      <c r="A84" s="1343"/>
      <c r="B84" s="1247" t="s">
        <v>29</v>
      </c>
      <c r="C84" s="1185">
        <v>1</v>
      </c>
      <c r="D84" s="1186">
        <v>2</v>
      </c>
      <c r="E84" s="1186">
        <v>3</v>
      </c>
      <c r="F84" s="1186">
        <v>4</v>
      </c>
      <c r="G84" s="1186">
        <v>5</v>
      </c>
      <c r="H84" s="1186">
        <v>6</v>
      </c>
      <c r="I84" s="1185">
        <v>7</v>
      </c>
      <c r="J84" s="1185">
        <v>8</v>
      </c>
      <c r="K84" s="1186">
        <v>9</v>
      </c>
      <c r="L84" s="1186">
        <v>10</v>
      </c>
      <c r="M84" s="1186">
        <v>11</v>
      </c>
      <c r="N84" s="1186">
        <v>12</v>
      </c>
      <c r="O84" s="1186">
        <v>13</v>
      </c>
      <c r="P84" s="1185">
        <v>14</v>
      </c>
      <c r="Q84" s="1185">
        <v>15</v>
      </c>
      <c r="R84" s="1186">
        <v>16</v>
      </c>
      <c r="S84" s="1186">
        <v>17</v>
      </c>
      <c r="T84" s="1186">
        <v>18</v>
      </c>
      <c r="U84" s="1186">
        <v>19</v>
      </c>
      <c r="V84" s="1186">
        <v>20</v>
      </c>
      <c r="W84" s="1185">
        <v>21</v>
      </c>
      <c r="X84" s="1185">
        <v>22</v>
      </c>
      <c r="Y84" s="1186">
        <v>23</v>
      </c>
      <c r="Z84" s="1186">
        <v>24</v>
      </c>
      <c r="AA84" s="1186">
        <v>25</v>
      </c>
      <c r="AB84" s="1186">
        <v>26</v>
      </c>
      <c r="AC84" s="1186">
        <v>27</v>
      </c>
      <c r="AD84" s="1185">
        <v>28</v>
      </c>
      <c r="AE84" s="1185">
        <v>29</v>
      </c>
      <c r="AF84" s="1186">
        <v>30</v>
      </c>
      <c r="AG84" s="1945"/>
      <c r="AH84" s="1"/>
    </row>
    <row r="85" spans="1:35" ht="22.15" customHeight="1" x14ac:dyDescent="0.2">
      <c r="A85" s="487"/>
      <c r="B85" s="488" t="s">
        <v>135</v>
      </c>
      <c r="C85" s="458"/>
      <c r="D85" s="482"/>
      <c r="E85" s="458"/>
      <c r="F85" s="458"/>
      <c r="G85" s="458"/>
      <c r="H85" s="458"/>
      <c r="I85" s="458"/>
      <c r="J85" s="458"/>
      <c r="K85" s="458"/>
      <c r="L85" s="458"/>
      <c r="M85" s="458"/>
      <c r="N85" s="458"/>
      <c r="O85" s="458"/>
      <c r="P85" s="458"/>
      <c r="Q85" s="458"/>
      <c r="R85" s="458"/>
      <c r="S85" s="458"/>
      <c r="T85" s="458"/>
      <c r="U85" s="458"/>
      <c r="V85" s="458"/>
      <c r="W85" s="458"/>
      <c r="X85" s="458"/>
      <c r="Y85" s="458"/>
      <c r="Z85" s="458"/>
      <c r="AA85" s="458"/>
      <c r="AB85" s="458"/>
      <c r="AC85" s="458"/>
      <c r="AD85" s="458"/>
      <c r="AE85" s="458"/>
      <c r="AF85" s="458"/>
      <c r="AG85" s="464"/>
      <c r="AH85" s="1"/>
    </row>
    <row r="86" spans="1:35" ht="22.15" customHeight="1" x14ac:dyDescent="0.2">
      <c r="A86" s="1336">
        <v>2</v>
      </c>
      <c r="B86" s="1975" t="s">
        <v>388</v>
      </c>
      <c r="C86" s="1337"/>
      <c r="D86" s="1337" t="s">
        <v>35</v>
      </c>
      <c r="E86" s="2112" t="s">
        <v>32</v>
      </c>
      <c r="F86" s="2112" t="s">
        <v>32</v>
      </c>
      <c r="G86" s="2112" t="s">
        <v>32</v>
      </c>
      <c r="H86" s="2112" t="s">
        <v>32</v>
      </c>
      <c r="I86" s="2112"/>
      <c r="J86" s="2112"/>
      <c r="K86" s="2112" t="s">
        <v>32</v>
      </c>
      <c r="L86" s="2041" t="s">
        <v>32</v>
      </c>
      <c r="M86" s="2041" t="s">
        <v>32</v>
      </c>
      <c r="N86" s="2041" t="s">
        <v>32</v>
      </c>
      <c r="O86" s="2041" t="s">
        <v>32</v>
      </c>
      <c r="P86" s="2041"/>
      <c r="Q86" s="2041"/>
      <c r="R86" s="2041" t="s">
        <v>110</v>
      </c>
      <c r="S86" s="2041" t="s">
        <v>110</v>
      </c>
      <c r="T86" s="2041" t="s">
        <v>110</v>
      </c>
      <c r="U86" s="2041" t="s">
        <v>110</v>
      </c>
      <c r="V86" s="2041" t="s">
        <v>110</v>
      </c>
      <c r="W86" s="2041"/>
      <c r="X86" s="2041"/>
      <c r="Y86" s="2113">
        <v>69</v>
      </c>
      <c r="Z86" s="2113">
        <v>69</v>
      </c>
      <c r="AA86" s="2041">
        <v>69</v>
      </c>
      <c r="AB86" s="2112">
        <v>69</v>
      </c>
      <c r="AC86" s="2112">
        <v>69</v>
      </c>
      <c r="AD86" s="1337"/>
      <c r="AE86" s="1337"/>
      <c r="AF86" s="1344" t="s">
        <v>35</v>
      </c>
      <c r="AG86" s="1340"/>
      <c r="AH86" s="1"/>
    </row>
    <row r="87" spans="1:35" ht="22.15" customHeight="1" thickBot="1" x14ac:dyDescent="0.25">
      <c r="A87" s="1336">
        <v>3</v>
      </c>
      <c r="B87" s="1975" t="s">
        <v>389</v>
      </c>
      <c r="C87" s="1346"/>
      <c r="D87" s="1346"/>
      <c r="E87" s="1346"/>
      <c r="F87" s="1346"/>
      <c r="G87" s="1346"/>
      <c r="H87" s="1346"/>
      <c r="I87" s="1346"/>
      <c r="J87" s="1346"/>
      <c r="K87" s="1346"/>
      <c r="L87" s="1346"/>
      <c r="M87" s="1346"/>
      <c r="N87" s="1346"/>
      <c r="O87" s="1346"/>
      <c r="P87" s="1346"/>
      <c r="Q87" s="1346"/>
      <c r="R87" s="1346"/>
      <c r="S87" s="1346"/>
      <c r="T87" s="1346"/>
      <c r="U87" s="1346"/>
      <c r="V87" s="1346"/>
      <c r="W87" s="1346"/>
      <c r="X87" s="1346"/>
      <c r="Y87" s="1346"/>
      <c r="Z87" s="1346"/>
      <c r="AA87" s="1346"/>
      <c r="AB87" s="1346"/>
      <c r="AC87" s="1346"/>
      <c r="AD87" s="1346"/>
      <c r="AE87" s="1346"/>
      <c r="AF87" s="1347"/>
      <c r="AG87" s="1251"/>
      <c r="AH87" s="1"/>
    </row>
    <row r="88" spans="1:35" ht="22.15" customHeight="1" x14ac:dyDescent="0.2">
      <c r="A88" s="1343">
        <v>4</v>
      </c>
      <c r="B88" s="2114" t="s">
        <v>397</v>
      </c>
      <c r="C88" s="2066"/>
      <c r="D88" s="2115">
        <v>99</v>
      </c>
      <c r="E88" s="2115">
        <v>99</v>
      </c>
      <c r="F88" s="2115">
        <v>99</v>
      </c>
      <c r="G88" s="2115">
        <v>99</v>
      </c>
      <c r="H88" s="2115" t="s">
        <v>35</v>
      </c>
      <c r="I88" s="2115"/>
      <c r="J88" s="2115"/>
      <c r="K88" s="2115">
        <v>6</v>
      </c>
      <c r="L88" s="2115">
        <v>6</v>
      </c>
      <c r="M88" s="2115">
        <v>6</v>
      </c>
      <c r="N88" s="2115">
        <v>6</v>
      </c>
      <c r="O88" s="2115">
        <v>6</v>
      </c>
      <c r="P88" s="2116"/>
      <c r="Q88" s="2116"/>
      <c r="R88" s="645">
        <v>1</v>
      </c>
      <c r="S88" s="645">
        <v>1</v>
      </c>
      <c r="T88" s="645">
        <v>1</v>
      </c>
      <c r="U88" s="645">
        <v>1</v>
      </c>
      <c r="V88" s="645">
        <v>1</v>
      </c>
      <c r="W88" s="645"/>
      <c r="X88" s="645"/>
      <c r="Y88" s="645">
        <v>9</v>
      </c>
      <c r="Z88" s="645">
        <v>9</v>
      </c>
      <c r="AA88" s="645">
        <v>9</v>
      </c>
      <c r="AB88" s="645">
        <v>9</v>
      </c>
      <c r="AC88" s="645">
        <v>9</v>
      </c>
      <c r="AD88" s="645" t="s">
        <v>66</v>
      </c>
      <c r="AE88" s="645" t="s">
        <v>67</v>
      </c>
      <c r="AF88" s="645" t="s">
        <v>35</v>
      </c>
      <c r="AG88" s="2035"/>
      <c r="AH88" s="1"/>
    </row>
    <row r="89" spans="1:35" ht="22.15" customHeight="1" x14ac:dyDescent="0.2">
      <c r="A89" s="1488">
        <v>5</v>
      </c>
      <c r="B89" s="1630" t="s">
        <v>405</v>
      </c>
      <c r="C89" s="1629"/>
      <c r="D89" s="1734"/>
      <c r="E89" s="1734"/>
      <c r="F89" s="1734"/>
      <c r="G89" s="1734"/>
      <c r="H89" s="1734"/>
      <c r="I89" s="1734"/>
      <c r="J89" s="1734"/>
      <c r="K89" s="2033" t="s">
        <v>31</v>
      </c>
      <c r="L89" s="2033" t="s">
        <v>31</v>
      </c>
      <c r="M89" s="2033" t="s">
        <v>31</v>
      </c>
      <c r="N89" s="2033" t="s">
        <v>31</v>
      </c>
      <c r="O89" s="2033" t="s">
        <v>31</v>
      </c>
      <c r="P89" s="2033"/>
      <c r="Q89" s="2033"/>
      <c r="R89" s="2036">
        <v>99</v>
      </c>
      <c r="S89" s="2036">
        <v>99</v>
      </c>
      <c r="T89" s="2036">
        <v>99</v>
      </c>
      <c r="U89" s="2033">
        <v>99</v>
      </c>
      <c r="V89" s="2033" t="s">
        <v>31</v>
      </c>
      <c r="W89" s="2033"/>
      <c r="X89" s="2033"/>
      <c r="Y89" s="2033" t="s">
        <v>31</v>
      </c>
      <c r="Z89" s="2033" t="s">
        <v>31</v>
      </c>
      <c r="AA89" s="2033">
        <v>23</v>
      </c>
      <c r="AB89" s="2033">
        <v>23</v>
      </c>
      <c r="AC89" s="2033">
        <v>23</v>
      </c>
      <c r="AD89" s="2033"/>
      <c r="AE89" s="2033"/>
      <c r="AF89" s="2033">
        <v>10</v>
      </c>
      <c r="AG89" s="1629"/>
      <c r="AH89" s="1"/>
    </row>
    <row r="90" spans="1:35" ht="22.15" customHeight="1" x14ac:dyDescent="0.2">
      <c r="A90" s="1488">
        <v>6</v>
      </c>
      <c r="B90" s="1630" t="s">
        <v>406</v>
      </c>
      <c r="C90" s="1629"/>
      <c r="D90" s="1734"/>
      <c r="E90" s="1734"/>
      <c r="F90" s="1734"/>
      <c r="G90" s="1734"/>
      <c r="H90" s="1734"/>
      <c r="I90" s="1734"/>
      <c r="J90" s="1734"/>
      <c r="K90" s="2033" t="s">
        <v>31</v>
      </c>
      <c r="L90" s="2033" t="s">
        <v>31</v>
      </c>
      <c r="M90" s="2033" t="s">
        <v>31</v>
      </c>
      <c r="N90" s="2033" t="s">
        <v>31</v>
      </c>
      <c r="O90" s="2033" t="s">
        <v>31</v>
      </c>
      <c r="P90" s="2033"/>
      <c r="Q90" s="2033"/>
      <c r="R90" s="2036">
        <v>69</v>
      </c>
      <c r="S90" s="2036">
        <v>69</v>
      </c>
      <c r="T90" s="2036">
        <v>69</v>
      </c>
      <c r="U90" s="2036">
        <v>69</v>
      </c>
      <c r="V90" s="2033" t="s">
        <v>31</v>
      </c>
      <c r="W90" s="2033"/>
      <c r="X90" s="2033"/>
      <c r="Y90" s="2033" t="s">
        <v>31</v>
      </c>
      <c r="Z90" s="2033" t="s">
        <v>31</v>
      </c>
      <c r="AA90" s="2033">
        <v>23</v>
      </c>
      <c r="AB90" s="2033">
        <v>23</v>
      </c>
      <c r="AC90" s="2033">
        <v>23</v>
      </c>
      <c r="AD90" s="2033"/>
      <c r="AE90" s="2033"/>
      <c r="AF90" s="2033">
        <v>11</v>
      </c>
      <c r="AG90" s="1629"/>
      <c r="AH90" s="1"/>
    </row>
    <row r="91" spans="1:35" ht="22.15" customHeight="1" thickBot="1" x14ac:dyDescent="0.25">
      <c r="A91" s="176" t="s">
        <v>136</v>
      </c>
      <c r="B91" s="177"/>
      <c r="C91" s="177"/>
      <c r="D91" s="177"/>
      <c r="E91" s="177"/>
      <c r="F91" s="177"/>
      <c r="G91" s="178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</row>
    <row r="92" spans="1:35" ht="22.15" customHeight="1" thickBot="1" x14ac:dyDescent="0.25">
      <c r="A92" s="179"/>
      <c r="B92" s="303" t="s">
        <v>137</v>
      </c>
      <c r="C92" s="281"/>
      <c r="D92" s="282" t="s">
        <v>90</v>
      </c>
      <c r="E92" s="283"/>
      <c r="F92" s="284"/>
      <c r="G92" s="281"/>
      <c r="H92" s="282" t="s">
        <v>91</v>
      </c>
      <c r="I92" s="283"/>
      <c r="J92" s="284"/>
      <c r="K92" s="281"/>
      <c r="L92" s="282" t="s">
        <v>92</v>
      </c>
      <c r="M92" s="283"/>
      <c r="N92" s="284"/>
      <c r="O92" s="281"/>
      <c r="P92" s="282" t="s">
        <v>93</v>
      </c>
      <c r="Q92" s="283"/>
      <c r="R92" s="284"/>
      <c r="S92" s="285"/>
      <c r="T92" s="282" t="s">
        <v>94</v>
      </c>
      <c r="U92" s="283"/>
      <c r="V92" s="284"/>
      <c r="W92" s="281"/>
      <c r="X92" s="282" t="s">
        <v>95</v>
      </c>
      <c r="Y92" s="283"/>
      <c r="Z92" s="284"/>
      <c r="AA92" s="281"/>
      <c r="AB92" s="282" t="s">
        <v>96</v>
      </c>
      <c r="AC92" s="283"/>
      <c r="AD92" s="283"/>
      <c r="AE92" s="286" t="s">
        <v>138</v>
      </c>
      <c r="AF92" s="283"/>
      <c r="AG92" s="283"/>
      <c r="AH92" s="283"/>
      <c r="AI92" s="287"/>
    </row>
    <row r="93" spans="1:35" ht="22.15" customHeight="1" x14ac:dyDescent="0.2">
      <c r="A93" s="179"/>
      <c r="B93" s="489" t="s">
        <v>139</v>
      </c>
      <c r="C93" s="490" t="s">
        <v>140</v>
      </c>
      <c r="D93" s="283"/>
      <c r="E93" s="491"/>
      <c r="F93" s="492"/>
      <c r="G93" s="490" t="s">
        <v>140</v>
      </c>
      <c r="H93" s="491"/>
      <c r="I93" s="491"/>
      <c r="J93" s="492"/>
      <c r="K93" s="288" t="s">
        <v>140</v>
      </c>
      <c r="L93" s="283"/>
      <c r="M93" s="283"/>
      <c r="N93" s="289"/>
      <c r="O93" s="288" t="s">
        <v>141</v>
      </c>
      <c r="P93" s="283"/>
      <c r="Q93" s="491"/>
      <c r="R93" s="492"/>
      <c r="S93" s="490" t="s">
        <v>142</v>
      </c>
      <c r="T93" s="491"/>
      <c r="U93" s="491"/>
      <c r="V93" s="493"/>
      <c r="W93" s="494"/>
      <c r="X93" s="495"/>
      <c r="Y93" s="495"/>
      <c r="Z93" s="496"/>
      <c r="AA93" s="493"/>
      <c r="AB93" s="491"/>
      <c r="AC93" s="491"/>
      <c r="AD93" s="493"/>
      <c r="AE93" s="497">
        <v>37</v>
      </c>
      <c r="AF93" s="283"/>
      <c r="AG93" s="491"/>
      <c r="AH93" s="493"/>
      <c r="AI93" s="498"/>
    </row>
    <row r="94" spans="1:35" ht="22.15" customHeight="1" x14ac:dyDescent="0.2">
      <c r="A94" s="179"/>
      <c r="B94" s="1350" t="s">
        <v>143</v>
      </c>
      <c r="C94" s="1351" t="s">
        <v>144</v>
      </c>
      <c r="D94" s="1352"/>
      <c r="E94" s="1352"/>
      <c r="F94" s="1353"/>
      <c r="G94" s="1351" t="s">
        <v>145</v>
      </c>
      <c r="H94" s="1352"/>
      <c r="I94" s="1352"/>
      <c r="J94" s="1353"/>
      <c r="K94" s="1351" t="s">
        <v>146</v>
      </c>
      <c r="L94" s="1354" t="s">
        <v>147</v>
      </c>
      <c r="M94" s="1352"/>
      <c r="N94" s="1353"/>
      <c r="O94" s="1351" t="s">
        <v>146</v>
      </c>
      <c r="P94" s="1354" t="s">
        <v>147</v>
      </c>
      <c r="Q94" s="1352"/>
      <c r="R94" s="1353"/>
      <c r="S94" s="1351" t="s">
        <v>145</v>
      </c>
      <c r="T94" s="1354" t="s">
        <v>148</v>
      </c>
      <c r="U94" s="1352"/>
      <c r="V94" s="1353"/>
      <c r="W94" s="180" t="s">
        <v>46</v>
      </c>
      <c r="X94" s="254" t="s">
        <v>152</v>
      </c>
      <c r="Y94" s="181"/>
      <c r="Z94" s="181"/>
      <c r="AA94" s="1351" t="s">
        <v>46</v>
      </c>
      <c r="AB94" s="1354" t="s">
        <v>152</v>
      </c>
      <c r="AC94" s="1351"/>
      <c r="AD94" s="1351"/>
      <c r="AE94" s="1356">
        <v>68</v>
      </c>
      <c r="AF94" s="1352"/>
      <c r="AG94" s="1357"/>
      <c r="AH94" s="1358"/>
      <c r="AI94" s="1359"/>
    </row>
    <row r="95" spans="1:35" ht="22.15" customHeight="1" x14ac:dyDescent="0.2">
      <c r="A95" s="179"/>
      <c r="B95" s="1350" t="s">
        <v>153</v>
      </c>
      <c r="C95" s="1360" t="s">
        <v>154</v>
      </c>
      <c r="D95" s="1352"/>
      <c r="E95" s="1352"/>
      <c r="F95" s="1353"/>
      <c r="G95" s="1352" t="s">
        <v>154</v>
      </c>
      <c r="H95" s="1352"/>
      <c r="I95" s="1352"/>
      <c r="J95" s="1353"/>
      <c r="K95" s="1352" t="s">
        <v>154</v>
      </c>
      <c r="L95" s="1352"/>
      <c r="M95" s="1352"/>
      <c r="N95" s="1353"/>
      <c r="O95" s="1352" t="s">
        <v>154</v>
      </c>
      <c r="P95" s="1352"/>
      <c r="Q95" s="1352"/>
      <c r="R95" s="1353"/>
      <c r="S95" s="1352" t="s">
        <v>154</v>
      </c>
      <c r="T95" s="1352"/>
      <c r="U95" s="1352"/>
      <c r="V95" s="1353"/>
      <c r="W95" s="1351"/>
      <c r="X95" s="1352"/>
      <c r="Y95" s="1352"/>
      <c r="Z95" s="1353"/>
      <c r="AA95" s="1351"/>
      <c r="AB95" s="1352"/>
      <c r="AC95" s="1352"/>
      <c r="AD95" s="1354"/>
      <c r="AE95" s="1356">
        <v>0</v>
      </c>
      <c r="AF95" s="1357"/>
      <c r="AG95" s="1352"/>
      <c r="AH95" s="1354"/>
      <c r="AI95" s="1361"/>
    </row>
    <row r="96" spans="1:35" ht="22.15" customHeight="1" thickBot="1" x14ac:dyDescent="0.25">
      <c r="A96" s="179"/>
      <c r="B96" s="1979" t="s">
        <v>155</v>
      </c>
      <c r="C96" s="1363" t="s">
        <v>140</v>
      </c>
      <c r="D96" s="1364"/>
      <c r="E96" s="1365"/>
      <c r="F96" s="1366"/>
      <c r="G96" s="1363" t="s">
        <v>140</v>
      </c>
      <c r="H96" s="1364"/>
      <c r="I96" s="1365"/>
      <c r="J96" s="1366"/>
      <c r="K96" s="1363" t="s">
        <v>140</v>
      </c>
      <c r="L96" s="1364"/>
      <c r="M96" s="1365"/>
      <c r="N96" s="1366"/>
      <c r="O96" s="1363" t="s">
        <v>141</v>
      </c>
      <c r="P96" s="1365"/>
      <c r="Q96" s="1365"/>
      <c r="R96" s="1366"/>
      <c r="S96" s="1363" t="s">
        <v>142</v>
      </c>
      <c r="T96" s="1365"/>
      <c r="U96" s="1365"/>
      <c r="V96" s="1367"/>
      <c r="W96" s="1980"/>
      <c r="X96" s="1365"/>
      <c r="Y96" s="1365"/>
      <c r="Z96" s="1369"/>
      <c r="AA96" s="1367"/>
      <c r="AB96" s="1365"/>
      <c r="AC96" s="1365"/>
      <c r="AD96" s="1367"/>
      <c r="AE96" s="1370">
        <v>37</v>
      </c>
      <c r="AF96" s="1365"/>
      <c r="AG96" s="1365"/>
      <c r="AH96" s="1367"/>
      <c r="AI96" s="1371"/>
    </row>
    <row r="97" spans="1:35" ht="22.15" customHeight="1" x14ac:dyDescent="0.2">
      <c r="A97" s="182"/>
      <c r="B97" s="179"/>
      <c r="C97" s="177"/>
      <c r="D97" s="181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</row>
    <row r="98" spans="1:35" ht="22.15" customHeight="1" thickBot="1" x14ac:dyDescent="0.25">
      <c r="A98" s="1372"/>
      <c r="B98" s="1373" t="s">
        <v>29</v>
      </c>
      <c r="C98" s="1185">
        <v>1</v>
      </c>
      <c r="D98" s="1186">
        <v>2</v>
      </c>
      <c r="E98" s="1186">
        <v>3</v>
      </c>
      <c r="F98" s="1186">
        <v>4</v>
      </c>
      <c r="G98" s="1186">
        <v>5</v>
      </c>
      <c r="H98" s="1186">
        <v>6</v>
      </c>
      <c r="I98" s="1185">
        <v>7</v>
      </c>
      <c r="J98" s="1185">
        <v>8</v>
      </c>
      <c r="K98" s="1186">
        <v>9</v>
      </c>
      <c r="L98" s="1186">
        <v>10</v>
      </c>
      <c r="M98" s="1186">
        <v>11</v>
      </c>
      <c r="N98" s="1186">
        <v>12</v>
      </c>
      <c r="O98" s="1186">
        <v>13</v>
      </c>
      <c r="P98" s="1185">
        <v>14</v>
      </c>
      <c r="Q98" s="1185">
        <v>15</v>
      </c>
      <c r="R98" s="1186">
        <v>16</v>
      </c>
      <c r="S98" s="1186">
        <v>17</v>
      </c>
      <c r="T98" s="1186">
        <v>18</v>
      </c>
      <c r="U98" s="1186">
        <v>19</v>
      </c>
      <c r="V98" s="1186">
        <v>20</v>
      </c>
      <c r="W98" s="1185">
        <v>21</v>
      </c>
      <c r="X98" s="1185">
        <v>22</v>
      </c>
      <c r="Y98" s="1186">
        <v>23</v>
      </c>
      <c r="Z98" s="1186">
        <v>24</v>
      </c>
      <c r="AA98" s="1186">
        <v>25</v>
      </c>
      <c r="AB98" s="1186">
        <v>26</v>
      </c>
      <c r="AC98" s="1186">
        <v>27</v>
      </c>
      <c r="AD98" s="1185">
        <v>28</v>
      </c>
      <c r="AE98" s="1185">
        <v>29</v>
      </c>
      <c r="AF98" s="1186">
        <v>30</v>
      </c>
      <c r="AG98" s="1945"/>
      <c r="AH98" s="191"/>
      <c r="AI98" s="192"/>
    </row>
    <row r="99" spans="1:35" ht="22.15" customHeight="1" thickBot="1" x14ac:dyDescent="0.25">
      <c r="A99" s="499">
        <v>1</v>
      </c>
      <c r="B99" s="476"/>
      <c r="C99" s="541"/>
      <c r="D99" s="541" t="s">
        <v>156</v>
      </c>
      <c r="E99" s="541" t="s">
        <v>156</v>
      </c>
      <c r="F99" s="541" t="s">
        <v>156</v>
      </c>
      <c r="G99" s="541" t="s">
        <v>156</v>
      </c>
      <c r="H99" s="541" t="s">
        <v>156</v>
      </c>
      <c r="I99" s="541"/>
      <c r="J99" s="541"/>
      <c r="K99" s="541" t="s">
        <v>110</v>
      </c>
      <c r="L99" s="541" t="s">
        <v>110</v>
      </c>
      <c r="M99" s="541" t="s">
        <v>110</v>
      </c>
      <c r="N99" s="541" t="s">
        <v>110</v>
      </c>
      <c r="O99" s="541" t="s">
        <v>110</v>
      </c>
      <c r="P99" s="544" t="s">
        <v>46</v>
      </c>
      <c r="Q99" s="541" t="s">
        <v>46</v>
      </c>
      <c r="R99" s="541" t="s">
        <v>35</v>
      </c>
      <c r="S99" s="541" t="s">
        <v>35</v>
      </c>
      <c r="T99" s="541" t="s">
        <v>35</v>
      </c>
      <c r="U99" s="541" t="s">
        <v>35</v>
      </c>
      <c r="V99" s="541" t="s">
        <v>35</v>
      </c>
      <c r="W99" s="541"/>
      <c r="X99" s="540"/>
      <c r="Y99" s="540" t="s">
        <v>156</v>
      </c>
      <c r="Z99" s="540" t="s">
        <v>156</v>
      </c>
      <c r="AA99" s="540" t="s">
        <v>156</v>
      </c>
      <c r="AB99" s="541" t="s">
        <v>156</v>
      </c>
      <c r="AC99" s="541" t="s">
        <v>156</v>
      </c>
      <c r="AD99" s="541"/>
      <c r="AE99" s="541"/>
      <c r="AF99" s="541" t="s">
        <v>156</v>
      </c>
      <c r="AG99" s="545"/>
      <c r="AH99" s="193"/>
      <c r="AI99" s="194"/>
    </row>
    <row r="100" spans="1:35" ht="22.15" customHeight="1" thickBot="1" x14ac:dyDescent="0.25">
      <c r="A100" s="1374">
        <v>2</v>
      </c>
      <c r="B100" s="1202" t="s">
        <v>157</v>
      </c>
      <c r="C100" s="1375"/>
      <c r="D100" s="1375" t="s">
        <v>156</v>
      </c>
      <c r="E100" s="1375" t="s">
        <v>156</v>
      </c>
      <c r="F100" s="1375" t="s">
        <v>156</v>
      </c>
      <c r="G100" s="1375" t="s">
        <v>156</v>
      </c>
      <c r="H100" s="1375" t="s">
        <v>156</v>
      </c>
      <c r="I100" s="1375"/>
      <c r="J100" s="1375"/>
      <c r="K100" s="1377" t="s">
        <v>156</v>
      </c>
      <c r="L100" s="1377" t="s">
        <v>156</v>
      </c>
      <c r="M100" s="462" t="s">
        <v>156</v>
      </c>
      <c r="N100" s="1629" t="s">
        <v>385</v>
      </c>
      <c r="O100" s="1377" t="s">
        <v>156</v>
      </c>
      <c r="P100" s="1377"/>
      <c r="Q100" s="1334"/>
      <c r="R100" s="1377" t="s">
        <v>110</v>
      </c>
      <c r="S100" s="1377" t="s">
        <v>110</v>
      </c>
      <c r="T100" s="1377" t="s">
        <v>110</v>
      </c>
      <c r="U100" s="1377" t="s">
        <v>110</v>
      </c>
      <c r="V100" s="1377" t="s">
        <v>110</v>
      </c>
      <c r="W100" s="1377" t="s">
        <v>46</v>
      </c>
      <c r="X100" s="1377" t="s">
        <v>46</v>
      </c>
      <c r="Y100" s="1215" t="s">
        <v>35</v>
      </c>
      <c r="Z100" s="1215" t="s">
        <v>35</v>
      </c>
      <c r="AA100" s="1380" t="s">
        <v>35</v>
      </c>
      <c r="AB100" s="1380" t="s">
        <v>35</v>
      </c>
      <c r="AC100" s="1380" t="s">
        <v>35</v>
      </c>
      <c r="AD100" s="1380"/>
      <c r="AE100" s="1380"/>
      <c r="AF100" s="1380" t="s">
        <v>243</v>
      </c>
      <c r="AG100" s="1378"/>
      <c r="AH100" s="193"/>
      <c r="AI100" s="194"/>
    </row>
    <row r="101" spans="1:35" ht="22.15" customHeight="1" x14ac:dyDescent="0.2">
      <c r="A101" s="1374">
        <v>3</v>
      </c>
      <c r="B101" s="1379" t="s">
        <v>159</v>
      </c>
      <c r="C101" s="1215" t="s">
        <v>46</v>
      </c>
      <c r="D101" s="1984" t="s">
        <v>35</v>
      </c>
      <c r="E101" s="1267" t="s">
        <v>35</v>
      </c>
      <c r="F101" s="1260" t="s">
        <v>35</v>
      </c>
      <c r="G101" s="1260" t="s">
        <v>35</v>
      </c>
      <c r="H101" s="1260" t="s">
        <v>35</v>
      </c>
      <c r="I101" s="1260"/>
      <c r="J101" s="1375"/>
      <c r="K101" s="2117">
        <v>69</v>
      </c>
      <c r="L101" s="1612">
        <v>69</v>
      </c>
      <c r="M101" s="1612">
        <v>69</v>
      </c>
      <c r="N101" s="1612">
        <v>69</v>
      </c>
      <c r="O101" s="1612">
        <v>69</v>
      </c>
      <c r="P101" s="1259"/>
      <c r="Q101" s="1376"/>
      <c r="R101" s="540" t="s">
        <v>228</v>
      </c>
      <c r="S101" s="540" t="s">
        <v>238</v>
      </c>
      <c r="T101" s="540" t="s">
        <v>228</v>
      </c>
      <c r="U101" s="649" t="s">
        <v>228</v>
      </c>
      <c r="V101" s="540" t="s">
        <v>238</v>
      </c>
      <c r="W101" s="1215"/>
      <c r="X101" s="1215"/>
      <c r="Y101" s="1259" t="s">
        <v>110</v>
      </c>
      <c r="Z101" s="2046" t="s">
        <v>110</v>
      </c>
      <c r="AA101" s="1380" t="s">
        <v>110</v>
      </c>
      <c r="AB101" s="1380" t="s">
        <v>110</v>
      </c>
      <c r="AC101" s="1380" t="s">
        <v>110</v>
      </c>
      <c r="AD101" s="1311" t="s">
        <v>46</v>
      </c>
      <c r="AE101" s="1215" t="s">
        <v>46</v>
      </c>
      <c r="AF101" s="1215" t="s">
        <v>35</v>
      </c>
      <c r="AG101" s="1328"/>
      <c r="AH101" s="193"/>
      <c r="AI101" s="194"/>
    </row>
    <row r="102" spans="1:35" ht="22.15" customHeight="1" thickBot="1" x14ac:dyDescent="0.25">
      <c r="A102" s="1382">
        <v>4</v>
      </c>
      <c r="B102" s="1383"/>
      <c r="C102" s="1384" t="s">
        <v>0</v>
      </c>
      <c r="D102" s="1384" t="s">
        <v>110</v>
      </c>
      <c r="E102" s="1384" t="s">
        <v>110</v>
      </c>
      <c r="F102" s="1384" t="s">
        <v>110</v>
      </c>
      <c r="G102" s="1384" t="s">
        <v>110</v>
      </c>
      <c r="H102" s="1384" t="s">
        <v>110</v>
      </c>
      <c r="I102" s="1384" t="s">
        <v>46</v>
      </c>
      <c r="J102" s="1384" t="s">
        <v>46</v>
      </c>
      <c r="K102" s="1384" t="s">
        <v>35</v>
      </c>
      <c r="L102" s="1384" t="s">
        <v>35</v>
      </c>
      <c r="M102" s="1384" t="s">
        <v>35</v>
      </c>
      <c r="N102" s="1384" t="s">
        <v>35</v>
      </c>
      <c r="O102" s="1384" t="s">
        <v>35</v>
      </c>
      <c r="P102" s="1384"/>
      <c r="Q102" s="1384"/>
      <c r="R102" s="1384" t="s">
        <v>156</v>
      </c>
      <c r="S102" s="1384" t="s">
        <v>156</v>
      </c>
      <c r="T102" s="1384" t="s">
        <v>156</v>
      </c>
      <c r="U102" s="1384" t="s">
        <v>156</v>
      </c>
      <c r="V102" s="1384" t="s">
        <v>156</v>
      </c>
      <c r="W102" s="1384"/>
      <c r="X102" s="1384"/>
      <c r="Y102" s="1384" t="s">
        <v>156</v>
      </c>
      <c r="Z102" s="1384" t="s">
        <v>156</v>
      </c>
      <c r="AA102" s="1381" t="s">
        <v>156</v>
      </c>
      <c r="AB102" s="1381" t="s">
        <v>156</v>
      </c>
      <c r="AC102" s="1381" t="s">
        <v>156</v>
      </c>
      <c r="AD102" s="1381" t="s">
        <v>0</v>
      </c>
      <c r="AE102" s="1381" t="s">
        <v>0</v>
      </c>
      <c r="AF102" s="1384" t="s">
        <v>110</v>
      </c>
      <c r="AG102" s="1988"/>
      <c r="AH102" s="193"/>
      <c r="AI102" s="194"/>
    </row>
    <row r="103" spans="1:35" ht="22.15" customHeight="1" thickBot="1" x14ac:dyDescent="0.25">
      <c r="A103" s="231"/>
      <c r="B103" s="232"/>
      <c r="C103" s="233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3"/>
      <c r="U103" s="233"/>
      <c r="V103" s="233"/>
      <c r="W103" s="233"/>
      <c r="X103" s="233"/>
      <c r="Y103" s="233"/>
      <c r="Z103" s="233"/>
      <c r="AA103" s="233"/>
      <c r="AB103" s="233"/>
      <c r="AC103" s="233"/>
      <c r="AD103" s="233"/>
      <c r="AE103" s="233"/>
      <c r="AF103" s="233"/>
      <c r="AG103" s="234"/>
      <c r="AH103" s="235"/>
      <c r="AI103" s="194"/>
    </row>
    <row r="104" spans="1:35" ht="22.15" customHeight="1" x14ac:dyDescent="0.2">
      <c r="A104" s="72"/>
      <c r="B104" s="304" t="s">
        <v>160</v>
      </c>
      <c r="C104" s="500"/>
      <c r="D104" s="501" t="s">
        <v>90</v>
      </c>
      <c r="E104" s="502"/>
      <c r="F104" s="500"/>
      <c r="G104" s="503" t="s">
        <v>91</v>
      </c>
      <c r="H104" s="504"/>
      <c r="I104" s="505"/>
      <c r="J104" s="503" t="s">
        <v>92</v>
      </c>
      <c r="K104" s="506"/>
      <c r="L104" s="505"/>
      <c r="M104" s="507" t="s">
        <v>93</v>
      </c>
      <c r="N104" s="506"/>
      <c r="O104" s="505"/>
      <c r="P104" s="503" t="s">
        <v>94</v>
      </c>
      <c r="Q104" s="508"/>
      <c r="R104" s="505"/>
      <c r="S104" s="503" t="s">
        <v>95</v>
      </c>
      <c r="T104" s="509"/>
      <c r="U104" s="505"/>
      <c r="V104" s="503" t="s">
        <v>96</v>
      </c>
      <c r="W104" s="508"/>
      <c r="X104" s="510" t="s">
        <v>138</v>
      </c>
      <c r="Y104" s="511"/>
      <c r="Z104" s="511"/>
      <c r="AA104" s="512"/>
      <c r="AB104" s="290" t="s">
        <v>97</v>
      </c>
      <c r="AC104" s="291"/>
      <c r="AD104" s="291"/>
      <c r="AE104" s="292"/>
      <c r="AF104" s="292"/>
      <c r="AG104" s="293"/>
      <c r="AH104" s="235"/>
      <c r="AI104" s="194"/>
    </row>
    <row r="105" spans="1:35" ht="22.15" customHeight="1" x14ac:dyDescent="0.2">
      <c r="A105" s="72"/>
      <c r="B105" s="1386" t="s">
        <v>161</v>
      </c>
      <c r="C105" s="1387" t="s">
        <v>162</v>
      </c>
      <c r="D105" s="1169"/>
      <c r="E105" s="1170"/>
      <c r="F105" s="1387" t="s">
        <v>162</v>
      </c>
      <c r="G105" s="1169"/>
      <c r="H105" s="1170"/>
      <c r="I105" s="1387" t="s">
        <v>162</v>
      </c>
      <c r="J105" s="1169"/>
      <c r="K105" s="1170"/>
      <c r="L105" s="1387" t="s">
        <v>162</v>
      </c>
      <c r="M105" s="1169"/>
      <c r="N105" s="1170"/>
      <c r="O105" s="1387" t="s">
        <v>163</v>
      </c>
      <c r="P105" s="1169"/>
      <c r="Q105" s="1170"/>
      <c r="R105" s="1387"/>
      <c r="S105" s="1169"/>
      <c r="T105" s="1170"/>
      <c r="U105" s="1387"/>
      <c r="V105" s="1169"/>
      <c r="W105" s="1170"/>
      <c r="X105" s="1387"/>
      <c r="Y105" s="1388"/>
      <c r="Z105" s="1388"/>
      <c r="AA105" s="1388"/>
      <c r="AB105" s="1166"/>
      <c r="AC105" s="1388"/>
      <c r="AD105" s="1388"/>
      <c r="AE105" s="1388"/>
      <c r="AF105" s="1388"/>
      <c r="AG105" s="1389"/>
      <c r="AH105" s="235"/>
      <c r="AI105" s="194"/>
    </row>
    <row r="106" spans="1:35" ht="22.15" customHeight="1" x14ac:dyDescent="0.2">
      <c r="A106" s="72"/>
      <c r="B106" s="17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235"/>
      <c r="AI106" s="194"/>
    </row>
    <row r="107" spans="1:35" ht="22.15" customHeight="1" thickBot="1" x14ac:dyDescent="0.25">
      <c r="A107" s="1343" t="s">
        <v>28</v>
      </c>
      <c r="B107" s="1247" t="s">
        <v>29</v>
      </c>
      <c r="C107" s="1185">
        <v>1</v>
      </c>
      <c r="D107" s="1186">
        <v>2</v>
      </c>
      <c r="E107" s="1186">
        <v>3</v>
      </c>
      <c r="F107" s="1186">
        <v>4</v>
      </c>
      <c r="G107" s="1186">
        <v>5</v>
      </c>
      <c r="H107" s="1186">
        <v>6</v>
      </c>
      <c r="I107" s="1185">
        <v>7</v>
      </c>
      <c r="J107" s="1185">
        <v>8</v>
      </c>
      <c r="K107" s="1186">
        <v>9</v>
      </c>
      <c r="L107" s="1186">
        <v>10</v>
      </c>
      <c r="M107" s="1186">
        <v>11</v>
      </c>
      <c r="N107" s="1186">
        <v>12</v>
      </c>
      <c r="O107" s="1186">
        <v>13</v>
      </c>
      <c r="P107" s="1185">
        <v>14</v>
      </c>
      <c r="Q107" s="1185">
        <v>15</v>
      </c>
      <c r="R107" s="1186">
        <v>16</v>
      </c>
      <c r="S107" s="1186">
        <v>17</v>
      </c>
      <c r="T107" s="1186">
        <v>18</v>
      </c>
      <c r="U107" s="1186">
        <v>19</v>
      </c>
      <c r="V107" s="1186">
        <v>20</v>
      </c>
      <c r="W107" s="1185">
        <v>21</v>
      </c>
      <c r="X107" s="1185">
        <v>22</v>
      </c>
      <c r="Y107" s="1186">
        <v>23</v>
      </c>
      <c r="Z107" s="1186">
        <v>24</v>
      </c>
      <c r="AA107" s="1186">
        <v>25</v>
      </c>
      <c r="AB107" s="1186">
        <v>26</v>
      </c>
      <c r="AC107" s="1186">
        <v>27</v>
      </c>
      <c r="AD107" s="1185">
        <v>28</v>
      </c>
      <c r="AE107" s="1185">
        <v>29</v>
      </c>
      <c r="AF107" s="1186">
        <v>30</v>
      </c>
      <c r="AG107" s="1945"/>
      <c r="AH107" s="235"/>
      <c r="AI107" s="194"/>
    </row>
    <row r="108" spans="1:35" ht="22.15" customHeight="1" x14ac:dyDescent="0.2">
      <c r="A108" s="513">
        <v>8520</v>
      </c>
      <c r="B108" s="514" t="s">
        <v>164</v>
      </c>
      <c r="C108" s="458"/>
      <c r="D108" s="458" t="s">
        <v>165</v>
      </c>
      <c r="E108" s="458" t="s">
        <v>165</v>
      </c>
      <c r="F108" s="458" t="s">
        <v>165</v>
      </c>
      <c r="G108" s="458" t="s">
        <v>165</v>
      </c>
      <c r="H108" s="458" t="s">
        <v>165</v>
      </c>
      <c r="I108" s="458"/>
      <c r="J108" s="458"/>
      <c r="K108" s="458" t="s">
        <v>165</v>
      </c>
      <c r="L108" s="458" t="s">
        <v>165</v>
      </c>
      <c r="M108" s="458" t="s">
        <v>165</v>
      </c>
      <c r="N108" s="458" t="s">
        <v>165</v>
      </c>
      <c r="O108" s="458" t="s">
        <v>165</v>
      </c>
      <c r="P108" s="458"/>
      <c r="Q108" s="458"/>
      <c r="R108" s="458" t="s">
        <v>165</v>
      </c>
      <c r="S108" s="458" t="s">
        <v>165</v>
      </c>
      <c r="T108" s="458" t="s">
        <v>165</v>
      </c>
      <c r="U108" s="458" t="s">
        <v>165</v>
      </c>
      <c r="V108" s="458" t="s">
        <v>165</v>
      </c>
      <c r="W108" s="458"/>
      <c r="X108" s="458"/>
      <c r="Y108" s="458" t="s">
        <v>165</v>
      </c>
      <c r="Z108" s="458" t="s">
        <v>165</v>
      </c>
      <c r="AA108" s="458" t="s">
        <v>165</v>
      </c>
      <c r="AB108" s="458" t="s">
        <v>165</v>
      </c>
      <c r="AC108" s="458" t="s">
        <v>165</v>
      </c>
      <c r="AD108" s="458"/>
      <c r="AE108" s="458"/>
      <c r="AF108" s="458" t="s">
        <v>165</v>
      </c>
      <c r="AG108" s="464"/>
      <c r="AH108" s="235"/>
      <c r="AI108" s="194"/>
    </row>
    <row r="109" spans="1:35" ht="22.15" customHeight="1" x14ac:dyDescent="0.2">
      <c r="A109" s="243"/>
      <c r="B109" s="242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35"/>
      <c r="AI109" s="194"/>
    </row>
    <row r="110" spans="1:35" ht="22.15" customHeight="1" x14ac:dyDescent="0.2">
      <c r="AH110" s="107"/>
      <c r="AI110" s="107"/>
    </row>
    <row r="111" spans="1:35" ht="22.15" customHeight="1" thickBot="1" x14ac:dyDescent="0.25">
      <c r="A111" s="173" t="s">
        <v>166</v>
      </c>
      <c r="B111" s="174"/>
      <c r="C111" s="174"/>
      <c r="D111" s="175"/>
      <c r="E111" s="175"/>
      <c r="F111" s="175"/>
      <c r="G111" s="10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4"/>
      <c r="AI111" s="174"/>
    </row>
    <row r="112" spans="1:35" ht="22.15" customHeight="1" x14ac:dyDescent="0.2">
      <c r="A112" s="173"/>
      <c r="B112" s="304" t="s">
        <v>167</v>
      </c>
      <c r="C112" s="515"/>
      <c r="D112" s="516" t="s">
        <v>90</v>
      </c>
      <c r="E112" s="517"/>
      <c r="F112" s="518"/>
      <c r="G112" s="515"/>
      <c r="H112" s="516" t="s">
        <v>91</v>
      </c>
      <c r="I112" s="517"/>
      <c r="J112" s="518"/>
      <c r="K112" s="515"/>
      <c r="L112" s="516" t="s">
        <v>92</v>
      </c>
      <c r="M112" s="517"/>
      <c r="N112" s="518"/>
      <c r="O112" s="515"/>
      <c r="P112" s="516" t="s">
        <v>93</v>
      </c>
      <c r="Q112" s="517"/>
      <c r="R112" s="518"/>
      <c r="S112" s="515"/>
      <c r="T112" s="516" t="s">
        <v>94</v>
      </c>
      <c r="U112" s="517"/>
      <c r="V112" s="518"/>
      <c r="W112" s="515"/>
      <c r="X112" s="516" t="s">
        <v>95</v>
      </c>
      <c r="Y112" s="517"/>
      <c r="Z112" s="518"/>
      <c r="AA112" s="515"/>
      <c r="AB112" s="516" t="s">
        <v>96</v>
      </c>
      <c r="AC112" s="517"/>
      <c r="AD112" s="517"/>
      <c r="AE112" s="519" t="s">
        <v>97</v>
      </c>
      <c r="AF112" s="517"/>
      <c r="AG112" s="517"/>
      <c r="AH112" s="517"/>
      <c r="AI112" s="520"/>
    </row>
    <row r="113" spans="1:35" ht="22.15" customHeight="1" x14ac:dyDescent="0.2">
      <c r="A113" s="173"/>
      <c r="B113" s="1390" t="s">
        <v>139</v>
      </c>
      <c r="C113" s="1391">
        <v>69</v>
      </c>
      <c r="D113" s="1392" t="s">
        <v>168</v>
      </c>
      <c r="E113" s="1392"/>
      <c r="F113" s="1393"/>
      <c r="G113" s="1391">
        <v>69</v>
      </c>
      <c r="H113" s="1392" t="s">
        <v>168</v>
      </c>
      <c r="I113" s="1392"/>
      <c r="J113" s="1393"/>
      <c r="K113" s="1391">
        <v>69</v>
      </c>
      <c r="L113" s="1392" t="s">
        <v>168</v>
      </c>
      <c r="M113" s="1392"/>
      <c r="N113" s="1393"/>
      <c r="O113" s="1391">
        <v>69</v>
      </c>
      <c r="P113" s="1392" t="s">
        <v>168</v>
      </c>
      <c r="Q113" s="1392"/>
      <c r="R113" s="1393"/>
      <c r="S113" s="1391">
        <v>69</v>
      </c>
      <c r="T113" s="1392" t="s">
        <v>168</v>
      </c>
      <c r="U113" s="1392"/>
      <c r="V113" s="1393"/>
      <c r="W113" s="1391"/>
      <c r="X113" s="1394"/>
      <c r="Y113" s="1394"/>
      <c r="Z113" s="1395"/>
      <c r="AA113" s="1391"/>
      <c r="AB113" s="1392"/>
      <c r="AC113" s="1392"/>
      <c r="AD113" s="1284"/>
      <c r="AE113" s="1396">
        <v>35</v>
      </c>
      <c r="AF113" s="1392"/>
      <c r="AG113" s="1392"/>
      <c r="AH113" s="1284"/>
      <c r="AI113" s="1397"/>
    </row>
    <row r="114" spans="1:35" ht="22.15" customHeight="1" x14ac:dyDescent="0.2">
      <c r="A114" s="173"/>
      <c r="B114" s="1390" t="s">
        <v>143</v>
      </c>
      <c r="C114" s="1391">
        <v>79</v>
      </c>
      <c r="D114" s="1392" t="s">
        <v>169</v>
      </c>
      <c r="E114" s="1392"/>
      <c r="F114" s="1393"/>
      <c r="G114" s="1391">
        <v>79</v>
      </c>
      <c r="H114" s="1392" t="s">
        <v>169</v>
      </c>
      <c r="I114" s="1392"/>
      <c r="J114" s="1393"/>
      <c r="K114" s="1391">
        <v>79</v>
      </c>
      <c r="L114" s="1392" t="s">
        <v>169</v>
      </c>
      <c r="M114" s="1392"/>
      <c r="N114" s="1393"/>
      <c r="O114" s="1391">
        <v>79</v>
      </c>
      <c r="P114" s="1392" t="s">
        <v>169</v>
      </c>
      <c r="Q114" s="1392"/>
      <c r="R114" s="1393"/>
      <c r="S114" s="1391">
        <v>79</v>
      </c>
      <c r="T114" s="1392" t="s">
        <v>169</v>
      </c>
      <c r="U114" s="1392"/>
      <c r="V114" s="1393"/>
      <c r="W114" s="1391"/>
      <c r="X114" s="1392"/>
      <c r="Y114" s="1392"/>
      <c r="Z114" s="1393"/>
      <c r="AA114" s="1392"/>
      <c r="AB114" s="1392"/>
      <c r="AC114" s="1392"/>
      <c r="AD114" s="1284"/>
      <c r="AE114" s="1396">
        <v>40</v>
      </c>
      <c r="AF114" s="1392"/>
      <c r="AG114" s="1392"/>
      <c r="AH114" s="1284"/>
      <c r="AI114" s="1397"/>
    </row>
    <row r="115" spans="1:35" ht="22.15" customHeight="1" x14ac:dyDescent="0.2">
      <c r="A115" s="173"/>
      <c r="B115" s="1390" t="s">
        <v>153</v>
      </c>
      <c r="C115" s="1391">
        <v>89</v>
      </c>
      <c r="D115" s="1392" t="s">
        <v>170</v>
      </c>
      <c r="E115" s="1392"/>
      <c r="F115" s="1393"/>
      <c r="G115" s="1391">
        <v>89</v>
      </c>
      <c r="H115" s="1392" t="s">
        <v>170</v>
      </c>
      <c r="I115" s="1392"/>
      <c r="J115" s="1393"/>
      <c r="K115" s="1391">
        <v>89</v>
      </c>
      <c r="L115" s="1392" t="s">
        <v>170</v>
      </c>
      <c r="M115" s="1392"/>
      <c r="N115" s="1393"/>
      <c r="O115" s="1391">
        <v>89</v>
      </c>
      <c r="P115" s="1392" t="s">
        <v>170</v>
      </c>
      <c r="Q115" s="1392"/>
      <c r="R115" s="1393"/>
      <c r="S115" s="1391">
        <v>89</v>
      </c>
      <c r="T115" s="1392" t="s">
        <v>171</v>
      </c>
      <c r="U115" s="1392"/>
      <c r="V115" s="1393"/>
      <c r="W115" s="1398"/>
      <c r="X115" s="1399" t="s">
        <v>172</v>
      </c>
      <c r="Y115" s="1399"/>
      <c r="Z115" s="1400"/>
      <c r="AA115" s="1398"/>
      <c r="AB115" s="1399"/>
      <c r="AC115" s="1399"/>
      <c r="AD115" s="1286"/>
      <c r="AE115" s="1396">
        <v>44</v>
      </c>
      <c r="AF115" s="1392"/>
      <c r="AG115" s="1392"/>
      <c r="AH115" s="1284"/>
      <c r="AI115" s="1397"/>
    </row>
    <row r="116" spans="1:35" ht="22.15" customHeight="1" x14ac:dyDescent="0.2">
      <c r="A116" s="173"/>
      <c r="B116" s="38" t="s">
        <v>155</v>
      </c>
      <c r="C116" s="1398">
        <v>99</v>
      </c>
      <c r="D116" s="1399" t="s">
        <v>173</v>
      </c>
      <c r="E116" s="1399"/>
      <c r="F116" s="1400"/>
      <c r="G116" s="1398">
        <v>99</v>
      </c>
      <c r="H116" s="1399" t="s">
        <v>173</v>
      </c>
      <c r="I116" s="1399"/>
      <c r="J116" s="1400"/>
      <c r="K116" s="1398">
        <v>99</v>
      </c>
      <c r="L116" s="1399" t="s">
        <v>173</v>
      </c>
      <c r="M116" s="1399"/>
      <c r="N116" s="1400"/>
      <c r="O116" s="1398">
        <v>99</v>
      </c>
      <c r="P116" s="1399" t="s">
        <v>173</v>
      </c>
      <c r="Q116" s="1399"/>
      <c r="R116" s="1400"/>
      <c r="S116" s="1398">
        <v>99</v>
      </c>
      <c r="T116" s="1399" t="s">
        <v>154</v>
      </c>
      <c r="U116" s="1399"/>
      <c r="V116" s="1286"/>
      <c r="W116" s="1285"/>
      <c r="X116" s="1286"/>
      <c r="Y116" s="1399"/>
      <c r="Z116" s="1400"/>
      <c r="AA116" s="1285"/>
      <c r="AB116" s="1286"/>
      <c r="AC116" s="1399"/>
      <c r="AD116" s="1400"/>
      <c r="AE116" s="1401">
        <v>28</v>
      </c>
      <c r="AF116" s="1399"/>
      <c r="AG116" s="1399"/>
      <c r="AH116" s="1286"/>
      <c r="AI116" s="1402"/>
    </row>
    <row r="117" spans="1:35" ht="22.15" customHeight="1" thickBot="1" x14ac:dyDescent="0.25">
      <c r="A117" s="173"/>
      <c r="B117" s="1989" t="s">
        <v>174</v>
      </c>
      <c r="C117" s="1404" t="s">
        <v>175</v>
      </c>
      <c r="D117" s="1405" t="s">
        <v>176</v>
      </c>
      <c r="E117" s="1406"/>
      <c r="F117" s="1240"/>
      <c r="G117" s="1404" t="s">
        <v>175</v>
      </c>
      <c r="H117" s="1405" t="s">
        <v>176</v>
      </c>
      <c r="I117" s="1238"/>
      <c r="J117" s="1406"/>
      <c r="K117" s="1404" t="s">
        <v>175</v>
      </c>
      <c r="L117" s="1405" t="s">
        <v>176</v>
      </c>
      <c r="M117" s="1406"/>
      <c r="N117" s="1407"/>
      <c r="O117" s="1404" t="s">
        <v>175</v>
      </c>
      <c r="P117" s="1405" t="s">
        <v>176</v>
      </c>
      <c r="Q117" s="1406"/>
      <c r="R117" s="1405"/>
      <c r="S117" s="1404" t="s">
        <v>175</v>
      </c>
      <c r="T117" s="1242" t="s">
        <v>177</v>
      </c>
      <c r="U117" s="1405"/>
      <c r="V117" s="1407"/>
      <c r="W117" s="1406"/>
      <c r="X117" s="1405"/>
      <c r="Y117" s="1405"/>
      <c r="Z117" s="1405"/>
      <c r="AA117" s="1408"/>
      <c r="AB117" s="1409"/>
      <c r="AC117" s="1405"/>
      <c r="AD117" s="1410"/>
      <c r="AE117" s="1405"/>
      <c r="AF117" s="1405"/>
      <c r="AG117" s="1405"/>
      <c r="AH117" s="1411"/>
      <c r="AI117" s="1412"/>
    </row>
    <row r="118" spans="1:35" ht="22.15" customHeight="1" x14ac:dyDescent="0.2">
      <c r="A118" s="108"/>
      <c r="B118" s="173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4"/>
      <c r="AI118" s="174"/>
    </row>
    <row r="119" spans="1:35" ht="22.15" customHeight="1" thickBot="1" x14ac:dyDescent="0.25">
      <c r="A119" s="1343"/>
      <c r="B119" s="1247" t="s">
        <v>29</v>
      </c>
      <c r="C119" s="1185">
        <v>1</v>
      </c>
      <c r="D119" s="1186">
        <v>2</v>
      </c>
      <c r="E119" s="1186">
        <v>3</v>
      </c>
      <c r="F119" s="1186">
        <v>4</v>
      </c>
      <c r="G119" s="1186">
        <v>5</v>
      </c>
      <c r="H119" s="1186">
        <v>6</v>
      </c>
      <c r="I119" s="1185">
        <v>7</v>
      </c>
      <c r="J119" s="1185">
        <v>8</v>
      </c>
      <c r="K119" s="1186">
        <v>9</v>
      </c>
      <c r="L119" s="1186">
        <v>10</v>
      </c>
      <c r="M119" s="1186">
        <v>11</v>
      </c>
      <c r="N119" s="1186">
        <v>12</v>
      </c>
      <c r="O119" s="1186">
        <v>13</v>
      </c>
      <c r="P119" s="1185">
        <v>14</v>
      </c>
      <c r="Q119" s="1185">
        <v>15</v>
      </c>
      <c r="R119" s="1186">
        <v>16</v>
      </c>
      <c r="S119" s="1186">
        <v>17</v>
      </c>
      <c r="T119" s="1186">
        <v>18</v>
      </c>
      <c r="U119" s="1186">
        <v>19</v>
      </c>
      <c r="V119" s="1186">
        <v>20</v>
      </c>
      <c r="W119" s="1185">
        <v>21</v>
      </c>
      <c r="X119" s="1185">
        <v>22</v>
      </c>
      <c r="Y119" s="1186">
        <v>23</v>
      </c>
      <c r="Z119" s="1186">
        <v>24</v>
      </c>
      <c r="AA119" s="1186">
        <v>25</v>
      </c>
      <c r="AB119" s="1186">
        <v>26</v>
      </c>
      <c r="AC119" s="1186">
        <v>27</v>
      </c>
      <c r="AD119" s="1185">
        <v>28</v>
      </c>
      <c r="AE119" s="1185">
        <v>29</v>
      </c>
      <c r="AF119" s="1186">
        <v>30</v>
      </c>
      <c r="AG119" s="1945"/>
      <c r="AH119" s="184"/>
      <c r="AI119" s="185"/>
    </row>
    <row r="120" spans="1:35" ht="22.15" customHeight="1" thickBot="1" x14ac:dyDescent="0.25">
      <c r="A120" s="521">
        <v>1</v>
      </c>
      <c r="B120" s="522" t="s">
        <v>178</v>
      </c>
      <c r="C120" s="477"/>
      <c r="D120" s="477">
        <v>79</v>
      </c>
      <c r="E120" s="477">
        <v>79</v>
      </c>
      <c r="F120" s="477">
        <v>79</v>
      </c>
      <c r="G120" s="477">
        <v>79</v>
      </c>
      <c r="H120" s="477">
        <v>79</v>
      </c>
      <c r="I120" s="459"/>
      <c r="J120" s="459"/>
      <c r="K120" s="477">
        <v>89</v>
      </c>
      <c r="L120" s="477">
        <v>89</v>
      </c>
      <c r="M120" s="644">
        <v>89</v>
      </c>
      <c r="N120" s="477">
        <v>89</v>
      </c>
      <c r="O120" s="477">
        <v>89</v>
      </c>
      <c r="P120" s="477">
        <v>89</v>
      </c>
      <c r="Q120" s="477"/>
      <c r="R120" s="621">
        <v>99</v>
      </c>
      <c r="S120" s="621" t="s">
        <v>386</v>
      </c>
      <c r="T120" s="648">
        <v>99</v>
      </c>
      <c r="U120" s="647">
        <v>99</v>
      </c>
      <c r="V120" s="477" t="s">
        <v>35</v>
      </c>
      <c r="W120" s="477"/>
      <c r="X120" s="477"/>
      <c r="Y120" s="1199" t="s">
        <v>175</v>
      </c>
      <c r="Z120" s="1199" t="s">
        <v>175</v>
      </c>
      <c r="AA120" s="1199" t="s">
        <v>175</v>
      </c>
      <c r="AB120" s="1199" t="s">
        <v>175</v>
      </c>
      <c r="AC120" s="1199" t="s">
        <v>175</v>
      </c>
      <c r="AD120" s="477"/>
      <c r="AE120" s="459"/>
      <c r="AF120" s="459">
        <v>69</v>
      </c>
      <c r="AG120" s="478"/>
      <c r="AH120" s="215"/>
      <c r="AI120" s="107"/>
    </row>
    <row r="121" spans="1:35" ht="22.15" customHeight="1" thickBot="1" x14ac:dyDescent="0.25">
      <c r="A121" s="1415">
        <v>2</v>
      </c>
      <c r="B121" s="1330" t="s">
        <v>179</v>
      </c>
      <c r="C121" s="1199"/>
      <c r="D121" s="1259">
        <v>89</v>
      </c>
      <c r="E121" s="1259">
        <v>89</v>
      </c>
      <c r="F121" s="1259">
        <v>89</v>
      </c>
      <c r="G121" s="1259">
        <v>89</v>
      </c>
      <c r="H121" s="1259">
        <v>89</v>
      </c>
      <c r="I121" s="1259">
        <v>89</v>
      </c>
      <c r="J121" s="1259"/>
      <c r="K121" s="1259">
        <v>99</v>
      </c>
      <c r="L121" s="1259">
        <v>99</v>
      </c>
      <c r="M121" s="1259">
        <v>99</v>
      </c>
      <c r="N121" s="1259">
        <v>99</v>
      </c>
      <c r="O121" s="1259" t="s">
        <v>35</v>
      </c>
      <c r="P121" s="1259"/>
      <c r="Q121" s="1259"/>
      <c r="R121" s="1199" t="s">
        <v>175</v>
      </c>
      <c r="S121" s="1199" t="s">
        <v>175</v>
      </c>
      <c r="T121" s="1199" t="s">
        <v>175</v>
      </c>
      <c r="U121" s="1199" t="s">
        <v>175</v>
      </c>
      <c r="V121" s="1199" t="s">
        <v>175</v>
      </c>
      <c r="W121" s="1259"/>
      <c r="X121" s="1259"/>
      <c r="Y121" s="477" t="s">
        <v>357</v>
      </c>
      <c r="Z121" s="477" t="s">
        <v>357</v>
      </c>
      <c r="AA121" s="477" t="s">
        <v>357</v>
      </c>
      <c r="AB121" s="477" t="s">
        <v>357</v>
      </c>
      <c r="AC121" s="477" t="s">
        <v>357</v>
      </c>
      <c r="AD121" s="1199"/>
      <c r="AE121" s="1199"/>
      <c r="AF121" s="1259">
        <v>79</v>
      </c>
      <c r="AG121" s="1416"/>
      <c r="AH121" s="216"/>
      <c r="AI121" s="172"/>
    </row>
    <row r="122" spans="1:35" ht="22.15" customHeight="1" x14ac:dyDescent="0.2">
      <c r="A122" s="1415">
        <v>3</v>
      </c>
      <c r="B122" s="1330" t="s">
        <v>344</v>
      </c>
      <c r="C122" s="1413"/>
      <c r="D122" s="1270">
        <v>99</v>
      </c>
      <c r="E122" s="1270">
        <v>99</v>
      </c>
      <c r="F122" s="1413">
        <v>99</v>
      </c>
      <c r="G122" s="1334">
        <v>99</v>
      </c>
      <c r="H122" s="1413" t="s">
        <v>35</v>
      </c>
      <c r="I122" s="1413"/>
      <c r="J122" s="1413"/>
      <c r="K122" s="1413" t="s">
        <v>175</v>
      </c>
      <c r="L122" s="1413" t="s">
        <v>175</v>
      </c>
      <c r="M122" s="1413" t="s">
        <v>175</v>
      </c>
      <c r="N122" s="1413" t="s">
        <v>175</v>
      </c>
      <c r="O122" s="1413" t="s">
        <v>175</v>
      </c>
      <c r="P122" s="1413"/>
      <c r="Q122" s="1413"/>
      <c r="R122" s="477" t="s">
        <v>357</v>
      </c>
      <c r="S122" s="477" t="s">
        <v>357</v>
      </c>
      <c r="T122" s="477" t="s">
        <v>357</v>
      </c>
      <c r="U122" s="477" t="s">
        <v>357</v>
      </c>
      <c r="V122" s="483" t="s">
        <v>407</v>
      </c>
      <c r="W122" s="1413"/>
      <c r="X122" s="1413"/>
      <c r="Y122" s="1413">
        <v>79</v>
      </c>
      <c r="Z122" s="1413">
        <v>79</v>
      </c>
      <c r="AA122" s="1413">
        <v>79</v>
      </c>
      <c r="AB122" s="1413">
        <v>79</v>
      </c>
      <c r="AC122" s="1413">
        <v>79</v>
      </c>
      <c r="AD122" s="1413"/>
      <c r="AE122" s="1413"/>
      <c r="AF122" s="1270">
        <v>89</v>
      </c>
      <c r="AG122" s="1417"/>
      <c r="AH122" s="215"/>
      <c r="AI122" s="107"/>
    </row>
    <row r="123" spans="1:35" ht="22.15" customHeight="1" x14ac:dyDescent="0.2">
      <c r="A123" s="1415">
        <v>4</v>
      </c>
      <c r="B123" s="1330" t="s">
        <v>0</v>
      </c>
      <c r="C123" s="1344"/>
      <c r="D123" s="1334" t="s">
        <v>175</v>
      </c>
      <c r="E123" s="1334" t="s">
        <v>175</v>
      </c>
      <c r="F123" s="1258" t="s">
        <v>175</v>
      </c>
      <c r="G123" s="1629" t="s">
        <v>181</v>
      </c>
      <c r="H123" s="1258" t="s">
        <v>181</v>
      </c>
      <c r="I123" s="1258"/>
      <c r="J123" s="1258"/>
      <c r="K123" s="1259">
        <v>69</v>
      </c>
      <c r="L123" s="1258">
        <v>69</v>
      </c>
      <c r="M123" s="1258">
        <v>69</v>
      </c>
      <c r="N123" s="1258">
        <v>69</v>
      </c>
      <c r="O123" s="1258">
        <v>69</v>
      </c>
      <c r="P123" s="1258"/>
      <c r="Q123" s="1344"/>
      <c r="R123" s="1344">
        <v>79</v>
      </c>
      <c r="S123" s="1258">
        <v>79</v>
      </c>
      <c r="T123" s="1258">
        <v>79</v>
      </c>
      <c r="U123" s="1258">
        <v>79</v>
      </c>
      <c r="V123" s="1258">
        <v>79</v>
      </c>
      <c r="W123" s="1258"/>
      <c r="X123" s="1258"/>
      <c r="Y123" s="1344">
        <v>89</v>
      </c>
      <c r="Z123" s="1311">
        <v>89</v>
      </c>
      <c r="AA123" s="1258">
        <v>89</v>
      </c>
      <c r="AB123" s="1258">
        <v>89</v>
      </c>
      <c r="AC123" s="1258">
        <v>89</v>
      </c>
      <c r="AD123" s="1258">
        <v>89</v>
      </c>
      <c r="AE123" s="1258"/>
      <c r="AF123" s="1275">
        <v>99</v>
      </c>
      <c r="AG123" s="1418"/>
      <c r="AH123" s="215"/>
      <c r="AI123" s="107"/>
    </row>
    <row r="124" spans="1:35" ht="22.15" customHeight="1" thickBot="1" x14ac:dyDescent="0.25">
      <c r="A124" s="1419">
        <v>5</v>
      </c>
      <c r="B124" s="1420" t="s">
        <v>182</v>
      </c>
      <c r="C124" s="1421"/>
      <c r="D124" s="1421">
        <v>69</v>
      </c>
      <c r="E124" s="1421">
        <v>69</v>
      </c>
      <c r="F124" s="1421">
        <v>69</v>
      </c>
      <c r="G124" s="1421">
        <v>69</v>
      </c>
      <c r="H124" s="1271">
        <v>69</v>
      </c>
      <c r="I124" s="1255"/>
      <c r="J124" s="1255"/>
      <c r="K124" s="1255">
        <v>79</v>
      </c>
      <c r="L124" s="1255">
        <v>79</v>
      </c>
      <c r="M124" s="1255">
        <v>79</v>
      </c>
      <c r="N124" s="1255">
        <v>79</v>
      </c>
      <c r="O124" s="1255">
        <v>79</v>
      </c>
      <c r="P124" s="1421"/>
      <c r="Q124" s="1421"/>
      <c r="R124" s="1421">
        <v>89</v>
      </c>
      <c r="S124" s="1421">
        <v>89</v>
      </c>
      <c r="T124" s="1421">
        <v>89</v>
      </c>
      <c r="U124" s="1421">
        <v>89</v>
      </c>
      <c r="V124" s="1421">
        <v>89</v>
      </c>
      <c r="W124" s="1421">
        <v>89</v>
      </c>
      <c r="X124" s="1421"/>
      <c r="Y124" s="1421">
        <v>99</v>
      </c>
      <c r="Z124" s="1421">
        <v>99</v>
      </c>
      <c r="AA124" s="1421">
        <v>99</v>
      </c>
      <c r="AB124" s="1421">
        <v>99</v>
      </c>
      <c r="AC124" s="1421" t="s">
        <v>35</v>
      </c>
      <c r="AD124" s="1421"/>
      <c r="AE124" s="1421"/>
      <c r="AF124" s="1421" t="s">
        <v>175</v>
      </c>
      <c r="AG124" s="1999"/>
      <c r="AH124" s="215"/>
      <c r="AI124" s="107"/>
    </row>
    <row r="125" spans="1:35" ht="22.15" customHeight="1" x14ac:dyDescent="0.2">
      <c r="A125" s="256"/>
      <c r="B125" s="257"/>
      <c r="C125" s="258"/>
      <c r="D125" s="258"/>
      <c r="E125" s="258"/>
      <c r="F125" s="229"/>
      <c r="G125" s="255"/>
      <c r="H125" s="255"/>
      <c r="I125" s="255"/>
      <c r="J125" s="255"/>
      <c r="K125" s="255"/>
      <c r="L125" s="229"/>
      <c r="M125" s="229"/>
      <c r="N125" s="258"/>
      <c r="O125" s="258"/>
      <c r="P125" s="258"/>
      <c r="Q125" s="258"/>
      <c r="R125" s="258"/>
      <c r="S125" s="229"/>
      <c r="T125" s="259"/>
      <c r="U125" s="258"/>
      <c r="V125" s="258"/>
      <c r="W125" s="258"/>
      <c r="X125" s="258"/>
      <c r="Y125" s="258"/>
      <c r="Z125" s="260"/>
      <c r="AA125" s="260"/>
      <c r="AB125" s="258"/>
      <c r="AC125" s="258"/>
      <c r="AD125" s="258"/>
      <c r="AE125" s="258"/>
      <c r="AF125" s="258"/>
      <c r="AG125" s="260"/>
      <c r="AH125" s="215"/>
      <c r="AI125" s="107"/>
    </row>
    <row r="126" spans="1:35" ht="22.15" customHeight="1" x14ac:dyDescent="0.2">
      <c r="A126" s="109"/>
      <c r="B126" s="110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7"/>
      <c r="AI126" s="107"/>
    </row>
    <row r="127" spans="1:35" ht="22.15" customHeight="1" thickBot="1" x14ac:dyDescent="0.25">
      <c r="A127" s="173" t="s">
        <v>183</v>
      </c>
      <c r="B127" s="174"/>
      <c r="C127" s="174"/>
      <c r="D127" s="175"/>
      <c r="E127" s="175"/>
      <c r="F127" s="175"/>
      <c r="G127" s="10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4"/>
      <c r="AI127" s="174"/>
    </row>
    <row r="128" spans="1:35" ht="22.15" customHeight="1" x14ac:dyDescent="0.2">
      <c r="A128" s="173"/>
      <c r="B128" s="304" t="s">
        <v>167</v>
      </c>
      <c r="C128" s="515"/>
      <c r="D128" s="516" t="s">
        <v>90</v>
      </c>
      <c r="E128" s="517"/>
      <c r="F128" s="518"/>
      <c r="G128" s="515"/>
      <c r="H128" s="516" t="s">
        <v>91</v>
      </c>
      <c r="I128" s="517"/>
      <c r="J128" s="518"/>
      <c r="K128" s="515"/>
      <c r="L128" s="516" t="s">
        <v>92</v>
      </c>
      <c r="M128" s="517"/>
      <c r="N128" s="518"/>
      <c r="O128" s="515"/>
      <c r="P128" s="516" t="s">
        <v>93</v>
      </c>
      <c r="Q128" s="517"/>
      <c r="R128" s="518"/>
      <c r="S128" s="515"/>
      <c r="T128" s="516" t="s">
        <v>94</v>
      </c>
      <c r="U128" s="517"/>
      <c r="V128" s="518"/>
      <c r="W128" s="515"/>
      <c r="X128" s="516" t="s">
        <v>95</v>
      </c>
      <c r="Y128" s="517"/>
      <c r="Z128" s="518"/>
      <c r="AA128" s="515"/>
      <c r="AB128" s="516" t="s">
        <v>96</v>
      </c>
      <c r="AC128" s="517"/>
      <c r="AD128" s="517"/>
      <c r="AE128" s="519" t="s">
        <v>97</v>
      </c>
      <c r="AF128" s="517"/>
      <c r="AG128" s="517"/>
      <c r="AH128" s="517"/>
      <c r="AI128" s="520"/>
    </row>
    <row r="129" spans="1:35" ht="22.15" customHeight="1" x14ac:dyDescent="0.2">
      <c r="A129" s="173"/>
      <c r="B129" s="1390" t="s">
        <v>184</v>
      </c>
      <c r="C129" s="1283" t="s">
        <v>185</v>
      </c>
      <c r="D129" s="1392"/>
      <c r="E129" s="1392"/>
      <c r="F129" s="1393"/>
      <c r="G129" s="1283" t="s">
        <v>185</v>
      </c>
      <c r="H129" s="1392"/>
      <c r="I129" s="1392"/>
      <c r="J129" s="1393"/>
      <c r="K129" s="1283" t="s">
        <v>185</v>
      </c>
      <c r="L129" s="1392"/>
      <c r="M129" s="1392"/>
      <c r="N129" s="1393"/>
      <c r="O129" s="1283" t="s">
        <v>185</v>
      </c>
      <c r="P129" s="1392"/>
      <c r="Q129" s="1392"/>
      <c r="R129" s="1393"/>
      <c r="S129" s="1283" t="s">
        <v>185</v>
      </c>
      <c r="T129" s="1392"/>
      <c r="U129" s="1392"/>
      <c r="V129" s="1393"/>
      <c r="W129" s="1283" t="s">
        <v>186</v>
      </c>
      <c r="X129" s="1394"/>
      <c r="Y129" s="1394"/>
      <c r="Z129" s="1395"/>
      <c r="AA129" s="1283" t="s">
        <v>186</v>
      </c>
      <c r="AB129" s="1392"/>
      <c r="AC129" s="1392"/>
      <c r="AD129" s="1284"/>
      <c r="AE129" s="1396">
        <v>68</v>
      </c>
      <c r="AF129" s="208"/>
      <c r="AG129" s="208"/>
      <c r="AH129" s="208"/>
      <c r="AI129" s="209"/>
    </row>
    <row r="130" spans="1:35" ht="22.15" customHeight="1" x14ac:dyDescent="0.2">
      <c r="A130" s="173"/>
      <c r="B130" s="1390" t="s">
        <v>143</v>
      </c>
      <c r="C130" s="1283" t="s">
        <v>154</v>
      </c>
      <c r="D130" s="1392"/>
      <c r="E130" s="1392"/>
      <c r="F130" s="1393"/>
      <c r="G130" s="1283" t="s">
        <v>154</v>
      </c>
      <c r="H130" s="1392"/>
      <c r="I130" s="1392"/>
      <c r="J130" s="1393"/>
      <c r="K130" s="1283" t="s">
        <v>154</v>
      </c>
      <c r="L130" s="1392"/>
      <c r="M130" s="1392"/>
      <c r="N130" s="1393"/>
      <c r="O130" s="1283" t="s">
        <v>154</v>
      </c>
      <c r="P130" s="1392"/>
      <c r="Q130" s="1392"/>
      <c r="R130" s="1393"/>
      <c r="S130" s="1283" t="s">
        <v>154</v>
      </c>
      <c r="T130" s="1392"/>
      <c r="U130" s="1392"/>
      <c r="V130" s="1393"/>
      <c r="W130" s="1283" t="s">
        <v>154</v>
      </c>
      <c r="X130" s="1392"/>
      <c r="Y130" s="1392"/>
      <c r="Z130" s="1393"/>
      <c r="AA130" s="1392" t="s">
        <v>154</v>
      </c>
      <c r="AB130" s="1392"/>
      <c r="AC130" s="1392"/>
      <c r="AD130" s="1284"/>
      <c r="AE130" s="1396">
        <v>0</v>
      </c>
      <c r="AF130" s="208"/>
      <c r="AG130" s="208"/>
      <c r="AH130" s="208"/>
      <c r="AI130" s="209"/>
    </row>
    <row r="131" spans="1:35" ht="22.15" customHeight="1" x14ac:dyDescent="0.2">
      <c r="A131" s="173"/>
      <c r="B131" s="1390" t="s">
        <v>187</v>
      </c>
      <c r="C131" s="1283" t="s">
        <v>185</v>
      </c>
      <c r="D131" s="1392"/>
      <c r="E131" s="1392"/>
      <c r="F131" s="1393"/>
      <c r="G131" s="1283" t="s">
        <v>185</v>
      </c>
      <c r="H131" s="1392"/>
      <c r="I131" s="1392"/>
      <c r="J131" s="1393"/>
      <c r="K131" s="1283" t="s">
        <v>185</v>
      </c>
      <c r="L131" s="1392"/>
      <c r="M131" s="1392"/>
      <c r="N131" s="1393"/>
      <c r="O131" s="1283" t="s">
        <v>185</v>
      </c>
      <c r="P131" s="1392"/>
      <c r="Q131" s="1392"/>
      <c r="R131" s="1393"/>
      <c r="S131" s="1283" t="s">
        <v>185</v>
      </c>
      <c r="T131" s="1392"/>
      <c r="U131" s="1392"/>
      <c r="V131" s="1393"/>
      <c r="W131" s="1283" t="s">
        <v>186</v>
      </c>
      <c r="X131" s="1394"/>
      <c r="Y131" s="1394"/>
      <c r="Z131" s="1395"/>
      <c r="AA131" s="1283" t="s">
        <v>186</v>
      </c>
      <c r="AB131" s="1392"/>
      <c r="AC131" s="1392"/>
      <c r="AD131" s="1284"/>
      <c r="AE131" s="1396">
        <v>68</v>
      </c>
      <c r="AF131" s="1392"/>
      <c r="AG131" s="1392" t="s">
        <v>0</v>
      </c>
      <c r="AH131" s="1284"/>
      <c r="AI131" s="1397"/>
    </row>
    <row r="132" spans="1:35" ht="22.15" customHeight="1" x14ac:dyDescent="0.2">
      <c r="A132" s="173"/>
      <c r="B132" s="1390" t="s">
        <v>155</v>
      </c>
      <c r="C132" s="1283" t="s">
        <v>154</v>
      </c>
      <c r="D132" s="1392"/>
      <c r="E132" s="1392"/>
      <c r="F132" s="1393"/>
      <c r="G132" s="1283" t="s">
        <v>154</v>
      </c>
      <c r="H132" s="1392"/>
      <c r="I132" s="1392"/>
      <c r="J132" s="1393"/>
      <c r="K132" s="1283" t="s">
        <v>154</v>
      </c>
      <c r="L132" s="1392"/>
      <c r="M132" s="1392"/>
      <c r="N132" s="1393"/>
      <c r="O132" s="1283" t="s">
        <v>154</v>
      </c>
      <c r="P132" s="1392"/>
      <c r="Q132" s="1392"/>
      <c r="R132" s="1393"/>
      <c r="S132" s="1283" t="s">
        <v>154</v>
      </c>
      <c r="T132" s="1392"/>
      <c r="U132" s="1392"/>
      <c r="V132" s="1393"/>
      <c r="W132" s="1283" t="s">
        <v>154</v>
      </c>
      <c r="X132" s="1392"/>
      <c r="Y132" s="1392"/>
      <c r="Z132" s="1393"/>
      <c r="AA132" s="1392" t="s">
        <v>154</v>
      </c>
      <c r="AB132" s="1392"/>
      <c r="AC132" s="1392"/>
      <c r="AD132" s="1284"/>
      <c r="AE132" s="1396">
        <v>0</v>
      </c>
      <c r="AF132" s="1392"/>
      <c r="AG132" s="1392"/>
      <c r="AH132" s="1284"/>
      <c r="AI132" s="1397"/>
    </row>
    <row r="133" spans="1:35" ht="22.15" customHeight="1" x14ac:dyDescent="0.2">
      <c r="A133" s="173"/>
      <c r="B133" s="1390" t="s">
        <v>188</v>
      </c>
      <c r="C133" s="1283" t="s">
        <v>185</v>
      </c>
      <c r="D133" s="1392"/>
      <c r="E133" s="1392"/>
      <c r="F133" s="1393"/>
      <c r="G133" s="1283" t="s">
        <v>185</v>
      </c>
      <c r="H133" s="1392"/>
      <c r="I133" s="1392"/>
      <c r="J133" s="1393"/>
      <c r="K133" s="1283" t="s">
        <v>185</v>
      </c>
      <c r="L133" s="1392"/>
      <c r="M133" s="1392"/>
      <c r="N133" s="1393"/>
      <c r="O133" s="1283" t="s">
        <v>185</v>
      </c>
      <c r="P133" s="1392"/>
      <c r="Q133" s="1392"/>
      <c r="R133" s="1393"/>
      <c r="S133" s="1283" t="s">
        <v>185</v>
      </c>
      <c r="T133" s="1392"/>
      <c r="U133" s="1392"/>
      <c r="V133" s="1393"/>
      <c r="W133" s="1283" t="s">
        <v>189</v>
      </c>
      <c r="X133" s="1399"/>
      <c r="Y133" s="1399"/>
      <c r="Z133" s="1400"/>
      <c r="AA133" s="1283" t="s">
        <v>189</v>
      </c>
      <c r="AB133" s="1399"/>
      <c r="AC133" s="1399"/>
      <c r="AD133" s="1286"/>
      <c r="AE133" s="1396">
        <v>68</v>
      </c>
      <c r="AF133" s="1392"/>
      <c r="AG133" s="1392"/>
      <c r="AH133" s="1284"/>
      <c r="AI133" s="1397"/>
    </row>
    <row r="134" spans="1:35" ht="22.15" customHeight="1" thickBot="1" x14ac:dyDescent="0.25">
      <c r="A134" s="173"/>
      <c r="B134" s="1390" t="s">
        <v>190</v>
      </c>
      <c r="C134" s="1423" t="s">
        <v>154</v>
      </c>
      <c r="D134" s="1424"/>
      <c r="E134" s="1424"/>
      <c r="F134" s="1425"/>
      <c r="G134" s="1423" t="s">
        <v>154</v>
      </c>
      <c r="H134" s="1424"/>
      <c r="I134" s="1424"/>
      <c r="J134" s="1425"/>
      <c r="K134" s="1423" t="s">
        <v>154</v>
      </c>
      <c r="L134" s="1424"/>
      <c r="M134" s="1424"/>
      <c r="N134" s="1425"/>
      <c r="O134" s="1423" t="s">
        <v>154</v>
      </c>
      <c r="P134" s="1424"/>
      <c r="Q134" s="1424"/>
      <c r="R134" s="1425"/>
      <c r="S134" s="1423" t="s">
        <v>154</v>
      </c>
      <c r="T134" s="1424"/>
      <c r="U134" s="1424"/>
      <c r="V134" s="1411"/>
      <c r="W134" s="1423" t="s">
        <v>154</v>
      </c>
      <c r="X134" s="1411"/>
      <c r="Y134" s="1424"/>
      <c r="Z134" s="1425"/>
      <c r="AA134" s="1423" t="s">
        <v>154</v>
      </c>
      <c r="AB134" s="1411"/>
      <c r="AC134" s="1424"/>
      <c r="AD134" s="1425"/>
      <c r="AE134" s="1426" t="s">
        <v>191</v>
      </c>
      <c r="AF134" s="1424"/>
      <c r="AG134" s="1424"/>
      <c r="AH134" s="1411"/>
      <c r="AI134" s="1412"/>
    </row>
    <row r="135" spans="1:35" ht="22.15" customHeight="1" x14ac:dyDescent="0.2">
      <c r="A135" s="108"/>
      <c r="B135" s="173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4"/>
      <c r="AI135" s="174"/>
    </row>
    <row r="136" spans="1:35" ht="22.15" customHeight="1" thickBot="1" x14ac:dyDescent="0.25">
      <c r="A136" s="1343"/>
      <c r="B136" s="1184" t="s">
        <v>29</v>
      </c>
      <c r="C136" s="1185">
        <v>1</v>
      </c>
      <c r="D136" s="1186">
        <v>2</v>
      </c>
      <c r="E136" s="1186">
        <v>3</v>
      </c>
      <c r="F136" s="1186">
        <v>4</v>
      </c>
      <c r="G136" s="1186">
        <v>5</v>
      </c>
      <c r="H136" s="1186">
        <v>6</v>
      </c>
      <c r="I136" s="1185">
        <v>7</v>
      </c>
      <c r="J136" s="1185">
        <v>8</v>
      </c>
      <c r="K136" s="1186">
        <v>9</v>
      </c>
      <c r="L136" s="1186">
        <v>10</v>
      </c>
      <c r="M136" s="1186">
        <v>11</v>
      </c>
      <c r="N136" s="1186">
        <v>12</v>
      </c>
      <c r="O136" s="1186">
        <v>13</v>
      </c>
      <c r="P136" s="1185">
        <v>14</v>
      </c>
      <c r="Q136" s="1185">
        <v>15</v>
      </c>
      <c r="R136" s="1186">
        <v>16</v>
      </c>
      <c r="S136" s="1186">
        <v>17</v>
      </c>
      <c r="T136" s="1186">
        <v>18</v>
      </c>
      <c r="U136" s="1186">
        <v>19</v>
      </c>
      <c r="V136" s="1186">
        <v>20</v>
      </c>
      <c r="W136" s="1185">
        <v>21</v>
      </c>
      <c r="X136" s="1185">
        <v>22</v>
      </c>
      <c r="Y136" s="1186">
        <v>23</v>
      </c>
      <c r="Z136" s="1186">
        <v>24</v>
      </c>
      <c r="AA136" s="1186">
        <v>25</v>
      </c>
      <c r="AB136" s="1186">
        <v>26</v>
      </c>
      <c r="AC136" s="1186">
        <v>27</v>
      </c>
      <c r="AD136" s="1185">
        <v>28</v>
      </c>
      <c r="AE136" s="1185">
        <v>29</v>
      </c>
      <c r="AF136" s="1186">
        <v>30</v>
      </c>
      <c r="AG136" s="1945"/>
      <c r="AH136" s="184"/>
      <c r="AI136" s="185"/>
    </row>
    <row r="137" spans="1:35" ht="22.15" customHeight="1" thickBot="1" x14ac:dyDescent="0.25">
      <c r="A137" s="408">
        <v>1</v>
      </c>
      <c r="B137" s="252" t="s">
        <v>192</v>
      </c>
      <c r="C137" s="380">
        <v>22</v>
      </c>
      <c r="D137" s="380" t="s">
        <v>35</v>
      </c>
      <c r="E137" s="380" t="s">
        <v>35</v>
      </c>
      <c r="F137" s="380" t="s">
        <v>35</v>
      </c>
      <c r="G137" s="390" t="s">
        <v>35</v>
      </c>
      <c r="H137" s="380" t="s">
        <v>35</v>
      </c>
      <c r="I137" s="385"/>
      <c r="J137" s="390"/>
      <c r="K137" s="380">
        <v>23</v>
      </c>
      <c r="L137" s="385">
        <v>23</v>
      </c>
      <c r="M137" s="390">
        <v>23</v>
      </c>
      <c r="N137" s="390">
        <v>23</v>
      </c>
      <c r="O137" s="380">
        <v>23</v>
      </c>
      <c r="P137" s="380">
        <v>23</v>
      </c>
      <c r="Q137" s="380">
        <v>23</v>
      </c>
      <c r="R137" s="380" t="s">
        <v>35</v>
      </c>
      <c r="S137" s="380" t="s">
        <v>35</v>
      </c>
      <c r="T137" s="380" t="s">
        <v>35</v>
      </c>
      <c r="U137" s="380" t="s">
        <v>35</v>
      </c>
      <c r="V137" s="380" t="s">
        <v>35</v>
      </c>
      <c r="W137" s="385"/>
      <c r="X137" s="380"/>
      <c r="Y137" s="380">
        <v>21</v>
      </c>
      <c r="Z137" s="385">
        <v>21</v>
      </c>
      <c r="AA137" s="380">
        <v>21</v>
      </c>
      <c r="AB137" s="380">
        <v>21</v>
      </c>
      <c r="AC137" s="380">
        <v>21</v>
      </c>
      <c r="AD137" s="380">
        <v>21</v>
      </c>
      <c r="AE137" s="380">
        <v>21</v>
      </c>
      <c r="AF137" s="380" t="s">
        <v>35</v>
      </c>
      <c r="AG137" s="387"/>
      <c r="AH137" s="107"/>
      <c r="AI137" s="107"/>
    </row>
    <row r="138" spans="1:35" ht="22.15" customHeight="1" thickBot="1" x14ac:dyDescent="0.25">
      <c r="A138" s="1427">
        <v>2</v>
      </c>
      <c r="B138" s="1301" t="s">
        <v>193</v>
      </c>
      <c r="C138" s="1629">
        <v>23</v>
      </c>
      <c r="D138" s="1629" t="s">
        <v>35</v>
      </c>
      <c r="E138" s="1629" t="s">
        <v>35</v>
      </c>
      <c r="F138" s="1629" t="s">
        <v>35</v>
      </c>
      <c r="G138" s="1629" t="s">
        <v>35</v>
      </c>
      <c r="H138" s="1629" t="s">
        <v>35</v>
      </c>
      <c r="I138" s="1625"/>
      <c r="J138" s="1629"/>
      <c r="K138" s="1629">
        <v>21</v>
      </c>
      <c r="L138" s="1625">
        <v>21</v>
      </c>
      <c r="M138" s="1628">
        <v>21</v>
      </c>
      <c r="N138" s="1628">
        <v>21</v>
      </c>
      <c r="O138" s="1628">
        <v>21</v>
      </c>
      <c r="P138" s="1628">
        <v>21</v>
      </c>
      <c r="Q138" s="1628">
        <v>21</v>
      </c>
      <c r="R138" s="1628" t="s">
        <v>35</v>
      </c>
      <c r="S138" s="1628" t="s">
        <v>35</v>
      </c>
      <c r="T138" s="380" t="s">
        <v>35</v>
      </c>
      <c r="U138" s="1628" t="s">
        <v>35</v>
      </c>
      <c r="V138" s="1628" t="s">
        <v>35</v>
      </c>
      <c r="W138" s="1625"/>
      <c r="X138" s="1629"/>
      <c r="Y138" s="1629">
        <v>22</v>
      </c>
      <c r="Z138" s="1625">
        <v>22</v>
      </c>
      <c r="AA138" s="1628">
        <v>22</v>
      </c>
      <c r="AB138" s="1628">
        <v>22</v>
      </c>
      <c r="AC138" s="1628">
        <v>22</v>
      </c>
      <c r="AD138" s="1628">
        <v>22</v>
      </c>
      <c r="AE138" s="1628">
        <v>22</v>
      </c>
      <c r="AF138" s="1628" t="s">
        <v>35</v>
      </c>
      <c r="AG138" s="1634"/>
      <c r="AH138" s="107"/>
      <c r="AI138" s="107"/>
    </row>
    <row r="139" spans="1:35" ht="22.15" customHeight="1" thickBot="1" x14ac:dyDescent="0.25">
      <c r="A139" s="1427">
        <v>3</v>
      </c>
      <c r="B139" s="1301" t="s">
        <v>194</v>
      </c>
      <c r="C139" s="1629">
        <v>21</v>
      </c>
      <c r="D139" s="1629" t="s">
        <v>35</v>
      </c>
      <c r="E139" s="1629" t="s">
        <v>35</v>
      </c>
      <c r="F139" s="1629" t="s">
        <v>35</v>
      </c>
      <c r="G139" s="1628" t="s">
        <v>35</v>
      </c>
      <c r="H139" s="1628" t="s">
        <v>35</v>
      </c>
      <c r="I139" s="1625"/>
      <c r="J139" s="1629"/>
      <c r="K139" s="1629">
        <v>22</v>
      </c>
      <c r="L139" s="1625">
        <v>22</v>
      </c>
      <c r="M139" s="1629">
        <v>22</v>
      </c>
      <c r="N139" s="1629">
        <v>22</v>
      </c>
      <c r="O139" s="2118">
        <v>22</v>
      </c>
      <c r="P139" s="2118">
        <v>22</v>
      </c>
      <c r="Q139" s="2118">
        <v>22</v>
      </c>
      <c r="R139" s="1428" t="s">
        <v>35</v>
      </c>
      <c r="S139" s="1637" t="s">
        <v>35</v>
      </c>
      <c r="T139" s="380" t="s">
        <v>35</v>
      </c>
      <c r="U139" s="1628" t="s">
        <v>35</v>
      </c>
      <c r="V139" s="1628" t="s">
        <v>35</v>
      </c>
      <c r="W139" s="1625"/>
      <c r="X139" s="1629"/>
      <c r="Y139" s="2054">
        <v>23</v>
      </c>
      <c r="Z139" s="2119">
        <v>23</v>
      </c>
      <c r="AA139" s="2054">
        <v>23</v>
      </c>
      <c r="AB139" s="2054">
        <v>23</v>
      </c>
      <c r="AC139" s="2054">
        <v>23</v>
      </c>
      <c r="AD139" s="2054">
        <v>23</v>
      </c>
      <c r="AE139" s="2054">
        <v>23</v>
      </c>
      <c r="AF139" s="1629" t="s">
        <v>35</v>
      </c>
      <c r="AG139" s="1634"/>
      <c r="AH139" s="107"/>
      <c r="AI139" s="107"/>
    </row>
    <row r="140" spans="1:35" ht="22.15" customHeight="1" thickBot="1" x14ac:dyDescent="0.25">
      <c r="A140" s="1427">
        <v>4</v>
      </c>
      <c r="B140" s="1301" t="s">
        <v>195</v>
      </c>
      <c r="C140" s="1629"/>
      <c r="D140" s="1629">
        <v>22</v>
      </c>
      <c r="E140" s="1625">
        <v>22</v>
      </c>
      <c r="F140" s="1629">
        <v>22</v>
      </c>
      <c r="G140" s="1629">
        <v>22</v>
      </c>
      <c r="H140" s="1629">
        <v>22</v>
      </c>
      <c r="I140" s="1629">
        <v>22</v>
      </c>
      <c r="J140" s="1629">
        <v>22</v>
      </c>
      <c r="K140" s="1629" t="s">
        <v>35</v>
      </c>
      <c r="L140" s="1629" t="s">
        <v>35</v>
      </c>
      <c r="M140" s="1629" t="s">
        <v>35</v>
      </c>
      <c r="N140" s="1629" t="s">
        <v>35</v>
      </c>
      <c r="O140" s="1429" t="s">
        <v>35</v>
      </c>
      <c r="P140" s="1625"/>
      <c r="Q140" s="1629"/>
      <c r="R140" s="1629">
        <v>23</v>
      </c>
      <c r="S140" s="1625">
        <v>23</v>
      </c>
      <c r="T140" s="650">
        <v>23</v>
      </c>
      <c r="U140" s="2054">
        <v>23</v>
      </c>
      <c r="V140" s="2054">
        <v>23</v>
      </c>
      <c r="W140" s="2054">
        <v>23</v>
      </c>
      <c r="X140" s="2054">
        <v>23</v>
      </c>
      <c r="Y140" s="1629" t="s">
        <v>35</v>
      </c>
      <c r="Z140" s="1629" t="s">
        <v>35</v>
      </c>
      <c r="AA140" s="1629" t="s">
        <v>35</v>
      </c>
      <c r="AB140" s="1629" t="s">
        <v>35</v>
      </c>
      <c r="AC140" s="1629" t="s">
        <v>35</v>
      </c>
      <c r="AD140" s="1625"/>
      <c r="AE140" s="1629"/>
      <c r="AF140" s="1629">
        <v>21</v>
      </c>
      <c r="AG140" s="1842"/>
      <c r="AH140" s="107"/>
      <c r="AI140" s="107"/>
    </row>
    <row r="141" spans="1:35" ht="22.15" customHeight="1" thickBot="1" x14ac:dyDescent="0.25">
      <c r="A141" s="1427">
        <v>5</v>
      </c>
      <c r="B141" s="1301" t="s">
        <v>408</v>
      </c>
      <c r="C141" s="1629"/>
      <c r="D141" s="1629">
        <v>23</v>
      </c>
      <c r="E141" s="1625">
        <v>23</v>
      </c>
      <c r="F141" s="1628">
        <v>23</v>
      </c>
      <c r="G141" s="1629">
        <v>23</v>
      </c>
      <c r="H141" s="2120">
        <v>23</v>
      </c>
      <c r="I141" s="2118">
        <v>23</v>
      </c>
      <c r="J141" s="2118">
        <v>23</v>
      </c>
      <c r="K141" s="2121" t="s">
        <v>35</v>
      </c>
      <c r="L141" s="2121" t="s">
        <v>35</v>
      </c>
      <c r="M141" s="2121" t="s">
        <v>35</v>
      </c>
      <c r="N141" s="2121" t="s">
        <v>35</v>
      </c>
      <c r="O141" s="2121" t="s">
        <v>35</v>
      </c>
      <c r="P141" s="2121"/>
      <c r="Q141" s="2121"/>
      <c r="R141" s="1629">
        <v>21</v>
      </c>
      <c r="S141" s="1625" t="s">
        <v>409</v>
      </c>
      <c r="T141" s="380">
        <v>21</v>
      </c>
      <c r="U141" s="1629">
        <v>21</v>
      </c>
      <c r="V141" s="1629">
        <v>21</v>
      </c>
      <c r="W141" s="1629">
        <v>21</v>
      </c>
      <c r="X141" s="1629">
        <v>21</v>
      </c>
      <c r="Y141" s="1629" t="s">
        <v>35</v>
      </c>
      <c r="Z141" s="1629" t="s">
        <v>35</v>
      </c>
      <c r="AA141" s="1629" t="s">
        <v>35</v>
      </c>
      <c r="AB141" s="1629" t="s">
        <v>35</v>
      </c>
      <c r="AC141" s="1628" t="s">
        <v>35</v>
      </c>
      <c r="AD141" s="1628"/>
      <c r="AE141" s="1628"/>
      <c r="AF141" s="1629">
        <v>22</v>
      </c>
      <c r="AG141" s="1842"/>
      <c r="AH141" s="107"/>
      <c r="AI141" s="107"/>
    </row>
    <row r="142" spans="1:35" ht="22.15" customHeight="1" thickBot="1" x14ac:dyDescent="0.25">
      <c r="A142" s="670">
        <v>6</v>
      </c>
      <c r="B142" s="671" t="s">
        <v>197</v>
      </c>
      <c r="C142" s="690"/>
      <c r="D142" s="723">
        <v>21</v>
      </c>
      <c r="E142" s="723">
        <v>21</v>
      </c>
      <c r="F142" s="723">
        <v>21</v>
      </c>
      <c r="G142" s="723">
        <v>21</v>
      </c>
      <c r="H142" s="723">
        <v>21</v>
      </c>
      <c r="I142" s="723">
        <v>21</v>
      </c>
      <c r="J142" s="723">
        <v>21</v>
      </c>
      <c r="K142" s="680" t="s">
        <v>35</v>
      </c>
      <c r="L142" s="680" t="s">
        <v>35</v>
      </c>
      <c r="M142" s="680" t="s">
        <v>35</v>
      </c>
      <c r="N142" s="676" t="s">
        <v>35</v>
      </c>
      <c r="O142" s="676" t="s">
        <v>35</v>
      </c>
      <c r="P142" s="696"/>
      <c r="Q142" s="690"/>
      <c r="R142" s="690">
        <v>22</v>
      </c>
      <c r="S142" s="1625" t="s">
        <v>83</v>
      </c>
      <c r="T142" s="380">
        <v>22</v>
      </c>
      <c r="U142" s="690">
        <v>22</v>
      </c>
      <c r="V142" s="690">
        <v>22</v>
      </c>
      <c r="W142" s="690">
        <v>22</v>
      </c>
      <c r="X142" s="690">
        <v>22</v>
      </c>
      <c r="Y142" s="690" t="s">
        <v>35</v>
      </c>
      <c r="Z142" s="690" t="s">
        <v>35</v>
      </c>
      <c r="AA142" s="690" t="s">
        <v>35</v>
      </c>
      <c r="AB142" s="676" t="s">
        <v>35</v>
      </c>
      <c r="AC142" s="676" t="s">
        <v>35</v>
      </c>
      <c r="AD142" s="696"/>
      <c r="AE142" s="690"/>
      <c r="AF142" s="690">
        <v>23</v>
      </c>
      <c r="AG142" s="217"/>
      <c r="AH142" s="107"/>
      <c r="AI142" s="107"/>
    </row>
    <row r="143" spans="1:35" ht="22.15" customHeight="1" x14ac:dyDescent="0.2">
      <c r="A143" s="256"/>
      <c r="B143" s="228"/>
      <c r="C143" s="229"/>
      <c r="D143" s="229"/>
      <c r="E143" s="255"/>
      <c r="F143" s="229"/>
      <c r="G143" s="229"/>
      <c r="H143" s="261"/>
      <c r="I143" s="261"/>
      <c r="J143" s="261"/>
      <c r="K143" s="261"/>
      <c r="L143" s="261"/>
      <c r="M143" s="261"/>
      <c r="N143" s="216"/>
      <c r="O143" s="216"/>
      <c r="P143" s="255"/>
      <c r="Q143" s="229"/>
      <c r="R143" s="229"/>
      <c r="S143" s="255"/>
      <c r="T143" s="229"/>
      <c r="U143" s="229"/>
      <c r="V143" s="229"/>
      <c r="W143" s="229"/>
      <c r="X143" s="229"/>
      <c r="Y143" s="229"/>
      <c r="Z143" s="229"/>
      <c r="AA143" s="229"/>
      <c r="AB143" s="216"/>
      <c r="AC143" s="216"/>
      <c r="AD143" s="255"/>
      <c r="AE143" s="229"/>
      <c r="AF143" s="229"/>
      <c r="AG143" s="255"/>
      <c r="AH143" s="107"/>
      <c r="AI143" s="107"/>
    </row>
    <row r="144" spans="1:35" ht="22.15" customHeight="1" x14ac:dyDescent="0.2">
      <c r="A144" s="109"/>
      <c r="B144" s="110"/>
      <c r="C144" s="206"/>
      <c r="D144" s="206"/>
      <c r="E144" s="172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172"/>
      <c r="Q144" s="206"/>
      <c r="R144" s="206"/>
      <c r="S144" s="172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7"/>
      <c r="AD144" s="207"/>
      <c r="AE144" s="207"/>
      <c r="AF144" s="206"/>
      <c r="AG144" s="172"/>
      <c r="AH144" s="107"/>
      <c r="AI144" s="107"/>
    </row>
    <row r="145" spans="1:35" ht="22.15" customHeight="1" thickBot="1" x14ac:dyDescent="0.25">
      <c r="A145" s="162" t="s">
        <v>198</v>
      </c>
      <c r="D145" s="72"/>
      <c r="E145" s="72"/>
      <c r="F145" s="72"/>
      <c r="G145" s="105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</row>
    <row r="146" spans="1:35" ht="22.15" customHeight="1" x14ac:dyDescent="0.2">
      <c r="A146" s="1"/>
      <c r="B146" s="304" t="s">
        <v>167</v>
      </c>
      <c r="C146" s="500"/>
      <c r="D146" s="516" t="s">
        <v>90</v>
      </c>
      <c r="E146" s="473"/>
      <c r="F146" s="504"/>
      <c r="G146" s="500"/>
      <c r="H146" s="516" t="s">
        <v>91</v>
      </c>
      <c r="I146" s="473"/>
      <c r="J146" s="504"/>
      <c r="K146" s="500"/>
      <c r="L146" s="516" t="s">
        <v>92</v>
      </c>
      <c r="M146" s="473"/>
      <c r="N146" s="504"/>
      <c r="O146" s="500"/>
      <c r="P146" s="516" t="s">
        <v>93</v>
      </c>
      <c r="Q146" s="473"/>
      <c r="R146" s="504"/>
      <c r="S146" s="500"/>
      <c r="T146" s="516" t="s">
        <v>94</v>
      </c>
      <c r="U146" s="473"/>
      <c r="V146" s="504"/>
      <c r="W146" s="500"/>
      <c r="X146" s="516" t="s">
        <v>95</v>
      </c>
      <c r="Y146" s="473"/>
      <c r="Z146" s="504"/>
      <c r="AA146" s="500"/>
      <c r="AB146" s="516" t="s">
        <v>96</v>
      </c>
      <c r="AC146" s="473"/>
      <c r="AD146" s="473"/>
      <c r="AE146" s="519" t="s">
        <v>97</v>
      </c>
      <c r="AF146" s="473"/>
      <c r="AG146" s="473"/>
      <c r="AH146" s="473"/>
      <c r="AI146" s="474"/>
    </row>
    <row r="147" spans="1:35" ht="22.15" customHeight="1" x14ac:dyDescent="0.2">
      <c r="A147" s="1"/>
      <c r="B147" s="1390" t="s">
        <v>139</v>
      </c>
      <c r="C147" s="1283" t="s">
        <v>168</v>
      </c>
      <c r="D147" s="1167"/>
      <c r="E147" s="1167"/>
      <c r="F147" s="1393"/>
      <c r="G147" s="1283" t="s">
        <v>168</v>
      </c>
      <c r="H147" s="1167"/>
      <c r="I147" s="1167"/>
      <c r="J147" s="1393"/>
      <c r="K147" s="1283" t="s">
        <v>168</v>
      </c>
      <c r="L147" s="1167"/>
      <c r="M147" s="1167"/>
      <c r="N147" s="1393"/>
      <c r="O147" s="1283" t="s">
        <v>199</v>
      </c>
      <c r="P147" s="1167"/>
      <c r="Q147" s="1167"/>
      <c r="R147" s="1393"/>
      <c r="S147" s="1283" t="s">
        <v>154</v>
      </c>
      <c r="T147" s="1167"/>
      <c r="U147" s="1167"/>
      <c r="V147" s="1393"/>
      <c r="W147" s="1431"/>
      <c r="X147" s="1432"/>
      <c r="Y147" s="1432"/>
      <c r="Z147" s="1395"/>
      <c r="AA147" s="1391"/>
      <c r="AB147" s="1167"/>
      <c r="AC147" s="1167"/>
      <c r="AD147" s="1284"/>
      <c r="AE147" s="1396">
        <v>27</v>
      </c>
      <c r="AF147" s="1167"/>
      <c r="AG147" s="1167"/>
      <c r="AH147" s="1284"/>
      <c r="AI147" s="1176"/>
    </row>
    <row r="148" spans="1:35" ht="22.15" customHeight="1" x14ac:dyDescent="0.2">
      <c r="A148" s="1"/>
      <c r="B148" s="1390" t="s">
        <v>143</v>
      </c>
      <c r="C148" s="1283" t="s">
        <v>200</v>
      </c>
      <c r="D148" s="1167"/>
      <c r="E148" s="1167"/>
      <c r="F148" s="1393"/>
      <c r="G148" s="1283" t="s">
        <v>200</v>
      </c>
      <c r="H148" s="1167"/>
      <c r="I148" s="1167"/>
      <c r="J148" s="1393"/>
      <c r="K148" s="1283" t="s">
        <v>200</v>
      </c>
      <c r="L148" s="1167"/>
      <c r="M148" s="1167"/>
      <c r="N148" s="1393"/>
      <c r="O148" s="1283" t="s">
        <v>200</v>
      </c>
      <c r="P148" s="1167"/>
      <c r="Q148" s="1167"/>
      <c r="R148" s="1393"/>
      <c r="S148" s="1283" t="s">
        <v>168</v>
      </c>
      <c r="T148" s="1167"/>
      <c r="U148" s="1167"/>
      <c r="V148" s="1393"/>
      <c r="W148" s="1283"/>
      <c r="X148" s="1167"/>
      <c r="Y148" s="1167"/>
      <c r="Z148" s="1393"/>
      <c r="AA148" s="1167"/>
      <c r="AB148" s="1167"/>
      <c r="AC148" s="1167"/>
      <c r="AD148" s="1284"/>
      <c r="AE148" s="1396">
        <v>39</v>
      </c>
      <c r="AF148" s="1167"/>
      <c r="AG148" s="1167"/>
      <c r="AH148" s="1284"/>
      <c r="AI148" s="1176"/>
    </row>
    <row r="149" spans="1:35" ht="22.15" customHeight="1" x14ac:dyDescent="0.2">
      <c r="A149" s="1"/>
      <c r="B149" s="1390" t="s">
        <v>153</v>
      </c>
      <c r="C149" s="1283" t="s">
        <v>200</v>
      </c>
      <c r="D149" s="1167"/>
      <c r="E149" s="1167"/>
      <c r="F149" s="1393"/>
      <c r="G149" s="1283" t="s">
        <v>200</v>
      </c>
      <c r="H149" s="1167"/>
      <c r="I149" s="1167"/>
      <c r="J149" s="1393"/>
      <c r="K149" s="1283" t="s">
        <v>200</v>
      </c>
      <c r="L149" s="1167"/>
      <c r="M149" s="1167"/>
      <c r="N149" s="1393"/>
      <c r="O149" s="1283" t="s">
        <v>200</v>
      </c>
      <c r="P149" s="1167"/>
      <c r="Q149" s="1167"/>
      <c r="R149" s="1393"/>
      <c r="S149" s="1283" t="s">
        <v>200</v>
      </c>
      <c r="T149" s="1167"/>
      <c r="U149" s="1167"/>
      <c r="V149" s="1393"/>
      <c r="W149" s="1285" t="s">
        <v>201</v>
      </c>
      <c r="X149" s="1180"/>
      <c r="Y149" s="1180"/>
      <c r="Z149" s="1400"/>
      <c r="AA149" s="1398"/>
      <c r="AB149" s="1180"/>
      <c r="AC149" s="1180"/>
      <c r="AD149" s="1286"/>
      <c r="AE149" s="1396">
        <v>45</v>
      </c>
      <c r="AF149" s="1167"/>
      <c r="AG149" s="1167"/>
      <c r="AH149" s="1284"/>
      <c r="AI149" s="1176"/>
    </row>
    <row r="150" spans="1:35" ht="22.15" customHeight="1" thickBot="1" x14ac:dyDescent="0.25">
      <c r="A150" s="1"/>
      <c r="B150" s="1032" t="s">
        <v>155</v>
      </c>
      <c r="C150" s="1423"/>
      <c r="D150" s="1238"/>
      <c r="E150" s="1238"/>
      <c r="F150" s="1425"/>
      <c r="G150" s="1423"/>
      <c r="H150" s="1238"/>
      <c r="I150" s="1238"/>
      <c r="J150" s="1425"/>
      <c r="K150" s="1423"/>
      <c r="L150" s="1238"/>
      <c r="M150" s="1238"/>
      <c r="N150" s="1425"/>
      <c r="O150" s="1423"/>
      <c r="P150" s="1238"/>
      <c r="Q150" s="1238"/>
      <c r="R150" s="1425"/>
      <c r="S150" s="1423"/>
      <c r="T150" s="1238"/>
      <c r="U150" s="1238"/>
      <c r="V150" s="1411"/>
      <c r="W150" s="1423"/>
      <c r="X150" s="1411"/>
      <c r="Y150" s="1238"/>
      <c r="Z150" s="1425"/>
      <c r="AA150" s="1423"/>
      <c r="AB150" s="1411"/>
      <c r="AC150" s="1238"/>
      <c r="AD150" s="1425"/>
      <c r="AE150" s="1433"/>
      <c r="AF150" s="1238"/>
      <c r="AG150" s="1238"/>
      <c r="AH150" s="1411"/>
      <c r="AI150" s="1245"/>
    </row>
    <row r="151" spans="1:35" ht="22.15" customHeight="1" x14ac:dyDescent="0.2">
      <c r="A151" s="108"/>
      <c r="B151" s="1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</row>
    <row r="152" spans="1:35" ht="22.15" customHeight="1" thickBot="1" x14ac:dyDescent="0.25">
      <c r="A152" s="1343"/>
      <c r="B152" s="1247" t="s">
        <v>29</v>
      </c>
      <c r="C152" s="1185">
        <v>1</v>
      </c>
      <c r="D152" s="1186">
        <v>2</v>
      </c>
      <c r="E152" s="1186">
        <v>3</v>
      </c>
      <c r="F152" s="1186">
        <v>4</v>
      </c>
      <c r="G152" s="1186">
        <v>5</v>
      </c>
      <c r="H152" s="1186">
        <v>6</v>
      </c>
      <c r="I152" s="1185">
        <v>7</v>
      </c>
      <c r="J152" s="1185">
        <v>8</v>
      </c>
      <c r="K152" s="1186">
        <v>9</v>
      </c>
      <c r="L152" s="1186">
        <v>10</v>
      </c>
      <c r="M152" s="1186">
        <v>11</v>
      </c>
      <c r="N152" s="1186">
        <v>12</v>
      </c>
      <c r="O152" s="1186">
        <v>13</v>
      </c>
      <c r="P152" s="1185">
        <v>14</v>
      </c>
      <c r="Q152" s="1185">
        <v>15</v>
      </c>
      <c r="R152" s="1186">
        <v>16</v>
      </c>
      <c r="S152" s="1186">
        <v>17</v>
      </c>
      <c r="T152" s="1186">
        <v>18</v>
      </c>
      <c r="U152" s="1186">
        <v>19</v>
      </c>
      <c r="V152" s="1186">
        <v>20</v>
      </c>
      <c r="W152" s="1185">
        <v>21</v>
      </c>
      <c r="X152" s="1185">
        <v>22</v>
      </c>
      <c r="Y152" s="1186">
        <v>23</v>
      </c>
      <c r="Z152" s="1186">
        <v>24</v>
      </c>
      <c r="AA152" s="1186">
        <v>25</v>
      </c>
      <c r="AB152" s="1186">
        <v>26</v>
      </c>
      <c r="AC152" s="1186">
        <v>27</v>
      </c>
      <c r="AD152" s="1185">
        <v>28</v>
      </c>
      <c r="AE152" s="1185">
        <v>29</v>
      </c>
      <c r="AF152" s="1186">
        <v>30</v>
      </c>
      <c r="AG152" s="1945"/>
      <c r="AH152" s="184"/>
      <c r="AI152" s="185"/>
    </row>
    <row r="153" spans="1:35" ht="22.15" customHeight="1" x14ac:dyDescent="0.2">
      <c r="A153" s="521">
        <v>1</v>
      </c>
      <c r="B153" s="523" t="s">
        <v>202</v>
      </c>
      <c r="C153" s="459"/>
      <c r="D153" s="458" t="s">
        <v>31</v>
      </c>
      <c r="E153" s="458" t="s">
        <v>31</v>
      </c>
      <c r="F153" s="458" t="s">
        <v>31</v>
      </c>
      <c r="G153" s="532" t="s">
        <v>31</v>
      </c>
      <c r="H153" s="458" t="s">
        <v>35</v>
      </c>
      <c r="I153" s="458"/>
      <c r="J153" s="459"/>
      <c r="K153" s="458" t="s">
        <v>31</v>
      </c>
      <c r="L153" s="458" t="s">
        <v>31</v>
      </c>
      <c r="M153" s="458" t="s">
        <v>31</v>
      </c>
      <c r="N153" s="458" t="s">
        <v>31</v>
      </c>
      <c r="O153" s="458" t="s">
        <v>31</v>
      </c>
      <c r="P153" s="458"/>
      <c r="Q153" s="459"/>
      <c r="R153" s="458" t="s">
        <v>31</v>
      </c>
      <c r="S153" s="458" t="s">
        <v>31</v>
      </c>
      <c r="T153" s="458" t="s">
        <v>31</v>
      </c>
      <c r="U153" s="458" t="s">
        <v>31</v>
      </c>
      <c r="V153" s="463" t="s">
        <v>31</v>
      </c>
      <c r="W153" s="458"/>
      <c r="X153" s="459"/>
      <c r="Y153" s="458" t="s">
        <v>31</v>
      </c>
      <c r="Z153" s="458" t="s">
        <v>31</v>
      </c>
      <c r="AA153" s="458" t="s">
        <v>31</v>
      </c>
      <c r="AB153" s="458" t="s">
        <v>31</v>
      </c>
      <c r="AC153" s="458" t="s">
        <v>31</v>
      </c>
      <c r="AD153" s="458"/>
      <c r="AE153" s="458"/>
      <c r="AF153" s="458" t="s">
        <v>31</v>
      </c>
      <c r="AG153" s="464"/>
      <c r="AH153" s="250"/>
      <c r="AI153" s="190"/>
    </row>
    <row r="154" spans="1:35" ht="22.15" customHeight="1" x14ac:dyDescent="0.2">
      <c r="A154" s="1415">
        <v>2</v>
      </c>
      <c r="B154" s="1434" t="s">
        <v>203</v>
      </c>
      <c r="C154" s="1258"/>
      <c r="D154" s="1259" t="s">
        <v>207</v>
      </c>
      <c r="E154" s="1258" t="s">
        <v>207</v>
      </c>
      <c r="F154" s="1258" t="s">
        <v>207</v>
      </c>
      <c r="G154" s="1258" t="s">
        <v>207</v>
      </c>
      <c r="H154" s="1270" t="s">
        <v>207</v>
      </c>
      <c r="I154" s="1258"/>
      <c r="J154" s="1258"/>
      <c r="K154" s="1258" t="s">
        <v>204</v>
      </c>
      <c r="L154" s="1258" t="s">
        <v>204</v>
      </c>
      <c r="M154" s="1258" t="s">
        <v>204</v>
      </c>
      <c r="N154" s="1258" t="s">
        <v>204</v>
      </c>
      <c r="O154" s="1258" t="s">
        <v>204</v>
      </c>
      <c r="P154" s="1258" t="s">
        <v>204</v>
      </c>
      <c r="Q154" s="1258"/>
      <c r="R154" s="1258" t="s">
        <v>205</v>
      </c>
      <c r="S154" s="1258" t="s">
        <v>205</v>
      </c>
      <c r="T154" s="1258" t="s">
        <v>205</v>
      </c>
      <c r="U154" s="1258" t="s">
        <v>205</v>
      </c>
      <c r="V154" s="1258" t="s">
        <v>35</v>
      </c>
      <c r="W154" s="1258"/>
      <c r="X154" s="1258"/>
      <c r="Y154" s="1259" t="s">
        <v>207</v>
      </c>
      <c r="Z154" s="1204" t="s">
        <v>207</v>
      </c>
      <c r="AA154" s="1204" t="s">
        <v>207</v>
      </c>
      <c r="AB154" s="1204" t="s">
        <v>410</v>
      </c>
      <c r="AC154" s="1275" t="s">
        <v>207</v>
      </c>
      <c r="AD154" s="1275"/>
      <c r="AE154" s="1275"/>
      <c r="AF154" s="1275" t="s">
        <v>204</v>
      </c>
      <c r="AG154" s="1975"/>
      <c r="AH154" s="250"/>
      <c r="AI154" s="190"/>
    </row>
    <row r="155" spans="1:35" ht="22.15" customHeight="1" x14ac:dyDescent="0.2">
      <c r="A155" s="1415">
        <v>3</v>
      </c>
      <c r="B155" s="1435" t="s">
        <v>208</v>
      </c>
      <c r="C155" s="1258"/>
      <c r="D155" s="1258" t="s">
        <v>204</v>
      </c>
      <c r="E155" s="1258" t="s">
        <v>204</v>
      </c>
      <c r="F155" s="1380" t="s">
        <v>204</v>
      </c>
      <c r="G155" s="1380" t="s">
        <v>204</v>
      </c>
      <c r="H155" s="1380" t="s">
        <v>204</v>
      </c>
      <c r="I155" s="1380" t="s">
        <v>204</v>
      </c>
      <c r="J155" s="1380"/>
      <c r="K155" s="1380" t="s">
        <v>205</v>
      </c>
      <c r="L155" s="1380" t="s">
        <v>205</v>
      </c>
      <c r="M155" s="1380" t="s">
        <v>205</v>
      </c>
      <c r="N155" s="1380" t="s">
        <v>205</v>
      </c>
      <c r="O155" s="1380" t="s">
        <v>35</v>
      </c>
      <c r="P155" s="1380"/>
      <c r="Q155" s="1380"/>
      <c r="R155" s="1380" t="s">
        <v>207</v>
      </c>
      <c r="S155" s="1380" t="s">
        <v>207</v>
      </c>
      <c r="T155" s="1380" t="s">
        <v>207</v>
      </c>
      <c r="U155" s="1258" t="s">
        <v>207</v>
      </c>
      <c r="V155" s="1258" t="s">
        <v>207</v>
      </c>
      <c r="W155" s="1258"/>
      <c r="X155" s="1258"/>
      <c r="Y155" s="1258" t="s">
        <v>204</v>
      </c>
      <c r="Z155" s="1258" t="s">
        <v>204</v>
      </c>
      <c r="AA155" s="1311" t="s">
        <v>204</v>
      </c>
      <c r="AB155" s="1311" t="s">
        <v>204</v>
      </c>
      <c r="AC155" s="1311" t="s">
        <v>204</v>
      </c>
      <c r="AD155" s="1311" t="s">
        <v>204</v>
      </c>
      <c r="AE155" s="1311"/>
      <c r="AF155" s="1311" t="s">
        <v>205</v>
      </c>
      <c r="AG155" s="1251"/>
      <c r="AH155" s="250"/>
      <c r="AI155" s="190"/>
    </row>
    <row r="156" spans="1:35" ht="22.15" customHeight="1" x14ac:dyDescent="0.2">
      <c r="A156" s="1415">
        <v>4</v>
      </c>
      <c r="B156" s="1435" t="s">
        <v>209</v>
      </c>
      <c r="C156" s="1258"/>
      <c r="D156" s="1258"/>
      <c r="E156" s="1258" t="s">
        <v>32</v>
      </c>
      <c r="F156" s="1258" t="s">
        <v>32</v>
      </c>
      <c r="G156" s="1258"/>
      <c r="H156" s="1258" t="s">
        <v>32</v>
      </c>
      <c r="I156" s="1258"/>
      <c r="J156" s="1258"/>
      <c r="K156" s="1258"/>
      <c r="L156" s="1258" t="s">
        <v>32</v>
      </c>
      <c r="M156" s="1258" t="s">
        <v>32</v>
      </c>
      <c r="N156" s="1258"/>
      <c r="O156" s="1258" t="s">
        <v>32</v>
      </c>
      <c r="P156" s="1258"/>
      <c r="Q156" s="1193"/>
      <c r="R156" s="1193"/>
      <c r="S156" s="1193" t="s">
        <v>32</v>
      </c>
      <c r="T156" s="1193"/>
      <c r="U156" s="1193"/>
      <c r="V156" s="1258" t="s">
        <v>32</v>
      </c>
      <c r="W156" s="1258" t="s">
        <v>204</v>
      </c>
      <c r="X156" s="1258"/>
      <c r="Y156" s="1258"/>
      <c r="Z156" s="1258" t="s">
        <v>32</v>
      </c>
      <c r="AA156" s="1258" t="s">
        <v>32</v>
      </c>
      <c r="AB156" s="1258"/>
      <c r="AC156" s="1258" t="s">
        <v>32</v>
      </c>
      <c r="AD156" s="1258"/>
      <c r="AE156" s="1258"/>
      <c r="AF156" s="1258"/>
      <c r="AG156" s="1251"/>
      <c r="AH156" s="250"/>
      <c r="AI156" s="190"/>
    </row>
    <row r="157" spans="1:35" ht="22.15" customHeight="1" x14ac:dyDescent="0.2">
      <c r="A157" s="1415">
        <v>5</v>
      </c>
      <c r="B157" s="1435" t="s">
        <v>210</v>
      </c>
      <c r="C157" s="1258"/>
      <c r="D157" s="1258" t="s">
        <v>32</v>
      </c>
      <c r="E157" s="1258"/>
      <c r="F157" s="1258"/>
      <c r="G157" s="1258" t="s">
        <v>31</v>
      </c>
      <c r="H157" s="1258"/>
      <c r="I157" s="1258"/>
      <c r="J157" s="1258"/>
      <c r="K157" s="1258" t="s">
        <v>32</v>
      </c>
      <c r="L157" s="1258"/>
      <c r="M157" s="1258"/>
      <c r="N157" s="1258" t="s">
        <v>31</v>
      </c>
      <c r="O157" s="1258"/>
      <c r="P157" s="1258"/>
      <c r="Q157" s="1258"/>
      <c r="R157" s="1258" t="s">
        <v>32</v>
      </c>
      <c r="S157" s="1258"/>
      <c r="T157" s="1258"/>
      <c r="U157" s="1258" t="s">
        <v>31</v>
      </c>
      <c r="V157" s="1258"/>
      <c r="W157" s="1258"/>
      <c r="X157" s="1258"/>
      <c r="Y157" s="1258" t="s">
        <v>32</v>
      </c>
      <c r="Z157" s="1258"/>
      <c r="AA157" s="1258"/>
      <c r="AB157" s="1258" t="s">
        <v>31</v>
      </c>
      <c r="AC157" s="1258"/>
      <c r="AD157" s="1258"/>
      <c r="AE157" s="1258"/>
      <c r="AF157" s="1258" t="s">
        <v>32</v>
      </c>
      <c r="AG157" s="1251"/>
      <c r="AH157" s="250"/>
      <c r="AI157" s="190"/>
    </row>
    <row r="158" spans="1:35" ht="22.15" customHeight="1" x14ac:dyDescent="0.2">
      <c r="A158" s="1415">
        <v>6</v>
      </c>
      <c r="B158" s="1202" t="s">
        <v>211</v>
      </c>
      <c r="C158" s="1258"/>
      <c r="D158" s="1258" t="s">
        <v>31</v>
      </c>
      <c r="E158" s="1258" t="s">
        <v>31</v>
      </c>
      <c r="F158" s="1258" t="s">
        <v>31</v>
      </c>
      <c r="G158" s="1258" t="s">
        <v>31</v>
      </c>
      <c r="H158" s="1258" t="s">
        <v>31</v>
      </c>
      <c r="I158" s="1258"/>
      <c r="J158" s="1199"/>
      <c r="K158" s="1258" t="s">
        <v>31</v>
      </c>
      <c r="L158" s="1258" t="s">
        <v>31</v>
      </c>
      <c r="M158" s="1258" t="s">
        <v>31</v>
      </c>
      <c r="N158" s="1258" t="s">
        <v>31</v>
      </c>
      <c r="O158" s="1200" t="s">
        <v>31</v>
      </c>
      <c r="P158" s="1258"/>
      <c r="Q158" s="1258"/>
      <c r="R158" s="1258" t="s">
        <v>31</v>
      </c>
      <c r="S158" s="1258" t="s">
        <v>31</v>
      </c>
      <c r="T158" s="1193" t="s">
        <v>31</v>
      </c>
      <c r="U158" s="1193" t="s">
        <v>31</v>
      </c>
      <c r="V158" s="1193" t="s">
        <v>31</v>
      </c>
      <c r="W158" s="1193"/>
      <c r="X158" s="1193"/>
      <c r="Y158" s="1258" t="s">
        <v>31</v>
      </c>
      <c r="Z158" s="1258" t="s">
        <v>31</v>
      </c>
      <c r="AA158" s="1258" t="s">
        <v>31</v>
      </c>
      <c r="AB158" s="1258" t="s">
        <v>31</v>
      </c>
      <c r="AC158" s="1258" t="s">
        <v>31</v>
      </c>
      <c r="AD158" s="1258"/>
      <c r="AE158" s="1258"/>
      <c r="AF158" s="1258" t="s">
        <v>31</v>
      </c>
      <c r="AG158" s="1251"/>
      <c r="AH158" s="215"/>
      <c r="AI158" s="107"/>
    </row>
    <row r="159" spans="1:35" ht="22.15" customHeight="1" thickBot="1" x14ac:dyDescent="0.25">
      <c r="A159" s="1419"/>
      <c r="B159" s="1253" t="s">
        <v>212</v>
      </c>
      <c r="C159" s="1254"/>
      <c r="D159" s="1254"/>
      <c r="E159" s="1254"/>
      <c r="F159" s="1254"/>
      <c r="G159" s="1254"/>
      <c r="H159" s="1254"/>
      <c r="I159" s="1254"/>
      <c r="J159" s="1254"/>
      <c r="K159" s="1254"/>
      <c r="L159" s="1254"/>
      <c r="M159" s="1254"/>
      <c r="N159" s="1254"/>
      <c r="O159" s="1254"/>
      <c r="P159" s="1254"/>
      <c r="Q159" s="1254"/>
      <c r="R159" s="1254"/>
      <c r="S159" s="1254"/>
      <c r="T159" s="1254"/>
      <c r="U159" s="1254"/>
      <c r="V159" s="1254"/>
      <c r="W159" s="1254"/>
      <c r="X159" s="1254"/>
      <c r="Y159" s="1254"/>
      <c r="Z159" s="1254"/>
      <c r="AA159" s="1254"/>
      <c r="AB159" s="1254"/>
      <c r="AC159" s="1254"/>
      <c r="AD159" s="1254"/>
      <c r="AE159" s="1254"/>
      <c r="AF159" s="1254"/>
      <c r="AG159" s="1945"/>
      <c r="AH159" s="107"/>
      <c r="AI159" s="107"/>
    </row>
    <row r="160" spans="1:35" ht="22.15" customHeight="1" x14ac:dyDescent="0.2">
      <c r="A160" s="256"/>
      <c r="B160" s="228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107"/>
      <c r="AI160" s="107"/>
    </row>
    <row r="161" spans="1:36" ht="22.15" customHeight="1" x14ac:dyDescent="0.2">
      <c r="A161" s="256"/>
      <c r="B161" s="228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107"/>
      <c r="AI161" s="107"/>
    </row>
    <row r="162" spans="1:36" ht="22.15" customHeight="1" thickBot="1" x14ac:dyDescent="0.25">
      <c r="A162" s="150" t="s">
        <v>213</v>
      </c>
      <c r="B162" s="72"/>
      <c r="C162" s="106" t="s">
        <v>99</v>
      </c>
      <c r="D162" s="72"/>
      <c r="E162" s="72"/>
      <c r="F162" s="106" t="s">
        <v>99</v>
      </c>
      <c r="G162" s="72"/>
      <c r="H162" s="72"/>
      <c r="I162" s="106" t="s">
        <v>99</v>
      </c>
      <c r="J162" s="106"/>
      <c r="K162" s="72"/>
      <c r="L162" s="106" t="s">
        <v>99</v>
      </c>
      <c r="M162" s="72"/>
      <c r="N162" s="72"/>
      <c r="O162" s="106" t="s">
        <v>99</v>
      </c>
      <c r="P162" s="72"/>
      <c r="Q162" s="106"/>
      <c r="R162" s="106" t="s">
        <v>99</v>
      </c>
      <c r="S162" s="72"/>
      <c r="T162" s="72"/>
      <c r="U162" s="106" t="s">
        <v>99</v>
      </c>
      <c r="V162" s="72"/>
      <c r="W162" s="106"/>
      <c r="X162" s="106"/>
      <c r="Y162" s="72"/>
      <c r="Z162" s="72"/>
      <c r="AA162" s="72"/>
      <c r="AB162" s="72"/>
      <c r="AC162" s="72"/>
      <c r="AD162" s="72"/>
      <c r="AE162" s="106"/>
      <c r="AF162" s="72"/>
      <c r="AG162" s="72"/>
      <c r="AH162" s="107"/>
      <c r="AI162" s="107"/>
    </row>
    <row r="163" spans="1:36" ht="22.15" customHeight="1" x14ac:dyDescent="0.2">
      <c r="A163" s="109"/>
      <c r="B163" s="294" t="s">
        <v>214</v>
      </c>
      <c r="C163" s="295"/>
      <c r="D163" s="296" t="s">
        <v>90</v>
      </c>
      <c r="E163" s="297"/>
      <c r="F163" s="298"/>
      <c r="G163" s="299"/>
      <c r="H163" s="296" t="s">
        <v>91</v>
      </c>
      <c r="I163" s="297"/>
      <c r="J163" s="298"/>
      <c r="K163" s="299"/>
      <c r="L163" s="296" t="s">
        <v>92</v>
      </c>
      <c r="M163" s="297"/>
      <c r="N163" s="298"/>
      <c r="O163" s="299"/>
      <c r="P163" s="296" t="s">
        <v>93</v>
      </c>
      <c r="Q163" s="297"/>
      <c r="R163" s="298"/>
      <c r="S163" s="299"/>
      <c r="T163" s="296" t="s">
        <v>94</v>
      </c>
      <c r="U163" s="297"/>
      <c r="V163" s="298"/>
      <c r="W163" s="299"/>
      <c r="X163" s="296" t="s">
        <v>95</v>
      </c>
      <c r="Y163" s="297"/>
      <c r="Z163" s="298"/>
      <c r="AA163" s="299"/>
      <c r="AB163" s="296" t="s">
        <v>96</v>
      </c>
      <c r="AC163" s="297"/>
      <c r="AD163" s="297"/>
      <c r="AE163" s="300" t="s">
        <v>97</v>
      </c>
      <c r="AF163" s="297"/>
      <c r="AG163" s="297"/>
      <c r="AH163" s="297"/>
      <c r="AI163" s="301"/>
    </row>
    <row r="164" spans="1:36" ht="22.15" customHeight="1" x14ac:dyDescent="0.2">
      <c r="A164" s="109"/>
      <c r="B164" s="1851" t="s">
        <v>215</v>
      </c>
      <c r="C164" s="1852" t="s">
        <v>216</v>
      </c>
      <c r="D164" s="1438" t="s">
        <v>217</v>
      </c>
      <c r="E164" s="1439"/>
      <c r="F164" s="2001"/>
      <c r="G164" s="1853"/>
      <c r="H164" s="1438" t="s">
        <v>217</v>
      </c>
      <c r="I164" s="1439"/>
      <c r="J164" s="2001"/>
      <c r="K164" s="1853"/>
      <c r="L164" s="1438" t="s">
        <v>217</v>
      </c>
      <c r="M164" s="1439"/>
      <c r="N164" s="2001"/>
      <c r="O164" s="1853"/>
      <c r="P164" s="1438" t="s">
        <v>218</v>
      </c>
      <c r="Q164" s="1439"/>
      <c r="R164" s="2001"/>
      <c r="S164" s="1853"/>
      <c r="T164" s="1438" t="s">
        <v>219</v>
      </c>
      <c r="U164" s="2001"/>
      <c r="V164" s="2002"/>
      <c r="W164" s="1854"/>
      <c r="X164" s="1444"/>
      <c r="Y164" s="1444"/>
      <c r="Z164" s="2002"/>
      <c r="AA164" s="1854"/>
      <c r="AB164" s="1444"/>
      <c r="AC164" s="1444"/>
      <c r="AD164" s="1444"/>
      <c r="AE164" s="1854"/>
      <c r="AF164" s="1444"/>
      <c r="AG164" s="1444"/>
      <c r="AH164" s="1445"/>
      <c r="AI164" s="1855"/>
    </row>
    <row r="165" spans="1:36" ht="22.15" customHeight="1" x14ac:dyDescent="0.2">
      <c r="A165" s="109"/>
      <c r="B165" s="1851" t="s">
        <v>215</v>
      </c>
      <c r="C165" s="1852" t="s">
        <v>220</v>
      </c>
      <c r="D165" s="1438" t="s">
        <v>217</v>
      </c>
      <c r="E165" s="1439"/>
      <c r="F165" s="2001"/>
      <c r="G165" s="1853"/>
      <c r="H165" s="1438" t="s">
        <v>217</v>
      </c>
      <c r="I165" s="1439"/>
      <c r="J165" s="2001"/>
      <c r="K165" s="1853"/>
      <c r="L165" s="1438" t="s">
        <v>217</v>
      </c>
      <c r="M165" s="1439"/>
      <c r="N165" s="2001"/>
      <c r="O165" s="1853"/>
      <c r="P165" s="1438" t="s">
        <v>218</v>
      </c>
      <c r="Q165" s="1439"/>
      <c r="R165" s="2001"/>
      <c r="S165" s="1853"/>
      <c r="T165" s="1438" t="s">
        <v>219</v>
      </c>
      <c r="U165" s="2001"/>
      <c r="V165" s="2002"/>
      <c r="W165" s="1854"/>
      <c r="X165" s="1444"/>
      <c r="Y165" s="1444"/>
      <c r="Z165" s="2002"/>
      <c r="AA165" s="1854"/>
      <c r="AB165" s="1444"/>
      <c r="AC165" s="1444"/>
      <c r="AD165" s="1444"/>
      <c r="AE165" s="1854"/>
      <c r="AF165" s="1444"/>
      <c r="AG165" s="1444"/>
      <c r="AH165" s="1445"/>
      <c r="AI165" s="1855"/>
    </row>
    <row r="166" spans="1:36" ht="22.15" customHeight="1" x14ac:dyDescent="0.2">
      <c r="A166" s="109"/>
      <c r="B166" s="1851" t="s">
        <v>221</v>
      </c>
      <c r="C166" s="1852" t="s">
        <v>158</v>
      </c>
      <c r="D166" s="1438" t="s">
        <v>217</v>
      </c>
      <c r="E166" s="1439"/>
      <c r="F166" s="2001"/>
      <c r="G166" s="1853"/>
      <c r="H166" s="1438" t="s">
        <v>217</v>
      </c>
      <c r="I166" s="1439"/>
      <c r="J166" s="2001"/>
      <c r="K166" s="1853"/>
      <c r="L166" s="1438" t="s">
        <v>217</v>
      </c>
      <c r="M166" s="1439"/>
      <c r="N166" s="2001"/>
      <c r="O166" s="1853"/>
      <c r="P166" s="1438" t="s">
        <v>218</v>
      </c>
      <c r="Q166" s="1439"/>
      <c r="R166" s="2001"/>
      <c r="S166" s="1853"/>
      <c r="T166" s="1438" t="s">
        <v>219</v>
      </c>
      <c r="U166" s="2001"/>
      <c r="V166" s="2002"/>
      <c r="W166" s="1854"/>
      <c r="X166" s="1444"/>
      <c r="Y166" s="1444"/>
      <c r="Z166" s="2002"/>
      <c r="AA166" s="1854"/>
      <c r="AB166" s="1444"/>
      <c r="AC166" s="1444"/>
      <c r="AD166" s="1444"/>
      <c r="AE166" s="1854"/>
      <c r="AF166" s="1444"/>
      <c r="AG166" s="1444"/>
      <c r="AH166" s="1445"/>
      <c r="AI166" s="1855"/>
    </row>
    <row r="167" spans="1:36" ht="22.15" customHeight="1" x14ac:dyDescent="0.2">
      <c r="A167" s="109"/>
      <c r="B167" s="1851" t="s">
        <v>222</v>
      </c>
      <c r="C167" s="1852" t="s">
        <v>223</v>
      </c>
      <c r="D167" s="1438" t="s">
        <v>224</v>
      </c>
      <c r="E167" s="1439"/>
      <c r="F167" s="2001"/>
      <c r="G167" s="1853"/>
      <c r="H167" s="1438" t="s">
        <v>224</v>
      </c>
      <c r="I167" s="1439"/>
      <c r="J167" s="2001"/>
      <c r="K167" s="1853"/>
      <c r="L167" s="1438" t="s">
        <v>224</v>
      </c>
      <c r="M167" s="1439"/>
      <c r="N167" s="2001"/>
      <c r="O167" s="1853"/>
      <c r="P167" s="1438" t="s">
        <v>225</v>
      </c>
      <c r="Q167" s="1439"/>
      <c r="R167" s="2001"/>
      <c r="S167" s="1853"/>
      <c r="T167" s="1438" t="s">
        <v>226</v>
      </c>
      <c r="U167" s="2001"/>
      <c r="V167" s="2002"/>
      <c r="W167" s="1854"/>
      <c r="X167" s="1444"/>
      <c r="Y167" s="1444"/>
      <c r="Z167" s="2002"/>
      <c r="AA167" s="1854"/>
      <c r="AB167" s="1444"/>
      <c r="AC167" s="1444"/>
      <c r="AD167" s="1444"/>
      <c r="AE167" s="1854"/>
      <c r="AF167" s="1444"/>
      <c r="AG167" s="1444"/>
      <c r="AH167" s="1445"/>
      <c r="AI167" s="1855"/>
    </row>
    <row r="168" spans="1:36" ht="22.15" customHeight="1" x14ac:dyDescent="0.2">
      <c r="A168" s="109"/>
      <c r="B168" s="1851" t="s">
        <v>227</v>
      </c>
      <c r="C168" s="1852" t="s">
        <v>228</v>
      </c>
      <c r="D168" s="1438" t="s">
        <v>229</v>
      </c>
      <c r="E168" s="1439"/>
      <c r="F168" s="2001"/>
      <c r="G168" s="1853"/>
      <c r="H168" s="1438" t="s">
        <v>229</v>
      </c>
      <c r="I168" s="1439"/>
      <c r="J168" s="2001"/>
      <c r="K168" s="1853"/>
      <c r="L168" s="1438" t="s">
        <v>230</v>
      </c>
      <c r="M168" s="1439"/>
      <c r="N168" s="2001"/>
      <c r="O168" s="1853"/>
      <c r="P168" s="1438" t="s">
        <v>231</v>
      </c>
      <c r="Q168" s="1439"/>
      <c r="R168" s="2001"/>
      <c r="S168" s="1853"/>
      <c r="T168" s="1438" t="s">
        <v>226</v>
      </c>
      <c r="U168" s="2001"/>
      <c r="V168" s="2002"/>
      <c r="W168" s="1854"/>
      <c r="X168" s="1444"/>
      <c r="Y168" s="1444"/>
      <c r="Z168" s="2002"/>
      <c r="AA168" s="1854"/>
      <c r="AB168" s="1444"/>
      <c r="AC168" s="1444"/>
      <c r="AD168" s="1444"/>
      <c r="AE168" s="1854"/>
      <c r="AF168" s="1444"/>
      <c r="AG168" s="1444"/>
      <c r="AH168" s="1445"/>
      <c r="AI168" s="1855"/>
    </row>
    <row r="169" spans="1:36" ht="22.15" customHeight="1" x14ac:dyDescent="0.2">
      <c r="A169" s="109"/>
      <c r="B169" s="1851" t="s">
        <v>232</v>
      </c>
      <c r="C169" s="1852" t="s">
        <v>233</v>
      </c>
      <c r="D169" s="1438" t="s">
        <v>217</v>
      </c>
      <c r="E169" s="1439"/>
      <c r="F169" s="2001"/>
      <c r="G169" s="1853"/>
      <c r="H169" s="1438" t="s">
        <v>217</v>
      </c>
      <c r="I169" s="1439"/>
      <c r="J169" s="2001"/>
      <c r="K169" s="1853"/>
      <c r="L169" s="1438" t="s">
        <v>217</v>
      </c>
      <c r="M169" s="1439"/>
      <c r="N169" s="2001"/>
      <c r="O169" s="1853"/>
      <c r="P169" s="1438" t="s">
        <v>217</v>
      </c>
      <c r="Q169" s="1439"/>
      <c r="R169" s="2001"/>
      <c r="S169" s="1853"/>
      <c r="T169" s="1438" t="s">
        <v>229</v>
      </c>
      <c r="U169" s="2001"/>
      <c r="V169" s="2002"/>
      <c r="W169" s="1854"/>
      <c r="X169" s="1444"/>
      <c r="Y169" s="1444"/>
      <c r="Z169" s="2002"/>
      <c r="AA169" s="1854"/>
      <c r="AB169" s="1444"/>
      <c r="AC169" s="1444"/>
      <c r="AD169" s="1444"/>
      <c r="AE169" s="1854"/>
      <c r="AF169" s="1444"/>
      <c r="AG169" s="1444"/>
      <c r="AH169" s="1445"/>
      <c r="AI169" s="1855"/>
    </row>
    <row r="170" spans="1:36" ht="22.15" customHeight="1" x14ac:dyDescent="0.2">
      <c r="A170" s="109"/>
      <c r="B170" s="1851" t="s">
        <v>234</v>
      </c>
      <c r="C170" s="1852" t="s">
        <v>235</v>
      </c>
      <c r="D170" s="1438" t="s">
        <v>217</v>
      </c>
      <c r="E170" s="1439"/>
      <c r="F170" s="2001"/>
      <c r="G170" s="1853"/>
      <c r="H170" s="1438" t="s">
        <v>217</v>
      </c>
      <c r="I170" s="1439"/>
      <c r="J170" s="2001"/>
      <c r="K170" s="1853"/>
      <c r="L170" s="1438" t="s">
        <v>217</v>
      </c>
      <c r="M170" s="1439"/>
      <c r="N170" s="2001"/>
      <c r="O170" s="1853"/>
      <c r="P170" s="1438" t="s">
        <v>218</v>
      </c>
      <c r="Q170" s="1439"/>
      <c r="R170" s="2001"/>
      <c r="S170" s="1853"/>
      <c r="T170" s="1438" t="s">
        <v>219</v>
      </c>
      <c r="U170" s="2001"/>
      <c r="V170" s="2002"/>
      <c r="W170" s="1854"/>
      <c r="X170" s="1444"/>
      <c r="Y170" s="1444"/>
      <c r="Z170" s="2002"/>
      <c r="AA170" s="1854"/>
      <c r="AB170" s="1444"/>
      <c r="AC170" s="1444"/>
      <c r="AD170" s="1444"/>
      <c r="AE170" s="1854"/>
      <c r="AF170" s="1444"/>
      <c r="AG170" s="1444"/>
      <c r="AH170" s="1445"/>
      <c r="AI170" s="1855"/>
    </row>
    <row r="171" spans="1:36" ht="22.15" customHeight="1" x14ac:dyDescent="0.2">
      <c r="A171" s="109"/>
      <c r="B171" s="1851" t="s">
        <v>234</v>
      </c>
      <c r="C171" s="1852" t="s">
        <v>236</v>
      </c>
      <c r="D171" s="1438" t="s">
        <v>217</v>
      </c>
      <c r="E171" s="1439"/>
      <c r="F171" s="2001"/>
      <c r="G171" s="1853"/>
      <c r="H171" s="1438" t="s">
        <v>217</v>
      </c>
      <c r="I171" s="1439"/>
      <c r="J171" s="2001"/>
      <c r="K171" s="1853"/>
      <c r="L171" s="1438" t="s">
        <v>217</v>
      </c>
      <c r="M171" s="1439"/>
      <c r="N171" s="2001"/>
      <c r="O171" s="1853"/>
      <c r="P171" s="1438" t="s">
        <v>218</v>
      </c>
      <c r="Q171" s="1439"/>
      <c r="R171" s="2001"/>
      <c r="S171" s="1853"/>
      <c r="T171" s="1438" t="s">
        <v>219</v>
      </c>
      <c r="U171" s="2001"/>
      <c r="V171" s="2002"/>
      <c r="W171" s="1854"/>
      <c r="X171" s="1444"/>
      <c r="Y171" s="1444"/>
      <c r="Z171" s="2002"/>
      <c r="AA171" s="1854"/>
      <c r="AB171" s="1444"/>
      <c r="AC171" s="1444"/>
      <c r="AD171" s="1444"/>
      <c r="AE171" s="1854"/>
      <c r="AF171" s="1444"/>
      <c r="AG171" s="1444"/>
      <c r="AH171" s="1445"/>
      <c r="AI171" s="1855"/>
    </row>
    <row r="172" spans="1:36" ht="22.15" customHeight="1" x14ac:dyDescent="0.2">
      <c r="A172" s="109"/>
      <c r="B172" s="1851" t="s">
        <v>237</v>
      </c>
      <c r="C172" s="1852" t="s">
        <v>238</v>
      </c>
      <c r="D172" s="1438" t="s">
        <v>217</v>
      </c>
      <c r="E172" s="1439"/>
      <c r="F172" s="2001"/>
      <c r="G172" s="1853"/>
      <c r="H172" s="1438" t="s">
        <v>217</v>
      </c>
      <c r="I172" s="1439"/>
      <c r="J172" s="2001"/>
      <c r="K172" s="1853"/>
      <c r="L172" s="1438" t="s">
        <v>217</v>
      </c>
      <c r="M172" s="1439"/>
      <c r="N172" s="2001"/>
      <c r="O172" s="1853"/>
      <c r="P172" s="1438" t="s">
        <v>239</v>
      </c>
      <c r="Q172" s="1439"/>
      <c r="R172" s="2001"/>
      <c r="S172" s="1853"/>
      <c r="T172" s="1438" t="s">
        <v>226</v>
      </c>
      <c r="U172" s="2001"/>
      <c r="V172" s="2002"/>
      <c r="W172" s="1854"/>
      <c r="X172" s="1444"/>
      <c r="Y172" s="1444"/>
      <c r="Z172" s="2002"/>
      <c r="AA172" s="1854"/>
      <c r="AB172" s="1444"/>
      <c r="AC172" s="1444"/>
      <c r="AD172" s="1444"/>
      <c r="AE172" s="1854"/>
      <c r="AF172" s="1444"/>
      <c r="AG172" s="1444"/>
      <c r="AH172" s="1445"/>
      <c r="AI172" s="1855"/>
    </row>
    <row r="173" spans="1:36" ht="22.15" customHeight="1" x14ac:dyDescent="0.2">
      <c r="A173" s="109"/>
      <c r="B173" s="1447" t="s">
        <v>240</v>
      </c>
      <c r="C173" s="1852" t="s">
        <v>80</v>
      </c>
      <c r="D173" s="1438" t="s">
        <v>217</v>
      </c>
      <c r="E173" s="1439"/>
      <c r="F173" s="2001"/>
      <c r="G173" s="1853"/>
      <c r="H173" s="1438" t="s">
        <v>217</v>
      </c>
      <c r="I173" s="1439"/>
      <c r="J173" s="2001"/>
      <c r="K173" s="1853"/>
      <c r="L173" s="1438" t="s">
        <v>217</v>
      </c>
      <c r="M173" s="1439"/>
      <c r="N173" s="2001"/>
      <c r="O173" s="1853"/>
      <c r="P173" s="1438" t="s">
        <v>218</v>
      </c>
      <c r="Q173" s="1439"/>
      <c r="R173" s="2001"/>
      <c r="S173" s="1853"/>
      <c r="T173" s="1438" t="s">
        <v>219</v>
      </c>
      <c r="U173" s="2001"/>
      <c r="V173" s="212"/>
      <c r="W173" s="1448"/>
      <c r="X173" s="211"/>
      <c r="Y173" s="211"/>
      <c r="Z173" s="212"/>
      <c r="AA173" s="1448"/>
      <c r="AB173" s="211"/>
      <c r="AC173" s="211"/>
      <c r="AD173" s="211"/>
      <c r="AE173" s="1448"/>
      <c r="AF173" s="211"/>
      <c r="AG173" s="211"/>
      <c r="AH173" s="213"/>
      <c r="AI173" s="1449"/>
      <c r="AJ173" s="214"/>
    </row>
    <row r="174" spans="1:36" ht="22.15" customHeight="1" x14ac:dyDescent="0.2">
      <c r="A174" s="109"/>
      <c r="B174" s="1851" t="s">
        <v>241</v>
      </c>
      <c r="C174" s="1852" t="s">
        <v>132</v>
      </c>
      <c r="D174" s="1438" t="s">
        <v>217</v>
      </c>
      <c r="E174" s="1439"/>
      <c r="F174" s="2001"/>
      <c r="G174" s="1853"/>
      <c r="H174" s="1438" t="s">
        <v>217</v>
      </c>
      <c r="I174" s="1439"/>
      <c r="J174" s="2001"/>
      <c r="K174" s="1853"/>
      <c r="L174" s="1438" t="s">
        <v>217</v>
      </c>
      <c r="M174" s="1439"/>
      <c r="N174" s="2001"/>
      <c r="O174" s="1853"/>
      <c r="P174" s="1438" t="s">
        <v>218</v>
      </c>
      <c r="Q174" s="1439"/>
      <c r="R174" s="2001"/>
      <c r="S174" s="1853"/>
      <c r="T174" s="1438" t="s">
        <v>219</v>
      </c>
      <c r="U174" s="2001"/>
      <c r="V174" s="1444"/>
      <c r="W174" s="1854"/>
      <c r="X174" s="1444"/>
      <c r="Y174" s="1444"/>
      <c r="Z174" s="1444"/>
      <c r="AA174" s="1854"/>
      <c r="AB174" s="1444"/>
      <c r="AC174" s="1444"/>
      <c r="AD174" s="1444"/>
      <c r="AE174" s="1854"/>
      <c r="AF174" s="1444"/>
      <c r="AG174" s="1444"/>
      <c r="AH174" s="1445"/>
      <c r="AI174" s="1855"/>
      <c r="AJ174" s="214"/>
    </row>
    <row r="175" spans="1:36" ht="22.15" customHeight="1" x14ac:dyDescent="0.2">
      <c r="A175" s="109"/>
      <c r="B175" s="1851" t="s">
        <v>242</v>
      </c>
      <c r="C175" s="1856" t="s">
        <v>243</v>
      </c>
      <c r="D175" s="1438" t="s">
        <v>244</v>
      </c>
      <c r="E175" s="1439"/>
      <c r="F175" s="2001"/>
      <c r="G175" s="1853"/>
      <c r="H175" s="1438" t="s">
        <v>244</v>
      </c>
      <c r="I175" s="1439"/>
      <c r="J175" s="2001"/>
      <c r="K175" s="1853"/>
      <c r="L175" s="1438" t="s">
        <v>244</v>
      </c>
      <c r="M175" s="1439"/>
      <c r="N175" s="1439"/>
      <c r="O175" s="1853"/>
      <c r="P175" s="1438" t="s">
        <v>244</v>
      </c>
      <c r="Q175" s="1439"/>
      <c r="R175" s="1439"/>
      <c r="S175" s="1853"/>
      <c r="T175" s="1438" t="s">
        <v>226</v>
      </c>
      <c r="U175" s="2001"/>
      <c r="V175" s="1444"/>
      <c r="W175" s="1857"/>
      <c r="X175" s="1444"/>
      <c r="Y175" s="1444"/>
      <c r="Z175" s="1444"/>
      <c r="AA175" s="1854"/>
      <c r="AB175" s="1444"/>
      <c r="AC175" s="1444"/>
      <c r="AD175" s="1444"/>
      <c r="AE175" s="1854"/>
      <c r="AF175" s="1444"/>
      <c r="AG175" s="1444"/>
      <c r="AH175" s="1445"/>
      <c r="AI175" s="1855"/>
      <c r="AJ175" s="214"/>
    </row>
    <row r="176" spans="1:36" ht="22.15" customHeight="1" x14ac:dyDescent="0.2">
      <c r="A176" s="109"/>
      <c r="B176" s="1851" t="s">
        <v>245</v>
      </c>
      <c r="C176" s="1856" t="s">
        <v>246</v>
      </c>
      <c r="D176" s="1438" t="s">
        <v>244</v>
      </c>
      <c r="E176" s="1439"/>
      <c r="F176" s="2001"/>
      <c r="G176" s="1853"/>
      <c r="H176" s="1438" t="s">
        <v>244</v>
      </c>
      <c r="I176" s="1439"/>
      <c r="J176" s="2001"/>
      <c r="K176" s="1853"/>
      <c r="L176" s="1438" t="s">
        <v>244</v>
      </c>
      <c r="M176" s="1439"/>
      <c r="N176" s="1439"/>
      <c r="O176" s="1853"/>
      <c r="P176" s="1438" t="s">
        <v>244</v>
      </c>
      <c r="Q176" s="1439"/>
      <c r="R176" s="1439"/>
      <c r="S176" s="1853"/>
      <c r="T176" s="1438" t="s">
        <v>226</v>
      </c>
      <c r="U176" s="2001"/>
      <c r="V176" s="1444"/>
      <c r="W176" s="1857"/>
      <c r="X176" s="1444"/>
      <c r="Y176" s="1444"/>
      <c r="Z176" s="2002"/>
      <c r="AA176" s="1452"/>
      <c r="AB176" s="1444"/>
      <c r="AC176" s="1444"/>
      <c r="AD176" s="1444"/>
      <c r="AE176" s="1854"/>
      <c r="AF176" s="1444"/>
      <c r="AG176" s="1444"/>
      <c r="AH176" s="1445"/>
      <c r="AI176" s="1855"/>
      <c r="AJ176" s="214"/>
    </row>
    <row r="177" spans="1:36" ht="22.15" customHeight="1" thickBot="1" x14ac:dyDescent="0.25">
      <c r="A177" s="109"/>
      <c r="B177" s="1851" t="s">
        <v>247</v>
      </c>
      <c r="C177" s="1856" t="s">
        <v>248</v>
      </c>
      <c r="D177" s="1438" t="s">
        <v>244</v>
      </c>
      <c r="E177" s="1439"/>
      <c r="F177" s="2001"/>
      <c r="G177" s="1853"/>
      <c r="H177" s="1438" t="s">
        <v>244</v>
      </c>
      <c r="I177" s="1439"/>
      <c r="J177" s="2001"/>
      <c r="K177" s="1853"/>
      <c r="L177" s="1438" t="s">
        <v>244</v>
      </c>
      <c r="M177" s="1439"/>
      <c r="N177" s="1439"/>
      <c r="O177" s="1853"/>
      <c r="P177" s="1438" t="s">
        <v>244</v>
      </c>
      <c r="Q177" s="1439"/>
      <c r="R177" s="1439"/>
      <c r="S177" s="1853"/>
      <c r="T177" s="1438" t="s">
        <v>226</v>
      </c>
      <c r="U177" s="2001"/>
      <c r="V177" s="1858"/>
      <c r="W177" s="677"/>
      <c r="X177" s="1858"/>
      <c r="Y177" s="1858"/>
      <c r="Z177" s="1859"/>
      <c r="AA177" s="1860"/>
      <c r="AB177" s="1858"/>
      <c r="AC177" s="1858"/>
      <c r="AD177" s="1858"/>
      <c r="AE177" s="678"/>
      <c r="AF177" s="1858"/>
      <c r="AG177" s="1858"/>
      <c r="AH177" s="1861"/>
      <c r="AI177" s="679"/>
      <c r="AJ177" s="214"/>
    </row>
    <row r="178" spans="1:36" ht="22.15" customHeight="1" x14ac:dyDescent="0.2">
      <c r="A178" s="109"/>
      <c r="B178" s="240"/>
      <c r="C178" s="241"/>
      <c r="D178" s="242"/>
      <c r="E178" s="243"/>
      <c r="F178" s="243"/>
      <c r="G178" s="244"/>
      <c r="H178" s="242"/>
      <c r="I178" s="243"/>
      <c r="J178" s="243"/>
      <c r="K178" s="244"/>
      <c r="L178" s="242"/>
      <c r="M178" s="243"/>
      <c r="N178" s="243"/>
      <c r="O178" s="244"/>
      <c r="P178" s="228"/>
      <c r="Q178" s="243"/>
      <c r="R178" s="243"/>
      <c r="S178" s="244"/>
      <c r="T178" s="228"/>
      <c r="U178" s="243"/>
      <c r="V178" s="243"/>
      <c r="W178" s="243"/>
      <c r="X178" s="243"/>
      <c r="Y178" s="243"/>
      <c r="Z178" s="243"/>
      <c r="AA178" s="244"/>
      <c r="AB178" s="243"/>
      <c r="AC178" s="243"/>
      <c r="AD178" s="243"/>
      <c r="AE178" s="244"/>
      <c r="AF178" s="243"/>
      <c r="AG178" s="243"/>
      <c r="AH178" s="215"/>
      <c r="AI178" s="215"/>
      <c r="AJ178" s="214"/>
    </row>
    <row r="179" spans="1:36" ht="22.15" customHeight="1" thickBot="1" x14ac:dyDescent="0.25">
      <c r="A179" s="148"/>
      <c r="B179" s="1457" t="s">
        <v>29</v>
      </c>
      <c r="C179" s="1185">
        <v>1</v>
      </c>
      <c r="D179" s="1186">
        <v>2</v>
      </c>
      <c r="E179" s="1186">
        <v>3</v>
      </c>
      <c r="F179" s="1186">
        <v>4</v>
      </c>
      <c r="G179" s="1186">
        <v>5</v>
      </c>
      <c r="H179" s="1186">
        <v>6</v>
      </c>
      <c r="I179" s="1185">
        <v>7</v>
      </c>
      <c r="J179" s="1185">
        <v>8</v>
      </c>
      <c r="K179" s="1186">
        <v>9</v>
      </c>
      <c r="L179" s="1186">
        <v>10</v>
      </c>
      <c r="M179" s="1186">
        <v>11</v>
      </c>
      <c r="N179" s="1186">
        <v>12</v>
      </c>
      <c r="O179" s="1186">
        <v>13</v>
      </c>
      <c r="P179" s="1185">
        <v>14</v>
      </c>
      <c r="Q179" s="1185">
        <v>15</v>
      </c>
      <c r="R179" s="1186">
        <v>16</v>
      </c>
      <c r="S179" s="1186">
        <v>17</v>
      </c>
      <c r="T179" s="1186">
        <v>18</v>
      </c>
      <c r="U179" s="1186">
        <v>19</v>
      </c>
      <c r="V179" s="1186">
        <v>20</v>
      </c>
      <c r="W179" s="1185">
        <v>21</v>
      </c>
      <c r="X179" s="1185">
        <v>22</v>
      </c>
      <c r="Y179" s="1186">
        <v>23</v>
      </c>
      <c r="Z179" s="1186">
        <v>24</v>
      </c>
      <c r="AA179" s="1186">
        <v>25</v>
      </c>
      <c r="AB179" s="1186">
        <v>26</v>
      </c>
      <c r="AC179" s="1186">
        <v>27</v>
      </c>
      <c r="AD179" s="1185">
        <v>28</v>
      </c>
      <c r="AE179" s="1185">
        <v>29</v>
      </c>
      <c r="AF179" s="1186">
        <v>30</v>
      </c>
      <c r="AG179" s="2035"/>
      <c r="AH179" s="195"/>
      <c r="AI179" s="185"/>
    </row>
    <row r="180" spans="1:36" ht="22.15" customHeight="1" x14ac:dyDescent="0.2">
      <c r="A180" s="109"/>
      <c r="B180" s="411" t="s">
        <v>249</v>
      </c>
      <c r="C180" s="385"/>
      <c r="D180" s="385" t="s">
        <v>216</v>
      </c>
      <c r="E180" s="385" t="s">
        <v>216</v>
      </c>
      <c r="F180" s="385" t="s">
        <v>216</v>
      </c>
      <c r="G180" s="385" t="s">
        <v>216</v>
      </c>
      <c r="H180" s="385" t="s">
        <v>216</v>
      </c>
      <c r="I180" s="385"/>
      <c r="J180" s="385"/>
      <c r="K180" s="385" t="s">
        <v>216</v>
      </c>
      <c r="L180" s="385" t="s">
        <v>216</v>
      </c>
      <c r="M180" s="385" t="s">
        <v>216</v>
      </c>
      <c r="N180" s="385" t="s">
        <v>216</v>
      </c>
      <c r="O180" s="385" t="s">
        <v>216</v>
      </c>
      <c r="P180" s="385"/>
      <c r="Q180" s="385"/>
      <c r="R180" s="385" t="s">
        <v>216</v>
      </c>
      <c r="S180" s="385" t="s">
        <v>216</v>
      </c>
      <c r="T180" s="385" t="s">
        <v>216</v>
      </c>
      <c r="U180" s="385" t="s">
        <v>216</v>
      </c>
      <c r="V180" s="385" t="s">
        <v>216</v>
      </c>
      <c r="W180" s="385"/>
      <c r="X180" s="385"/>
      <c r="Y180" s="385" t="s">
        <v>216</v>
      </c>
      <c r="Z180" s="385" t="s">
        <v>216</v>
      </c>
      <c r="AA180" s="385" t="s">
        <v>216</v>
      </c>
      <c r="AB180" s="385" t="s">
        <v>216</v>
      </c>
      <c r="AC180" s="385" t="s">
        <v>216</v>
      </c>
      <c r="AD180" s="385"/>
      <c r="AE180" s="385"/>
      <c r="AF180" s="385" t="s">
        <v>216</v>
      </c>
      <c r="AG180" s="412"/>
      <c r="AH180" s="190"/>
      <c r="AI180" s="190"/>
    </row>
    <row r="181" spans="1:36" ht="22.15" customHeight="1" x14ac:dyDescent="0.2">
      <c r="A181" s="109"/>
      <c r="B181" s="1459" t="s">
        <v>250</v>
      </c>
      <c r="C181" s="1625"/>
      <c r="D181" s="1625" t="s">
        <v>216</v>
      </c>
      <c r="E181" s="1625" t="s">
        <v>216</v>
      </c>
      <c r="F181" s="1625" t="s">
        <v>216</v>
      </c>
      <c r="G181" s="1625" t="s">
        <v>216</v>
      </c>
      <c r="H181" s="1625" t="s">
        <v>216</v>
      </c>
      <c r="I181" s="1625"/>
      <c r="J181" s="1625"/>
      <c r="K181" s="1625" t="s">
        <v>216</v>
      </c>
      <c r="L181" s="1625" t="s">
        <v>216</v>
      </c>
      <c r="M181" s="1625" t="s">
        <v>216</v>
      </c>
      <c r="N181" s="1625" t="s">
        <v>216</v>
      </c>
      <c r="O181" s="1625" t="s">
        <v>216</v>
      </c>
      <c r="P181" s="1625"/>
      <c r="Q181" s="1625"/>
      <c r="R181" s="1625" t="s">
        <v>216</v>
      </c>
      <c r="S181" s="1625" t="s">
        <v>216</v>
      </c>
      <c r="T181" s="1625" t="s">
        <v>216</v>
      </c>
      <c r="U181" s="1625" t="s">
        <v>216</v>
      </c>
      <c r="V181" s="1625" t="s">
        <v>216</v>
      </c>
      <c r="W181" s="1625"/>
      <c r="X181" s="1625"/>
      <c r="Y181" s="1625" t="s">
        <v>216</v>
      </c>
      <c r="Z181" s="2122" t="s">
        <v>216</v>
      </c>
      <c r="AA181" s="1625" t="s">
        <v>216</v>
      </c>
      <c r="AB181" s="1625" t="s">
        <v>216</v>
      </c>
      <c r="AC181" s="1625" t="s">
        <v>216</v>
      </c>
      <c r="AD181" s="1625"/>
      <c r="AE181" s="1625"/>
      <c r="AF181" s="1625" t="s">
        <v>216</v>
      </c>
      <c r="AG181" s="1842"/>
      <c r="AH181" s="190"/>
      <c r="AI181" s="190"/>
    </row>
    <row r="182" spans="1:36" ht="22.15" customHeight="1" x14ac:dyDescent="0.2">
      <c r="A182" s="109"/>
      <c r="B182" s="1459" t="s">
        <v>251</v>
      </c>
      <c r="C182" s="1625"/>
      <c r="D182" s="1625" t="s">
        <v>220</v>
      </c>
      <c r="E182" s="1625" t="s">
        <v>220</v>
      </c>
      <c r="F182" s="1625" t="s">
        <v>220</v>
      </c>
      <c r="G182" s="1625" t="s">
        <v>220</v>
      </c>
      <c r="H182" s="1625" t="s">
        <v>220</v>
      </c>
      <c r="I182" s="1625"/>
      <c r="J182" s="1625"/>
      <c r="K182" s="1625" t="s">
        <v>220</v>
      </c>
      <c r="L182" s="1625" t="s">
        <v>220</v>
      </c>
      <c r="M182" s="1625" t="s">
        <v>220</v>
      </c>
      <c r="N182" s="1625" t="s">
        <v>220</v>
      </c>
      <c r="O182" s="1625" t="s">
        <v>220</v>
      </c>
      <c r="P182" s="1625"/>
      <c r="Q182" s="1625"/>
      <c r="R182" s="1625" t="s">
        <v>220</v>
      </c>
      <c r="S182" s="1625" t="s">
        <v>220</v>
      </c>
      <c r="T182" s="1625" t="s">
        <v>220</v>
      </c>
      <c r="U182" s="1625" t="s">
        <v>220</v>
      </c>
      <c r="V182" s="1625" t="s">
        <v>220</v>
      </c>
      <c r="W182" s="1625"/>
      <c r="X182" s="1625"/>
      <c r="Y182" s="1625" t="s">
        <v>220</v>
      </c>
      <c r="Z182" s="1625" t="s">
        <v>220</v>
      </c>
      <c r="AA182" s="1625" t="s">
        <v>220</v>
      </c>
      <c r="AB182" s="1625" t="s">
        <v>220</v>
      </c>
      <c r="AC182" s="1625" t="s">
        <v>220</v>
      </c>
      <c r="AD182" s="1625"/>
      <c r="AE182" s="1625"/>
      <c r="AF182" s="1625" t="s">
        <v>220</v>
      </c>
      <c r="AG182" s="1842"/>
      <c r="AH182" s="190"/>
      <c r="AI182" s="190"/>
    </row>
    <row r="183" spans="1:36" ht="22.15" customHeight="1" x14ac:dyDescent="0.2">
      <c r="A183" s="109"/>
      <c r="B183" s="1459" t="s">
        <v>252</v>
      </c>
      <c r="C183" s="1625"/>
      <c r="D183" s="1625" t="s">
        <v>158</v>
      </c>
      <c r="E183" s="1625" t="s">
        <v>158</v>
      </c>
      <c r="F183" s="1625" t="s">
        <v>158</v>
      </c>
      <c r="G183" s="1625" t="s">
        <v>158</v>
      </c>
      <c r="H183" s="1625" t="s">
        <v>158</v>
      </c>
      <c r="I183" s="1625"/>
      <c r="J183" s="1625"/>
      <c r="K183" s="1625" t="s">
        <v>158</v>
      </c>
      <c r="L183" s="1625" t="s">
        <v>158</v>
      </c>
      <c r="M183" s="1625" t="s">
        <v>158</v>
      </c>
      <c r="N183" s="1625" t="s">
        <v>158</v>
      </c>
      <c r="O183" s="1625" t="s">
        <v>158</v>
      </c>
      <c r="P183" s="1625"/>
      <c r="Q183" s="1625"/>
      <c r="R183" s="1625" t="s">
        <v>158</v>
      </c>
      <c r="S183" s="1625" t="s">
        <v>158</v>
      </c>
      <c r="T183" s="1625" t="s">
        <v>158</v>
      </c>
      <c r="U183" s="1625" t="s">
        <v>158</v>
      </c>
      <c r="V183" s="1625" t="s">
        <v>158</v>
      </c>
      <c r="W183" s="1625"/>
      <c r="X183" s="1625"/>
      <c r="Y183" s="1625" t="s">
        <v>158</v>
      </c>
      <c r="Z183" s="1625" t="s">
        <v>158</v>
      </c>
      <c r="AA183" s="1625" t="s">
        <v>158</v>
      </c>
      <c r="AB183" s="1625" t="s">
        <v>158</v>
      </c>
      <c r="AC183" s="1625" t="s">
        <v>158</v>
      </c>
      <c r="AD183" s="1625"/>
      <c r="AE183" s="1625"/>
      <c r="AF183" s="1625" t="s">
        <v>158</v>
      </c>
      <c r="AG183" s="1842"/>
      <c r="AH183" s="190"/>
      <c r="AI183" s="190"/>
    </row>
    <row r="184" spans="1:36" ht="22.15" customHeight="1" x14ac:dyDescent="0.2">
      <c r="A184" s="109"/>
      <c r="B184" s="1665" t="s">
        <v>253</v>
      </c>
      <c r="C184" s="1625"/>
      <c r="D184" s="1625" t="s">
        <v>223</v>
      </c>
      <c r="E184" s="1625" t="s">
        <v>223</v>
      </c>
      <c r="F184" s="1625" t="s">
        <v>223</v>
      </c>
      <c r="G184" s="2123" t="s">
        <v>223</v>
      </c>
      <c r="H184" s="1625" t="s">
        <v>223</v>
      </c>
      <c r="I184" s="1625"/>
      <c r="J184" s="1625"/>
      <c r="K184" s="1625" t="s">
        <v>223</v>
      </c>
      <c r="L184" s="1958" t="s">
        <v>223</v>
      </c>
      <c r="M184" s="1625" t="s">
        <v>223</v>
      </c>
      <c r="N184" s="1625" t="s">
        <v>223</v>
      </c>
      <c r="O184" s="1625" t="s">
        <v>223</v>
      </c>
      <c r="P184" s="1625"/>
      <c r="Q184" s="1625"/>
      <c r="R184" s="1625" t="s">
        <v>223</v>
      </c>
      <c r="S184" s="1625" t="s">
        <v>223</v>
      </c>
      <c r="T184" s="1625" t="s">
        <v>223</v>
      </c>
      <c r="U184" s="1625" t="s">
        <v>223</v>
      </c>
      <c r="V184" s="1625" t="s">
        <v>223</v>
      </c>
      <c r="W184" s="1625"/>
      <c r="X184" s="1625"/>
      <c r="Y184" s="1625" t="s">
        <v>223</v>
      </c>
      <c r="Z184" s="1625" t="s">
        <v>223</v>
      </c>
      <c r="AA184" s="1625" t="s">
        <v>223</v>
      </c>
      <c r="AB184" s="1623" t="s">
        <v>223</v>
      </c>
      <c r="AC184" s="1623" t="s">
        <v>353</v>
      </c>
      <c r="AD184" s="1625"/>
      <c r="AE184" s="1625"/>
      <c r="AF184" s="1625" t="s">
        <v>223</v>
      </c>
      <c r="AG184" s="1842"/>
      <c r="AH184" s="190"/>
      <c r="AI184" s="190"/>
    </row>
    <row r="185" spans="1:36" ht="22.15" customHeight="1" x14ac:dyDescent="0.2">
      <c r="A185" s="109"/>
      <c r="B185" s="1330" t="s">
        <v>254</v>
      </c>
      <c r="C185" s="1625"/>
      <c r="D185" s="1625" t="s">
        <v>228</v>
      </c>
      <c r="E185" s="1625" t="s">
        <v>228</v>
      </c>
      <c r="F185" s="1625" t="s">
        <v>228</v>
      </c>
      <c r="G185" s="1625" t="s">
        <v>228</v>
      </c>
      <c r="H185" s="1625" t="s">
        <v>228</v>
      </c>
      <c r="I185" s="1625"/>
      <c r="J185" s="1625"/>
      <c r="K185" s="1625" t="s">
        <v>228</v>
      </c>
      <c r="L185" s="1625" t="s">
        <v>228</v>
      </c>
      <c r="M185" s="1625" t="s">
        <v>228</v>
      </c>
      <c r="N185" s="1625" t="s">
        <v>228</v>
      </c>
      <c r="O185" s="1625" t="s">
        <v>228</v>
      </c>
      <c r="P185" s="1625"/>
      <c r="Q185" s="1625"/>
      <c r="R185" s="1625" t="s">
        <v>238</v>
      </c>
      <c r="S185" s="1625" t="s">
        <v>228</v>
      </c>
      <c r="T185" s="1625" t="s">
        <v>238</v>
      </c>
      <c r="U185" s="1625" t="s">
        <v>238</v>
      </c>
      <c r="V185" s="1625" t="s">
        <v>228</v>
      </c>
      <c r="W185" s="1625"/>
      <c r="X185" s="1625"/>
      <c r="Y185" s="1625" t="s">
        <v>228</v>
      </c>
      <c r="Z185" s="1625" t="s">
        <v>228</v>
      </c>
      <c r="AA185" s="1625" t="s">
        <v>228</v>
      </c>
      <c r="AB185" s="1625" t="s">
        <v>228</v>
      </c>
      <c r="AC185" s="1625" t="s">
        <v>228</v>
      </c>
      <c r="AD185" s="1625"/>
      <c r="AE185" s="1625"/>
      <c r="AF185" s="1625" t="s">
        <v>228</v>
      </c>
      <c r="AG185" s="1842"/>
      <c r="AH185" s="190"/>
      <c r="AI185" s="190"/>
    </row>
    <row r="186" spans="1:36" ht="22.15" customHeight="1" x14ac:dyDescent="0.2">
      <c r="A186" s="109"/>
      <c r="B186" s="1459" t="s">
        <v>255</v>
      </c>
      <c r="C186" s="1612"/>
      <c r="D186" s="1612" t="s">
        <v>233</v>
      </c>
      <c r="E186" s="1612" t="s">
        <v>233</v>
      </c>
      <c r="F186" s="1612" t="s">
        <v>233</v>
      </c>
      <c r="G186" s="1612" t="s">
        <v>233</v>
      </c>
      <c r="H186" s="1612" t="s">
        <v>233</v>
      </c>
      <c r="I186" s="1612"/>
      <c r="J186" s="1612"/>
      <c r="K186" s="1612" t="s">
        <v>233</v>
      </c>
      <c r="L186" s="1612" t="s">
        <v>233</v>
      </c>
      <c r="M186" s="1612" t="s">
        <v>233</v>
      </c>
      <c r="N186" s="1612" t="s">
        <v>233</v>
      </c>
      <c r="O186" s="1612" t="s">
        <v>233</v>
      </c>
      <c r="P186" s="1612"/>
      <c r="Q186" s="1612"/>
      <c r="R186" s="1612" t="s">
        <v>233</v>
      </c>
      <c r="S186" s="1612" t="s">
        <v>233</v>
      </c>
      <c r="T186" s="1612" t="s">
        <v>233</v>
      </c>
      <c r="U186" s="1612" t="s">
        <v>233</v>
      </c>
      <c r="V186" s="1612" t="s">
        <v>233</v>
      </c>
      <c r="W186" s="1612"/>
      <c r="X186" s="1612"/>
      <c r="Y186" s="1612" t="s">
        <v>233</v>
      </c>
      <c r="Z186" s="1612" t="s">
        <v>233</v>
      </c>
      <c r="AA186" s="1612" t="s">
        <v>233</v>
      </c>
      <c r="AB186" s="1612" t="s">
        <v>233</v>
      </c>
      <c r="AC186" s="1612" t="s">
        <v>233</v>
      </c>
      <c r="AD186" s="1612"/>
      <c r="AE186" s="1612"/>
      <c r="AF186" s="1612" t="s">
        <v>233</v>
      </c>
      <c r="AG186" s="1842"/>
      <c r="AH186" s="190"/>
      <c r="AI186" s="190"/>
    </row>
    <row r="187" spans="1:36" ht="22.15" customHeight="1" x14ac:dyDescent="0.2">
      <c r="A187" s="109"/>
      <c r="B187" s="1715" t="s">
        <v>411</v>
      </c>
      <c r="C187" s="1625"/>
      <c r="D187" s="1625" t="s">
        <v>235</v>
      </c>
      <c r="E187" s="1625" t="s">
        <v>235</v>
      </c>
      <c r="F187" s="1625" t="s">
        <v>235</v>
      </c>
      <c r="G187" s="1625" t="s">
        <v>235</v>
      </c>
      <c r="H187" s="1625" t="s">
        <v>235</v>
      </c>
      <c r="I187" s="1625"/>
      <c r="J187" s="1625"/>
      <c r="K187" s="1625" t="s">
        <v>235</v>
      </c>
      <c r="L187" s="1625" t="s">
        <v>235</v>
      </c>
      <c r="M187" s="1625" t="s">
        <v>235</v>
      </c>
      <c r="N187" s="1625" t="s">
        <v>235</v>
      </c>
      <c r="O187" s="1625" t="s">
        <v>235</v>
      </c>
      <c r="P187" s="1625"/>
      <c r="Q187" s="1625"/>
      <c r="R187" s="1625" t="s">
        <v>235</v>
      </c>
      <c r="S187" s="1625" t="s">
        <v>235</v>
      </c>
      <c r="T187" s="1625" t="s">
        <v>235</v>
      </c>
      <c r="U187" s="1625" t="s">
        <v>235</v>
      </c>
      <c r="V187" s="1625" t="s">
        <v>235</v>
      </c>
      <c r="W187" s="1625"/>
      <c r="X187" s="1625"/>
      <c r="Y187" s="1625" t="s">
        <v>235</v>
      </c>
      <c r="Z187" s="1625" t="s">
        <v>235</v>
      </c>
      <c r="AA187" s="1625" t="s">
        <v>235</v>
      </c>
      <c r="AB187" s="1625" t="s">
        <v>235</v>
      </c>
      <c r="AC187" s="1625" t="s">
        <v>235</v>
      </c>
      <c r="AD187" s="1625"/>
      <c r="AE187" s="1625"/>
      <c r="AF187" s="1625" t="s">
        <v>235</v>
      </c>
      <c r="AG187" s="1842"/>
      <c r="AH187" s="190"/>
      <c r="AI187" s="190"/>
    </row>
    <row r="188" spans="1:36" ht="22.15" customHeight="1" x14ac:dyDescent="0.2">
      <c r="A188" s="109"/>
      <c r="B188" s="1459" t="s">
        <v>257</v>
      </c>
      <c r="C188" s="1625"/>
      <c r="D188" s="1625" t="s">
        <v>236</v>
      </c>
      <c r="E188" s="1623" t="s">
        <v>236</v>
      </c>
      <c r="F188" s="1623" t="s">
        <v>236</v>
      </c>
      <c r="G188" s="1623" t="s">
        <v>236</v>
      </c>
      <c r="H188" s="1623" t="s">
        <v>354</v>
      </c>
      <c r="I188" s="1625"/>
      <c r="J188" s="1625"/>
      <c r="K188" s="1625" t="s">
        <v>236</v>
      </c>
      <c r="L188" s="1625" t="s">
        <v>236</v>
      </c>
      <c r="M188" s="1625" t="s">
        <v>236</v>
      </c>
      <c r="N188" s="1625" t="s">
        <v>236</v>
      </c>
      <c r="O188" s="1625" t="s">
        <v>236</v>
      </c>
      <c r="P188" s="1625"/>
      <c r="Q188" s="1625"/>
      <c r="R188" s="1625" t="s">
        <v>236</v>
      </c>
      <c r="S188" s="1625" t="s">
        <v>236</v>
      </c>
      <c r="T188" s="1625" t="s">
        <v>236</v>
      </c>
      <c r="U188" s="1625" t="s">
        <v>236</v>
      </c>
      <c r="V188" s="1625" t="s">
        <v>236</v>
      </c>
      <c r="W188" s="1625"/>
      <c r="X188" s="1625"/>
      <c r="Y188" s="1625" t="s">
        <v>236</v>
      </c>
      <c r="Z188" s="1625" t="s">
        <v>236</v>
      </c>
      <c r="AA188" s="1625" t="s">
        <v>236</v>
      </c>
      <c r="AB188" s="1625" t="s">
        <v>236</v>
      </c>
      <c r="AC188" s="1625" t="s">
        <v>236</v>
      </c>
      <c r="AD188" s="1625"/>
      <c r="AE188" s="1625"/>
      <c r="AF188" s="1625" t="s">
        <v>236</v>
      </c>
      <c r="AG188" s="1842"/>
      <c r="AH188" s="190"/>
      <c r="AI188" s="190"/>
    </row>
    <row r="189" spans="1:36" ht="22.15" customHeight="1" x14ac:dyDescent="0.2">
      <c r="A189" s="109"/>
      <c r="B189" s="1459" t="s">
        <v>258</v>
      </c>
      <c r="C189" s="1625"/>
      <c r="D189" s="1625" t="s">
        <v>238</v>
      </c>
      <c r="E189" s="1625" t="s">
        <v>238</v>
      </c>
      <c r="F189" s="1625" t="s">
        <v>238</v>
      </c>
      <c r="G189" s="1625" t="s">
        <v>238</v>
      </c>
      <c r="H189" s="1625" t="s">
        <v>238</v>
      </c>
      <c r="I189" s="1625"/>
      <c r="J189" s="1625"/>
      <c r="K189" s="1625" t="s">
        <v>238</v>
      </c>
      <c r="L189" s="1625" t="s">
        <v>238</v>
      </c>
      <c r="M189" s="1625" t="s">
        <v>238</v>
      </c>
      <c r="N189" s="1625" t="s">
        <v>238</v>
      </c>
      <c r="O189" s="1625" t="s">
        <v>238</v>
      </c>
      <c r="P189" s="1625"/>
      <c r="Q189" s="1625"/>
      <c r="R189" s="1460" t="s">
        <v>238</v>
      </c>
      <c r="S189" s="1460" t="s">
        <v>238</v>
      </c>
      <c r="T189" s="1460" t="s">
        <v>238</v>
      </c>
      <c r="U189" s="1460" t="s">
        <v>238</v>
      </c>
      <c r="V189" s="1460" t="s">
        <v>259</v>
      </c>
      <c r="W189" s="1625"/>
      <c r="X189" s="1625"/>
      <c r="Y189" s="1625" t="s">
        <v>238</v>
      </c>
      <c r="Z189" s="1625" t="s">
        <v>238</v>
      </c>
      <c r="AA189" s="1625" t="s">
        <v>238</v>
      </c>
      <c r="AB189" s="1625" t="s">
        <v>238</v>
      </c>
      <c r="AC189" s="1625" t="s">
        <v>238</v>
      </c>
      <c r="AD189" s="1625"/>
      <c r="AE189" s="1625"/>
      <c r="AF189" s="1625" t="s">
        <v>238</v>
      </c>
      <c r="AG189" s="1842"/>
      <c r="AH189" s="190"/>
      <c r="AI189" s="190"/>
    </row>
    <row r="190" spans="1:36" ht="22.15" customHeight="1" x14ac:dyDescent="0.2">
      <c r="A190" s="109"/>
      <c r="B190" s="1715" t="s">
        <v>260</v>
      </c>
      <c r="C190" s="1625"/>
      <c r="D190" s="1625" t="s">
        <v>80</v>
      </c>
      <c r="E190" s="1625" t="s">
        <v>80</v>
      </c>
      <c r="F190" s="1625" t="s">
        <v>80</v>
      </c>
      <c r="G190" s="1625" t="s">
        <v>80</v>
      </c>
      <c r="H190" s="1625" t="s">
        <v>80</v>
      </c>
      <c r="I190" s="1625"/>
      <c r="J190" s="1625"/>
      <c r="K190" s="1625" t="s">
        <v>80</v>
      </c>
      <c r="L190" s="1625" t="s">
        <v>80</v>
      </c>
      <c r="M190" s="1625" t="s">
        <v>80</v>
      </c>
      <c r="N190" s="1625" t="s">
        <v>80</v>
      </c>
      <c r="O190" s="1625" t="s">
        <v>80</v>
      </c>
      <c r="P190" s="1625"/>
      <c r="Q190" s="1625"/>
      <c r="R190" s="1625" t="s">
        <v>80</v>
      </c>
      <c r="S190" s="1625" t="s">
        <v>80</v>
      </c>
      <c r="T190" s="1625" t="s">
        <v>80</v>
      </c>
      <c r="U190" s="1625" t="s">
        <v>80</v>
      </c>
      <c r="V190" s="1625" t="s">
        <v>80</v>
      </c>
      <c r="W190" s="1625"/>
      <c r="X190" s="1625"/>
      <c r="Y190" s="1625" t="s">
        <v>80</v>
      </c>
      <c r="Z190" s="1625" t="s">
        <v>80</v>
      </c>
      <c r="AA190" s="1625" t="s">
        <v>80</v>
      </c>
      <c r="AB190" s="1625" t="s">
        <v>80</v>
      </c>
      <c r="AC190" s="1625" t="s">
        <v>80</v>
      </c>
      <c r="AD190" s="1625"/>
      <c r="AE190" s="1625"/>
      <c r="AF190" s="1625" t="s">
        <v>80</v>
      </c>
      <c r="AG190" s="1842"/>
      <c r="AH190" s="190"/>
      <c r="AI190" s="190"/>
    </row>
    <row r="191" spans="1:36" ht="22.15" customHeight="1" x14ac:dyDescent="0.2">
      <c r="A191" s="109"/>
      <c r="B191" s="1459" t="s">
        <v>261</v>
      </c>
      <c r="C191" s="1625"/>
      <c r="D191" s="1712" t="s">
        <v>132</v>
      </c>
      <c r="E191" s="1712" t="s">
        <v>132</v>
      </c>
      <c r="F191" s="1712" t="s">
        <v>132</v>
      </c>
      <c r="G191" s="1712" t="s">
        <v>132</v>
      </c>
      <c r="H191" s="1712" t="s">
        <v>132</v>
      </c>
      <c r="I191" s="1712"/>
      <c r="J191" s="1712"/>
      <c r="K191" s="1625" t="s">
        <v>132</v>
      </c>
      <c r="L191" s="1625" t="s">
        <v>132</v>
      </c>
      <c r="M191" s="1625" t="s">
        <v>132</v>
      </c>
      <c r="N191" s="1625" t="s">
        <v>132</v>
      </c>
      <c r="O191" s="1625" t="s">
        <v>132</v>
      </c>
      <c r="P191" s="1625"/>
      <c r="Q191" s="1625"/>
      <c r="R191" s="1625" t="s">
        <v>132</v>
      </c>
      <c r="S191" s="1625" t="s">
        <v>132</v>
      </c>
      <c r="T191" s="1625" t="s">
        <v>132</v>
      </c>
      <c r="U191" s="1625" t="s">
        <v>132</v>
      </c>
      <c r="V191" s="1625" t="s">
        <v>132</v>
      </c>
      <c r="W191" s="1625"/>
      <c r="X191" s="1625"/>
      <c r="Y191" s="1625" t="s">
        <v>132</v>
      </c>
      <c r="Z191" s="1625" t="s">
        <v>132</v>
      </c>
      <c r="AA191" s="1625" t="s">
        <v>132</v>
      </c>
      <c r="AB191" s="1625" t="s">
        <v>132</v>
      </c>
      <c r="AC191" s="1625" t="s">
        <v>132</v>
      </c>
      <c r="AD191" s="1625"/>
      <c r="AE191" s="1625"/>
      <c r="AF191" s="1625" t="s">
        <v>132</v>
      </c>
      <c r="AG191" s="1842"/>
      <c r="AH191" s="190"/>
      <c r="AI191" s="190"/>
    </row>
    <row r="192" spans="1:36" ht="22.15" customHeight="1" x14ac:dyDescent="0.2">
      <c r="A192" s="109"/>
      <c r="B192" s="1715"/>
      <c r="C192" s="1625"/>
      <c r="D192" s="1625" t="s">
        <v>243</v>
      </c>
      <c r="E192" s="1625" t="s">
        <v>243</v>
      </c>
      <c r="F192" s="1625" t="s">
        <v>243</v>
      </c>
      <c r="G192" s="1625" t="s">
        <v>243</v>
      </c>
      <c r="H192" s="1625" t="s">
        <v>243</v>
      </c>
      <c r="I192" s="1625"/>
      <c r="J192" s="1625"/>
      <c r="K192" s="1625" t="s">
        <v>243</v>
      </c>
      <c r="L192" s="1625" t="s">
        <v>243</v>
      </c>
      <c r="M192" s="1625" t="s">
        <v>243</v>
      </c>
      <c r="N192" s="1625" t="s">
        <v>243</v>
      </c>
      <c r="O192" s="1625" t="s">
        <v>243</v>
      </c>
      <c r="P192" s="1625"/>
      <c r="Q192" s="1625"/>
      <c r="R192" s="1625" t="s">
        <v>243</v>
      </c>
      <c r="S192" s="1625" t="s">
        <v>243</v>
      </c>
      <c r="T192" s="1625" t="s">
        <v>243</v>
      </c>
      <c r="U192" s="1625" t="s">
        <v>243</v>
      </c>
      <c r="V192" s="1625" t="s">
        <v>243</v>
      </c>
      <c r="W192" s="1625"/>
      <c r="X192" s="1625"/>
      <c r="Y192" s="1625" t="s">
        <v>243</v>
      </c>
      <c r="Z192" s="1625" t="s">
        <v>243</v>
      </c>
      <c r="AA192" s="1625" t="s">
        <v>243</v>
      </c>
      <c r="AB192" s="1625" t="s">
        <v>243</v>
      </c>
      <c r="AC192" s="1625" t="s">
        <v>243</v>
      </c>
      <c r="AD192" s="1625"/>
      <c r="AE192" s="1625"/>
      <c r="AF192" s="1625" t="s">
        <v>243</v>
      </c>
      <c r="AG192" s="1842"/>
      <c r="AH192" s="190"/>
      <c r="AI192" s="190"/>
    </row>
    <row r="193" spans="1:35" ht="22.15" customHeight="1" x14ac:dyDescent="0.2">
      <c r="A193" s="109"/>
      <c r="B193" s="1715" t="s">
        <v>263</v>
      </c>
      <c r="C193" s="1625"/>
      <c r="D193" s="1625" t="s">
        <v>246</v>
      </c>
      <c r="E193" s="1625" t="s">
        <v>246</v>
      </c>
      <c r="F193" s="1625" t="s">
        <v>246</v>
      </c>
      <c r="G193" s="1625" t="s">
        <v>246</v>
      </c>
      <c r="H193" s="1625" t="s">
        <v>246</v>
      </c>
      <c r="I193" s="1625"/>
      <c r="J193" s="1625"/>
      <c r="K193" s="1625" t="s">
        <v>246</v>
      </c>
      <c r="L193" s="1625" t="s">
        <v>246</v>
      </c>
      <c r="M193" s="1625" t="s">
        <v>246</v>
      </c>
      <c r="N193" s="1625" t="s">
        <v>246</v>
      </c>
      <c r="O193" s="1625" t="s">
        <v>246</v>
      </c>
      <c r="P193" s="1625"/>
      <c r="Q193" s="1625"/>
      <c r="R193" s="1625" t="s">
        <v>246</v>
      </c>
      <c r="S193" s="1625" t="s">
        <v>246</v>
      </c>
      <c r="T193" s="1625" t="s">
        <v>246</v>
      </c>
      <c r="U193" s="1623" t="s">
        <v>246</v>
      </c>
      <c r="V193" s="1623" t="s">
        <v>246</v>
      </c>
      <c r="W193" s="1623"/>
      <c r="X193" s="1623"/>
      <c r="Y193" s="1623" t="s">
        <v>246</v>
      </c>
      <c r="Z193" s="2124" t="s">
        <v>366</v>
      </c>
      <c r="AA193" s="1625" t="s">
        <v>246</v>
      </c>
      <c r="AB193" s="1625" t="s">
        <v>246</v>
      </c>
      <c r="AC193" s="1625" t="s">
        <v>246</v>
      </c>
      <c r="AD193" s="1625"/>
      <c r="AE193" s="1625"/>
      <c r="AF193" s="1625" t="s">
        <v>246</v>
      </c>
      <c r="AG193" s="1842"/>
      <c r="AH193" s="107"/>
      <c r="AI193" s="107"/>
    </row>
    <row r="194" spans="1:35" ht="21" customHeight="1" thickBot="1" x14ac:dyDescent="0.25">
      <c r="A194" s="148"/>
      <c r="B194" s="692" t="s">
        <v>264</v>
      </c>
      <c r="C194" s="694" t="s">
        <v>118</v>
      </c>
      <c r="D194" s="696" t="s">
        <v>248</v>
      </c>
      <c r="E194" s="696" t="s">
        <v>248</v>
      </c>
      <c r="F194" s="696" t="s">
        <v>248</v>
      </c>
      <c r="G194" s="696" t="s">
        <v>248</v>
      </c>
      <c r="H194" s="696" t="s">
        <v>248</v>
      </c>
      <c r="I194" s="696"/>
      <c r="J194" s="696"/>
      <c r="K194" s="696" t="s">
        <v>248</v>
      </c>
      <c r="L194" s="696" t="s">
        <v>248</v>
      </c>
      <c r="M194" s="696" t="s">
        <v>248</v>
      </c>
      <c r="N194" s="696" t="s">
        <v>248</v>
      </c>
      <c r="O194" s="696" t="s">
        <v>248</v>
      </c>
      <c r="P194" s="696"/>
      <c r="Q194" s="696"/>
      <c r="R194" s="696" t="s">
        <v>248</v>
      </c>
      <c r="S194" s="696" t="s">
        <v>248</v>
      </c>
      <c r="T194" s="696" t="s">
        <v>248</v>
      </c>
      <c r="U194" s="724" t="s">
        <v>248</v>
      </c>
      <c r="V194" s="696" t="s">
        <v>248</v>
      </c>
      <c r="W194" s="696"/>
      <c r="X194" s="696"/>
      <c r="Y194" s="696" t="s">
        <v>248</v>
      </c>
      <c r="Z194" s="696" t="s">
        <v>248</v>
      </c>
      <c r="AA194" s="696" t="s">
        <v>248</v>
      </c>
      <c r="AB194" s="696" t="s">
        <v>248</v>
      </c>
      <c r="AC194" s="696" t="s">
        <v>248</v>
      </c>
      <c r="AD194" s="696"/>
      <c r="AE194" s="696"/>
      <c r="AF194" s="696" t="s">
        <v>248</v>
      </c>
      <c r="AG194" s="217"/>
      <c r="AH194" s="115"/>
    </row>
    <row r="195" spans="1:35" ht="21" customHeight="1" x14ac:dyDescent="0.2">
      <c r="A195" s="148"/>
      <c r="B195" s="257"/>
      <c r="C195" s="255"/>
      <c r="D195" s="255"/>
      <c r="E195" s="255"/>
      <c r="F195" s="255"/>
      <c r="G195" s="255"/>
      <c r="H195" s="255"/>
      <c r="I195" s="255"/>
      <c r="J195" s="255"/>
      <c r="K195" s="255"/>
      <c r="L195" s="255"/>
      <c r="M195" s="255"/>
      <c r="N195" s="255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255"/>
      <c r="AC195" s="255"/>
      <c r="AD195" s="255"/>
      <c r="AE195" s="255"/>
      <c r="AF195" s="255"/>
      <c r="AG195" s="255"/>
      <c r="AH195" s="115"/>
    </row>
    <row r="196" spans="1:35" ht="22.15" customHeight="1" x14ac:dyDescent="0.2"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</row>
    <row r="197" spans="1:35" ht="22.15" customHeight="1" thickBot="1" x14ac:dyDescent="0.25">
      <c r="A197" s="1" t="s">
        <v>266</v>
      </c>
      <c r="B197" s="59"/>
    </row>
    <row r="198" spans="1:35" ht="22.15" customHeight="1" x14ac:dyDescent="0.2">
      <c r="A198" s="1"/>
      <c r="B198" s="1466" t="s">
        <v>267</v>
      </c>
      <c r="C198" s="525" t="s">
        <v>90</v>
      </c>
      <c r="D198" s="525"/>
      <c r="E198" s="525"/>
      <c r="F198" s="525"/>
      <c r="G198" s="526" t="s">
        <v>91</v>
      </c>
      <c r="H198" s="525"/>
      <c r="I198" s="525"/>
      <c r="J198" s="525"/>
      <c r="K198" s="526" t="s">
        <v>92</v>
      </c>
      <c r="L198" s="525"/>
      <c r="M198" s="525"/>
      <c r="N198" s="525"/>
      <c r="O198" s="526" t="s">
        <v>93</v>
      </c>
      <c r="P198" s="525"/>
      <c r="Q198" s="525"/>
      <c r="R198" s="525"/>
      <c r="S198" s="526" t="s">
        <v>94</v>
      </c>
      <c r="T198" s="525"/>
      <c r="U198" s="525"/>
      <c r="V198" s="525"/>
      <c r="W198" s="527" t="s">
        <v>95</v>
      </c>
      <c r="X198" s="473"/>
      <c r="Y198" s="525"/>
      <c r="Z198" s="528"/>
      <c r="AA198" s="527" t="s">
        <v>96</v>
      </c>
      <c r="AB198" s="473"/>
      <c r="AC198" s="525"/>
      <c r="AD198" s="528"/>
      <c r="AE198" s="529" t="s">
        <v>97</v>
      </c>
      <c r="AF198" s="525"/>
      <c r="AG198" s="525"/>
      <c r="AH198" s="525"/>
      <c r="AI198" s="474"/>
    </row>
    <row r="199" spans="1:35" ht="22.15" customHeight="1" x14ac:dyDescent="0.2">
      <c r="A199" s="1"/>
      <c r="B199" s="1467">
        <v>3701</v>
      </c>
      <c r="C199" s="110" t="s">
        <v>268</v>
      </c>
      <c r="D199" s="110"/>
      <c r="E199" s="110"/>
      <c r="F199" s="110"/>
      <c r="G199" s="2009" t="s">
        <v>269</v>
      </c>
      <c r="H199" s="110"/>
      <c r="I199" s="110"/>
      <c r="J199" s="110"/>
      <c r="K199" s="2009" t="s">
        <v>269</v>
      </c>
      <c r="L199" s="110"/>
      <c r="M199" s="110"/>
      <c r="N199" s="110"/>
      <c r="O199" s="2009" t="s">
        <v>269</v>
      </c>
      <c r="P199" s="110"/>
      <c r="Q199" s="110"/>
      <c r="R199" s="110"/>
      <c r="S199" s="2009" t="s">
        <v>270</v>
      </c>
      <c r="T199" s="110"/>
      <c r="U199" s="110"/>
      <c r="V199" s="110"/>
      <c r="W199" s="1865"/>
      <c r="X199" s="1866"/>
      <c r="Y199" s="1235"/>
      <c r="Z199" s="1867"/>
      <c r="AA199" s="1865"/>
      <c r="AB199" s="1866"/>
      <c r="AC199" s="1235"/>
      <c r="AD199" s="1867"/>
      <c r="AE199" s="1391"/>
      <c r="AF199" s="1235"/>
      <c r="AG199" s="1235"/>
      <c r="AH199" s="1235"/>
      <c r="AI199" s="1176"/>
    </row>
    <row r="200" spans="1:35" ht="22.15" customHeight="1" x14ac:dyDescent="0.2">
      <c r="A200" s="1472"/>
      <c r="B200" s="1466"/>
      <c r="C200" s="1473"/>
      <c r="D200" s="1474"/>
      <c r="E200" s="1474"/>
      <c r="F200" s="1868"/>
      <c r="G200" s="1473"/>
      <c r="H200" s="1474"/>
      <c r="I200" s="1474"/>
      <c r="J200" s="1868"/>
      <c r="K200" s="1473"/>
      <c r="L200" s="1474"/>
      <c r="M200" s="1474"/>
      <c r="N200" s="1868"/>
      <c r="O200" s="1473"/>
      <c r="P200" s="1474"/>
      <c r="Q200" s="1474"/>
      <c r="R200" s="1868"/>
      <c r="S200" s="1473"/>
      <c r="T200" s="1474"/>
      <c r="U200" s="1474"/>
      <c r="V200" s="1474"/>
      <c r="W200" s="1865"/>
      <c r="X200" s="1866"/>
      <c r="Y200" s="1235"/>
      <c r="Z200" s="1867"/>
      <c r="AA200" s="1865"/>
      <c r="AB200" s="1866"/>
      <c r="AC200" s="1235"/>
      <c r="AD200" s="1867"/>
      <c r="AE200" s="1391"/>
      <c r="AF200" s="1235"/>
      <c r="AG200" s="1235"/>
      <c r="AH200" s="1235"/>
      <c r="AI200" s="1176"/>
    </row>
    <row r="201" spans="1:35" ht="22.15" customHeight="1" x14ac:dyDescent="0.2">
      <c r="A201" s="1472"/>
      <c r="B201" s="1466"/>
      <c r="C201" s="1473"/>
      <c r="D201" s="1474"/>
      <c r="E201" s="1474"/>
      <c r="F201" s="1868"/>
      <c r="G201" s="1473"/>
      <c r="H201" s="1474"/>
      <c r="I201" s="1474"/>
      <c r="J201" s="1868"/>
      <c r="K201" s="1473"/>
      <c r="L201" s="1474"/>
      <c r="M201" s="1474"/>
      <c r="N201" s="1868"/>
      <c r="O201" s="1473"/>
      <c r="P201" s="1474"/>
      <c r="Q201" s="1474"/>
      <c r="R201" s="1868"/>
      <c r="S201" s="1473"/>
      <c r="T201" s="1474"/>
      <c r="U201" s="1474"/>
      <c r="V201" s="1474"/>
      <c r="W201" s="1865"/>
      <c r="X201" s="1866"/>
      <c r="Y201" s="1235"/>
      <c r="Z201" s="1867"/>
      <c r="AA201" s="1865"/>
      <c r="AB201" s="1866"/>
      <c r="AC201" s="1235"/>
      <c r="AD201" s="1867"/>
      <c r="AE201" s="1391"/>
      <c r="AF201" s="1235"/>
      <c r="AG201" s="1235"/>
      <c r="AH201" s="1235"/>
      <c r="AI201" s="1176"/>
    </row>
    <row r="202" spans="1:35" ht="22.15" customHeight="1" thickBot="1" x14ac:dyDescent="0.25">
      <c r="A202" s="682"/>
      <c r="B202" s="683"/>
      <c r="C202" s="684"/>
      <c r="D202" s="2125"/>
      <c r="E202" s="2125"/>
      <c r="F202" s="2126"/>
      <c r="G202" s="684"/>
      <c r="H202" s="2125"/>
      <c r="I202" s="2125"/>
      <c r="J202" s="2126"/>
      <c r="K202" s="684"/>
      <c r="L202" s="2125"/>
      <c r="M202" s="2125"/>
      <c r="N202" s="2126"/>
      <c r="O202" s="684"/>
      <c r="P202" s="2125"/>
      <c r="Q202" s="2125"/>
      <c r="R202" s="2126"/>
      <c r="S202" s="684"/>
      <c r="T202" s="2125"/>
      <c r="U202" s="2125"/>
      <c r="V202" s="2125"/>
      <c r="W202" s="2127"/>
      <c r="X202" s="2128"/>
      <c r="Y202" s="2129"/>
      <c r="Z202" s="2130"/>
      <c r="AA202" s="2127"/>
      <c r="AB202" s="2128"/>
      <c r="AC202" s="2129"/>
      <c r="AD202" s="2130"/>
      <c r="AE202" s="1404"/>
      <c r="AF202" s="1242"/>
      <c r="AG202" s="1242"/>
      <c r="AH202" s="1242"/>
      <c r="AI202" s="1245"/>
    </row>
    <row r="203" spans="1:35" ht="22.15" customHeight="1" x14ac:dyDescent="0.2">
      <c r="AG203" s="110"/>
      <c r="AH203" s="110"/>
    </row>
    <row r="204" spans="1:35" ht="22.15" customHeight="1" x14ac:dyDescent="0.2">
      <c r="B204" s="1466">
        <v>3700</v>
      </c>
      <c r="C204" s="1235" t="s">
        <v>162</v>
      </c>
      <c r="D204" s="1235"/>
      <c r="E204" s="1235"/>
      <c r="F204" s="1235"/>
      <c r="G204" s="2131" t="s">
        <v>162</v>
      </c>
      <c r="H204" s="1235"/>
      <c r="I204" s="1235"/>
      <c r="J204" s="1235"/>
      <c r="K204" s="2131" t="s">
        <v>162</v>
      </c>
      <c r="L204" s="1235"/>
      <c r="M204" s="1235"/>
      <c r="N204" s="1235"/>
      <c r="O204" s="2131" t="s">
        <v>162</v>
      </c>
      <c r="P204" s="1235"/>
      <c r="Q204" s="1235"/>
      <c r="R204" s="1235"/>
      <c r="S204" s="2131" t="s">
        <v>163</v>
      </c>
      <c r="T204" s="1235"/>
      <c r="U204" s="1235"/>
      <c r="V204" s="1235"/>
      <c r="W204" s="1235"/>
      <c r="X204" s="2131"/>
      <c r="Y204" s="1235"/>
      <c r="Z204" s="1393"/>
      <c r="AA204" s="1391"/>
      <c r="AB204" s="1235"/>
      <c r="AC204" s="1235"/>
      <c r="AD204" s="1284"/>
      <c r="AE204" s="2132"/>
      <c r="AF204" s="1235"/>
      <c r="AG204" s="1235"/>
      <c r="AH204" s="1284"/>
      <c r="AI204" s="1176"/>
    </row>
    <row r="205" spans="1:35" ht="22.15" customHeight="1" x14ac:dyDescent="0.2">
      <c r="A205" s="1"/>
      <c r="B205" s="1466">
        <v>8514</v>
      </c>
      <c r="C205" s="1235" t="s">
        <v>269</v>
      </c>
      <c r="D205" s="1235"/>
      <c r="E205" s="1235"/>
      <c r="F205" s="1235"/>
      <c r="G205" s="2131" t="s">
        <v>269</v>
      </c>
      <c r="H205" s="1235"/>
      <c r="I205" s="1235"/>
      <c r="J205" s="1235"/>
      <c r="K205" s="2131" t="s">
        <v>269</v>
      </c>
      <c r="L205" s="1235"/>
      <c r="M205" s="1235"/>
      <c r="N205" s="1235"/>
      <c r="O205" s="2131" t="s">
        <v>269</v>
      </c>
      <c r="P205" s="1235"/>
      <c r="Q205" s="1235"/>
      <c r="R205" s="1235"/>
      <c r="S205" s="2131" t="s">
        <v>271</v>
      </c>
      <c r="T205" s="1235"/>
      <c r="U205" s="1235"/>
      <c r="V205" s="1235"/>
      <c r="W205" s="1235"/>
      <c r="X205" s="2131"/>
      <c r="Y205" s="1235"/>
      <c r="Z205" s="1393"/>
      <c r="AA205" s="1283"/>
      <c r="AB205" s="1235"/>
      <c r="AC205" s="1235"/>
      <c r="AD205" s="1284"/>
      <c r="AE205" s="1283"/>
      <c r="AF205" s="1235"/>
      <c r="AG205" s="1235"/>
      <c r="AH205" s="1284"/>
      <c r="AI205" s="1176"/>
    </row>
    <row r="206" spans="1:35" ht="22.15" customHeight="1" x14ac:dyDescent="0.2">
      <c r="A206" s="1"/>
      <c r="B206" s="1466">
        <v>8500</v>
      </c>
      <c r="C206" s="166" t="s">
        <v>272</v>
      </c>
      <c r="D206" s="166"/>
      <c r="E206" s="166"/>
      <c r="F206" s="166"/>
      <c r="G206" s="167" t="s">
        <v>272</v>
      </c>
      <c r="H206" s="166"/>
      <c r="I206" s="166"/>
      <c r="J206" s="166"/>
      <c r="K206" s="167" t="s">
        <v>272</v>
      </c>
      <c r="L206" s="166"/>
      <c r="M206" s="166"/>
      <c r="N206" s="166"/>
      <c r="O206" s="167" t="s">
        <v>272</v>
      </c>
      <c r="P206" s="166"/>
      <c r="Q206" s="166"/>
      <c r="R206" s="166"/>
      <c r="S206" s="167" t="s">
        <v>273</v>
      </c>
      <c r="T206" s="166"/>
      <c r="U206" s="166"/>
      <c r="V206" s="166"/>
      <c r="W206" s="166"/>
      <c r="X206" s="167"/>
      <c r="Y206" s="166"/>
      <c r="Z206" s="121"/>
      <c r="AA206" s="120"/>
      <c r="AB206" s="166"/>
      <c r="AC206" s="166"/>
      <c r="AD206" s="121"/>
      <c r="AE206" s="120"/>
      <c r="AF206" s="166"/>
      <c r="AG206" s="166"/>
      <c r="AH206" s="113"/>
      <c r="AI206" s="119"/>
    </row>
    <row r="207" spans="1:35" ht="22.15" customHeight="1" x14ac:dyDescent="0.2">
      <c r="A207" s="1"/>
      <c r="B207" s="1466">
        <v>8514</v>
      </c>
      <c r="C207" s="169" t="s">
        <v>269</v>
      </c>
      <c r="D207" s="169"/>
      <c r="E207" s="169"/>
      <c r="F207" s="169"/>
      <c r="G207" s="170" t="s">
        <v>269</v>
      </c>
      <c r="H207" s="169"/>
      <c r="I207" s="169"/>
      <c r="J207" s="169"/>
      <c r="K207" s="170" t="s">
        <v>269</v>
      </c>
      <c r="L207" s="169"/>
      <c r="M207" s="169"/>
      <c r="N207" s="169"/>
      <c r="O207" s="170" t="s">
        <v>269</v>
      </c>
      <c r="P207" s="169"/>
      <c r="Q207" s="169"/>
      <c r="R207" s="169"/>
      <c r="S207" s="170" t="s">
        <v>271</v>
      </c>
      <c r="T207" s="169"/>
      <c r="U207" s="169"/>
      <c r="V207" s="169"/>
      <c r="W207" s="169"/>
      <c r="X207" s="149"/>
      <c r="Y207" s="166"/>
      <c r="Z207" s="168"/>
      <c r="AA207" s="156"/>
      <c r="AB207" s="117"/>
      <c r="AC207" s="166"/>
      <c r="AD207" s="166"/>
      <c r="AE207" s="118"/>
      <c r="AF207" s="166"/>
      <c r="AG207" s="166"/>
      <c r="AH207" s="166"/>
      <c r="AI207" s="119"/>
    </row>
    <row r="208" spans="1:35" ht="22.15" customHeight="1" thickBot="1" x14ac:dyDescent="0.25">
      <c r="A208" s="1"/>
      <c r="B208" s="1484" t="s">
        <v>274</v>
      </c>
      <c r="C208" s="1242" t="s">
        <v>275</v>
      </c>
      <c r="D208" s="1242"/>
      <c r="E208" s="1242"/>
      <c r="F208" s="1242"/>
      <c r="G208" s="1067" t="s">
        <v>275</v>
      </c>
      <c r="H208" s="1242"/>
      <c r="I208" s="1242"/>
      <c r="J208" s="1242"/>
      <c r="K208" s="1879" t="s">
        <v>275</v>
      </c>
      <c r="L208" s="1242"/>
      <c r="M208" s="1242"/>
      <c r="N208" s="1242"/>
      <c r="O208" s="1067" t="s">
        <v>275</v>
      </c>
      <c r="P208" s="1242"/>
      <c r="Q208" s="1242"/>
      <c r="R208" s="1242"/>
      <c r="S208" s="1067" t="s">
        <v>276</v>
      </c>
      <c r="T208" s="1242"/>
      <c r="U208" s="1242"/>
      <c r="V208" s="1242"/>
      <c r="W208" s="1242"/>
      <c r="X208" s="1067"/>
      <c r="Y208" s="1242"/>
      <c r="Z208" s="1425"/>
      <c r="AA208" s="1404"/>
      <c r="AB208" s="1242"/>
      <c r="AC208" s="1242"/>
      <c r="AD208" s="1411"/>
      <c r="AE208" s="1880"/>
      <c r="AF208" s="1242"/>
      <c r="AG208" s="1242"/>
      <c r="AH208" s="1411"/>
      <c r="AI208" s="1245"/>
    </row>
    <row r="209" spans="1:35" ht="22.1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15" customHeight="1" x14ac:dyDescent="0.2">
      <c r="A210" s="1" t="s">
        <v>277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15" customHeight="1" thickBot="1" x14ac:dyDescent="0.25">
      <c r="A211" s="1343"/>
      <c r="B211" s="1247" t="s">
        <v>29</v>
      </c>
      <c r="C211" s="1185">
        <v>1</v>
      </c>
      <c r="D211" s="1186">
        <v>2</v>
      </c>
      <c r="E211" s="1186">
        <v>3</v>
      </c>
      <c r="F211" s="1186">
        <v>4</v>
      </c>
      <c r="G211" s="1186">
        <v>5</v>
      </c>
      <c r="H211" s="1186">
        <v>6</v>
      </c>
      <c r="I211" s="1185">
        <v>7</v>
      </c>
      <c r="J211" s="1185">
        <v>8</v>
      </c>
      <c r="K211" s="1186">
        <v>9</v>
      </c>
      <c r="L211" s="1186">
        <v>10</v>
      </c>
      <c r="M211" s="1186">
        <v>11</v>
      </c>
      <c r="N211" s="1186">
        <v>12</v>
      </c>
      <c r="O211" s="1186">
        <v>13</v>
      </c>
      <c r="P211" s="1185">
        <v>14</v>
      </c>
      <c r="Q211" s="1185">
        <v>15</v>
      </c>
      <c r="R211" s="1186">
        <v>16</v>
      </c>
      <c r="S211" s="1186">
        <v>17</v>
      </c>
      <c r="T211" s="1186">
        <v>18</v>
      </c>
      <c r="U211" s="1186">
        <v>19</v>
      </c>
      <c r="V211" s="1186">
        <v>20</v>
      </c>
      <c r="W211" s="1185">
        <v>21</v>
      </c>
      <c r="X211" s="1185">
        <v>22</v>
      </c>
      <c r="Y211" s="1186">
        <v>23</v>
      </c>
      <c r="Z211" s="1186">
        <v>24</v>
      </c>
      <c r="AA211" s="1186">
        <v>25</v>
      </c>
      <c r="AB211" s="1186">
        <v>26</v>
      </c>
      <c r="AC211" s="1186">
        <v>27</v>
      </c>
      <c r="AD211" s="1185">
        <v>28</v>
      </c>
      <c r="AE211" s="1185">
        <v>29</v>
      </c>
      <c r="AF211" s="1186">
        <v>30</v>
      </c>
      <c r="AG211" s="2035"/>
      <c r="AH211" s="184"/>
      <c r="AI211" s="185"/>
    </row>
    <row r="212" spans="1:35" ht="22.15" customHeight="1" x14ac:dyDescent="0.2">
      <c r="A212" s="305"/>
      <c r="B212" s="306" t="s">
        <v>278</v>
      </c>
      <c r="C212" s="1612"/>
      <c r="D212" s="1612" t="s">
        <v>31</v>
      </c>
      <c r="E212" s="1612" t="s">
        <v>31</v>
      </c>
      <c r="F212" s="1612" t="s">
        <v>31</v>
      </c>
      <c r="G212" s="1612" t="s">
        <v>31</v>
      </c>
      <c r="H212" s="1629" t="s">
        <v>31</v>
      </c>
      <c r="I212" s="1629"/>
      <c r="J212" s="1612"/>
      <c r="K212" s="1612" t="s">
        <v>31</v>
      </c>
      <c r="L212" s="1628" t="s">
        <v>31</v>
      </c>
      <c r="M212" s="1612" t="s">
        <v>31</v>
      </c>
      <c r="N212" s="1629" t="s">
        <v>31</v>
      </c>
      <c r="O212" s="1612" t="s">
        <v>31</v>
      </c>
      <c r="P212" s="1612"/>
      <c r="Q212" s="1612"/>
      <c r="R212" s="1612" t="s">
        <v>31</v>
      </c>
      <c r="S212" s="1612" t="s">
        <v>31</v>
      </c>
      <c r="T212" s="1612" t="s">
        <v>31</v>
      </c>
      <c r="U212" s="1612" t="s">
        <v>31</v>
      </c>
      <c r="V212" s="1612" t="s">
        <v>31</v>
      </c>
      <c r="W212" s="1612"/>
      <c r="X212" s="1612"/>
      <c r="Y212" s="1628" t="s">
        <v>31</v>
      </c>
      <c r="Z212" s="1628" t="s">
        <v>31</v>
      </c>
      <c r="AA212" s="1612" t="s">
        <v>31</v>
      </c>
      <c r="AB212" s="1612" t="s">
        <v>31</v>
      </c>
      <c r="AC212" s="1612" t="s">
        <v>31</v>
      </c>
      <c r="AD212" s="1612"/>
      <c r="AE212" s="1629"/>
      <c r="AF212" s="1629" t="s">
        <v>31</v>
      </c>
      <c r="AG212" s="274"/>
      <c r="AH212" s="184"/>
      <c r="AI212" s="185"/>
    </row>
    <row r="213" spans="1:35" ht="22.15" customHeight="1" x14ac:dyDescent="0.2">
      <c r="A213" s="1488"/>
      <c r="B213" s="1489" t="s">
        <v>279</v>
      </c>
      <c r="C213" s="1612"/>
      <c r="D213" s="1612" t="s">
        <v>31</v>
      </c>
      <c r="E213" s="1612" t="s">
        <v>31</v>
      </c>
      <c r="F213" s="1629" t="s">
        <v>31</v>
      </c>
      <c r="G213" s="1612" t="s">
        <v>31</v>
      </c>
      <c r="H213" s="1612" t="s">
        <v>31</v>
      </c>
      <c r="I213" s="1612"/>
      <c r="J213" s="1612"/>
      <c r="K213" s="1612" t="s">
        <v>31</v>
      </c>
      <c r="L213" s="1612" t="s">
        <v>31</v>
      </c>
      <c r="M213" s="1612" t="s">
        <v>31</v>
      </c>
      <c r="N213" s="1633" t="s">
        <v>31</v>
      </c>
      <c r="O213" s="1633" t="s">
        <v>31</v>
      </c>
      <c r="P213" s="1633"/>
      <c r="Q213" s="1628"/>
      <c r="R213" s="1633" t="s">
        <v>31</v>
      </c>
      <c r="S213" s="1612" t="s">
        <v>31</v>
      </c>
      <c r="T213" s="1612" t="s">
        <v>31</v>
      </c>
      <c r="U213" s="1633" t="s">
        <v>31</v>
      </c>
      <c r="V213" s="1633" t="s">
        <v>31</v>
      </c>
      <c r="W213" s="1633"/>
      <c r="X213" s="1612"/>
      <c r="Y213" s="1633" t="s">
        <v>31</v>
      </c>
      <c r="Z213" s="1612" t="s">
        <v>31</v>
      </c>
      <c r="AA213" s="1612" t="s">
        <v>31</v>
      </c>
      <c r="AB213" s="1612" t="s">
        <v>31</v>
      </c>
      <c r="AC213" s="1612" t="s">
        <v>31</v>
      </c>
      <c r="AD213" s="1629"/>
      <c r="AE213" s="1612"/>
      <c r="AF213" s="1629" t="s">
        <v>31</v>
      </c>
      <c r="AG213" s="1490"/>
      <c r="AH213" s="184"/>
      <c r="AI213" s="185"/>
    </row>
    <row r="214" spans="1:35" ht="22.15" customHeight="1" x14ac:dyDescent="0.2">
      <c r="A214" s="1491">
        <v>8514</v>
      </c>
      <c r="B214" s="1665" t="s">
        <v>280</v>
      </c>
      <c r="C214" s="1612"/>
      <c r="D214" s="1612" t="s">
        <v>31</v>
      </c>
      <c r="E214" s="1612" t="s">
        <v>31</v>
      </c>
      <c r="F214" s="1612" t="s">
        <v>31</v>
      </c>
      <c r="G214" s="1612" t="s">
        <v>31</v>
      </c>
      <c r="H214" s="1629" t="s">
        <v>31</v>
      </c>
      <c r="I214" s="1629"/>
      <c r="J214" s="1612"/>
      <c r="K214" s="1612" t="s">
        <v>31</v>
      </c>
      <c r="L214" s="1628" t="s">
        <v>31</v>
      </c>
      <c r="M214" s="1612" t="s">
        <v>31</v>
      </c>
      <c r="N214" s="1957" t="s">
        <v>31</v>
      </c>
      <c r="O214" s="1612" t="s">
        <v>31</v>
      </c>
      <c r="P214" s="1612"/>
      <c r="Q214" s="1612"/>
      <c r="R214" s="1612" t="s">
        <v>31</v>
      </c>
      <c r="S214" s="1612" t="s">
        <v>31</v>
      </c>
      <c r="T214" s="1612" t="s">
        <v>31</v>
      </c>
      <c r="U214" s="1612" t="s">
        <v>31</v>
      </c>
      <c r="V214" s="1612" t="s">
        <v>31</v>
      </c>
      <c r="W214" s="1612"/>
      <c r="X214" s="1612"/>
      <c r="Y214" s="1628" t="s">
        <v>31</v>
      </c>
      <c r="Z214" s="1628" t="s">
        <v>31</v>
      </c>
      <c r="AA214" s="1612" t="s">
        <v>31</v>
      </c>
      <c r="AB214" s="1612" t="s">
        <v>31</v>
      </c>
      <c r="AC214" s="1612" t="s">
        <v>31</v>
      </c>
      <c r="AD214" s="1612"/>
      <c r="AE214" s="1629"/>
      <c r="AF214" s="1629" t="s">
        <v>31</v>
      </c>
      <c r="AG214" s="1490"/>
      <c r="AH214" s="189"/>
      <c r="AI214" s="190"/>
    </row>
    <row r="215" spans="1:35" ht="21" customHeight="1" x14ac:dyDescent="0.2">
      <c r="A215" s="1491">
        <v>3701</v>
      </c>
      <c r="B215" s="1665" t="s">
        <v>281</v>
      </c>
      <c r="C215" s="1612"/>
      <c r="D215" s="1612" t="s">
        <v>31</v>
      </c>
      <c r="E215" s="1612" t="s">
        <v>31</v>
      </c>
      <c r="F215" s="1629" t="s">
        <v>31</v>
      </c>
      <c r="G215" s="1612" t="s">
        <v>31</v>
      </c>
      <c r="H215" s="1612" t="s">
        <v>31</v>
      </c>
      <c r="I215" s="1612"/>
      <c r="J215" s="1612"/>
      <c r="K215" s="1612" t="s">
        <v>31</v>
      </c>
      <c r="L215" s="1612" t="s">
        <v>31</v>
      </c>
      <c r="M215" s="1612" t="s">
        <v>31</v>
      </c>
      <c r="N215" s="1633" t="s">
        <v>31</v>
      </c>
      <c r="O215" s="1633" t="s">
        <v>31</v>
      </c>
      <c r="P215" s="1633"/>
      <c r="Q215" s="1628"/>
      <c r="R215" s="1633" t="s">
        <v>31</v>
      </c>
      <c r="S215" s="1612" t="s">
        <v>31</v>
      </c>
      <c r="T215" s="1612" t="s">
        <v>31</v>
      </c>
      <c r="U215" s="1633" t="s">
        <v>31</v>
      </c>
      <c r="V215" s="1633" t="s">
        <v>31</v>
      </c>
      <c r="W215" s="1633"/>
      <c r="X215" s="1612"/>
      <c r="Y215" s="1633" t="s">
        <v>31</v>
      </c>
      <c r="Z215" s="1612" t="s">
        <v>31</v>
      </c>
      <c r="AA215" s="1612" t="s">
        <v>31</v>
      </c>
      <c r="AB215" s="1612" t="s">
        <v>31</v>
      </c>
      <c r="AC215" s="1612" t="s">
        <v>31</v>
      </c>
      <c r="AD215" s="1629"/>
      <c r="AE215" s="1612"/>
      <c r="AF215" s="1629" t="s">
        <v>31</v>
      </c>
      <c r="AG215" s="1490"/>
      <c r="AH215" s="189"/>
      <c r="AI215" s="190"/>
    </row>
    <row r="216" spans="1:35" ht="21" customHeight="1" x14ac:dyDescent="0.2">
      <c r="A216" s="1491">
        <v>3701</v>
      </c>
      <c r="B216" s="1665" t="s">
        <v>282</v>
      </c>
      <c r="C216" s="1612"/>
      <c r="D216" s="1623" t="s">
        <v>31</v>
      </c>
      <c r="E216" s="1623" t="s">
        <v>31</v>
      </c>
      <c r="F216" s="1623" t="s">
        <v>31</v>
      </c>
      <c r="G216" s="1623" t="s">
        <v>31</v>
      </c>
      <c r="H216" s="1623" t="s">
        <v>31</v>
      </c>
      <c r="I216" s="1623"/>
      <c r="J216" s="1623"/>
      <c r="K216" s="1623" t="s">
        <v>31</v>
      </c>
      <c r="L216" s="1623" t="s">
        <v>31</v>
      </c>
      <c r="M216" s="1623" t="s">
        <v>31</v>
      </c>
      <c r="N216" s="1623" t="s">
        <v>31</v>
      </c>
      <c r="O216" s="1623" t="s">
        <v>31</v>
      </c>
      <c r="P216" s="1623"/>
      <c r="Q216" s="1623"/>
      <c r="R216" s="1623" t="s">
        <v>31</v>
      </c>
      <c r="S216" s="1623" t="s">
        <v>31</v>
      </c>
      <c r="T216" s="1623" t="s">
        <v>31</v>
      </c>
      <c r="U216" s="1623" t="s">
        <v>31</v>
      </c>
      <c r="V216" s="1623" t="s">
        <v>31</v>
      </c>
      <c r="W216" s="1623"/>
      <c r="X216" s="1623"/>
      <c r="Y216" s="1623" t="s">
        <v>31</v>
      </c>
      <c r="Z216" s="1623" t="s">
        <v>31</v>
      </c>
      <c r="AA216" s="1623" t="s">
        <v>31</v>
      </c>
      <c r="AB216" s="1623" t="s">
        <v>31</v>
      </c>
      <c r="AC216" s="1623" t="s">
        <v>31</v>
      </c>
      <c r="AD216" s="1623"/>
      <c r="AE216" s="1623"/>
      <c r="AF216" s="1623" t="s">
        <v>289</v>
      </c>
      <c r="AG216" s="1497"/>
      <c r="AH216" s="189"/>
      <c r="AI216" s="190"/>
    </row>
    <row r="217" spans="1:35" ht="21" customHeight="1" x14ac:dyDescent="0.2">
      <c r="A217" s="1491">
        <v>3701</v>
      </c>
      <c r="B217" s="1665" t="s">
        <v>283</v>
      </c>
      <c r="C217" s="1612"/>
      <c r="D217" s="1612" t="s">
        <v>31</v>
      </c>
      <c r="E217" s="1612" t="s">
        <v>31</v>
      </c>
      <c r="F217" s="1629" t="s">
        <v>31</v>
      </c>
      <c r="G217" s="1612" t="s">
        <v>31</v>
      </c>
      <c r="H217" s="1612" t="s">
        <v>31</v>
      </c>
      <c r="I217" s="1612"/>
      <c r="J217" s="1612"/>
      <c r="K217" s="1612" t="s">
        <v>31</v>
      </c>
      <c r="L217" s="1612" t="s">
        <v>31</v>
      </c>
      <c r="M217" s="1612" t="s">
        <v>31</v>
      </c>
      <c r="N217" s="1633" t="s">
        <v>31</v>
      </c>
      <c r="O217" s="1633" t="s">
        <v>31</v>
      </c>
      <c r="P217" s="1633"/>
      <c r="Q217" s="1628"/>
      <c r="R217" s="1633" t="s">
        <v>31</v>
      </c>
      <c r="S217" s="1612" t="s">
        <v>31</v>
      </c>
      <c r="T217" s="1612" t="s">
        <v>31</v>
      </c>
      <c r="U217" s="1633" t="s">
        <v>31</v>
      </c>
      <c r="V217" s="1633" t="s">
        <v>31</v>
      </c>
      <c r="W217" s="1633"/>
      <c r="X217" s="1612"/>
      <c r="Y217" s="1633" t="s">
        <v>31</v>
      </c>
      <c r="Z217" s="1612" t="s">
        <v>31</v>
      </c>
      <c r="AA217" s="1612" t="s">
        <v>31</v>
      </c>
      <c r="AB217" s="1612" t="s">
        <v>31</v>
      </c>
      <c r="AC217" s="1612" t="s">
        <v>31</v>
      </c>
      <c r="AD217" s="1629"/>
      <c r="AE217" s="1612"/>
      <c r="AF217" s="1629" t="s">
        <v>31</v>
      </c>
      <c r="AG217" s="1490"/>
      <c r="AH217" s="189"/>
      <c r="AI217" s="190"/>
    </row>
    <row r="218" spans="1:35" ht="21" customHeight="1" x14ac:dyDescent="0.2">
      <c r="A218" s="1491">
        <v>3701</v>
      </c>
      <c r="B218" s="1665" t="s">
        <v>284</v>
      </c>
      <c r="C218" s="1612"/>
      <c r="D218" s="1612" t="s">
        <v>31</v>
      </c>
      <c r="E218" s="1612" t="s">
        <v>31</v>
      </c>
      <c r="F218" s="1612" t="s">
        <v>31</v>
      </c>
      <c r="G218" s="1612" t="s">
        <v>31</v>
      </c>
      <c r="H218" s="1629" t="s">
        <v>31</v>
      </c>
      <c r="I218" s="1629"/>
      <c r="J218" s="1612"/>
      <c r="K218" s="1612" t="s">
        <v>31</v>
      </c>
      <c r="L218" s="1628" t="s">
        <v>31</v>
      </c>
      <c r="M218" s="1612" t="s">
        <v>31</v>
      </c>
      <c r="N218" s="1629" t="s">
        <v>31</v>
      </c>
      <c r="O218" s="1612" t="s">
        <v>31</v>
      </c>
      <c r="P218" s="1612"/>
      <c r="Q218" s="1612"/>
      <c r="R218" s="1612" t="s">
        <v>31</v>
      </c>
      <c r="S218" s="1612" t="s">
        <v>31</v>
      </c>
      <c r="T218" s="1612" t="s">
        <v>31</v>
      </c>
      <c r="U218" s="1612" t="s">
        <v>31</v>
      </c>
      <c r="V218" s="1612" t="s">
        <v>31</v>
      </c>
      <c r="W218" s="1612"/>
      <c r="X218" s="1612"/>
      <c r="Y218" s="1628" t="s">
        <v>31</v>
      </c>
      <c r="Z218" s="1628" t="s">
        <v>31</v>
      </c>
      <c r="AA218" s="1612" t="s">
        <v>31</v>
      </c>
      <c r="AB218" s="1612" t="s">
        <v>31</v>
      </c>
      <c r="AC218" s="1612" t="s">
        <v>31</v>
      </c>
      <c r="AD218" s="1612"/>
      <c r="AE218" s="1629"/>
      <c r="AF218" s="1629" t="s">
        <v>31</v>
      </c>
      <c r="AG218" s="1490"/>
      <c r="AH218" s="189"/>
      <c r="AI218" s="190"/>
    </row>
    <row r="219" spans="1:35" ht="22.15" customHeight="1" x14ac:dyDescent="0.2">
      <c r="A219" s="1491">
        <v>3701</v>
      </c>
      <c r="B219" s="1665" t="s">
        <v>285</v>
      </c>
      <c r="C219" s="1612"/>
      <c r="D219" s="1612" t="s">
        <v>31</v>
      </c>
      <c r="E219" s="1612" t="s">
        <v>31</v>
      </c>
      <c r="F219" s="1629" t="s">
        <v>31</v>
      </c>
      <c r="G219" s="1612" t="s">
        <v>31</v>
      </c>
      <c r="H219" s="1612" t="s">
        <v>31</v>
      </c>
      <c r="I219" s="1612"/>
      <c r="J219" s="1612"/>
      <c r="K219" s="1612" t="s">
        <v>31</v>
      </c>
      <c r="L219" s="1612" t="s">
        <v>31</v>
      </c>
      <c r="M219" s="1612" t="s">
        <v>31</v>
      </c>
      <c r="N219" s="1633" t="s">
        <v>31</v>
      </c>
      <c r="O219" s="1633" t="s">
        <v>31</v>
      </c>
      <c r="P219" s="1633"/>
      <c r="Q219" s="1628"/>
      <c r="R219" s="1633" t="s">
        <v>31</v>
      </c>
      <c r="S219" s="1612" t="s">
        <v>31</v>
      </c>
      <c r="T219" s="1612" t="s">
        <v>31</v>
      </c>
      <c r="U219" s="1633" t="s">
        <v>31</v>
      </c>
      <c r="V219" s="1633" t="s">
        <v>31</v>
      </c>
      <c r="W219" s="1633"/>
      <c r="X219" s="1612"/>
      <c r="Y219" s="1633" t="s">
        <v>31</v>
      </c>
      <c r="Z219" s="1612" t="s">
        <v>31</v>
      </c>
      <c r="AA219" s="1612" t="s">
        <v>31</v>
      </c>
      <c r="AB219" s="1612" t="s">
        <v>31</v>
      </c>
      <c r="AC219" s="1612" t="s">
        <v>31</v>
      </c>
      <c r="AD219" s="1629"/>
      <c r="AE219" s="1612"/>
      <c r="AF219" s="1629" t="s">
        <v>31</v>
      </c>
      <c r="AG219" s="1490"/>
      <c r="AH219" s="189"/>
      <c r="AI219" s="190"/>
    </row>
    <row r="220" spans="1:35" ht="22.15" customHeight="1" x14ac:dyDescent="0.2">
      <c r="A220" s="1491">
        <v>3701</v>
      </c>
      <c r="B220" s="1665" t="s">
        <v>286</v>
      </c>
      <c r="C220" s="1612"/>
      <c r="D220" s="1612" t="s">
        <v>31</v>
      </c>
      <c r="E220" s="1612" t="s">
        <v>31</v>
      </c>
      <c r="F220" s="1612" t="s">
        <v>31</v>
      </c>
      <c r="G220" s="1612" t="s">
        <v>31</v>
      </c>
      <c r="H220" s="1629" t="s">
        <v>31</v>
      </c>
      <c r="I220" s="1629"/>
      <c r="J220" s="1612"/>
      <c r="K220" s="1612" t="s">
        <v>31</v>
      </c>
      <c r="L220" s="1628" t="s">
        <v>31</v>
      </c>
      <c r="M220" s="1612" t="s">
        <v>31</v>
      </c>
      <c r="N220" s="1629" t="s">
        <v>31</v>
      </c>
      <c r="O220" s="1612" t="s">
        <v>31</v>
      </c>
      <c r="P220" s="1612"/>
      <c r="Q220" s="1612"/>
      <c r="R220" s="1612" t="s">
        <v>31</v>
      </c>
      <c r="S220" s="1612" t="s">
        <v>31</v>
      </c>
      <c r="T220" s="1612" t="s">
        <v>31</v>
      </c>
      <c r="U220" s="1612" t="s">
        <v>31</v>
      </c>
      <c r="V220" s="1612" t="s">
        <v>31</v>
      </c>
      <c r="W220" s="1612"/>
      <c r="X220" s="1612"/>
      <c r="Y220" s="1628" t="s">
        <v>31</v>
      </c>
      <c r="Z220" s="1628" t="s">
        <v>31</v>
      </c>
      <c r="AA220" s="1612" t="s">
        <v>31</v>
      </c>
      <c r="AB220" s="1612" t="s">
        <v>31</v>
      </c>
      <c r="AC220" s="1612" t="s">
        <v>31</v>
      </c>
      <c r="AD220" s="1612"/>
      <c r="AE220" s="1629"/>
      <c r="AF220" s="1629" t="s">
        <v>31</v>
      </c>
      <c r="AG220" s="1490"/>
      <c r="AH220" s="189"/>
      <c r="AI220" s="190"/>
    </row>
    <row r="221" spans="1:35" ht="22.15" customHeight="1" x14ac:dyDescent="0.2">
      <c r="A221" s="1491">
        <v>3701</v>
      </c>
      <c r="B221" s="1665"/>
      <c r="C221" s="1612"/>
      <c r="D221" s="1612" t="s">
        <v>31</v>
      </c>
      <c r="E221" s="1612" t="s">
        <v>31</v>
      </c>
      <c r="F221" s="1629" t="s">
        <v>31</v>
      </c>
      <c r="G221" s="1612" t="s">
        <v>31</v>
      </c>
      <c r="H221" s="1612" t="s">
        <v>31</v>
      </c>
      <c r="I221" s="1612"/>
      <c r="J221" s="1612"/>
      <c r="K221" s="1612" t="s">
        <v>31</v>
      </c>
      <c r="L221" s="1612" t="s">
        <v>31</v>
      </c>
      <c r="M221" s="1612" t="s">
        <v>31</v>
      </c>
      <c r="N221" s="1633" t="s">
        <v>31</v>
      </c>
      <c r="O221" s="1633" t="s">
        <v>31</v>
      </c>
      <c r="P221" s="1633"/>
      <c r="Q221" s="1628"/>
      <c r="R221" s="1633" t="s">
        <v>31</v>
      </c>
      <c r="S221" s="1612" t="s">
        <v>31</v>
      </c>
      <c r="T221" s="1612" t="s">
        <v>31</v>
      </c>
      <c r="U221" s="1633" t="s">
        <v>31</v>
      </c>
      <c r="V221" s="1633" t="s">
        <v>31</v>
      </c>
      <c r="W221" s="1633"/>
      <c r="X221" s="1612"/>
      <c r="Y221" s="1633" t="s">
        <v>31</v>
      </c>
      <c r="Z221" s="1612" t="s">
        <v>31</v>
      </c>
      <c r="AA221" s="1612" t="s">
        <v>31</v>
      </c>
      <c r="AB221" s="1612" t="s">
        <v>31</v>
      </c>
      <c r="AC221" s="1612" t="s">
        <v>31</v>
      </c>
      <c r="AD221" s="1629"/>
      <c r="AE221" s="1612"/>
      <c r="AF221" s="1629" t="s">
        <v>31</v>
      </c>
      <c r="AG221" s="1490"/>
      <c r="AH221" s="189"/>
      <c r="AI221" s="190"/>
    </row>
    <row r="222" spans="1:35" ht="22.15" customHeight="1" x14ac:dyDescent="0.2">
      <c r="A222" s="1493">
        <v>3701</v>
      </c>
      <c r="B222" s="1665" t="s">
        <v>290</v>
      </c>
      <c r="C222" s="1612"/>
      <c r="D222" s="1623" t="s">
        <v>31</v>
      </c>
      <c r="E222" s="1623" t="s">
        <v>289</v>
      </c>
      <c r="F222" s="1734" t="s">
        <v>31</v>
      </c>
      <c r="G222" s="1734" t="s">
        <v>31</v>
      </c>
      <c r="H222" s="1734" t="s">
        <v>31</v>
      </c>
      <c r="I222" s="1629"/>
      <c r="J222" s="1612"/>
      <c r="K222" s="1612" t="s">
        <v>31</v>
      </c>
      <c r="L222" s="1628" t="s">
        <v>31</v>
      </c>
      <c r="M222" s="1612" t="s">
        <v>31</v>
      </c>
      <c r="N222" s="1629" t="s">
        <v>31</v>
      </c>
      <c r="O222" s="1612" t="s">
        <v>31</v>
      </c>
      <c r="P222" s="1612"/>
      <c r="Q222" s="1612"/>
      <c r="R222" s="1736" t="s">
        <v>31</v>
      </c>
      <c r="S222" s="1612" t="s">
        <v>31</v>
      </c>
      <c r="T222" s="1612" t="s">
        <v>31</v>
      </c>
      <c r="U222" s="1612" t="s">
        <v>31</v>
      </c>
      <c r="V222" s="1612" t="s">
        <v>31</v>
      </c>
      <c r="W222" s="1612"/>
      <c r="X222" s="1612"/>
      <c r="Y222" s="1628" t="s">
        <v>31</v>
      </c>
      <c r="Z222" s="1628" t="s">
        <v>31</v>
      </c>
      <c r="AA222" s="1612" t="s">
        <v>31</v>
      </c>
      <c r="AB222" s="1612" t="s">
        <v>31</v>
      </c>
      <c r="AC222" s="1612" t="s">
        <v>31</v>
      </c>
      <c r="AD222" s="1612"/>
      <c r="AE222" s="1629"/>
      <c r="AF222" s="1629" t="s">
        <v>31</v>
      </c>
      <c r="AG222" s="1490"/>
      <c r="AH222" s="189"/>
      <c r="AI222" s="190"/>
    </row>
    <row r="223" spans="1:35" ht="22.15" customHeight="1" x14ac:dyDescent="0.2">
      <c r="A223" s="1491">
        <v>3701</v>
      </c>
      <c r="B223" s="1665" t="s">
        <v>291</v>
      </c>
      <c r="C223" s="1612"/>
      <c r="D223" s="1612" t="s">
        <v>31</v>
      </c>
      <c r="E223" s="1623" t="s">
        <v>31</v>
      </c>
      <c r="F223" s="1623" t="s">
        <v>31</v>
      </c>
      <c r="G223" s="1623" t="s">
        <v>31</v>
      </c>
      <c r="H223" s="1623" t="s">
        <v>289</v>
      </c>
      <c r="I223" s="1612"/>
      <c r="J223" s="1612"/>
      <c r="K223" s="1612" t="s">
        <v>31</v>
      </c>
      <c r="L223" s="1612" t="s">
        <v>31</v>
      </c>
      <c r="M223" s="1612" t="s">
        <v>31</v>
      </c>
      <c r="N223" s="1633" t="s">
        <v>31</v>
      </c>
      <c r="O223" s="1633" t="s">
        <v>31</v>
      </c>
      <c r="P223" s="1633"/>
      <c r="Q223" s="1628"/>
      <c r="R223" s="1633" t="s">
        <v>31</v>
      </c>
      <c r="S223" s="1612" t="s">
        <v>31</v>
      </c>
      <c r="T223" s="1612" t="s">
        <v>31</v>
      </c>
      <c r="U223" s="1633" t="s">
        <v>31</v>
      </c>
      <c r="V223" s="1633" t="s">
        <v>31</v>
      </c>
      <c r="W223" s="1633"/>
      <c r="X223" s="1612"/>
      <c r="Y223" s="1633" t="s">
        <v>31</v>
      </c>
      <c r="Z223" s="1612" t="s">
        <v>31</v>
      </c>
      <c r="AA223" s="1612" t="s">
        <v>31</v>
      </c>
      <c r="AB223" s="1612" t="s">
        <v>31</v>
      </c>
      <c r="AC223" s="1612" t="s">
        <v>31</v>
      </c>
      <c r="AD223" s="1629"/>
      <c r="AE223" s="1612"/>
      <c r="AF223" s="1629" t="s">
        <v>31</v>
      </c>
      <c r="AG223" s="1494"/>
      <c r="AH223" s="189"/>
      <c r="AI223" s="190"/>
    </row>
    <row r="224" spans="1:35" ht="22.15" customHeight="1" x14ac:dyDescent="0.2">
      <c r="A224" s="1491">
        <v>3701</v>
      </c>
      <c r="B224" s="1665" t="s">
        <v>292</v>
      </c>
      <c r="C224" s="1612"/>
      <c r="D224" s="1612" t="s">
        <v>31</v>
      </c>
      <c r="E224" s="1612" t="s">
        <v>31</v>
      </c>
      <c r="F224" s="1612" t="s">
        <v>31</v>
      </c>
      <c r="G224" s="1712" t="s">
        <v>31</v>
      </c>
      <c r="H224" s="1712" t="s">
        <v>31</v>
      </c>
      <c r="I224" s="1629"/>
      <c r="J224" s="1612"/>
      <c r="K224" s="1612" t="s">
        <v>31</v>
      </c>
      <c r="L224" s="1628" t="s">
        <v>31</v>
      </c>
      <c r="M224" s="1612" t="s">
        <v>31</v>
      </c>
      <c r="N224" s="1629" t="s">
        <v>31</v>
      </c>
      <c r="O224" s="1612" t="s">
        <v>31</v>
      </c>
      <c r="P224" s="1612"/>
      <c r="Q224" s="1612"/>
      <c r="R224" s="1612" t="s">
        <v>31</v>
      </c>
      <c r="S224" s="1612" t="s">
        <v>31</v>
      </c>
      <c r="T224" s="1612" t="s">
        <v>31</v>
      </c>
      <c r="U224" s="1612" t="s">
        <v>31</v>
      </c>
      <c r="V224" s="1612" t="s">
        <v>31</v>
      </c>
      <c r="W224" s="1612"/>
      <c r="X224" s="1612"/>
      <c r="Y224" s="1628" t="s">
        <v>31</v>
      </c>
      <c r="Z224" s="1628" t="s">
        <v>31</v>
      </c>
      <c r="AA224" s="1612" t="s">
        <v>31</v>
      </c>
      <c r="AB224" s="1612" t="s">
        <v>31</v>
      </c>
      <c r="AC224" s="1612" t="s">
        <v>31</v>
      </c>
      <c r="AD224" s="1612"/>
      <c r="AE224" s="1629"/>
      <c r="AF224" s="1629" t="s">
        <v>31</v>
      </c>
      <c r="AG224" s="1495"/>
      <c r="AH224" s="189"/>
      <c r="AI224" s="190"/>
    </row>
    <row r="225" spans="1:35" ht="22.15" customHeight="1" x14ac:dyDescent="0.2">
      <c r="A225" s="1491"/>
      <c r="B225" s="1496"/>
      <c r="C225" s="1612"/>
      <c r="D225" s="1612" t="s">
        <v>31</v>
      </c>
      <c r="E225" s="1612" t="s">
        <v>31</v>
      </c>
      <c r="F225" s="1629" t="s">
        <v>31</v>
      </c>
      <c r="G225" s="1612" t="s">
        <v>31</v>
      </c>
      <c r="H225" s="1612" t="s">
        <v>31</v>
      </c>
      <c r="I225" s="1612"/>
      <c r="J225" s="1612"/>
      <c r="K225" s="1612" t="s">
        <v>31</v>
      </c>
      <c r="L225" s="1612" t="s">
        <v>31</v>
      </c>
      <c r="M225" s="1612" t="s">
        <v>31</v>
      </c>
      <c r="N225" s="1633" t="s">
        <v>31</v>
      </c>
      <c r="O225" s="1633" t="s">
        <v>31</v>
      </c>
      <c r="P225" s="1633"/>
      <c r="Q225" s="1628"/>
      <c r="R225" s="1633" t="s">
        <v>31</v>
      </c>
      <c r="S225" s="1612" t="s">
        <v>31</v>
      </c>
      <c r="T225" s="1612" t="s">
        <v>31</v>
      </c>
      <c r="U225" s="1633" t="s">
        <v>31</v>
      </c>
      <c r="V225" s="1633" t="s">
        <v>31</v>
      </c>
      <c r="W225" s="1633"/>
      <c r="X225" s="1612"/>
      <c r="Y225" s="1633" t="s">
        <v>31</v>
      </c>
      <c r="Z225" s="1612" t="s">
        <v>31</v>
      </c>
      <c r="AA225" s="1612" t="s">
        <v>31</v>
      </c>
      <c r="AB225" s="1612" t="s">
        <v>31</v>
      </c>
      <c r="AC225" s="1612" t="s">
        <v>31</v>
      </c>
      <c r="AD225" s="1629"/>
      <c r="AE225" s="1612"/>
      <c r="AF225" s="1629" t="s">
        <v>31</v>
      </c>
      <c r="AG225" s="1490"/>
      <c r="AH225" s="189"/>
      <c r="AI225" s="190"/>
    </row>
    <row r="226" spans="1:35" ht="22.15" customHeight="1" x14ac:dyDescent="0.2">
      <c r="A226" s="1491"/>
      <c r="B226" s="1665" t="s">
        <v>293</v>
      </c>
      <c r="C226" s="1612"/>
      <c r="D226" s="1612" t="s">
        <v>31</v>
      </c>
      <c r="E226" s="1612" t="s">
        <v>31</v>
      </c>
      <c r="F226" s="1612" t="s">
        <v>31</v>
      </c>
      <c r="G226" s="1612" t="s">
        <v>31</v>
      </c>
      <c r="H226" s="1629" t="s">
        <v>31</v>
      </c>
      <c r="I226" s="1629"/>
      <c r="J226" s="1612"/>
      <c r="K226" s="1612" t="s">
        <v>31</v>
      </c>
      <c r="L226" s="1628" t="s">
        <v>31</v>
      </c>
      <c r="M226" s="1612" t="s">
        <v>31</v>
      </c>
      <c r="N226" s="1542" t="s">
        <v>31</v>
      </c>
      <c r="O226" s="1612" t="s">
        <v>31</v>
      </c>
      <c r="P226" s="1612"/>
      <c r="Q226" s="1612"/>
      <c r="R226" s="1612" t="s">
        <v>31</v>
      </c>
      <c r="S226" s="1612" t="s">
        <v>31</v>
      </c>
      <c r="T226" s="1612" t="s">
        <v>31</v>
      </c>
      <c r="U226" s="1612" t="s">
        <v>31</v>
      </c>
      <c r="V226" s="1612" t="s">
        <v>31</v>
      </c>
      <c r="W226" s="1612"/>
      <c r="X226" s="1612"/>
      <c r="Y226" s="1628" t="s">
        <v>31</v>
      </c>
      <c r="Z226" s="1628" t="s">
        <v>31</v>
      </c>
      <c r="AA226" s="1612" t="s">
        <v>31</v>
      </c>
      <c r="AB226" s="1612" t="s">
        <v>31</v>
      </c>
      <c r="AC226" s="1612" t="s">
        <v>31</v>
      </c>
      <c r="AD226" s="1612"/>
      <c r="AE226" s="1629"/>
      <c r="AF226" s="1629" t="s">
        <v>31</v>
      </c>
      <c r="AG226" s="1490"/>
      <c r="AH226" s="189"/>
      <c r="AI226" s="190"/>
    </row>
    <row r="227" spans="1:35" ht="22.15" customHeight="1" x14ac:dyDescent="0.2">
      <c r="A227" s="1491"/>
      <c r="B227" s="1665" t="s">
        <v>294</v>
      </c>
      <c r="C227" s="1612"/>
      <c r="D227" s="1623" t="s">
        <v>31</v>
      </c>
      <c r="E227" s="1623" t="s">
        <v>31</v>
      </c>
      <c r="F227" s="1623" t="s">
        <v>31</v>
      </c>
      <c r="G227" s="1623" t="s">
        <v>31</v>
      </c>
      <c r="H227" s="1623" t="s">
        <v>31</v>
      </c>
      <c r="I227" s="1623"/>
      <c r="J227" s="1623"/>
      <c r="K227" s="1623" t="s">
        <v>31</v>
      </c>
      <c r="L227" s="1623" t="s">
        <v>31</v>
      </c>
      <c r="M227" s="1623" t="s">
        <v>31</v>
      </c>
      <c r="N227" s="1623" t="s">
        <v>31</v>
      </c>
      <c r="O227" s="1623" t="s">
        <v>31</v>
      </c>
      <c r="P227" s="1623"/>
      <c r="Q227" s="1623"/>
      <c r="R227" s="1623" t="s">
        <v>31</v>
      </c>
      <c r="S227" s="1623" t="s">
        <v>31</v>
      </c>
      <c r="T227" s="1623" t="s">
        <v>31</v>
      </c>
      <c r="U227" s="1623" t="s">
        <v>31</v>
      </c>
      <c r="V227" s="1623" t="s">
        <v>31</v>
      </c>
      <c r="W227" s="1623"/>
      <c r="X227" s="1623"/>
      <c r="Y227" s="1623" t="s">
        <v>31</v>
      </c>
      <c r="Z227" s="1623" t="s">
        <v>31</v>
      </c>
      <c r="AA227" s="1623" t="s">
        <v>31</v>
      </c>
      <c r="AB227" s="1623" t="s">
        <v>31</v>
      </c>
      <c r="AC227" s="1623" t="s">
        <v>31</v>
      </c>
      <c r="AD227" s="1623"/>
      <c r="AE227" s="1623"/>
      <c r="AF227" s="1623" t="s">
        <v>31</v>
      </c>
      <c r="AG227" s="1497"/>
      <c r="AH227" s="189"/>
      <c r="AI227" s="190"/>
    </row>
    <row r="228" spans="1:35" ht="22.15" customHeight="1" x14ac:dyDescent="0.2">
      <c r="A228" s="1491"/>
      <c r="B228" s="1665" t="s">
        <v>295</v>
      </c>
      <c r="C228" s="1612"/>
      <c r="D228" s="1612" t="s">
        <v>31</v>
      </c>
      <c r="E228" s="1612" t="s">
        <v>31</v>
      </c>
      <c r="F228" s="1612" t="s">
        <v>31</v>
      </c>
      <c r="G228" s="1612" t="s">
        <v>31</v>
      </c>
      <c r="H228" s="1629" t="s">
        <v>31</v>
      </c>
      <c r="I228" s="1629"/>
      <c r="J228" s="1612"/>
      <c r="K228" s="1612" t="s">
        <v>31</v>
      </c>
      <c r="L228" s="1628" t="s">
        <v>31</v>
      </c>
      <c r="M228" s="1612" t="s">
        <v>31</v>
      </c>
      <c r="N228" s="1629" t="s">
        <v>31</v>
      </c>
      <c r="O228" s="1612" t="s">
        <v>31</v>
      </c>
      <c r="P228" s="1612"/>
      <c r="Q228" s="1612"/>
      <c r="R228" s="1612" t="s">
        <v>31</v>
      </c>
      <c r="S228" s="1612" t="s">
        <v>31</v>
      </c>
      <c r="T228" s="1612" t="s">
        <v>31</v>
      </c>
      <c r="U228" s="1612" t="s">
        <v>31</v>
      </c>
      <c r="V228" s="1612" t="s">
        <v>31</v>
      </c>
      <c r="W228" s="1612"/>
      <c r="X228" s="1612"/>
      <c r="Y228" s="1623" t="s">
        <v>289</v>
      </c>
      <c r="Z228" s="1734" t="s">
        <v>31</v>
      </c>
      <c r="AA228" s="1734" t="s">
        <v>31</v>
      </c>
      <c r="AB228" s="1734" t="s">
        <v>31</v>
      </c>
      <c r="AC228" s="1734" t="s">
        <v>31</v>
      </c>
      <c r="AD228" s="1612"/>
      <c r="AE228" s="1629"/>
      <c r="AF228" s="1629" t="s">
        <v>31</v>
      </c>
      <c r="AG228" s="1490"/>
      <c r="AH228" s="189"/>
      <c r="AI228" s="190"/>
    </row>
    <row r="229" spans="1:35" ht="22.15" customHeight="1" x14ac:dyDescent="0.2">
      <c r="A229" s="1491"/>
      <c r="B229" s="1665" t="s">
        <v>296</v>
      </c>
      <c r="C229" s="1612"/>
      <c r="D229" s="1612" t="s">
        <v>31</v>
      </c>
      <c r="E229" s="1612" t="s">
        <v>31</v>
      </c>
      <c r="F229" s="1629" t="s">
        <v>31</v>
      </c>
      <c r="G229" s="1612" t="s">
        <v>31</v>
      </c>
      <c r="H229" s="1612" t="s">
        <v>31</v>
      </c>
      <c r="I229" s="1612"/>
      <c r="J229" s="1612"/>
      <c r="K229" s="1612" t="s">
        <v>31</v>
      </c>
      <c r="L229" s="1612" t="s">
        <v>31</v>
      </c>
      <c r="M229" s="1612" t="s">
        <v>31</v>
      </c>
      <c r="N229" s="1633" t="s">
        <v>31</v>
      </c>
      <c r="O229" s="1633" t="s">
        <v>31</v>
      </c>
      <c r="P229" s="1633"/>
      <c r="Q229" s="1628"/>
      <c r="R229" s="1633" t="s">
        <v>31</v>
      </c>
      <c r="S229" s="1612" t="s">
        <v>31</v>
      </c>
      <c r="T229" s="1612" t="s">
        <v>31</v>
      </c>
      <c r="U229" s="1633" t="s">
        <v>31</v>
      </c>
      <c r="V229" s="1633" t="s">
        <v>31</v>
      </c>
      <c r="W229" s="1633"/>
      <c r="X229" s="1612"/>
      <c r="Y229" s="1633" t="s">
        <v>31</v>
      </c>
      <c r="Z229" s="1612" t="s">
        <v>31</v>
      </c>
      <c r="AA229" s="1612" t="s">
        <v>31</v>
      </c>
      <c r="AB229" s="1612" t="s">
        <v>31</v>
      </c>
      <c r="AC229" s="1612" t="s">
        <v>31</v>
      </c>
      <c r="AD229" s="1629"/>
      <c r="AE229" s="1612"/>
      <c r="AF229" s="1629" t="s">
        <v>31</v>
      </c>
      <c r="AG229" s="1494"/>
      <c r="AH229" s="189"/>
      <c r="AI229" s="190"/>
    </row>
    <row r="230" spans="1:35" ht="22.15" customHeight="1" x14ac:dyDescent="0.2">
      <c r="A230" s="1491"/>
      <c r="B230" s="1498" t="s">
        <v>297</v>
      </c>
      <c r="C230" s="1629"/>
      <c r="D230" s="1629"/>
      <c r="E230" s="1629"/>
      <c r="F230" s="1625"/>
      <c r="G230" s="1633"/>
      <c r="H230" s="1633"/>
      <c r="I230" s="1629"/>
      <c r="J230" s="1629"/>
      <c r="K230" s="1629"/>
      <c r="L230" s="1629"/>
      <c r="M230" s="1629"/>
      <c r="N230" s="1612"/>
      <c r="O230" s="1629"/>
      <c r="P230" s="1629"/>
      <c r="Q230" s="1629"/>
      <c r="R230" s="1629"/>
      <c r="S230" s="1629"/>
      <c r="T230" s="1629"/>
      <c r="U230" s="1629"/>
      <c r="V230" s="1629"/>
      <c r="W230" s="1629"/>
      <c r="X230" s="1629"/>
      <c r="Y230" s="1628"/>
      <c r="Z230" s="1628"/>
      <c r="AA230" s="1628"/>
      <c r="AB230" s="1629"/>
      <c r="AC230" s="1629"/>
      <c r="AD230" s="1629"/>
      <c r="AE230" s="1629"/>
      <c r="AF230" s="1612"/>
      <c r="AG230" s="1490"/>
      <c r="AH230" s="186"/>
      <c r="AI230" s="107"/>
    </row>
    <row r="231" spans="1:35" ht="22.15" customHeight="1" x14ac:dyDescent="0.2">
      <c r="A231" s="1491"/>
      <c r="B231" s="1665"/>
      <c r="C231" s="1629"/>
      <c r="D231" s="1629"/>
      <c r="E231" s="1629"/>
      <c r="F231" s="1625"/>
      <c r="G231" s="1633"/>
      <c r="H231" s="1633"/>
      <c r="I231" s="1629"/>
      <c r="J231" s="1629"/>
      <c r="K231" s="1629"/>
      <c r="L231" s="1629"/>
      <c r="M231" s="1629"/>
      <c r="N231" s="1612"/>
      <c r="O231" s="1629"/>
      <c r="P231" s="1629"/>
      <c r="Q231" s="1629"/>
      <c r="R231" s="1629"/>
      <c r="S231" s="1629"/>
      <c r="T231" s="1629"/>
      <c r="U231" s="1629"/>
      <c r="V231" s="1629"/>
      <c r="W231" s="1629"/>
      <c r="X231" s="1629"/>
      <c r="Y231" s="1628"/>
      <c r="Z231" s="1628"/>
      <c r="AA231" s="1628"/>
      <c r="AB231" s="1629"/>
      <c r="AC231" s="1629"/>
      <c r="AD231" s="1629"/>
      <c r="AE231" s="1629"/>
      <c r="AF231" s="1612"/>
      <c r="AG231" s="1499"/>
      <c r="AH231" s="186"/>
      <c r="AI231" s="107"/>
    </row>
    <row r="232" spans="1:35" ht="22.15" customHeight="1" x14ac:dyDescent="0.2">
      <c r="A232" s="1734"/>
      <c r="B232" s="1889" t="s">
        <v>298</v>
      </c>
      <c r="C232" s="1629"/>
      <c r="D232" s="1629"/>
      <c r="E232" s="1629"/>
      <c r="F232" s="1629"/>
      <c r="G232" s="1629"/>
      <c r="H232" s="1629"/>
      <c r="I232" s="1629"/>
      <c r="J232" s="1629"/>
      <c r="K232" s="1629"/>
      <c r="L232" s="1629"/>
      <c r="M232" s="1629"/>
      <c r="N232" s="1629"/>
      <c r="O232" s="1629"/>
      <c r="P232" s="1629"/>
      <c r="Q232" s="1629"/>
      <c r="R232" s="1629"/>
      <c r="S232" s="1629"/>
      <c r="T232" s="1629"/>
      <c r="U232" s="1629"/>
      <c r="V232" s="1629"/>
      <c r="W232" s="1629"/>
      <c r="X232" s="1629"/>
      <c r="Y232" s="1629"/>
      <c r="Z232" s="1629"/>
      <c r="AA232" s="1629"/>
      <c r="AB232" s="1629"/>
      <c r="AC232" s="1629"/>
      <c r="AD232" s="1629"/>
      <c r="AE232" s="1629"/>
      <c r="AF232" s="1629"/>
      <c r="AG232" s="1490"/>
      <c r="AH232" s="186"/>
      <c r="AI232" s="107"/>
    </row>
    <row r="233" spans="1:35" ht="22.15" customHeight="1" x14ac:dyDescent="0.2">
      <c r="A233" s="1734"/>
      <c r="B233" s="1665" t="s">
        <v>299</v>
      </c>
      <c r="C233" s="1612"/>
      <c r="D233" s="1612" t="s">
        <v>31</v>
      </c>
      <c r="E233" s="1612" t="s">
        <v>31</v>
      </c>
      <c r="F233" s="1629" t="s">
        <v>31</v>
      </c>
      <c r="G233" s="1612" t="s">
        <v>31</v>
      </c>
      <c r="H233" s="1612" t="s">
        <v>31</v>
      </c>
      <c r="I233" s="1612"/>
      <c r="J233" s="1612"/>
      <c r="K233" s="1612" t="s">
        <v>31</v>
      </c>
      <c r="L233" s="1612" t="s">
        <v>31</v>
      </c>
      <c r="M233" s="1612" t="s">
        <v>31</v>
      </c>
      <c r="N233" s="1633" t="s">
        <v>31</v>
      </c>
      <c r="O233" s="1633" t="s">
        <v>31</v>
      </c>
      <c r="P233" s="1633"/>
      <c r="Q233" s="1628"/>
      <c r="R233" s="1633" t="s">
        <v>31</v>
      </c>
      <c r="S233" s="1612" t="s">
        <v>31</v>
      </c>
      <c r="T233" s="1612" t="s">
        <v>31</v>
      </c>
      <c r="U233" s="1633" t="s">
        <v>31</v>
      </c>
      <c r="V233" s="1633" t="s">
        <v>31</v>
      </c>
      <c r="W233" s="1633"/>
      <c r="X233" s="1612"/>
      <c r="Y233" s="1633" t="s">
        <v>31</v>
      </c>
      <c r="Z233" s="1612" t="s">
        <v>31</v>
      </c>
      <c r="AA233" s="1612" t="s">
        <v>31</v>
      </c>
      <c r="AB233" s="1612" t="s">
        <v>31</v>
      </c>
      <c r="AC233" s="1612" t="s">
        <v>31</v>
      </c>
      <c r="AD233" s="1629"/>
      <c r="AE233" s="1612"/>
      <c r="AF233" s="1629" t="s">
        <v>31</v>
      </c>
      <c r="AG233" s="1499"/>
      <c r="AH233" s="186"/>
      <c r="AI233" s="107"/>
    </row>
    <row r="234" spans="1:35" ht="22.15" customHeight="1" x14ac:dyDescent="0.2">
      <c r="A234" s="1734"/>
      <c r="B234" s="1734"/>
      <c r="C234" s="1629"/>
      <c r="D234" s="1629"/>
      <c r="E234" s="1629"/>
      <c r="F234" s="1629"/>
      <c r="G234" s="1629"/>
      <c r="H234" s="1629"/>
      <c r="I234" s="1629"/>
      <c r="J234" s="1629"/>
      <c r="K234" s="1629"/>
      <c r="L234" s="1629"/>
      <c r="M234" s="1629"/>
      <c r="N234" s="1629"/>
      <c r="O234" s="1629"/>
      <c r="P234" s="1629"/>
      <c r="Q234" s="1629"/>
      <c r="R234" s="1629"/>
      <c r="S234" s="1629"/>
      <c r="T234" s="1629"/>
      <c r="U234" s="1629"/>
      <c r="V234" s="1629"/>
      <c r="W234" s="1629"/>
      <c r="X234" s="1629"/>
      <c r="Y234" s="1629"/>
      <c r="Z234" s="1629"/>
      <c r="AA234" s="1629"/>
      <c r="AB234" s="1629"/>
      <c r="AC234" s="1629"/>
      <c r="AD234" s="1629"/>
      <c r="AE234" s="1629"/>
      <c r="AF234" s="1629"/>
      <c r="AG234" s="1490"/>
      <c r="AH234" s="186"/>
      <c r="AI234" s="107"/>
    </row>
    <row r="235" spans="1:35" ht="22.15" customHeight="1" x14ac:dyDescent="0.2">
      <c r="A235" s="1734"/>
      <c r="B235" s="1734"/>
      <c r="C235" s="1629"/>
      <c r="D235" s="1629"/>
      <c r="E235" s="1629"/>
      <c r="F235" s="1629"/>
      <c r="G235" s="1629"/>
      <c r="H235" s="1501"/>
      <c r="I235" s="1629"/>
      <c r="J235" s="1629"/>
      <c r="K235" s="1629"/>
      <c r="L235" s="1629"/>
      <c r="M235" s="1629"/>
      <c r="N235" s="1629"/>
      <c r="O235" s="1629"/>
      <c r="P235" s="1629"/>
      <c r="Q235" s="1629"/>
      <c r="R235" s="1629"/>
      <c r="S235" s="1629"/>
      <c r="T235" s="1629"/>
      <c r="U235" s="1629"/>
      <c r="V235" s="1629"/>
      <c r="W235" s="1629"/>
      <c r="X235" s="1629"/>
      <c r="Y235" s="1629"/>
      <c r="Z235" s="1629"/>
      <c r="AA235" s="1629"/>
      <c r="AB235" s="1629"/>
      <c r="AC235" s="1629"/>
      <c r="AD235" s="1629"/>
      <c r="AE235" s="1629"/>
      <c r="AF235" s="1629"/>
      <c r="AG235" s="1499"/>
      <c r="AH235" s="186"/>
      <c r="AI235" s="107"/>
    </row>
    <row r="236" spans="1:35" ht="22.15" customHeight="1" x14ac:dyDescent="0.2">
      <c r="A236" s="1491"/>
      <c r="B236" s="1496"/>
      <c r="C236" s="1629"/>
      <c r="D236" s="1629"/>
      <c r="E236" s="1629"/>
      <c r="F236" s="1629"/>
      <c r="G236" s="1629"/>
      <c r="H236" s="1629"/>
      <c r="I236" s="1629"/>
      <c r="J236" s="1629"/>
      <c r="K236" s="1629"/>
      <c r="L236" s="1629"/>
      <c r="M236" s="1629"/>
      <c r="N236" s="1629"/>
      <c r="O236" s="1629"/>
      <c r="P236" s="1629"/>
      <c r="Q236" s="1629"/>
      <c r="R236" s="1629"/>
      <c r="S236" s="1629"/>
      <c r="T236" s="1629"/>
      <c r="U236" s="1629"/>
      <c r="V236" s="1629"/>
      <c r="W236" s="1629"/>
      <c r="X236" s="1629"/>
      <c r="Y236" s="1629"/>
      <c r="Z236" s="1629"/>
      <c r="AA236" s="1629"/>
      <c r="AB236" s="1629"/>
      <c r="AC236" s="1629"/>
      <c r="AD236" s="1629"/>
      <c r="AE236" s="1629"/>
      <c r="AF236" s="1629"/>
      <c r="AG236" s="1499"/>
      <c r="AH236" s="186"/>
      <c r="AI236" s="107"/>
    </row>
    <row r="237" spans="1:35" ht="22.15" customHeight="1" x14ac:dyDescent="0.2">
      <c r="A237" s="1491"/>
      <c r="B237" s="1502"/>
      <c r="C237" s="1629"/>
      <c r="D237" s="1629"/>
      <c r="E237" s="1629"/>
      <c r="F237" s="1629"/>
      <c r="G237" s="1629"/>
      <c r="H237" s="1629"/>
      <c r="I237" s="1629"/>
      <c r="J237" s="1629"/>
      <c r="K237" s="1629"/>
      <c r="L237" s="1629"/>
      <c r="M237" s="1629"/>
      <c r="N237" s="1629"/>
      <c r="O237" s="1629"/>
      <c r="P237" s="1629"/>
      <c r="Q237" s="1629"/>
      <c r="R237" s="1629"/>
      <c r="S237" s="1629"/>
      <c r="T237" s="1629"/>
      <c r="U237" s="1629"/>
      <c r="V237" s="1629"/>
      <c r="W237" s="1629"/>
      <c r="X237" s="1629"/>
      <c r="Y237" s="1629"/>
      <c r="Z237" s="1629"/>
      <c r="AA237" s="1629"/>
      <c r="AB237" s="1629"/>
      <c r="AC237" s="1629"/>
      <c r="AD237" s="1629"/>
      <c r="AE237" s="1629"/>
      <c r="AF237" s="1629"/>
      <c r="AG237" s="1499"/>
      <c r="AH237" s="186"/>
      <c r="AI237" s="107"/>
    </row>
    <row r="238" spans="1:35" ht="22.15" customHeight="1" x14ac:dyDescent="0.2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2" spans="1:35" ht="21" customHeight="1" thickBot="1" x14ac:dyDescent="0.25">
      <c r="A242" s="162" t="s">
        <v>300</v>
      </c>
    </row>
    <row r="243" spans="1:35" ht="21" customHeight="1" x14ac:dyDescent="0.2">
      <c r="B243" s="530" t="s">
        <v>267</v>
      </c>
      <c r="C243" s="500"/>
      <c r="D243" s="516" t="s">
        <v>90</v>
      </c>
      <c r="E243" s="473"/>
      <c r="F243" s="504"/>
      <c r="G243" s="500"/>
      <c r="H243" s="516" t="s">
        <v>91</v>
      </c>
      <c r="I243" s="473"/>
      <c r="J243" s="504"/>
      <c r="K243" s="500"/>
      <c r="L243" s="516" t="s">
        <v>92</v>
      </c>
      <c r="M243" s="473"/>
      <c r="N243" s="504"/>
      <c r="O243" s="500"/>
      <c r="P243" s="516" t="s">
        <v>93</v>
      </c>
      <c r="Q243" s="473"/>
      <c r="R243" s="504"/>
      <c r="S243" s="500"/>
      <c r="T243" s="516" t="s">
        <v>94</v>
      </c>
      <c r="U243" s="473"/>
      <c r="V243" s="504"/>
      <c r="W243" s="500"/>
      <c r="X243" s="516" t="s">
        <v>95</v>
      </c>
      <c r="Y243" s="473"/>
      <c r="Z243" s="504"/>
      <c r="AA243" s="500"/>
      <c r="AB243" s="516" t="s">
        <v>96</v>
      </c>
      <c r="AC243" s="473"/>
      <c r="AD243" s="473"/>
      <c r="AE243" s="519" t="s">
        <v>97</v>
      </c>
      <c r="AF243" s="473"/>
      <c r="AG243" s="473"/>
      <c r="AH243" s="473"/>
      <c r="AI243" s="474"/>
    </row>
    <row r="244" spans="1:35" ht="21" customHeight="1" x14ac:dyDescent="0.2">
      <c r="B244" s="3"/>
      <c r="C244" s="156"/>
      <c r="D244" s="117"/>
      <c r="E244" s="166"/>
      <c r="F244" s="168"/>
      <c r="G244" s="156"/>
      <c r="H244" s="117"/>
      <c r="I244" s="166"/>
      <c r="J244" s="168"/>
      <c r="K244" s="156"/>
      <c r="L244" s="117"/>
      <c r="M244" s="166"/>
      <c r="N244" s="168"/>
      <c r="O244" s="156"/>
      <c r="P244" s="117"/>
      <c r="Q244" s="166"/>
      <c r="R244" s="168"/>
      <c r="S244" s="156"/>
      <c r="T244" s="117"/>
      <c r="U244" s="166"/>
      <c r="V244" s="168"/>
      <c r="W244" s="156"/>
      <c r="X244" s="117"/>
      <c r="Y244" s="166"/>
      <c r="Z244" s="168"/>
      <c r="AA244" s="156"/>
      <c r="AB244" s="117"/>
      <c r="AC244" s="166"/>
      <c r="AD244" s="166"/>
      <c r="AE244" s="118"/>
      <c r="AF244" s="166"/>
      <c r="AG244" s="14"/>
      <c r="AH244" s="14"/>
      <c r="AI244" s="119"/>
    </row>
    <row r="245" spans="1:35" ht="21" customHeight="1" x14ac:dyDescent="0.2">
      <c r="A245" s="110"/>
      <c r="B245" s="1890">
        <v>3701</v>
      </c>
      <c r="C245" s="1283" t="s">
        <v>272</v>
      </c>
      <c r="D245" s="1284"/>
      <c r="E245" s="166"/>
      <c r="F245" s="168"/>
      <c r="G245" s="1283" t="s">
        <v>272</v>
      </c>
      <c r="H245" s="117"/>
      <c r="I245" s="166"/>
      <c r="J245" s="168"/>
      <c r="K245" s="1283" t="s">
        <v>272</v>
      </c>
      <c r="L245" s="117"/>
      <c r="M245" s="166"/>
      <c r="N245" s="168"/>
      <c r="O245" s="1283" t="s">
        <v>272</v>
      </c>
      <c r="P245" s="117"/>
      <c r="Q245" s="166"/>
      <c r="R245" s="168"/>
      <c r="S245" s="156" t="s">
        <v>273</v>
      </c>
      <c r="T245" s="117"/>
      <c r="U245" s="166"/>
      <c r="V245" s="168"/>
      <c r="W245" s="156"/>
      <c r="X245" s="117"/>
      <c r="Y245" s="166"/>
      <c r="Z245" s="168"/>
      <c r="AA245" s="156"/>
      <c r="AB245" s="117"/>
      <c r="AC245" s="166"/>
      <c r="AD245" s="166"/>
      <c r="AE245" s="118"/>
      <c r="AF245" s="166"/>
      <c r="AG245" s="14"/>
      <c r="AH245" s="14"/>
      <c r="AI245" s="119"/>
    </row>
    <row r="246" spans="1:35" ht="21" customHeight="1" x14ac:dyDescent="0.2">
      <c r="B246" s="1890"/>
      <c r="C246" s="1283"/>
      <c r="D246" s="1284"/>
      <c r="E246" s="166"/>
      <c r="F246" s="168"/>
      <c r="G246" s="1283"/>
      <c r="H246" s="117"/>
      <c r="I246" s="166"/>
      <c r="J246" s="168"/>
      <c r="K246" s="1283"/>
      <c r="L246" s="117"/>
      <c r="M246" s="166"/>
      <c r="N246" s="168"/>
      <c r="O246" s="1283"/>
      <c r="P246" s="117"/>
      <c r="Q246" s="166"/>
      <c r="R246" s="168"/>
      <c r="S246" s="1283"/>
      <c r="T246" s="117"/>
      <c r="U246" s="166"/>
      <c r="V246" s="168"/>
      <c r="W246" s="156"/>
      <c r="X246" s="117"/>
      <c r="Y246" s="166"/>
      <c r="Z246" s="168"/>
      <c r="AA246" s="156"/>
      <c r="AB246" s="117"/>
      <c r="AC246" s="166"/>
      <c r="AD246" s="166"/>
      <c r="AE246" s="118"/>
      <c r="AF246" s="166"/>
      <c r="AG246" s="14"/>
      <c r="AH246" s="14"/>
      <c r="AI246" s="119"/>
    </row>
    <row r="247" spans="1:35" ht="21" customHeight="1" x14ac:dyDescent="0.2">
      <c r="B247" s="1890">
        <v>3702</v>
      </c>
      <c r="C247" s="1283" t="s">
        <v>301</v>
      </c>
      <c r="D247" s="1284"/>
      <c r="E247" s="166"/>
      <c r="F247" s="168"/>
      <c r="G247" s="1283" t="s">
        <v>301</v>
      </c>
      <c r="H247" s="1284"/>
      <c r="I247" s="166"/>
      <c r="J247" s="168"/>
      <c r="K247" s="1283" t="s">
        <v>301</v>
      </c>
      <c r="L247" s="1284"/>
      <c r="M247" s="166"/>
      <c r="N247" s="168"/>
      <c r="O247" s="1283" t="s">
        <v>301</v>
      </c>
      <c r="P247" s="1284"/>
      <c r="Q247" s="166"/>
      <c r="R247" s="168"/>
      <c r="S247" s="1283" t="s">
        <v>302</v>
      </c>
      <c r="T247" s="1284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B248" s="1890"/>
      <c r="C248" s="1391"/>
      <c r="D248" s="1284"/>
      <c r="E248" s="166"/>
      <c r="F248" s="168"/>
      <c r="G248" s="117"/>
      <c r="H248" s="117"/>
      <c r="I248" s="166"/>
      <c r="J248" s="168"/>
      <c r="K248" s="117"/>
      <c r="L248" s="117"/>
      <c r="M248" s="166"/>
      <c r="N248" s="168"/>
      <c r="O248" s="117"/>
      <c r="P248" s="117"/>
      <c r="Q248" s="166"/>
      <c r="R248" s="168"/>
      <c r="S248" s="117"/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1890" t="s">
        <v>139</v>
      </c>
      <c r="C249" s="1391" t="s">
        <v>303</v>
      </c>
      <c r="D249" s="1284"/>
      <c r="E249" s="166"/>
      <c r="F249" s="168"/>
      <c r="G249" s="1391" t="s">
        <v>303</v>
      </c>
      <c r="H249" s="1284"/>
      <c r="I249" s="166"/>
      <c r="J249" s="168"/>
      <c r="K249" s="1391" t="s">
        <v>303</v>
      </c>
      <c r="L249" s="1284"/>
      <c r="M249" s="166"/>
      <c r="N249" s="168"/>
      <c r="O249" s="1391" t="s">
        <v>303</v>
      </c>
      <c r="P249" s="1284"/>
      <c r="Q249" s="166"/>
      <c r="R249" s="168"/>
      <c r="S249" s="117" t="s">
        <v>304</v>
      </c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x14ac:dyDescent="0.2">
      <c r="B250" s="1890" t="s">
        <v>143</v>
      </c>
      <c r="C250" s="1391" t="s">
        <v>305</v>
      </c>
      <c r="D250" s="1284"/>
      <c r="E250" s="166"/>
      <c r="F250" s="168"/>
      <c r="G250" s="1391" t="s">
        <v>305</v>
      </c>
      <c r="H250" s="1284"/>
      <c r="I250" s="166"/>
      <c r="J250" s="168"/>
      <c r="K250" s="1391" t="s">
        <v>305</v>
      </c>
      <c r="L250" s="1284"/>
      <c r="M250" s="166"/>
      <c r="N250" s="168"/>
      <c r="O250" s="1391" t="s">
        <v>305</v>
      </c>
      <c r="P250" s="1284"/>
      <c r="Q250" s="166"/>
      <c r="R250" s="168"/>
      <c r="S250" s="117" t="s">
        <v>306</v>
      </c>
      <c r="T250" s="117"/>
      <c r="U250" s="166"/>
      <c r="V250" s="168"/>
      <c r="W250" s="156"/>
      <c r="X250" s="117"/>
      <c r="Y250" s="166"/>
      <c r="Z250" s="168"/>
      <c r="AA250" s="156"/>
      <c r="AB250" s="117"/>
      <c r="AC250" s="166"/>
      <c r="AD250" s="166"/>
      <c r="AE250" s="118"/>
      <c r="AF250" s="166"/>
      <c r="AG250" s="14"/>
      <c r="AH250" s="14"/>
      <c r="AI250" s="119"/>
    </row>
    <row r="251" spans="1:35" ht="21" customHeight="1" thickBot="1" x14ac:dyDescent="0.25">
      <c r="B251" s="1089" t="s">
        <v>153</v>
      </c>
      <c r="C251" s="1404" t="s">
        <v>307</v>
      </c>
      <c r="D251" s="1892"/>
      <c r="E251" s="1506"/>
      <c r="F251" s="1507"/>
      <c r="G251" s="1404" t="s">
        <v>307</v>
      </c>
      <c r="H251" s="1892"/>
      <c r="I251" s="1506"/>
      <c r="J251" s="1507"/>
      <c r="K251" s="1404" t="s">
        <v>307</v>
      </c>
      <c r="L251" s="1892"/>
      <c r="M251" s="1506"/>
      <c r="N251" s="1507"/>
      <c r="O251" s="1404" t="s">
        <v>307</v>
      </c>
      <c r="P251" s="1892"/>
      <c r="Q251" s="1506"/>
      <c r="R251" s="1507"/>
      <c r="S251" s="1508" t="s">
        <v>308</v>
      </c>
      <c r="T251" s="1508"/>
      <c r="U251" s="1506"/>
      <c r="V251" s="1507"/>
      <c r="W251" s="1094"/>
      <c r="X251" s="1508"/>
      <c r="Y251" s="1510"/>
      <c r="Z251" s="1511"/>
      <c r="AA251" s="1097"/>
      <c r="AB251" s="1508"/>
      <c r="AC251" s="1510"/>
      <c r="AD251" s="1510"/>
      <c r="AE251" s="1098"/>
      <c r="AF251" s="1510"/>
      <c r="AG251" s="1506"/>
      <c r="AH251" s="1506"/>
      <c r="AI251" s="1099"/>
    </row>
    <row r="252" spans="1:35" ht="21" customHeight="1" x14ac:dyDescent="0.2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 x14ac:dyDescent="0.2">
      <c r="A253" s="123" t="s">
        <v>309</v>
      </c>
    </row>
    <row r="254" spans="1:35" ht="21" customHeight="1" thickBot="1" x14ac:dyDescent="0.25">
      <c r="A254" s="1343"/>
      <c r="B254" s="1247" t="s">
        <v>29</v>
      </c>
      <c r="C254" s="1185">
        <v>1</v>
      </c>
      <c r="D254" s="1186">
        <v>2</v>
      </c>
      <c r="E254" s="1186">
        <v>3</v>
      </c>
      <c r="F254" s="1186">
        <v>4</v>
      </c>
      <c r="G254" s="1186">
        <v>5</v>
      </c>
      <c r="H254" s="1186">
        <v>6</v>
      </c>
      <c r="I254" s="1185">
        <v>7</v>
      </c>
      <c r="J254" s="1185">
        <v>8</v>
      </c>
      <c r="K254" s="1186">
        <v>9</v>
      </c>
      <c r="L254" s="1186">
        <v>10</v>
      </c>
      <c r="M254" s="1186">
        <v>11</v>
      </c>
      <c r="N254" s="1186">
        <v>12</v>
      </c>
      <c r="O254" s="1186">
        <v>13</v>
      </c>
      <c r="P254" s="1185">
        <v>14</v>
      </c>
      <c r="Q254" s="1185">
        <v>15</v>
      </c>
      <c r="R254" s="1186">
        <v>16</v>
      </c>
      <c r="S254" s="1186">
        <v>17</v>
      </c>
      <c r="T254" s="1186">
        <v>18</v>
      </c>
      <c r="U254" s="1186">
        <v>19</v>
      </c>
      <c r="V254" s="1186">
        <v>20</v>
      </c>
      <c r="W254" s="1185">
        <v>21</v>
      </c>
      <c r="X254" s="1185">
        <v>22</v>
      </c>
      <c r="Y254" s="1186">
        <v>23</v>
      </c>
      <c r="Z254" s="1186">
        <v>24</v>
      </c>
      <c r="AA254" s="1186">
        <v>25</v>
      </c>
      <c r="AB254" s="1186">
        <v>26</v>
      </c>
      <c r="AC254" s="1186">
        <v>27</v>
      </c>
      <c r="AD254" s="1185">
        <v>28</v>
      </c>
      <c r="AE254" s="1185">
        <v>29</v>
      </c>
      <c r="AF254" s="1186">
        <v>30</v>
      </c>
      <c r="AG254" s="2035"/>
      <c r="AH254" s="184"/>
      <c r="AI254" s="185"/>
    </row>
    <row r="255" spans="1:35" ht="21" customHeight="1" x14ac:dyDescent="0.2">
      <c r="A255" s="531">
        <v>3701</v>
      </c>
      <c r="B255" s="476"/>
      <c r="C255" s="1612"/>
      <c r="D255" s="1612" t="s">
        <v>31</v>
      </c>
      <c r="E255" s="1612" t="s">
        <v>31</v>
      </c>
      <c r="F255" s="1629" t="s">
        <v>31</v>
      </c>
      <c r="G255" s="1612" t="s">
        <v>31</v>
      </c>
      <c r="H255" s="1612" t="s">
        <v>31</v>
      </c>
      <c r="I255" s="1612"/>
      <c r="J255" s="1612"/>
      <c r="K255" s="1612" t="s">
        <v>31</v>
      </c>
      <c r="L255" s="1612" t="s">
        <v>31</v>
      </c>
      <c r="M255" s="1612" t="s">
        <v>31</v>
      </c>
      <c r="N255" s="1633" t="s">
        <v>31</v>
      </c>
      <c r="O255" s="1633" t="s">
        <v>31</v>
      </c>
      <c r="P255" s="1633"/>
      <c r="Q255" s="1628"/>
      <c r="R255" s="1633" t="s">
        <v>31</v>
      </c>
      <c r="S255" s="1612" t="s">
        <v>31</v>
      </c>
      <c r="T255" s="1612" t="s">
        <v>31</v>
      </c>
      <c r="U255" s="1633" t="s">
        <v>31</v>
      </c>
      <c r="V255" s="1633" t="s">
        <v>31</v>
      </c>
      <c r="W255" s="1633"/>
      <c r="X255" s="1612"/>
      <c r="Y255" s="1633" t="s">
        <v>31</v>
      </c>
      <c r="Z255" s="1612" t="s">
        <v>31</v>
      </c>
      <c r="AA255" s="1612" t="s">
        <v>31</v>
      </c>
      <c r="AB255" s="1612" t="s">
        <v>31</v>
      </c>
      <c r="AC255" s="1612" t="s">
        <v>31</v>
      </c>
      <c r="AD255" s="1629"/>
      <c r="AE255" s="1612"/>
      <c r="AF255" s="1629" t="s">
        <v>31</v>
      </c>
      <c r="AG255" s="478"/>
      <c r="AH255" s="189"/>
      <c r="AI255" s="190"/>
    </row>
    <row r="256" spans="1:35" ht="21" customHeight="1" x14ac:dyDescent="0.2">
      <c r="A256" s="1893">
        <v>3702</v>
      </c>
      <c r="B256" s="1202" t="s">
        <v>310</v>
      </c>
      <c r="C256" s="1612"/>
      <c r="D256" s="1612" t="s">
        <v>31</v>
      </c>
      <c r="E256" s="1612" t="s">
        <v>31</v>
      </c>
      <c r="F256" s="1629" t="s">
        <v>31</v>
      </c>
      <c r="G256" s="1612" t="s">
        <v>31</v>
      </c>
      <c r="H256" s="1612" t="s">
        <v>31</v>
      </c>
      <c r="I256" s="1612"/>
      <c r="J256" s="1612"/>
      <c r="K256" s="1612" t="s">
        <v>31</v>
      </c>
      <c r="L256" s="1612" t="s">
        <v>31</v>
      </c>
      <c r="M256" s="1612" t="s">
        <v>31</v>
      </c>
      <c r="N256" s="1633" t="s">
        <v>31</v>
      </c>
      <c r="O256" s="1633" t="s">
        <v>31</v>
      </c>
      <c r="P256" s="1633"/>
      <c r="Q256" s="1628"/>
      <c r="R256" s="1633" t="s">
        <v>31</v>
      </c>
      <c r="S256" s="1612" t="s">
        <v>31</v>
      </c>
      <c r="T256" s="1612" t="s">
        <v>31</v>
      </c>
      <c r="U256" s="1633" t="s">
        <v>31</v>
      </c>
      <c r="V256" s="1633" t="s">
        <v>31</v>
      </c>
      <c r="W256" s="1633"/>
      <c r="X256" s="1612"/>
      <c r="Y256" s="1633" t="s">
        <v>31</v>
      </c>
      <c r="Z256" s="1612" t="s">
        <v>31</v>
      </c>
      <c r="AA256" s="1612" t="s">
        <v>31</v>
      </c>
      <c r="AB256" s="1612" t="s">
        <v>31</v>
      </c>
      <c r="AC256" s="1612" t="s">
        <v>31</v>
      </c>
      <c r="AD256" s="1629"/>
      <c r="AE256" s="1612"/>
      <c r="AF256" s="1629" t="s">
        <v>31</v>
      </c>
      <c r="AG256" s="1261"/>
      <c r="AH256" s="189"/>
      <c r="AI256" s="190"/>
    </row>
    <row r="257" spans="1:35" ht="21" customHeight="1" x14ac:dyDescent="0.2">
      <c r="A257" s="1893"/>
      <c r="B257" s="1202"/>
      <c r="C257" s="1259"/>
      <c r="D257" s="1259"/>
      <c r="E257" s="1259"/>
      <c r="F257" s="1259"/>
      <c r="G257" s="1259"/>
      <c r="H257" s="1259"/>
      <c r="I257" s="1259"/>
      <c r="J257" s="1259"/>
      <c r="K257" s="1259"/>
      <c r="L257" s="1259"/>
      <c r="M257" s="1894"/>
      <c r="N257" s="1259"/>
      <c r="O257" s="1259"/>
      <c r="P257" s="1259"/>
      <c r="Q257" s="1259"/>
      <c r="R257" s="1259"/>
      <c r="S257" s="1259"/>
      <c r="T257" s="1259"/>
      <c r="U257" s="1259"/>
      <c r="V257" s="1259"/>
      <c r="W257" s="1259"/>
      <c r="X257" s="1259"/>
      <c r="Y257" s="1259"/>
      <c r="Z257" s="1259"/>
      <c r="AA257" s="1259"/>
      <c r="AB257" s="1259"/>
      <c r="AC257" s="1259"/>
      <c r="AD257" s="1259"/>
      <c r="AE257" s="1259"/>
      <c r="AF257" s="1259"/>
      <c r="AG257" s="1261"/>
      <c r="AH257" s="189"/>
      <c r="AI257" s="190"/>
    </row>
    <row r="258" spans="1:35" ht="21" customHeight="1" thickBot="1" x14ac:dyDescent="0.25">
      <c r="A258" s="1895"/>
      <c r="B258" s="1896"/>
      <c r="C258" s="1254"/>
      <c r="D258" s="1254"/>
      <c r="E258" s="1254"/>
      <c r="F258" s="1254"/>
      <c r="G258" s="1254"/>
      <c r="H258" s="1254"/>
      <c r="I258" s="1254"/>
      <c r="J258" s="1254"/>
      <c r="K258" s="1254"/>
      <c r="L258" s="1254"/>
      <c r="M258" s="1254"/>
      <c r="N258" s="1254"/>
      <c r="O258" s="1254"/>
      <c r="P258" s="1254"/>
      <c r="Q258" s="1254"/>
      <c r="R258" s="1254"/>
      <c r="S258" s="1254"/>
      <c r="T258" s="1254"/>
      <c r="U258" s="1254"/>
      <c r="V258" s="1254"/>
      <c r="W258" s="1254"/>
      <c r="X258" s="1254"/>
      <c r="Y258" s="1254"/>
      <c r="Z258" s="1254"/>
      <c r="AA258" s="1254"/>
      <c r="AB258" s="1254"/>
      <c r="AC258" s="1254"/>
      <c r="AD258" s="1254"/>
      <c r="AE258" s="1254"/>
      <c r="AF258" s="1254"/>
      <c r="AG258" s="1945"/>
      <c r="AH258" s="189"/>
      <c r="AI258" s="190"/>
    </row>
    <row r="259" spans="1:35" ht="21" customHeight="1" x14ac:dyDescent="0.2">
      <c r="A259" s="251"/>
      <c r="B259" s="2059" t="s">
        <v>311</v>
      </c>
      <c r="C259" s="2060"/>
      <c r="D259" s="2060"/>
      <c r="E259" s="2060"/>
      <c r="F259" s="2060"/>
      <c r="G259" s="2060"/>
      <c r="H259" s="2060"/>
      <c r="I259" s="2060"/>
      <c r="J259" s="2060"/>
      <c r="K259" s="2060"/>
      <c r="L259" s="2060"/>
      <c r="M259" s="2060"/>
      <c r="N259" s="2060"/>
      <c r="O259" s="2060"/>
      <c r="P259" s="2060"/>
      <c r="Q259" s="2060"/>
      <c r="R259" s="2060"/>
      <c r="S259" s="2060"/>
      <c r="T259" s="2060"/>
      <c r="U259" s="2060"/>
      <c r="V259" s="2060"/>
      <c r="W259" s="2060"/>
      <c r="X259" s="2060"/>
      <c r="Y259" s="2060"/>
      <c r="Z259" s="2060"/>
      <c r="AA259" s="2060"/>
      <c r="AB259" s="2060"/>
      <c r="AC259" s="2060"/>
      <c r="AD259" s="2060"/>
      <c r="AE259" s="2060"/>
      <c r="AF259" s="2060"/>
      <c r="AG259" s="2061"/>
      <c r="AH259" s="187"/>
      <c r="AI259" s="188"/>
    </row>
    <row r="260" spans="1:35" ht="21" customHeight="1" x14ac:dyDescent="0.2">
      <c r="A260" s="1893">
        <v>3702</v>
      </c>
      <c r="B260" s="1473" t="s">
        <v>312</v>
      </c>
      <c r="C260" s="1259"/>
      <c r="D260" s="1259" t="s">
        <v>313</v>
      </c>
      <c r="E260" s="1259" t="s">
        <v>313</v>
      </c>
      <c r="F260" s="1259" t="s">
        <v>313</v>
      </c>
      <c r="G260" s="1259" t="s">
        <v>313</v>
      </c>
      <c r="H260" s="1259" t="s">
        <v>313</v>
      </c>
      <c r="I260" s="1259"/>
      <c r="J260" s="1259"/>
      <c r="K260" s="1259" t="s">
        <v>313</v>
      </c>
      <c r="L260" s="1259" t="s">
        <v>313</v>
      </c>
      <c r="M260" s="1259" t="s">
        <v>313</v>
      </c>
      <c r="N260" s="1259" t="s">
        <v>313</v>
      </c>
      <c r="O260" s="1259" t="s">
        <v>313</v>
      </c>
      <c r="P260" s="1259"/>
      <c r="Q260" s="1259"/>
      <c r="R260" s="1993" t="s">
        <v>412</v>
      </c>
      <c r="S260" s="1259" t="s">
        <v>313</v>
      </c>
      <c r="T260" s="1259" t="s">
        <v>313</v>
      </c>
      <c r="U260" s="1259" t="s">
        <v>313</v>
      </c>
      <c r="V260" s="1259" t="s">
        <v>313</v>
      </c>
      <c r="W260" s="1259"/>
      <c r="X260" s="1259"/>
      <c r="Y260" s="1259" t="s">
        <v>313</v>
      </c>
      <c r="Z260" s="1259" t="s">
        <v>313</v>
      </c>
      <c r="AA260" s="1259" t="s">
        <v>313</v>
      </c>
      <c r="AB260" s="1259" t="s">
        <v>313</v>
      </c>
      <c r="AC260" s="1259" t="s">
        <v>313</v>
      </c>
      <c r="AD260" s="1259"/>
      <c r="AE260" s="1259"/>
      <c r="AF260" s="1259" t="s">
        <v>313</v>
      </c>
      <c r="AG260" s="2062"/>
      <c r="AH260" s="189"/>
      <c r="AI260" s="190"/>
    </row>
    <row r="261" spans="1:35" ht="21" customHeight="1" x14ac:dyDescent="0.2">
      <c r="A261" s="1893"/>
      <c r="B261" s="1865" t="s">
        <v>314</v>
      </c>
      <c r="C261" s="1259"/>
      <c r="D261" s="1259" t="s">
        <v>315</v>
      </c>
      <c r="E261" s="1259" t="s">
        <v>315</v>
      </c>
      <c r="F261" s="1259" t="s">
        <v>315</v>
      </c>
      <c r="G261" s="1259" t="s">
        <v>315</v>
      </c>
      <c r="H261" s="1259" t="s">
        <v>315</v>
      </c>
      <c r="I261" s="1259"/>
      <c r="J261" s="1259"/>
      <c r="K261" s="1259" t="s">
        <v>315</v>
      </c>
      <c r="L261" s="1259" t="s">
        <v>315</v>
      </c>
      <c r="M261" s="1259" t="s">
        <v>315</v>
      </c>
      <c r="N261" s="1259" t="s">
        <v>315</v>
      </c>
      <c r="O261" s="1259" t="s">
        <v>315</v>
      </c>
      <c r="P261" s="1259"/>
      <c r="Q261" s="1259"/>
      <c r="R261" s="1259" t="s">
        <v>315</v>
      </c>
      <c r="S261" s="1259" t="s">
        <v>315</v>
      </c>
      <c r="T261" s="1259" t="s">
        <v>315</v>
      </c>
      <c r="U261" s="1259" t="s">
        <v>315</v>
      </c>
      <c r="V261" s="1270" t="s">
        <v>315</v>
      </c>
      <c r="W261" s="1259"/>
      <c r="X261" s="1259"/>
      <c r="Y261" s="1270" t="s">
        <v>315</v>
      </c>
      <c r="Z261" s="1259" t="s">
        <v>315</v>
      </c>
      <c r="AA261" s="1259" t="s">
        <v>315</v>
      </c>
      <c r="AB261" s="1259" t="s">
        <v>315</v>
      </c>
      <c r="AC261" s="1259" t="s">
        <v>315</v>
      </c>
      <c r="AD261" s="1259"/>
      <c r="AE261" s="1259"/>
      <c r="AF261" s="1259" t="s">
        <v>315</v>
      </c>
      <c r="AG261" s="2062"/>
      <c r="AH261" s="189"/>
      <c r="AI261" s="190"/>
    </row>
    <row r="262" spans="1:35" ht="21" customHeight="1" thickBot="1" x14ac:dyDescent="0.25">
      <c r="A262" s="1112"/>
      <c r="B262" s="2127" t="s">
        <v>316</v>
      </c>
      <c r="C262" s="1255"/>
      <c r="D262" s="1255" t="s">
        <v>317</v>
      </c>
      <c r="E262" s="1255" t="s">
        <v>317</v>
      </c>
      <c r="F262" s="1255" t="s">
        <v>317</v>
      </c>
      <c r="G262" s="1255" t="s">
        <v>317</v>
      </c>
      <c r="H262" s="1255" t="s">
        <v>317</v>
      </c>
      <c r="I262" s="1255"/>
      <c r="J262" s="1255"/>
      <c r="K262" s="1255" t="s">
        <v>317</v>
      </c>
      <c r="L262" s="1255" t="s">
        <v>317</v>
      </c>
      <c r="M262" s="1255" t="s">
        <v>317</v>
      </c>
      <c r="N262" s="1256" t="s">
        <v>317</v>
      </c>
      <c r="O262" s="1255" t="s">
        <v>317</v>
      </c>
      <c r="P262" s="1255"/>
      <c r="Q262" s="1255"/>
      <c r="R262" s="1255" t="s">
        <v>317</v>
      </c>
      <c r="S262" s="1255" t="s">
        <v>317</v>
      </c>
      <c r="T262" s="1255" t="s">
        <v>317</v>
      </c>
      <c r="U262" s="1255" t="s">
        <v>317</v>
      </c>
      <c r="V262" s="1255" t="s">
        <v>317</v>
      </c>
      <c r="W262" s="1255"/>
      <c r="X262" s="1255"/>
      <c r="Y262" s="1255" t="s">
        <v>317</v>
      </c>
      <c r="Z262" s="1255" t="s">
        <v>317</v>
      </c>
      <c r="AA262" s="1255" t="s">
        <v>317</v>
      </c>
      <c r="AB262" s="1255" t="s">
        <v>317</v>
      </c>
      <c r="AC262" s="1255" t="s">
        <v>317</v>
      </c>
      <c r="AD262" s="1255"/>
      <c r="AE262" s="1255"/>
      <c r="AF262" s="1255" t="s">
        <v>317</v>
      </c>
      <c r="AG262" s="2063"/>
      <c r="AH262" s="189"/>
      <c r="AI262" s="190"/>
    </row>
    <row r="263" spans="1:35" ht="21" customHeight="1" x14ac:dyDescent="0.2"/>
    <row r="264" spans="1:35" ht="21" customHeight="1" x14ac:dyDescent="0.2"/>
    <row r="265" spans="1:35" ht="21" customHeight="1" thickBot="1" x14ac:dyDescent="0.25">
      <c r="A265" s="162" t="s">
        <v>318</v>
      </c>
    </row>
    <row r="266" spans="1:35" ht="21" customHeight="1" x14ac:dyDescent="0.2">
      <c r="B266" s="530" t="s">
        <v>267</v>
      </c>
      <c r="C266" s="500"/>
      <c r="D266" s="516" t="s">
        <v>90</v>
      </c>
      <c r="E266" s="473"/>
      <c r="F266" s="504"/>
      <c r="G266" s="500"/>
      <c r="H266" s="516" t="s">
        <v>91</v>
      </c>
      <c r="I266" s="473"/>
      <c r="J266" s="504"/>
      <c r="K266" s="500"/>
      <c r="L266" s="516" t="s">
        <v>92</v>
      </c>
      <c r="M266" s="473"/>
      <c r="N266" s="504"/>
      <c r="O266" s="500"/>
      <c r="P266" s="516" t="s">
        <v>93</v>
      </c>
      <c r="Q266" s="473"/>
      <c r="R266" s="504"/>
      <c r="S266" s="500"/>
      <c r="T266" s="516" t="s">
        <v>94</v>
      </c>
      <c r="U266" s="473"/>
      <c r="V266" s="504"/>
      <c r="W266" s="500"/>
      <c r="X266" s="516" t="s">
        <v>95</v>
      </c>
      <c r="Y266" s="473"/>
      <c r="Z266" s="504"/>
      <c r="AA266" s="500"/>
      <c r="AB266" s="516" t="s">
        <v>96</v>
      </c>
      <c r="AC266" s="473"/>
      <c r="AD266" s="473"/>
      <c r="AE266" s="519" t="s">
        <v>97</v>
      </c>
      <c r="AF266" s="473"/>
      <c r="AG266" s="473"/>
      <c r="AH266" s="473"/>
      <c r="AI266" s="474"/>
    </row>
    <row r="267" spans="1:35" ht="21" customHeight="1" x14ac:dyDescent="0.2">
      <c r="B267" s="3">
        <v>8500</v>
      </c>
      <c r="C267" s="1283" t="s">
        <v>319</v>
      </c>
      <c r="D267" s="117"/>
      <c r="E267" s="14"/>
      <c r="F267" s="116"/>
      <c r="G267" s="1283" t="s">
        <v>319</v>
      </c>
      <c r="H267" s="117"/>
      <c r="I267" s="14"/>
      <c r="J267" s="116"/>
      <c r="K267" s="1283" t="s">
        <v>319</v>
      </c>
      <c r="L267" s="117"/>
      <c r="M267" s="14"/>
      <c r="N267" s="116"/>
      <c r="O267" s="1283" t="s">
        <v>319</v>
      </c>
      <c r="P267" s="117"/>
      <c r="Q267" s="14"/>
      <c r="R267" s="116"/>
      <c r="S267" s="1283" t="s">
        <v>320</v>
      </c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 thickBot="1" x14ac:dyDescent="0.25">
      <c r="A268" s="110"/>
      <c r="B268" s="1115"/>
      <c r="C268" s="1116"/>
      <c r="D268" s="1528"/>
      <c r="E268" s="1506"/>
      <c r="F268" s="1507"/>
      <c r="G268" s="1116"/>
      <c r="H268" s="1508"/>
      <c r="I268" s="1506"/>
      <c r="J268" s="1507"/>
      <c r="K268" s="1116"/>
      <c r="L268" s="1508"/>
      <c r="M268" s="1506"/>
      <c r="N268" s="1507"/>
      <c r="O268" s="1116"/>
      <c r="P268" s="1508"/>
      <c r="Q268" s="1506"/>
      <c r="R268" s="1507"/>
      <c r="S268" s="1116"/>
      <c r="T268" s="1508"/>
      <c r="U268" s="1506"/>
      <c r="V268" s="1507"/>
      <c r="W268" s="1094"/>
      <c r="X268" s="1508"/>
      <c r="Y268" s="1506"/>
      <c r="Z268" s="1507"/>
      <c r="AA268" s="1094"/>
      <c r="AB268" s="1508"/>
      <c r="AC268" s="1506"/>
      <c r="AD268" s="1506"/>
      <c r="AE268" s="1098"/>
      <c r="AF268" s="1506"/>
      <c r="AG268" s="1506"/>
      <c r="AH268" s="1506"/>
      <c r="AI268" s="1099"/>
    </row>
    <row r="269" spans="1:35" ht="21" customHeight="1" x14ac:dyDescent="0.2">
      <c r="A269" s="16" t="s">
        <v>321</v>
      </c>
    </row>
    <row r="270" spans="1:35" ht="21" customHeight="1" thickBot="1" x14ac:dyDescent="0.25">
      <c r="A270" s="1118"/>
      <c r="B270" s="1119" t="s">
        <v>29</v>
      </c>
      <c r="C270" s="1185">
        <v>1</v>
      </c>
      <c r="D270" s="1186">
        <v>2</v>
      </c>
      <c r="E270" s="1186">
        <v>3</v>
      </c>
      <c r="F270" s="1186">
        <v>4</v>
      </c>
      <c r="G270" s="1186">
        <v>5</v>
      </c>
      <c r="H270" s="1186">
        <v>6</v>
      </c>
      <c r="I270" s="1185">
        <v>7</v>
      </c>
      <c r="J270" s="1185">
        <v>8</v>
      </c>
      <c r="K270" s="1186">
        <v>9</v>
      </c>
      <c r="L270" s="1186">
        <v>10</v>
      </c>
      <c r="M270" s="1186">
        <v>11</v>
      </c>
      <c r="N270" s="1186">
        <v>12</v>
      </c>
      <c r="O270" s="1186">
        <v>13</v>
      </c>
      <c r="P270" s="1185">
        <v>14</v>
      </c>
      <c r="Q270" s="1185">
        <v>15</v>
      </c>
      <c r="R270" s="1186">
        <v>16</v>
      </c>
      <c r="S270" s="1186">
        <v>17</v>
      </c>
      <c r="T270" s="1186">
        <v>18</v>
      </c>
      <c r="U270" s="1186">
        <v>19</v>
      </c>
      <c r="V270" s="1186">
        <v>20</v>
      </c>
      <c r="W270" s="1185">
        <v>21</v>
      </c>
      <c r="X270" s="1185">
        <v>22</v>
      </c>
      <c r="Y270" s="1186">
        <v>23</v>
      </c>
      <c r="Z270" s="1186">
        <v>24</v>
      </c>
      <c r="AA270" s="1186">
        <v>25</v>
      </c>
      <c r="AB270" s="1186">
        <v>26</v>
      </c>
      <c r="AC270" s="1186">
        <v>27</v>
      </c>
      <c r="AD270" s="1185">
        <v>28</v>
      </c>
      <c r="AE270" s="1185">
        <v>29</v>
      </c>
      <c r="AF270" s="1186">
        <v>30</v>
      </c>
      <c r="AG270" s="1945"/>
      <c r="AH270" s="184"/>
      <c r="AI270" s="185"/>
    </row>
    <row r="271" spans="1:35" ht="21" customHeight="1" x14ac:dyDescent="0.2">
      <c r="A271" s="8">
        <v>8500</v>
      </c>
      <c r="B271" s="157"/>
      <c r="C271" s="1612"/>
      <c r="D271" s="1612" t="s">
        <v>31</v>
      </c>
      <c r="E271" s="1612" t="s">
        <v>31</v>
      </c>
      <c r="F271" s="1629" t="s">
        <v>31</v>
      </c>
      <c r="G271" s="1612" t="s">
        <v>31</v>
      </c>
      <c r="H271" s="1612" t="s">
        <v>31</v>
      </c>
      <c r="I271" s="1612"/>
      <c r="J271" s="1612"/>
      <c r="K271" s="1612" t="s">
        <v>31</v>
      </c>
      <c r="L271" s="1612" t="s">
        <v>31</v>
      </c>
      <c r="M271" s="1612" t="s">
        <v>31</v>
      </c>
      <c r="N271" s="1633" t="s">
        <v>31</v>
      </c>
      <c r="O271" s="1633" t="s">
        <v>31</v>
      </c>
      <c r="P271" s="1633"/>
      <c r="Q271" s="1628"/>
      <c r="R271" s="1633" t="s">
        <v>31</v>
      </c>
      <c r="S271" s="1612" t="s">
        <v>31</v>
      </c>
      <c r="T271" s="1612" t="s">
        <v>31</v>
      </c>
      <c r="U271" s="1633" t="s">
        <v>31</v>
      </c>
      <c r="V271" s="1633" t="s">
        <v>31</v>
      </c>
      <c r="W271" s="1633"/>
      <c r="X271" s="1612"/>
      <c r="Y271" s="1633" t="s">
        <v>31</v>
      </c>
      <c r="Z271" s="1612" t="s">
        <v>31</v>
      </c>
      <c r="AA271" s="1612" t="s">
        <v>31</v>
      </c>
      <c r="AB271" s="1612" t="s">
        <v>31</v>
      </c>
      <c r="AC271" s="1612" t="s">
        <v>31</v>
      </c>
      <c r="AD271" s="1629"/>
      <c r="AE271" s="1612"/>
      <c r="AF271" s="1629" t="s">
        <v>31</v>
      </c>
      <c r="AG271" s="1629"/>
      <c r="AH271" s="196"/>
      <c r="AI271" s="197"/>
    </row>
    <row r="272" spans="1:35" ht="21" customHeight="1" x14ac:dyDescent="0.2">
      <c r="A272" s="1191"/>
      <c r="B272" s="1901" t="s">
        <v>323</v>
      </c>
      <c r="C272" s="1612"/>
      <c r="D272" s="1612" t="s">
        <v>31</v>
      </c>
      <c r="E272" s="1612" t="s">
        <v>31</v>
      </c>
      <c r="F272" s="1629" t="s">
        <v>31</v>
      </c>
      <c r="G272" s="1612" t="s">
        <v>31</v>
      </c>
      <c r="H272" s="1612" t="s">
        <v>31</v>
      </c>
      <c r="I272" s="1612"/>
      <c r="J272" s="1612"/>
      <c r="K272" s="1612" t="s">
        <v>31</v>
      </c>
      <c r="L272" s="1612" t="s">
        <v>31</v>
      </c>
      <c r="M272" s="1612" t="s">
        <v>31</v>
      </c>
      <c r="N272" s="1633" t="s">
        <v>31</v>
      </c>
      <c r="O272" s="1633" t="s">
        <v>31</v>
      </c>
      <c r="P272" s="1633"/>
      <c r="Q272" s="1628"/>
      <c r="R272" s="1633" t="s">
        <v>31</v>
      </c>
      <c r="S272" s="1612" t="s">
        <v>31</v>
      </c>
      <c r="T272" s="1612" t="s">
        <v>31</v>
      </c>
      <c r="U272" s="1633" t="s">
        <v>31</v>
      </c>
      <c r="V272" s="1633" t="s">
        <v>31</v>
      </c>
      <c r="W272" s="1633"/>
      <c r="X272" s="1612"/>
      <c r="Y272" s="1633" t="s">
        <v>31</v>
      </c>
      <c r="Z272" s="1612" t="s">
        <v>31</v>
      </c>
      <c r="AA272" s="1612" t="s">
        <v>31</v>
      </c>
      <c r="AB272" s="1612" t="s">
        <v>31</v>
      </c>
      <c r="AC272" s="1612" t="s">
        <v>31</v>
      </c>
      <c r="AD272" s="1629"/>
      <c r="AE272" s="1612"/>
      <c r="AF272" s="1629" t="s">
        <v>31</v>
      </c>
      <c r="AG272" s="1629"/>
      <c r="AH272" s="196"/>
      <c r="AI272" s="197"/>
    </row>
    <row r="273" spans="1:35" ht="22.15" customHeight="1" x14ac:dyDescent="0.2">
      <c r="A273" s="1902"/>
      <c r="B273" s="1901" t="s">
        <v>324</v>
      </c>
      <c r="C273" s="1612"/>
      <c r="D273" s="1612" t="s">
        <v>31</v>
      </c>
      <c r="E273" s="1612" t="s">
        <v>31</v>
      </c>
      <c r="F273" s="1629" t="s">
        <v>31</v>
      </c>
      <c r="G273" s="1612" t="s">
        <v>31</v>
      </c>
      <c r="H273" s="1612" t="s">
        <v>31</v>
      </c>
      <c r="I273" s="1612"/>
      <c r="J273" s="1612"/>
      <c r="K273" s="1612" t="s">
        <v>31</v>
      </c>
      <c r="L273" s="1612" t="s">
        <v>31</v>
      </c>
      <c r="M273" s="1612" t="s">
        <v>31</v>
      </c>
      <c r="N273" s="1712" t="s">
        <v>31</v>
      </c>
      <c r="O273" s="1633" t="s">
        <v>31</v>
      </c>
      <c r="P273" s="1633"/>
      <c r="Q273" s="1628"/>
      <c r="R273" s="1633" t="s">
        <v>31</v>
      </c>
      <c r="S273" s="1612" t="s">
        <v>31</v>
      </c>
      <c r="T273" s="1612" t="s">
        <v>31</v>
      </c>
      <c r="U273" s="1633" t="s">
        <v>31</v>
      </c>
      <c r="V273" s="1633" t="s">
        <v>31</v>
      </c>
      <c r="W273" s="1633"/>
      <c r="X273" s="1612"/>
      <c r="Y273" s="1633" t="s">
        <v>31</v>
      </c>
      <c r="Z273" s="1612" t="s">
        <v>31</v>
      </c>
      <c r="AA273" s="1612" t="s">
        <v>31</v>
      </c>
      <c r="AB273" s="1612" t="s">
        <v>31</v>
      </c>
      <c r="AC273" s="1612" t="s">
        <v>31</v>
      </c>
      <c r="AD273" s="1629"/>
      <c r="AE273" s="1612"/>
      <c r="AF273" s="1629" t="s">
        <v>31</v>
      </c>
      <c r="AG273" s="1629"/>
      <c r="AH273" s="196"/>
      <c r="AI273" s="197"/>
    </row>
    <row r="274" spans="1:35" ht="22.15" customHeight="1" x14ac:dyDescent="0.2">
      <c r="A274" s="102"/>
      <c r="B274" s="1904"/>
      <c r="C274" s="1629"/>
      <c r="D274" s="1629"/>
      <c r="E274" s="1629"/>
      <c r="F274" s="1629"/>
      <c r="G274" s="1629"/>
      <c r="H274" s="1629"/>
      <c r="I274" s="1629"/>
      <c r="J274" s="1629"/>
      <c r="K274" s="1629"/>
      <c r="L274" s="1629"/>
      <c r="M274" s="1629"/>
      <c r="N274" s="1629"/>
      <c r="O274" s="1629"/>
      <c r="P274" s="1629"/>
      <c r="Q274" s="1629"/>
      <c r="R274" s="1629"/>
      <c r="S274" s="1629"/>
      <c r="T274" s="1629"/>
      <c r="U274" s="1629"/>
      <c r="V274" s="1629"/>
      <c r="W274" s="1629"/>
      <c r="X274" s="1629"/>
      <c r="Y274" s="1629"/>
      <c r="Z274" s="1629"/>
      <c r="AA274" s="1629"/>
      <c r="AB274" s="1629"/>
      <c r="AC274" s="1629"/>
      <c r="AD274" s="1629"/>
      <c r="AE274" s="1629"/>
      <c r="AF274" s="1629"/>
      <c r="AG274" s="1636"/>
      <c r="AH274" s="196"/>
      <c r="AI274" s="197"/>
    </row>
    <row r="275" spans="1:35" ht="21" customHeight="1" x14ac:dyDescent="0.2">
      <c r="A275" s="1851"/>
      <c r="B275" s="1904"/>
      <c r="C275" s="1259"/>
      <c r="D275" s="1259"/>
      <c r="E275" s="1259"/>
      <c r="F275" s="1259"/>
      <c r="G275" s="1259"/>
      <c r="H275" s="1259"/>
      <c r="I275" s="1259"/>
      <c r="J275" s="1259"/>
      <c r="K275" s="1259"/>
      <c r="L275" s="1259"/>
      <c r="M275" s="1259"/>
      <c r="N275" s="1258"/>
      <c r="O275" s="1258"/>
      <c r="P275" s="1259"/>
      <c r="Q275" s="1259"/>
      <c r="R275" s="1259"/>
      <c r="S275" s="1259"/>
      <c r="T275" s="1259"/>
      <c r="U275" s="1259"/>
      <c r="V275" s="1259"/>
      <c r="W275" s="1259"/>
      <c r="X275" s="1259"/>
      <c r="Y275" s="1259"/>
      <c r="Z275" s="1259"/>
      <c r="AA275" s="1259"/>
      <c r="AB275" s="1258"/>
      <c r="AC275" s="1258"/>
      <c r="AD275" s="1259"/>
      <c r="AE275" s="1259"/>
      <c r="AF275" s="1259"/>
      <c r="AG275" s="1259"/>
      <c r="AH275" s="198"/>
      <c r="AI275" s="199"/>
    </row>
    <row r="276" spans="1:35" ht="22.15" customHeight="1" x14ac:dyDescent="0.2">
      <c r="A276" s="1534"/>
      <c r="B276" s="1905"/>
      <c r="C276" s="1259"/>
      <c r="D276" s="1259"/>
      <c r="E276" s="1259"/>
      <c r="F276" s="1259"/>
      <c r="G276" s="1259"/>
      <c r="H276" s="1259"/>
      <c r="I276" s="1259"/>
      <c r="J276" s="1259"/>
      <c r="K276" s="1259"/>
      <c r="L276" s="1259"/>
      <c r="M276" s="1259"/>
      <c r="N276" s="1258"/>
      <c r="O276" s="1258"/>
      <c r="P276" s="1259"/>
      <c r="Q276" s="1259"/>
      <c r="R276" s="1259"/>
      <c r="S276" s="1259"/>
      <c r="T276" s="1259"/>
      <c r="U276" s="1259"/>
      <c r="V276" s="1259"/>
      <c r="W276" s="1259"/>
      <c r="X276" s="1259"/>
      <c r="Y276" s="1259"/>
      <c r="Z276" s="1259"/>
      <c r="AA276" s="1259"/>
      <c r="AB276" s="1258"/>
      <c r="AC276" s="1258"/>
      <c r="AD276" s="1259"/>
      <c r="AE276" s="1259"/>
      <c r="AF276" s="1259"/>
      <c r="AG276" s="1259"/>
      <c r="AH276" s="198"/>
      <c r="AI276" s="199"/>
    </row>
    <row r="277" spans="1:35" ht="22.15" customHeight="1" thickBot="1" x14ac:dyDescent="0.25">
      <c r="A277" s="688"/>
      <c r="B277" s="2133"/>
      <c r="C277" s="1126"/>
      <c r="D277" s="1127"/>
      <c r="E277" s="1127"/>
      <c r="F277" s="1127"/>
      <c r="G277" s="1127"/>
      <c r="H277" s="1127"/>
      <c r="I277" s="1127"/>
      <c r="J277" s="1127"/>
      <c r="K277" s="1127"/>
      <c r="L277" s="1127"/>
      <c r="M277" s="1127"/>
      <c r="N277" s="1128"/>
      <c r="O277" s="1128"/>
      <c r="P277" s="1127"/>
      <c r="Q277" s="1127"/>
      <c r="R277" s="1127"/>
      <c r="S277" s="1127"/>
      <c r="T277" s="1127"/>
      <c r="U277" s="1127"/>
      <c r="V277" s="1127"/>
      <c r="W277" s="1127"/>
      <c r="X277" s="1127"/>
      <c r="Y277" s="1127"/>
      <c r="Z277" s="1127"/>
      <c r="AA277" s="1127"/>
      <c r="AB277" s="1128"/>
      <c r="AC277" s="1128"/>
      <c r="AD277" s="1127"/>
      <c r="AE277" s="1127"/>
      <c r="AF277" s="1127"/>
      <c r="AG277" s="1129"/>
      <c r="AH277" s="198"/>
      <c r="AI277" s="199"/>
    </row>
    <row r="278" spans="1:35" ht="22.15" customHeight="1" x14ac:dyDescent="0.2">
      <c r="A278" s="262"/>
      <c r="B278" s="263"/>
      <c r="C278" s="255"/>
      <c r="D278" s="255"/>
      <c r="E278" s="255"/>
      <c r="F278" s="255"/>
      <c r="G278" s="255"/>
      <c r="H278" s="255"/>
      <c r="I278" s="255"/>
      <c r="J278" s="255"/>
      <c r="K278" s="255"/>
      <c r="L278" s="255"/>
      <c r="M278" s="255"/>
      <c r="N278" s="229"/>
      <c r="O278" s="229"/>
      <c r="P278" s="255"/>
      <c r="Q278" s="255"/>
      <c r="R278" s="255"/>
      <c r="S278" s="255"/>
      <c r="T278" s="255"/>
      <c r="U278" s="255"/>
      <c r="V278" s="255"/>
      <c r="W278" s="255"/>
      <c r="X278" s="255"/>
      <c r="Y278" s="255"/>
      <c r="Z278" s="255"/>
      <c r="AA278" s="255"/>
      <c r="AB278" s="229"/>
      <c r="AC278" s="229"/>
      <c r="AD278" s="255"/>
      <c r="AE278" s="255"/>
      <c r="AF278" s="255"/>
      <c r="AG278" s="255"/>
      <c r="AH278" s="264"/>
      <c r="AI278" s="199"/>
    </row>
    <row r="279" spans="1:35" ht="24" customHeight="1" x14ac:dyDescent="0.2"/>
    <row r="280" spans="1:35" ht="25.5" customHeight="1" thickBot="1" x14ac:dyDescent="0.25">
      <c r="A280" s="162" t="s">
        <v>325</v>
      </c>
    </row>
    <row r="281" spans="1:35" ht="21" customHeight="1" x14ac:dyDescent="0.2">
      <c r="A281" s="1"/>
      <c r="B281" s="530" t="s">
        <v>267</v>
      </c>
      <c r="C281" s="500"/>
      <c r="D281" s="516" t="s">
        <v>90</v>
      </c>
      <c r="E281" s="473"/>
      <c r="F281" s="504"/>
      <c r="G281" s="500"/>
      <c r="H281" s="516" t="s">
        <v>91</v>
      </c>
      <c r="I281" s="473"/>
      <c r="J281" s="504"/>
      <c r="K281" s="500"/>
      <c r="L281" s="516" t="s">
        <v>92</v>
      </c>
      <c r="M281" s="473"/>
      <c r="N281" s="504"/>
      <c r="O281" s="500"/>
      <c r="P281" s="516" t="s">
        <v>93</v>
      </c>
      <c r="Q281" s="473"/>
      <c r="R281" s="504"/>
      <c r="S281" s="500"/>
      <c r="T281" s="516" t="s">
        <v>94</v>
      </c>
      <c r="U281" s="473"/>
      <c r="V281" s="504"/>
      <c r="W281" s="500"/>
      <c r="X281" s="516" t="s">
        <v>95</v>
      </c>
      <c r="Y281" s="473"/>
      <c r="Z281" s="504"/>
      <c r="AA281" s="500"/>
      <c r="AB281" s="516" t="s">
        <v>96</v>
      </c>
      <c r="AC281" s="473"/>
      <c r="AD281" s="473"/>
      <c r="AE281" s="519" t="s">
        <v>97</v>
      </c>
      <c r="AF281" s="473"/>
      <c r="AG281" s="473"/>
      <c r="AH281" s="473"/>
      <c r="AI281" s="474"/>
    </row>
    <row r="282" spans="1:35" ht="21" customHeight="1" x14ac:dyDescent="0.2">
      <c r="A282" s="1"/>
      <c r="B282" s="3"/>
      <c r="C282" s="8"/>
      <c r="D282" s="117"/>
      <c r="E282" s="14"/>
      <c r="F282" s="116"/>
      <c r="G282" s="8"/>
      <c r="H282" s="117"/>
      <c r="I282" s="14"/>
      <c r="J282" s="116"/>
      <c r="K282" s="8"/>
      <c r="L282" s="117"/>
      <c r="M282" s="14"/>
      <c r="N282" s="116"/>
      <c r="O282" s="8"/>
      <c r="P282" s="117"/>
      <c r="Q282" s="14"/>
      <c r="R282" s="116"/>
      <c r="S282" s="8"/>
      <c r="T282" s="117"/>
      <c r="U282" s="14"/>
      <c r="V282" s="116"/>
      <c r="W282" s="8"/>
      <c r="X282" s="117"/>
      <c r="Y282" s="14"/>
      <c r="Z282" s="116"/>
      <c r="AA282" s="8"/>
      <c r="AB282" s="117"/>
      <c r="AC282" s="14"/>
      <c r="AD282" s="14"/>
      <c r="AE282" s="118"/>
      <c r="AF282" s="14"/>
      <c r="AG282" s="14"/>
      <c r="AH282" s="14"/>
      <c r="AI282" s="119"/>
    </row>
    <row r="283" spans="1:35" ht="21" customHeight="1" x14ac:dyDescent="0.2">
      <c r="A283" s="110"/>
      <c r="B283" s="1890"/>
      <c r="C283" s="1283"/>
      <c r="D283" s="1167"/>
      <c r="E283" s="1167"/>
      <c r="F283" s="1393"/>
      <c r="G283" s="1283"/>
      <c r="H283" s="1167"/>
      <c r="I283" s="1167"/>
      <c r="J283" s="1393"/>
      <c r="K283" s="1283"/>
      <c r="L283" s="1167"/>
      <c r="M283" s="1167"/>
      <c r="N283" s="1393"/>
      <c r="O283" s="1283"/>
      <c r="P283" s="1167"/>
      <c r="Q283" s="1167"/>
      <c r="R283" s="1393"/>
      <c r="S283" s="1283"/>
      <c r="T283" s="1167"/>
      <c r="U283" s="1167"/>
      <c r="V283" s="1393"/>
      <c r="W283" s="1283"/>
      <c r="X283" s="1167"/>
      <c r="Y283" s="1167"/>
      <c r="Z283" s="1393"/>
      <c r="AA283" s="1391"/>
      <c r="AB283" s="1167"/>
      <c r="AC283" s="1167"/>
      <c r="AD283" s="1284"/>
      <c r="AE283" s="1906"/>
      <c r="AF283" s="1167"/>
      <c r="AG283" s="1167"/>
      <c r="AH283" s="1284"/>
      <c r="AI283" s="1176"/>
    </row>
    <row r="284" spans="1:35" ht="21" customHeight="1" thickBot="1" x14ac:dyDescent="0.25">
      <c r="A284" s="1"/>
      <c r="B284" s="1989"/>
      <c r="C284" s="1404"/>
      <c r="D284" s="1238"/>
      <c r="E284" s="1238"/>
      <c r="F284" s="1425"/>
      <c r="G284" s="1404"/>
      <c r="H284" s="1238"/>
      <c r="I284" s="1238"/>
      <c r="J284" s="1425"/>
      <c r="K284" s="1404"/>
      <c r="L284" s="1238"/>
      <c r="M284" s="1238"/>
      <c r="N284" s="1425"/>
      <c r="O284" s="1404"/>
      <c r="P284" s="1238"/>
      <c r="Q284" s="1238"/>
      <c r="R284" s="1425"/>
      <c r="S284" s="1404"/>
      <c r="T284" s="1238"/>
      <c r="U284" s="1238"/>
      <c r="V284" s="1425"/>
      <c r="W284" s="1423"/>
      <c r="X284" s="1238"/>
      <c r="Y284" s="1238"/>
      <c r="Z284" s="1425"/>
      <c r="AA284" s="1423"/>
      <c r="AB284" s="1238"/>
      <c r="AC284" s="1238"/>
      <c r="AD284" s="1411"/>
      <c r="AE284" s="1423"/>
      <c r="AF284" s="1238"/>
      <c r="AG284" s="1238"/>
      <c r="AH284" s="1411"/>
      <c r="AI284" s="1245"/>
    </row>
    <row r="285" spans="1:35" ht="21" customHeight="1" x14ac:dyDescent="0.2">
      <c r="A285" s="1"/>
      <c r="B285" s="18"/>
      <c r="C285" s="64"/>
      <c r="F285" s="69"/>
      <c r="G285" s="64"/>
      <c r="J285" s="69"/>
      <c r="K285" s="64"/>
      <c r="N285" s="69"/>
      <c r="O285" s="64"/>
      <c r="R285" s="69"/>
      <c r="S285" s="64"/>
      <c r="V285" s="69"/>
      <c r="W285" s="69"/>
      <c r="Z285" s="69"/>
      <c r="AA285" s="69"/>
      <c r="AD285" s="69"/>
      <c r="AE285" s="69"/>
      <c r="AH285" s="69"/>
    </row>
    <row r="286" spans="1:35" ht="33" customHeight="1" x14ac:dyDescent="0.2">
      <c r="A286" s="162" t="s">
        <v>326</v>
      </c>
      <c r="B286" s="18"/>
      <c r="C286" s="64"/>
      <c r="F286" s="69"/>
      <c r="G286" s="64"/>
      <c r="J286" s="69"/>
      <c r="K286" s="64"/>
      <c r="N286" s="69"/>
      <c r="O286" s="64"/>
      <c r="R286" s="69"/>
      <c r="S286" s="64"/>
      <c r="V286" s="69"/>
      <c r="W286" s="69"/>
      <c r="Z286" s="69"/>
      <c r="AA286" s="69"/>
      <c r="AD286" s="69"/>
      <c r="AE286" s="69"/>
      <c r="AH286" s="69"/>
    </row>
    <row r="287" spans="1:35" ht="21" customHeight="1" thickBot="1" x14ac:dyDescent="0.25">
      <c r="A287" s="1131" t="s">
        <v>28</v>
      </c>
      <c r="B287" s="1119" t="s">
        <v>29</v>
      </c>
      <c r="C287" s="1185">
        <v>1</v>
      </c>
      <c r="D287" s="1186">
        <v>2</v>
      </c>
      <c r="E287" s="1186">
        <v>3</v>
      </c>
      <c r="F287" s="1186">
        <v>4</v>
      </c>
      <c r="G287" s="1186">
        <v>5</v>
      </c>
      <c r="H287" s="1186">
        <v>6</v>
      </c>
      <c r="I287" s="1185">
        <v>7</v>
      </c>
      <c r="J287" s="1185">
        <v>8</v>
      </c>
      <c r="K287" s="1186">
        <v>9</v>
      </c>
      <c r="L287" s="1186">
        <v>10</v>
      </c>
      <c r="M287" s="1186">
        <v>11</v>
      </c>
      <c r="N287" s="1186">
        <v>12</v>
      </c>
      <c r="O287" s="1186">
        <v>13</v>
      </c>
      <c r="P287" s="1185">
        <v>14</v>
      </c>
      <c r="Q287" s="1185">
        <v>15</v>
      </c>
      <c r="R287" s="1186">
        <v>16</v>
      </c>
      <c r="S287" s="1186">
        <v>17</v>
      </c>
      <c r="T287" s="1186">
        <v>18</v>
      </c>
      <c r="U287" s="1186">
        <v>19</v>
      </c>
      <c r="V287" s="1186">
        <v>20</v>
      </c>
      <c r="W287" s="1185">
        <v>21</v>
      </c>
      <c r="X287" s="1185">
        <v>22</v>
      </c>
      <c r="Y287" s="1186">
        <v>23</v>
      </c>
      <c r="Z287" s="1186">
        <v>24</v>
      </c>
      <c r="AA287" s="1186">
        <v>25</v>
      </c>
      <c r="AB287" s="1186">
        <v>26</v>
      </c>
      <c r="AC287" s="1186">
        <v>27</v>
      </c>
      <c r="AD287" s="1185">
        <v>28</v>
      </c>
      <c r="AE287" s="1185">
        <v>29</v>
      </c>
      <c r="AF287" s="1186">
        <v>30</v>
      </c>
      <c r="AG287" s="1945"/>
      <c r="AH287" s="200"/>
      <c r="AI287" s="185"/>
    </row>
    <row r="288" spans="1:35" ht="21" customHeight="1" x14ac:dyDescent="0.2">
      <c r="A288" s="88"/>
      <c r="B288" s="652" t="s">
        <v>327</v>
      </c>
      <c r="C288" s="1612"/>
      <c r="D288" s="1612" t="s">
        <v>31</v>
      </c>
      <c r="E288" s="1612" t="s">
        <v>31</v>
      </c>
      <c r="F288" s="1629" t="s">
        <v>31</v>
      </c>
      <c r="G288" s="1612" t="s">
        <v>31</v>
      </c>
      <c r="H288" s="1612" t="s">
        <v>31</v>
      </c>
      <c r="I288" s="1612"/>
      <c r="J288" s="1612"/>
      <c r="K288" s="1612" t="s">
        <v>31</v>
      </c>
      <c r="L288" s="1612" t="s">
        <v>31</v>
      </c>
      <c r="M288" s="1612" t="s">
        <v>31</v>
      </c>
      <c r="N288" s="1633" t="s">
        <v>31</v>
      </c>
      <c r="O288" s="1633" t="s">
        <v>31</v>
      </c>
      <c r="P288" s="1633"/>
      <c r="Q288" s="1628"/>
      <c r="R288" s="1633" t="s">
        <v>31</v>
      </c>
      <c r="S288" s="1612" t="s">
        <v>31</v>
      </c>
      <c r="T288" s="1612" t="s">
        <v>31</v>
      </c>
      <c r="U288" s="1633" t="s">
        <v>31</v>
      </c>
      <c r="V288" s="1633" t="s">
        <v>31</v>
      </c>
      <c r="W288" s="1633"/>
      <c r="X288" s="1612"/>
      <c r="Y288" s="1633" t="s">
        <v>31</v>
      </c>
      <c r="Z288" s="1612" t="s">
        <v>31</v>
      </c>
      <c r="AA288" s="1612" t="s">
        <v>31</v>
      </c>
      <c r="AB288" s="1612" t="s">
        <v>31</v>
      </c>
      <c r="AC288" s="1612" t="s">
        <v>31</v>
      </c>
      <c r="AD288" s="1629"/>
      <c r="AE288" s="1612"/>
      <c r="AF288" s="1623" t="s">
        <v>289</v>
      </c>
      <c r="AG288" s="1734"/>
      <c r="AH288" s="201"/>
      <c r="AI288" s="197"/>
    </row>
    <row r="289" spans="1:35" ht="21" customHeight="1" x14ac:dyDescent="0.2">
      <c r="A289" s="1907"/>
      <c r="B289" s="2134" t="s">
        <v>328</v>
      </c>
      <c r="C289" s="1612"/>
      <c r="D289" s="1612" t="s">
        <v>31</v>
      </c>
      <c r="E289" s="1612" t="s">
        <v>31</v>
      </c>
      <c r="F289" s="1629" t="s">
        <v>31</v>
      </c>
      <c r="G289" s="1612" t="s">
        <v>31</v>
      </c>
      <c r="H289" s="1612" t="s">
        <v>31</v>
      </c>
      <c r="I289" s="1612"/>
      <c r="J289" s="1612"/>
      <c r="K289" s="1612" t="s">
        <v>31</v>
      </c>
      <c r="L289" s="1612" t="s">
        <v>31</v>
      </c>
      <c r="M289" s="1612" t="s">
        <v>31</v>
      </c>
      <c r="N289" s="1633" t="s">
        <v>31</v>
      </c>
      <c r="O289" s="1633" t="s">
        <v>31</v>
      </c>
      <c r="P289" s="1633"/>
      <c r="Q289" s="1628"/>
      <c r="R289" s="1633" t="s">
        <v>31</v>
      </c>
      <c r="S289" s="1612" t="s">
        <v>31</v>
      </c>
      <c r="T289" s="1612" t="s">
        <v>31</v>
      </c>
      <c r="U289" s="1633" t="s">
        <v>31</v>
      </c>
      <c r="V289" s="1958" t="s">
        <v>31</v>
      </c>
      <c r="W289" s="1633"/>
      <c r="X289" s="1612"/>
      <c r="Y289" s="1633" t="s">
        <v>31</v>
      </c>
      <c r="Z289" s="1612" t="s">
        <v>31</v>
      </c>
      <c r="AA289" s="1612" t="s">
        <v>31</v>
      </c>
      <c r="AB289" s="1612" t="s">
        <v>31</v>
      </c>
      <c r="AC289" s="1612" t="s">
        <v>31</v>
      </c>
      <c r="AD289" s="1629"/>
      <c r="AE289" s="1612"/>
      <c r="AF289" s="1629" t="s">
        <v>31</v>
      </c>
      <c r="AG289" s="1629"/>
      <c r="AH289" s="201"/>
      <c r="AI289" s="197"/>
    </row>
    <row r="290" spans="1:35" ht="21" customHeight="1" x14ac:dyDescent="0.2">
      <c r="A290" s="1893"/>
      <c r="B290" s="2134" t="s">
        <v>329</v>
      </c>
      <c r="C290" s="1612"/>
      <c r="D290" s="1612" t="s">
        <v>31</v>
      </c>
      <c r="E290" s="1612" t="s">
        <v>31</v>
      </c>
      <c r="F290" s="1629" t="s">
        <v>31</v>
      </c>
      <c r="G290" s="1612" t="s">
        <v>31</v>
      </c>
      <c r="H290" s="1612" t="s">
        <v>31</v>
      </c>
      <c r="I290" s="1612"/>
      <c r="J290" s="1612"/>
      <c r="K290" s="1612" t="s">
        <v>31</v>
      </c>
      <c r="L290" s="1612" t="s">
        <v>31</v>
      </c>
      <c r="M290" s="1612" t="s">
        <v>31</v>
      </c>
      <c r="N290" s="1633" t="s">
        <v>31</v>
      </c>
      <c r="O290" s="1633" t="s">
        <v>31</v>
      </c>
      <c r="P290" s="1633"/>
      <c r="Q290" s="1628"/>
      <c r="R290" s="1633" t="s">
        <v>31</v>
      </c>
      <c r="S290" s="1623" t="s">
        <v>31</v>
      </c>
      <c r="T290" s="1623" t="s">
        <v>31</v>
      </c>
      <c r="U290" s="1623" t="s">
        <v>31</v>
      </c>
      <c r="V290" s="1623" t="s">
        <v>289</v>
      </c>
      <c r="W290" s="1633"/>
      <c r="X290" s="1612"/>
      <c r="Y290" s="1633" t="s">
        <v>31</v>
      </c>
      <c r="Z290" s="1612" t="s">
        <v>31</v>
      </c>
      <c r="AA290" s="1612" t="s">
        <v>31</v>
      </c>
      <c r="AB290" s="1712" t="s">
        <v>31</v>
      </c>
      <c r="AC290" s="1612" t="s">
        <v>31</v>
      </c>
      <c r="AD290" s="1629"/>
      <c r="AE290" s="1612"/>
      <c r="AF290" s="1629" t="s">
        <v>31</v>
      </c>
      <c r="AG290" s="1629"/>
      <c r="AH290" s="201"/>
      <c r="AI290" s="197"/>
    </row>
    <row r="291" spans="1:35" ht="21" customHeight="1" x14ac:dyDescent="0.2">
      <c r="A291" s="1893"/>
      <c r="B291" s="2134" t="s">
        <v>330</v>
      </c>
      <c r="C291" s="1612"/>
      <c r="D291" s="1612" t="s">
        <v>31</v>
      </c>
      <c r="E291" s="1612" t="s">
        <v>31</v>
      </c>
      <c r="F291" s="1629" t="s">
        <v>31</v>
      </c>
      <c r="G291" s="1612" t="s">
        <v>31</v>
      </c>
      <c r="H291" s="1612" t="s">
        <v>31</v>
      </c>
      <c r="I291" s="1612"/>
      <c r="J291" s="1612"/>
      <c r="K291" s="1542" t="s">
        <v>31</v>
      </c>
      <c r="L291" s="1612" t="s">
        <v>31</v>
      </c>
      <c r="M291" s="1612" t="s">
        <v>31</v>
      </c>
      <c r="N291" s="1633" t="s">
        <v>31</v>
      </c>
      <c r="O291" s="1633" t="s">
        <v>31</v>
      </c>
      <c r="P291" s="1633"/>
      <c r="Q291" s="1628"/>
      <c r="R291" s="1633" t="s">
        <v>31</v>
      </c>
      <c r="S291" s="1612" t="s">
        <v>31</v>
      </c>
      <c r="T291" s="1612" t="s">
        <v>31</v>
      </c>
      <c r="U291" s="1633" t="s">
        <v>31</v>
      </c>
      <c r="V291" s="1633" t="s">
        <v>31</v>
      </c>
      <c r="W291" s="1633"/>
      <c r="X291" s="1612"/>
      <c r="Y291" s="1542" t="s">
        <v>31</v>
      </c>
      <c r="Z291" s="1612" t="s">
        <v>31</v>
      </c>
      <c r="AA291" s="1612" t="s">
        <v>31</v>
      </c>
      <c r="AB291" s="1612" t="s">
        <v>31</v>
      </c>
      <c r="AC291" s="1612" t="s">
        <v>31</v>
      </c>
      <c r="AD291" s="1629"/>
      <c r="AE291" s="1612"/>
      <c r="AF291" s="1542" t="s">
        <v>31</v>
      </c>
      <c r="AG291" s="1629"/>
      <c r="AH291" s="201"/>
      <c r="AI291" s="197"/>
    </row>
    <row r="292" spans="1:35" ht="21" customHeight="1" x14ac:dyDescent="0.2">
      <c r="A292" s="1893"/>
      <c r="B292" s="2134" t="s">
        <v>331</v>
      </c>
      <c r="C292" s="1612"/>
      <c r="D292" s="1958" t="s">
        <v>31</v>
      </c>
      <c r="E292" s="1958" t="s">
        <v>31</v>
      </c>
      <c r="F292" s="1629" t="s">
        <v>31</v>
      </c>
      <c r="G292" s="1958" t="s">
        <v>31</v>
      </c>
      <c r="H292" s="1958" t="s">
        <v>31</v>
      </c>
      <c r="I292" s="1612"/>
      <c r="J292" s="1612"/>
      <c r="K292" s="1612" t="s">
        <v>31</v>
      </c>
      <c r="L292" s="1958" t="s">
        <v>31</v>
      </c>
      <c r="M292" s="1958" t="s">
        <v>31</v>
      </c>
      <c r="N292" s="1958" t="s">
        <v>31</v>
      </c>
      <c r="O292" s="1633" t="s">
        <v>31</v>
      </c>
      <c r="P292" s="1633"/>
      <c r="Q292" s="1628"/>
      <c r="R292" s="1633" t="s">
        <v>31</v>
      </c>
      <c r="S292" s="1612" t="s">
        <v>31</v>
      </c>
      <c r="T292" s="1612" t="s">
        <v>31</v>
      </c>
      <c r="U292" s="1633" t="s">
        <v>31</v>
      </c>
      <c r="V292" s="1633" t="s">
        <v>31</v>
      </c>
      <c r="W292" s="1633"/>
      <c r="X292" s="1612"/>
      <c r="Y292" s="1633" t="s">
        <v>31</v>
      </c>
      <c r="Z292" s="1612" t="s">
        <v>31</v>
      </c>
      <c r="AA292" s="1612" t="s">
        <v>31</v>
      </c>
      <c r="AB292" s="1612" t="s">
        <v>31</v>
      </c>
      <c r="AC292" s="1612" t="s">
        <v>31</v>
      </c>
      <c r="AD292" s="1629"/>
      <c r="AE292" s="1612"/>
      <c r="AF292" s="1629" t="s">
        <v>31</v>
      </c>
      <c r="AG292" s="1259"/>
      <c r="AH292" s="201"/>
      <c r="AI292" s="197"/>
    </row>
    <row r="293" spans="1:35" ht="21" customHeight="1" x14ac:dyDescent="0.2">
      <c r="A293" s="1893"/>
      <c r="B293" s="2134" t="s">
        <v>332</v>
      </c>
      <c r="C293" s="1612"/>
      <c r="D293" s="1612" t="s">
        <v>31</v>
      </c>
      <c r="E293" s="1612" t="s">
        <v>31</v>
      </c>
      <c r="F293" s="1629" t="s">
        <v>31</v>
      </c>
      <c r="G293" s="1612" t="s">
        <v>31</v>
      </c>
      <c r="H293" s="1958" t="s">
        <v>31</v>
      </c>
      <c r="I293" s="1612"/>
      <c r="J293" s="1612"/>
      <c r="K293" s="1612" t="s">
        <v>31</v>
      </c>
      <c r="L293" s="1612" t="s">
        <v>31</v>
      </c>
      <c r="M293" s="1612" t="s">
        <v>31</v>
      </c>
      <c r="N293" s="1633" t="s">
        <v>31</v>
      </c>
      <c r="O293" s="1633" t="s">
        <v>31</v>
      </c>
      <c r="P293" s="1633"/>
      <c r="Q293" s="1628"/>
      <c r="R293" s="1633" t="s">
        <v>31</v>
      </c>
      <c r="S293" s="1612" t="s">
        <v>31</v>
      </c>
      <c r="T293" s="1612" t="s">
        <v>31</v>
      </c>
      <c r="U293" s="1633" t="s">
        <v>31</v>
      </c>
      <c r="V293" s="1958" t="s">
        <v>31</v>
      </c>
      <c r="W293" s="1633"/>
      <c r="X293" s="1612"/>
      <c r="Y293" s="1633" t="s">
        <v>31</v>
      </c>
      <c r="Z293" s="1612" t="s">
        <v>31</v>
      </c>
      <c r="AA293" s="1612" t="s">
        <v>31</v>
      </c>
      <c r="AB293" s="1612" t="s">
        <v>31</v>
      </c>
      <c r="AC293" s="1612" t="s">
        <v>31</v>
      </c>
      <c r="AD293" s="1629"/>
      <c r="AE293" s="1612"/>
      <c r="AF293" s="1629" t="s">
        <v>31</v>
      </c>
      <c r="AG293" s="1259"/>
      <c r="AH293" s="201"/>
      <c r="AI293" s="197"/>
    </row>
    <row r="294" spans="1:35" ht="21" customHeight="1" x14ac:dyDescent="0.2">
      <c r="A294" s="1893"/>
      <c r="B294" s="2134" t="s">
        <v>333</v>
      </c>
      <c r="C294" s="1612"/>
      <c r="D294" s="1612" t="s">
        <v>31</v>
      </c>
      <c r="E294" s="1612" t="s">
        <v>31</v>
      </c>
      <c r="F294" s="1629" t="s">
        <v>31</v>
      </c>
      <c r="G294" s="1612" t="s">
        <v>31</v>
      </c>
      <c r="H294" s="1612" t="s">
        <v>31</v>
      </c>
      <c r="I294" s="1612"/>
      <c r="J294" s="1612"/>
      <c r="K294" s="1612" t="s">
        <v>31</v>
      </c>
      <c r="L294" s="1612" t="s">
        <v>31</v>
      </c>
      <c r="M294" s="1612" t="s">
        <v>31</v>
      </c>
      <c r="N294" s="1633" t="s">
        <v>31</v>
      </c>
      <c r="O294" s="1633" t="s">
        <v>31</v>
      </c>
      <c r="P294" s="1633"/>
      <c r="Q294" s="1628"/>
      <c r="R294" s="1633" t="s">
        <v>31</v>
      </c>
      <c r="S294" s="1612" t="s">
        <v>31</v>
      </c>
      <c r="T294" s="1612" t="s">
        <v>31</v>
      </c>
      <c r="U294" s="1633" t="s">
        <v>31</v>
      </c>
      <c r="V294" s="1633" t="s">
        <v>31</v>
      </c>
      <c r="W294" s="1633"/>
      <c r="X294" s="1612"/>
      <c r="Y294" s="1958" t="s">
        <v>31</v>
      </c>
      <c r="Z294" s="1612" t="s">
        <v>31</v>
      </c>
      <c r="AA294" s="1612" t="s">
        <v>31</v>
      </c>
      <c r="AB294" s="1612" t="s">
        <v>31</v>
      </c>
      <c r="AC294" s="1612" t="s">
        <v>31</v>
      </c>
      <c r="AD294" s="1629"/>
      <c r="AE294" s="1612"/>
      <c r="AF294" s="1629" t="s">
        <v>31</v>
      </c>
      <c r="AG294" s="1259"/>
      <c r="AH294" s="201"/>
      <c r="AI294" s="197"/>
    </row>
    <row r="295" spans="1:35" ht="21" customHeight="1" x14ac:dyDescent="0.2">
      <c r="A295" s="1893"/>
      <c r="B295" s="2134" t="s">
        <v>334</v>
      </c>
      <c r="C295" s="1612"/>
      <c r="D295" s="1612" t="s">
        <v>31</v>
      </c>
      <c r="E295" s="1957" t="s">
        <v>31</v>
      </c>
      <c r="F295" s="1629" t="s">
        <v>31</v>
      </c>
      <c r="G295" s="1612" t="s">
        <v>31</v>
      </c>
      <c r="H295" s="1612" t="s">
        <v>31</v>
      </c>
      <c r="I295" s="1612"/>
      <c r="J295" s="1612"/>
      <c r="K295" s="1612" t="s">
        <v>31</v>
      </c>
      <c r="L295" s="1612" t="s">
        <v>31</v>
      </c>
      <c r="M295" s="1612" t="s">
        <v>31</v>
      </c>
      <c r="N295" s="1633" t="s">
        <v>31</v>
      </c>
      <c r="O295" s="1633" t="s">
        <v>31</v>
      </c>
      <c r="P295" s="1633"/>
      <c r="Q295" s="1628"/>
      <c r="R295" s="1633" t="s">
        <v>31</v>
      </c>
      <c r="S295" s="1612" t="s">
        <v>31</v>
      </c>
      <c r="T295" s="1612" t="s">
        <v>31</v>
      </c>
      <c r="U295" s="1633" t="s">
        <v>31</v>
      </c>
      <c r="V295" s="1633" t="s">
        <v>31</v>
      </c>
      <c r="W295" s="1633"/>
      <c r="X295" s="1612"/>
      <c r="Y295" s="1633" t="s">
        <v>31</v>
      </c>
      <c r="Z295" s="1612" t="s">
        <v>31</v>
      </c>
      <c r="AA295" s="1612" t="s">
        <v>31</v>
      </c>
      <c r="AB295" s="1612" t="s">
        <v>31</v>
      </c>
      <c r="AC295" s="1612" t="s">
        <v>31</v>
      </c>
      <c r="AD295" s="1629"/>
      <c r="AE295" s="1612"/>
      <c r="AF295" s="1629" t="s">
        <v>31</v>
      </c>
      <c r="AG295" s="1259"/>
      <c r="AH295" s="201"/>
      <c r="AI295" s="197"/>
    </row>
    <row r="296" spans="1:35" ht="21" customHeight="1" x14ac:dyDescent="0.2">
      <c r="A296" s="1893"/>
      <c r="B296" s="2135" t="s">
        <v>413</v>
      </c>
      <c r="C296" s="1612"/>
      <c r="D296" s="1612" t="s">
        <v>31</v>
      </c>
      <c r="E296" s="1612" t="s">
        <v>31</v>
      </c>
      <c r="F296" s="1629" t="s">
        <v>31</v>
      </c>
      <c r="G296" s="1612" t="s">
        <v>31</v>
      </c>
      <c r="H296" s="1612" t="s">
        <v>31</v>
      </c>
      <c r="I296" s="1612"/>
      <c r="J296" s="1612"/>
      <c r="K296" s="1612" t="s">
        <v>31</v>
      </c>
      <c r="L296" s="1612" t="s">
        <v>31</v>
      </c>
      <c r="M296" s="1612" t="s">
        <v>31</v>
      </c>
      <c r="N296" s="1633" t="s">
        <v>31</v>
      </c>
      <c r="O296" s="1633" t="s">
        <v>31</v>
      </c>
      <c r="P296" s="1633"/>
      <c r="Q296" s="1628"/>
      <c r="R296" s="1633" t="s">
        <v>31</v>
      </c>
      <c r="S296" s="1612" t="s">
        <v>31</v>
      </c>
      <c r="T296" s="1612" t="s">
        <v>31</v>
      </c>
      <c r="U296" s="1633" t="s">
        <v>31</v>
      </c>
      <c r="V296" s="1633" t="s">
        <v>31</v>
      </c>
      <c r="W296" s="1633"/>
      <c r="X296" s="1612"/>
      <c r="Y296" s="1633" t="s">
        <v>31</v>
      </c>
      <c r="Z296" s="1612" t="s">
        <v>31</v>
      </c>
      <c r="AA296" s="1612" t="s">
        <v>31</v>
      </c>
      <c r="AB296" s="1612" t="s">
        <v>31</v>
      </c>
      <c r="AC296" s="1612" t="s">
        <v>31</v>
      </c>
      <c r="AD296" s="1629"/>
      <c r="AE296" s="1612"/>
      <c r="AF296" s="1629" t="s">
        <v>31</v>
      </c>
      <c r="AG296" s="1259"/>
      <c r="AH296" s="201"/>
      <c r="AI296" s="197"/>
    </row>
    <row r="297" spans="1:35" ht="21" customHeight="1" x14ac:dyDescent="0.2">
      <c r="A297" s="1893"/>
      <c r="B297" s="2136" t="s">
        <v>335</v>
      </c>
      <c r="C297" s="1612"/>
      <c r="D297" s="1612" t="s">
        <v>31</v>
      </c>
      <c r="E297" s="1612" t="s">
        <v>31</v>
      </c>
      <c r="F297" s="1629" t="s">
        <v>31</v>
      </c>
      <c r="G297" s="1612" t="s">
        <v>31</v>
      </c>
      <c r="H297" s="1612" t="s">
        <v>31</v>
      </c>
      <c r="I297" s="1612"/>
      <c r="J297" s="1612"/>
      <c r="K297" s="1612" t="s">
        <v>31</v>
      </c>
      <c r="L297" s="1612" t="s">
        <v>31</v>
      </c>
      <c r="M297" s="1612" t="s">
        <v>31</v>
      </c>
      <c r="N297" s="1633" t="s">
        <v>31</v>
      </c>
      <c r="O297" s="1633" t="s">
        <v>31</v>
      </c>
      <c r="P297" s="1633"/>
      <c r="Q297" s="1628"/>
      <c r="R297" s="1633" t="s">
        <v>31</v>
      </c>
      <c r="S297" s="1612" t="s">
        <v>31</v>
      </c>
      <c r="T297" s="1612" t="s">
        <v>31</v>
      </c>
      <c r="U297" s="1633" t="s">
        <v>31</v>
      </c>
      <c r="V297" s="1633" t="s">
        <v>31</v>
      </c>
      <c r="W297" s="1633"/>
      <c r="X297" s="1612"/>
      <c r="Y297" s="1633" t="s">
        <v>31</v>
      </c>
      <c r="Z297" s="1612" t="s">
        <v>31</v>
      </c>
      <c r="AA297" s="1612" t="s">
        <v>31</v>
      </c>
      <c r="AB297" s="1612" t="s">
        <v>31</v>
      </c>
      <c r="AC297" s="1612" t="s">
        <v>31</v>
      </c>
      <c r="AD297" s="1629"/>
      <c r="AE297" s="1612"/>
      <c r="AF297" s="1629" t="s">
        <v>31</v>
      </c>
      <c r="AG297" s="1259"/>
      <c r="AH297" s="201"/>
      <c r="AI297" s="197"/>
    </row>
    <row r="298" spans="1:35" ht="21" customHeight="1" x14ac:dyDescent="0.2">
      <c r="A298" s="1893"/>
      <c r="B298" s="1498" t="s">
        <v>336</v>
      </c>
      <c r="C298" s="1612"/>
      <c r="D298" s="1612" t="s">
        <v>31</v>
      </c>
      <c r="E298" s="1612" t="s">
        <v>31</v>
      </c>
      <c r="F298" s="1629" t="s">
        <v>31</v>
      </c>
      <c r="G298" s="1612" t="s">
        <v>31</v>
      </c>
      <c r="H298" s="1612" t="s">
        <v>31</v>
      </c>
      <c r="I298" s="1612"/>
      <c r="J298" s="1612"/>
      <c r="K298" s="1612" t="s">
        <v>31</v>
      </c>
      <c r="L298" s="1612" t="s">
        <v>31</v>
      </c>
      <c r="M298" s="1612" t="s">
        <v>31</v>
      </c>
      <c r="N298" s="1633" t="s">
        <v>31</v>
      </c>
      <c r="O298" s="1633" t="s">
        <v>31</v>
      </c>
      <c r="P298" s="1633"/>
      <c r="Q298" s="1628"/>
      <c r="R298" s="1633" t="s">
        <v>31</v>
      </c>
      <c r="S298" s="1612" t="s">
        <v>31</v>
      </c>
      <c r="T298" s="1612" t="s">
        <v>31</v>
      </c>
      <c r="U298" s="1633" t="s">
        <v>31</v>
      </c>
      <c r="V298" s="1633" t="s">
        <v>31</v>
      </c>
      <c r="W298" s="1633"/>
      <c r="X298" s="1612"/>
      <c r="Y298" s="1633" t="s">
        <v>31</v>
      </c>
      <c r="Z298" s="1612" t="s">
        <v>31</v>
      </c>
      <c r="AA298" s="1612" t="s">
        <v>31</v>
      </c>
      <c r="AB298" s="1612" t="s">
        <v>31</v>
      </c>
      <c r="AC298" s="1612" t="s">
        <v>31</v>
      </c>
      <c r="AD298" s="1629"/>
      <c r="AE298" s="1612"/>
      <c r="AF298" s="1629" t="s">
        <v>31</v>
      </c>
      <c r="AG298" s="1259"/>
      <c r="AH298" s="201"/>
      <c r="AI298" s="197"/>
    </row>
    <row r="299" spans="1:35" ht="21" customHeight="1" x14ac:dyDescent="0.2">
      <c r="A299" s="1893"/>
      <c r="B299" s="1910"/>
      <c r="C299" s="1629"/>
      <c r="D299" s="1546"/>
      <c r="E299" s="1629"/>
      <c r="F299" s="1629"/>
      <c r="G299" s="1629"/>
      <c r="H299" s="1629"/>
      <c r="I299" s="1629"/>
      <c r="J299" s="1629"/>
      <c r="K299" s="1629"/>
      <c r="L299" s="1629"/>
      <c r="M299" s="1629"/>
      <c r="N299" s="1629"/>
      <c r="O299" s="1629"/>
      <c r="P299" s="1629"/>
      <c r="Q299" s="1629"/>
      <c r="R299" s="1629"/>
      <c r="S299" s="1629"/>
      <c r="T299" s="1629"/>
      <c r="U299" s="1629"/>
      <c r="V299" s="1629"/>
      <c r="W299" s="1629"/>
      <c r="X299" s="1629"/>
      <c r="Y299" s="1629"/>
      <c r="Z299" s="1629"/>
      <c r="AA299" s="1629"/>
      <c r="AB299" s="1629"/>
      <c r="AC299" s="1629"/>
      <c r="AD299" s="1629"/>
      <c r="AE299" s="1629"/>
      <c r="AF299" s="1629"/>
      <c r="AG299" s="1259"/>
      <c r="AH299" s="201"/>
      <c r="AI299" s="197"/>
    </row>
    <row r="300" spans="1:35" ht="21" customHeight="1" x14ac:dyDescent="0.2">
      <c r="A300" s="1277"/>
      <c r="B300" s="1910"/>
      <c r="C300" s="1259"/>
      <c r="D300" s="1259"/>
      <c r="E300" s="1259"/>
      <c r="F300" s="1259"/>
      <c r="G300" s="1259"/>
      <c r="H300" s="1259"/>
      <c r="I300" s="1259"/>
      <c r="J300" s="1259"/>
      <c r="K300" s="1259"/>
      <c r="L300" s="1259"/>
      <c r="M300" s="1259"/>
      <c r="N300" s="1258"/>
      <c r="O300" s="1258"/>
      <c r="P300" s="1259"/>
      <c r="Q300" s="1259"/>
      <c r="R300" s="1259"/>
      <c r="S300" s="1259"/>
      <c r="T300" s="1259"/>
      <c r="U300" s="1259"/>
      <c r="V300" s="1259"/>
      <c r="W300" s="1259"/>
      <c r="X300" s="1259"/>
      <c r="Y300" s="1259"/>
      <c r="Z300" s="1259"/>
      <c r="AA300" s="1259"/>
      <c r="AB300" s="1258"/>
      <c r="AC300" s="1258"/>
      <c r="AD300" s="1259"/>
      <c r="AE300" s="1259"/>
      <c r="AF300" s="1259"/>
      <c r="AG300" s="1259"/>
      <c r="AH300" s="201"/>
      <c r="AI300" s="199"/>
    </row>
    <row r="301" spans="1:35" ht="21" customHeight="1" thickBot="1" x14ac:dyDescent="0.25">
      <c r="A301" s="686"/>
      <c r="B301" s="687"/>
      <c r="C301" s="1126"/>
      <c r="D301" s="1127"/>
      <c r="E301" s="1127"/>
      <c r="F301" s="1127"/>
      <c r="G301" s="1127"/>
      <c r="H301" s="1127"/>
      <c r="I301" s="1127"/>
      <c r="J301" s="1127"/>
      <c r="K301" s="1127"/>
      <c r="L301" s="1127"/>
      <c r="M301" s="1127"/>
      <c r="N301" s="1128"/>
      <c r="O301" s="1128"/>
      <c r="P301" s="1127"/>
      <c r="Q301" s="1127"/>
      <c r="R301" s="1127"/>
      <c r="S301" s="1127"/>
      <c r="T301" s="1127"/>
      <c r="U301" s="1127"/>
      <c r="V301" s="1127"/>
      <c r="W301" s="1127"/>
      <c r="X301" s="1127"/>
      <c r="Y301" s="1127"/>
      <c r="Z301" s="1127"/>
      <c r="AA301" s="1127"/>
      <c r="AB301" s="1128"/>
      <c r="AC301" s="1128"/>
      <c r="AD301" s="1127"/>
      <c r="AE301" s="1127"/>
      <c r="AF301" s="1127"/>
      <c r="AG301" s="1127"/>
      <c r="AH301" s="201"/>
      <c r="AI301" s="199"/>
    </row>
  </sheetData>
  <protectedRanges>
    <protectedRange sqref="B226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:B125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9D99-AA1A-4499-8C89-9427BEC1617B}">
  <sheetPr codeName="Ark70"/>
  <dimension ref="A1:AL301"/>
  <sheetViews>
    <sheetView zoomScaleNormal="100" workbookViewId="0">
      <pane xSplit="2" ySplit="3" topLeftCell="C47" activePane="bottomRight" state="frozen"/>
      <selection pane="topRight" activeCell="AM167" sqref="AM167"/>
      <selection pane="bottomLeft" activeCell="AM167" sqref="AM167"/>
      <selection pane="bottomRight" activeCell="AF68" sqref="AF68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1911" t="s">
        <v>2</v>
      </c>
      <c r="C2" s="1912" t="s">
        <v>3</v>
      </c>
      <c r="D2" s="1913"/>
      <c r="E2" s="1914" t="s">
        <v>4</v>
      </c>
      <c r="F2" s="1915"/>
      <c r="G2" s="1916"/>
      <c r="H2" s="1916"/>
      <c r="I2" s="1916"/>
      <c r="J2" s="1916"/>
      <c r="K2" s="1917"/>
      <c r="L2" s="1918" t="s">
        <v>5</v>
      </c>
      <c r="M2" s="1919"/>
      <c r="N2" s="1920"/>
      <c r="O2" s="1921" t="s">
        <v>6</v>
      </c>
      <c r="P2" s="1922"/>
      <c r="Q2" s="1923"/>
      <c r="R2" s="1924"/>
      <c r="S2" s="1925" t="s">
        <v>7</v>
      </c>
      <c r="T2" s="1926"/>
      <c r="U2" s="1927"/>
      <c r="V2" s="1926"/>
      <c r="W2" s="1928" t="s">
        <v>8</v>
      </c>
      <c r="X2" s="1929"/>
      <c r="Y2" s="1930"/>
      <c r="Z2" s="164" t="s">
        <v>9</v>
      </c>
      <c r="AA2" s="1157"/>
      <c r="AB2" s="1158"/>
      <c r="AC2" s="1159"/>
      <c r="AD2" s="1160" t="s">
        <v>10</v>
      </c>
      <c r="AE2" s="1161"/>
      <c r="AF2" s="1161"/>
      <c r="AG2" s="1162"/>
    </row>
    <row r="3" spans="1:35" ht="13.35" customHeight="1" x14ac:dyDescent="0.2">
      <c r="A3" s="1"/>
      <c r="B3" s="1163" t="s">
        <v>11</v>
      </c>
      <c r="C3" s="1164" t="s">
        <v>12</v>
      </c>
      <c r="D3" s="1165"/>
      <c r="E3" s="91"/>
      <c r="F3" s="92"/>
      <c r="G3" s="92"/>
      <c r="H3" s="165" t="s">
        <v>13</v>
      </c>
      <c r="I3" s="93"/>
      <c r="J3" s="93"/>
      <c r="K3" s="94"/>
      <c r="L3" s="1166" t="s">
        <v>14</v>
      </c>
      <c r="M3" s="1167"/>
      <c r="N3" s="1168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1167"/>
      <c r="AA3" s="1167"/>
      <c r="AB3" s="1169"/>
      <c r="AC3" s="1170"/>
      <c r="AD3" s="1171" t="s">
        <v>17</v>
      </c>
      <c r="AE3" s="1172"/>
      <c r="AF3" s="1172"/>
      <c r="AG3" s="1173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1174" t="s">
        <v>20</v>
      </c>
      <c r="B6" s="1167"/>
      <c r="C6" s="1175"/>
      <c r="D6" s="1174" t="s">
        <v>21</v>
      </c>
      <c r="E6" s="1167"/>
      <c r="F6" s="1167"/>
      <c r="G6" s="1167"/>
      <c r="H6" s="1176"/>
      <c r="I6" s="1167"/>
      <c r="J6" s="1167"/>
      <c r="K6" s="1167"/>
      <c r="L6" s="1177" t="s">
        <v>22</v>
      </c>
      <c r="M6" s="1167"/>
      <c r="N6" s="1167"/>
      <c r="O6" s="1167"/>
      <c r="P6" s="1167"/>
      <c r="Q6" s="1167"/>
      <c r="R6" s="1167"/>
      <c r="S6" s="1175"/>
      <c r="T6" s="1178"/>
      <c r="U6" s="1167"/>
      <c r="V6" s="1167"/>
      <c r="W6" s="1167"/>
      <c r="X6" s="1167"/>
      <c r="Y6" s="1167"/>
      <c r="Z6" s="1167"/>
      <c r="AA6" s="1175"/>
      <c r="AB6" s="1179"/>
      <c r="AC6" s="1180"/>
      <c r="AD6" s="1180"/>
      <c r="AE6" s="1180"/>
      <c r="AF6" s="1180"/>
      <c r="AG6" s="1181"/>
    </row>
    <row r="7" spans="1:35" ht="22.15" customHeight="1" x14ac:dyDescent="0.2">
      <c r="A7" s="1174" t="s">
        <v>23</v>
      </c>
      <c r="B7" s="1167"/>
      <c r="C7" s="1167"/>
      <c r="D7" s="1167"/>
      <c r="E7" s="1167"/>
      <c r="F7" s="1167"/>
      <c r="G7" s="1167"/>
      <c r="H7" s="1167"/>
      <c r="I7" s="1167"/>
      <c r="J7" s="1167"/>
      <c r="K7" s="1175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167"/>
      <c r="V7" s="1167"/>
      <c r="W7" s="1167"/>
      <c r="X7" s="1167"/>
      <c r="Y7" s="1167"/>
      <c r="Z7" s="1167"/>
      <c r="AA7" s="1167"/>
      <c r="AB7" s="1182"/>
      <c r="AC7" s="1167"/>
      <c r="AD7" s="1167"/>
      <c r="AE7" s="1167"/>
      <c r="AF7" s="1167"/>
      <c r="AG7" s="1175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5" ht="22.15" customHeight="1" thickBot="1" x14ac:dyDescent="0.25">
      <c r="A11" s="1183" t="s">
        <v>28</v>
      </c>
      <c r="B11" s="1184" t="s">
        <v>29</v>
      </c>
      <c r="C11" s="1254">
        <v>1</v>
      </c>
      <c r="D11" s="1254">
        <v>2</v>
      </c>
      <c r="E11" s="1254">
        <v>3</v>
      </c>
      <c r="F11" s="1254">
        <v>4</v>
      </c>
      <c r="G11" s="1185">
        <v>5</v>
      </c>
      <c r="H11" s="1185">
        <v>6</v>
      </c>
      <c r="I11" s="1254">
        <v>7</v>
      </c>
      <c r="J11" s="1254">
        <v>8</v>
      </c>
      <c r="K11" s="1254">
        <v>9</v>
      </c>
      <c r="L11" s="1254">
        <v>10</v>
      </c>
      <c r="M11" s="1254">
        <v>11</v>
      </c>
      <c r="N11" s="1185">
        <v>12</v>
      </c>
      <c r="O11" s="1185">
        <v>13</v>
      </c>
      <c r="P11" s="1254">
        <v>14</v>
      </c>
      <c r="Q11" s="1254">
        <v>15</v>
      </c>
      <c r="R11" s="1254">
        <v>16</v>
      </c>
      <c r="S11" s="1254">
        <v>17</v>
      </c>
      <c r="T11" s="1254">
        <v>18</v>
      </c>
      <c r="U11" s="1185">
        <v>19</v>
      </c>
      <c r="V11" s="1185">
        <v>20</v>
      </c>
      <c r="W11" s="1254">
        <v>21</v>
      </c>
      <c r="X11" s="1254">
        <v>22</v>
      </c>
      <c r="Y11" s="1254">
        <v>23</v>
      </c>
      <c r="Z11" s="1185">
        <v>24</v>
      </c>
      <c r="AA11" s="1185">
        <v>25</v>
      </c>
      <c r="AB11" s="1185">
        <v>26</v>
      </c>
      <c r="AC11" s="1185">
        <v>27</v>
      </c>
      <c r="AD11" s="1254">
        <v>28</v>
      </c>
      <c r="AE11" s="1254">
        <v>29</v>
      </c>
      <c r="AF11" s="1254">
        <v>30</v>
      </c>
      <c r="AG11" s="2064">
        <v>31</v>
      </c>
      <c r="AH11" s="184"/>
      <c r="AI11" s="185"/>
    </row>
    <row r="12" spans="1:35" ht="22.15" customHeight="1" x14ac:dyDescent="0.2">
      <c r="A12" s="456">
        <v>8500</v>
      </c>
      <c r="B12" s="457" t="s">
        <v>30</v>
      </c>
      <c r="C12" s="458" t="s">
        <v>31</v>
      </c>
      <c r="D12" s="458" t="s">
        <v>31</v>
      </c>
      <c r="E12" s="458" t="s">
        <v>31</v>
      </c>
      <c r="F12" s="458" t="s">
        <v>31</v>
      </c>
      <c r="G12" s="458"/>
      <c r="H12" s="458"/>
      <c r="I12" s="458" t="s">
        <v>31</v>
      </c>
      <c r="J12" s="458" t="s">
        <v>31</v>
      </c>
      <c r="K12" s="458" t="s">
        <v>31</v>
      </c>
      <c r="L12" s="463" t="s">
        <v>31</v>
      </c>
      <c r="M12" s="463" t="s">
        <v>31</v>
      </c>
      <c r="N12" s="458"/>
      <c r="O12" s="458"/>
      <c r="P12" s="458" t="s">
        <v>31</v>
      </c>
      <c r="Q12" s="458" t="s">
        <v>31</v>
      </c>
      <c r="R12" s="458" t="s">
        <v>31</v>
      </c>
      <c r="S12" s="463" t="s">
        <v>31</v>
      </c>
      <c r="T12" s="275" t="s">
        <v>31</v>
      </c>
      <c r="U12" s="458"/>
      <c r="V12" s="458"/>
      <c r="W12" s="463" t="s">
        <v>31</v>
      </c>
      <c r="X12" s="463" t="s">
        <v>31</v>
      </c>
      <c r="Y12" s="463" t="s">
        <v>31</v>
      </c>
      <c r="Z12" s="458"/>
      <c r="AA12" s="458"/>
      <c r="AB12" s="458"/>
      <c r="AC12" s="458"/>
      <c r="AD12" s="463" t="s">
        <v>31</v>
      </c>
      <c r="AE12" s="463" t="s">
        <v>31</v>
      </c>
      <c r="AF12" s="463" t="s">
        <v>31</v>
      </c>
      <c r="AG12" s="464"/>
      <c r="AH12" s="190"/>
      <c r="AI12" s="190"/>
    </row>
    <row r="13" spans="1:35" ht="22.15" customHeight="1" x14ac:dyDescent="0.2">
      <c r="A13" s="1188" t="s">
        <v>33</v>
      </c>
      <c r="B13" s="1189"/>
      <c r="C13" s="1189"/>
      <c r="D13" s="1189"/>
      <c r="E13" s="1189"/>
      <c r="F13" s="1189"/>
      <c r="G13" s="1189"/>
      <c r="H13" s="1189"/>
      <c r="I13" s="1189"/>
      <c r="J13" s="1189"/>
      <c r="K13" s="1189"/>
      <c r="L13" s="1189"/>
      <c r="M13" s="1189"/>
      <c r="N13" s="1189"/>
      <c r="O13" s="1189"/>
      <c r="P13" s="1189"/>
      <c r="Q13" s="1189"/>
      <c r="R13" s="1189"/>
      <c r="S13" s="1189"/>
      <c r="T13" s="1189"/>
      <c r="U13" s="1189"/>
      <c r="V13" s="1189"/>
      <c r="W13" s="1189"/>
      <c r="X13" s="1189"/>
      <c r="Y13" s="1189"/>
      <c r="Z13" s="1189"/>
      <c r="AA13" s="1189"/>
      <c r="AB13" s="1189"/>
      <c r="AC13" s="1189"/>
      <c r="AD13" s="1189"/>
      <c r="AE13" s="1189"/>
      <c r="AF13" s="1189"/>
      <c r="AG13" s="1190"/>
      <c r="AH13" s="188"/>
      <c r="AI13" s="188"/>
    </row>
    <row r="14" spans="1:35" ht="22.15" customHeight="1" x14ac:dyDescent="0.2">
      <c r="A14" s="1191">
        <v>8546</v>
      </c>
      <c r="B14" s="1192" t="s">
        <v>34</v>
      </c>
      <c r="C14" s="1193">
        <v>1</v>
      </c>
      <c r="D14" s="1193">
        <v>1</v>
      </c>
      <c r="E14" s="1193">
        <v>1</v>
      </c>
      <c r="F14" s="1193">
        <v>1</v>
      </c>
      <c r="G14" s="1193"/>
      <c r="H14" s="1194"/>
      <c r="I14" s="1194">
        <v>2</v>
      </c>
      <c r="J14" s="1194">
        <v>2</v>
      </c>
      <c r="K14" s="1203">
        <v>2</v>
      </c>
      <c r="L14" s="1194">
        <v>2</v>
      </c>
      <c r="M14" s="1258">
        <v>2</v>
      </c>
      <c r="N14" s="1193" t="s">
        <v>36</v>
      </c>
      <c r="O14" s="1193" t="s">
        <v>36</v>
      </c>
      <c r="P14" s="1199" t="s">
        <v>35</v>
      </c>
      <c r="Q14" s="1199" t="s">
        <v>35</v>
      </c>
      <c r="R14" s="1194" t="s">
        <v>35</v>
      </c>
      <c r="S14" s="1267" t="s">
        <v>35</v>
      </c>
      <c r="T14" s="1199" t="s">
        <v>35</v>
      </c>
      <c r="U14" s="1199"/>
      <c r="V14" s="1194"/>
      <c r="W14" s="1194">
        <v>4</v>
      </c>
      <c r="X14" s="1194">
        <v>4</v>
      </c>
      <c r="Y14" s="1194">
        <v>4</v>
      </c>
      <c r="Z14" s="1194">
        <v>4</v>
      </c>
      <c r="AA14" s="1194">
        <v>4</v>
      </c>
      <c r="AB14" s="1194" t="s">
        <v>37</v>
      </c>
      <c r="AC14" s="1194" t="s">
        <v>37</v>
      </c>
      <c r="AD14" s="1199" t="s">
        <v>35</v>
      </c>
      <c r="AE14" s="1194" t="s">
        <v>35</v>
      </c>
      <c r="AF14" s="1194" t="s">
        <v>35</v>
      </c>
      <c r="AG14" s="1201" t="s">
        <v>35</v>
      </c>
      <c r="AH14" s="190"/>
      <c r="AI14" s="190"/>
    </row>
    <row r="15" spans="1:35" ht="22.15" customHeight="1" x14ac:dyDescent="0.2">
      <c r="A15" s="1191">
        <v>8546</v>
      </c>
      <c r="B15" s="1202" t="s">
        <v>38</v>
      </c>
      <c r="C15" s="1203" t="s">
        <v>35</v>
      </c>
      <c r="D15" s="1194" t="s">
        <v>35</v>
      </c>
      <c r="E15" s="1194" t="s">
        <v>35</v>
      </c>
      <c r="F15" s="1199" t="s">
        <v>35</v>
      </c>
      <c r="G15" s="1199"/>
      <c r="H15" s="1199"/>
      <c r="I15" s="1194">
        <v>1</v>
      </c>
      <c r="J15" s="1203">
        <v>1</v>
      </c>
      <c r="K15" s="1199">
        <v>1</v>
      </c>
      <c r="L15" s="1194">
        <v>1</v>
      </c>
      <c r="M15" s="1194">
        <v>1</v>
      </c>
      <c r="N15" s="1194"/>
      <c r="O15" s="1194"/>
      <c r="P15" s="1194">
        <v>2</v>
      </c>
      <c r="Q15" s="1194">
        <v>2</v>
      </c>
      <c r="R15" s="1194">
        <v>2</v>
      </c>
      <c r="S15" s="1194">
        <v>2</v>
      </c>
      <c r="T15" s="1194">
        <v>2</v>
      </c>
      <c r="U15" s="1194" t="s">
        <v>36</v>
      </c>
      <c r="V15" s="1194" t="s">
        <v>36</v>
      </c>
      <c r="W15" s="1194" t="s">
        <v>35</v>
      </c>
      <c r="X15" s="1194" t="s">
        <v>35</v>
      </c>
      <c r="Y15" s="1194" t="s">
        <v>35</v>
      </c>
      <c r="Z15" s="1194" t="s">
        <v>35</v>
      </c>
      <c r="AA15" s="1194" t="s">
        <v>35</v>
      </c>
      <c r="AB15" s="1194"/>
      <c r="AC15" s="1194"/>
      <c r="AD15" s="1194">
        <v>4</v>
      </c>
      <c r="AE15" s="1194">
        <v>4</v>
      </c>
      <c r="AF15" s="1194">
        <v>4</v>
      </c>
      <c r="AG15" s="1201">
        <v>4</v>
      </c>
      <c r="AH15" s="190"/>
      <c r="AI15" s="190"/>
    </row>
    <row r="16" spans="1:35" ht="22.15" customHeight="1" x14ac:dyDescent="0.2">
      <c r="A16" s="1191">
        <v>8546</v>
      </c>
      <c r="B16" s="1192" t="s">
        <v>39</v>
      </c>
      <c r="C16" s="1199" t="s">
        <v>35</v>
      </c>
      <c r="D16" s="1194" t="s">
        <v>35</v>
      </c>
      <c r="E16" s="1194" t="s">
        <v>35</v>
      </c>
      <c r="F16" s="1194" t="s">
        <v>35</v>
      </c>
      <c r="G16" s="1194"/>
      <c r="H16" s="1194"/>
      <c r="I16" s="1194">
        <v>4</v>
      </c>
      <c r="J16" s="1194">
        <v>4</v>
      </c>
      <c r="K16" s="1194">
        <v>4</v>
      </c>
      <c r="L16" s="1194">
        <v>4</v>
      </c>
      <c r="M16" s="1194">
        <v>4</v>
      </c>
      <c r="N16" s="1199" t="s">
        <v>37</v>
      </c>
      <c r="O16" s="1199" t="s">
        <v>37</v>
      </c>
      <c r="P16" s="1199" t="s">
        <v>35</v>
      </c>
      <c r="Q16" s="1199" t="s">
        <v>35</v>
      </c>
      <c r="R16" s="1199" t="s">
        <v>35</v>
      </c>
      <c r="S16" s="1194" t="s">
        <v>35</v>
      </c>
      <c r="T16" s="1194" t="s">
        <v>35</v>
      </c>
      <c r="U16" s="1194"/>
      <c r="V16" s="1194"/>
      <c r="W16" s="1196">
        <v>1</v>
      </c>
      <c r="X16" s="1194">
        <v>1</v>
      </c>
      <c r="Y16" s="1199">
        <v>1</v>
      </c>
      <c r="Z16" s="1199">
        <v>1</v>
      </c>
      <c r="AA16" s="1199">
        <v>1</v>
      </c>
      <c r="AB16" s="1199"/>
      <c r="AC16" s="1199"/>
      <c r="AD16" s="1194">
        <v>2</v>
      </c>
      <c r="AE16" s="1194">
        <v>2</v>
      </c>
      <c r="AF16" s="1194">
        <v>2</v>
      </c>
      <c r="AG16" s="1201">
        <v>2</v>
      </c>
      <c r="AH16" s="190"/>
      <c r="AI16" s="190"/>
    </row>
    <row r="17" spans="1:37" ht="22.15" customHeight="1" x14ac:dyDescent="0.2">
      <c r="A17" s="1191">
        <v>8546</v>
      </c>
      <c r="B17" s="1202" t="s">
        <v>40</v>
      </c>
      <c r="C17" s="2137">
        <v>2</v>
      </c>
      <c r="D17" s="1203">
        <v>2</v>
      </c>
      <c r="E17" s="1194">
        <v>2</v>
      </c>
      <c r="F17" s="1199">
        <v>2</v>
      </c>
      <c r="G17" s="1194" t="s">
        <v>36</v>
      </c>
      <c r="H17" s="1194" t="s">
        <v>36</v>
      </c>
      <c r="I17" s="1194" t="s">
        <v>35</v>
      </c>
      <c r="J17" s="2017">
        <v>7</v>
      </c>
      <c r="K17" s="1194" t="s">
        <v>35</v>
      </c>
      <c r="L17" s="1194" t="s">
        <v>35</v>
      </c>
      <c r="M17" s="1193" t="s">
        <v>35</v>
      </c>
      <c r="N17" s="1193"/>
      <c r="O17" s="1624"/>
      <c r="P17" s="1193">
        <v>4</v>
      </c>
      <c r="Q17" s="1193">
        <v>4</v>
      </c>
      <c r="R17" s="1193">
        <v>4</v>
      </c>
      <c r="S17" s="1193">
        <v>4</v>
      </c>
      <c r="T17" s="1194">
        <v>4</v>
      </c>
      <c r="U17" s="1194" t="s">
        <v>37</v>
      </c>
      <c r="V17" s="1194" t="s">
        <v>37</v>
      </c>
      <c r="W17" s="1194" t="s">
        <v>35</v>
      </c>
      <c r="X17" s="1203" t="s">
        <v>35</v>
      </c>
      <c r="Y17" s="1194" t="s">
        <v>35</v>
      </c>
      <c r="Z17" s="1194" t="s">
        <v>35</v>
      </c>
      <c r="AA17" s="1206" t="s">
        <v>35</v>
      </c>
      <c r="AB17" s="1206"/>
      <c r="AC17" s="1206"/>
      <c r="AD17" s="1206">
        <v>1</v>
      </c>
      <c r="AE17" s="1206">
        <v>1</v>
      </c>
      <c r="AF17" s="1206">
        <v>1</v>
      </c>
      <c r="AG17" s="1201">
        <v>1</v>
      </c>
      <c r="AH17" s="190"/>
      <c r="AI17" s="190"/>
    </row>
    <row r="18" spans="1:37" ht="22.15" customHeight="1" x14ac:dyDescent="0.2">
      <c r="A18" s="1191">
        <v>8546</v>
      </c>
      <c r="B18" s="1192" t="s">
        <v>41</v>
      </c>
      <c r="C18" s="1194">
        <v>4</v>
      </c>
      <c r="D18" s="1203">
        <v>4</v>
      </c>
      <c r="E18" s="1194">
        <v>4</v>
      </c>
      <c r="F18" s="1194">
        <v>4</v>
      </c>
      <c r="G18" s="1194" t="s">
        <v>37</v>
      </c>
      <c r="H18" s="1194" t="s">
        <v>37</v>
      </c>
      <c r="I18" s="1194" t="s">
        <v>35</v>
      </c>
      <c r="J18" s="1199" t="s">
        <v>35</v>
      </c>
      <c r="K18" s="1199" t="s">
        <v>35</v>
      </c>
      <c r="L18" s="1194" t="s">
        <v>35</v>
      </c>
      <c r="M18" s="1199" t="s">
        <v>35</v>
      </c>
      <c r="N18" s="1199"/>
      <c r="O18" s="1194"/>
      <c r="P18" s="1270">
        <v>1</v>
      </c>
      <c r="Q18" s="1270">
        <v>1</v>
      </c>
      <c r="R18" s="1270">
        <v>1</v>
      </c>
      <c r="S18" s="1270">
        <v>1</v>
      </c>
      <c r="T18" s="1270">
        <v>1</v>
      </c>
      <c r="U18" s="1334"/>
      <c r="V18" s="1334"/>
      <c r="W18" s="1194">
        <v>2</v>
      </c>
      <c r="X18" s="1194">
        <v>2</v>
      </c>
      <c r="Y18" s="1194">
        <v>2</v>
      </c>
      <c r="Z18" s="1194">
        <v>2</v>
      </c>
      <c r="AA18" s="1194">
        <v>2</v>
      </c>
      <c r="AB18" s="1194" t="s">
        <v>36</v>
      </c>
      <c r="AC18" s="1207" t="s">
        <v>36</v>
      </c>
      <c r="AD18" s="1194" t="s">
        <v>35</v>
      </c>
      <c r="AE18" s="1194" t="s">
        <v>35</v>
      </c>
      <c r="AF18" s="1194" t="s">
        <v>35</v>
      </c>
      <c r="AG18" s="1201" t="s">
        <v>35</v>
      </c>
      <c r="AH18" s="190"/>
      <c r="AI18" s="190"/>
    </row>
    <row r="19" spans="1:37" ht="22.15" customHeight="1" thickBot="1" x14ac:dyDescent="0.25">
      <c r="A19" s="1208" t="s">
        <v>42</v>
      </c>
      <c r="B19" s="1209"/>
      <c r="C19" s="1210"/>
      <c r="D19" s="1210"/>
      <c r="E19" s="1210"/>
      <c r="F19" s="1210"/>
      <c r="G19" s="1210"/>
      <c r="H19" s="1210"/>
      <c r="I19" s="1210"/>
      <c r="J19" s="1210"/>
      <c r="K19" s="1210"/>
      <c r="L19" s="1210"/>
      <c r="M19" s="1210"/>
      <c r="N19" s="1210"/>
      <c r="O19" s="1210"/>
      <c r="P19" s="1210"/>
      <c r="Q19" s="1210"/>
      <c r="R19" s="1210"/>
      <c r="S19" s="1210"/>
      <c r="T19" s="1210"/>
      <c r="U19" s="1210"/>
      <c r="V19" s="1210"/>
      <c r="W19" s="1210"/>
      <c r="X19" s="1210" t="s">
        <v>0</v>
      </c>
      <c r="Y19" s="1210"/>
      <c r="Z19" s="1210"/>
      <c r="AA19" s="1210"/>
      <c r="AB19" s="1210"/>
      <c r="AC19" s="1210"/>
      <c r="AD19" s="1210"/>
      <c r="AE19" s="1210"/>
      <c r="AF19" s="1210"/>
      <c r="AG19" s="1932"/>
      <c r="AH19" s="188"/>
      <c r="AI19" s="188"/>
    </row>
    <row r="20" spans="1:37" ht="22.15" customHeight="1" x14ac:dyDescent="0.2">
      <c r="A20" s="465">
        <v>8500</v>
      </c>
      <c r="B20" s="466" t="s">
        <v>43</v>
      </c>
      <c r="C20" s="458" t="s">
        <v>31</v>
      </c>
      <c r="D20" s="654" t="s">
        <v>31</v>
      </c>
      <c r="E20" s="458" t="s">
        <v>31</v>
      </c>
      <c r="F20" s="458" t="s">
        <v>31</v>
      </c>
      <c r="G20" s="458"/>
      <c r="H20" s="458"/>
      <c r="I20" s="458" t="s">
        <v>31</v>
      </c>
      <c r="J20" s="458" t="s">
        <v>31</v>
      </c>
      <c r="K20" s="458" t="s">
        <v>31</v>
      </c>
      <c r="L20" s="458" t="s">
        <v>31</v>
      </c>
      <c r="M20" s="458" t="s">
        <v>31</v>
      </c>
      <c r="N20" s="458"/>
      <c r="O20" s="458"/>
      <c r="P20" s="458" t="s">
        <v>31</v>
      </c>
      <c r="Q20" s="458" t="s">
        <v>31</v>
      </c>
      <c r="R20" s="458" t="s">
        <v>31</v>
      </c>
      <c r="S20" s="458" t="s">
        <v>31</v>
      </c>
      <c r="T20" s="458" t="s">
        <v>31</v>
      </c>
      <c r="U20" s="458"/>
      <c r="V20" s="458"/>
      <c r="W20" s="458" t="s">
        <v>31</v>
      </c>
      <c r="X20" s="458" t="s">
        <v>31</v>
      </c>
      <c r="Y20" s="458" t="s">
        <v>31</v>
      </c>
      <c r="Z20" s="458"/>
      <c r="AA20" s="458"/>
      <c r="AB20" s="458"/>
      <c r="AC20" s="458"/>
      <c r="AD20" s="458" t="s">
        <v>31</v>
      </c>
      <c r="AE20" s="458" t="s">
        <v>31</v>
      </c>
      <c r="AF20" s="458" t="s">
        <v>31</v>
      </c>
      <c r="AG20" s="537"/>
      <c r="AH20" s="190"/>
      <c r="AI20" s="190"/>
    </row>
    <row r="21" spans="1:37" ht="22.15" customHeight="1" x14ac:dyDescent="0.2">
      <c r="A21" s="1626">
        <v>8500</v>
      </c>
      <c r="B21" s="1627" t="s">
        <v>44</v>
      </c>
      <c r="C21" s="1720" t="s">
        <v>401</v>
      </c>
      <c r="D21" s="1725" t="s">
        <v>31</v>
      </c>
      <c r="E21" s="1725" t="s">
        <v>31</v>
      </c>
      <c r="F21" s="1725" t="s">
        <v>31</v>
      </c>
      <c r="G21" s="1612"/>
      <c r="H21" s="1629"/>
      <c r="I21" s="1413" t="s">
        <v>31</v>
      </c>
      <c r="J21" s="1413" t="s">
        <v>31</v>
      </c>
      <c r="K21" s="1413" t="s">
        <v>31</v>
      </c>
      <c r="L21" s="1413" t="s">
        <v>31</v>
      </c>
      <c r="M21" s="1413" t="s">
        <v>31</v>
      </c>
      <c r="N21" s="1629"/>
      <c r="O21" s="1612"/>
      <c r="P21" s="1612" t="s">
        <v>223</v>
      </c>
      <c r="Q21" s="1612" t="s">
        <v>223</v>
      </c>
      <c r="R21" s="1612" t="s">
        <v>223</v>
      </c>
      <c r="S21" s="1612" t="s">
        <v>223</v>
      </c>
      <c r="T21" s="1612" t="s">
        <v>223</v>
      </c>
      <c r="U21" s="1624"/>
      <c r="V21" s="1624"/>
      <c r="W21" s="1624" t="s">
        <v>35</v>
      </c>
      <c r="X21" s="1612" t="s">
        <v>35</v>
      </c>
      <c r="Y21" s="1628" t="s">
        <v>35</v>
      </c>
      <c r="Z21" s="1628"/>
      <c r="AA21" s="1612"/>
      <c r="AB21" s="1612"/>
      <c r="AC21" s="1612"/>
      <c r="AD21" s="1612" t="s">
        <v>31</v>
      </c>
      <c r="AE21" s="1612" t="s">
        <v>31</v>
      </c>
      <c r="AF21" s="1612" t="s">
        <v>31</v>
      </c>
      <c r="AG21" s="1612" t="s">
        <v>31</v>
      </c>
      <c r="AH21" s="190"/>
      <c r="AI21" s="190"/>
    </row>
    <row r="22" spans="1:37" ht="22.15" customHeight="1" x14ac:dyDescent="0.2">
      <c r="A22" s="1626">
        <v>8500</v>
      </c>
      <c r="B22" s="1630" t="s">
        <v>45</v>
      </c>
      <c r="C22" s="1624" t="s">
        <v>31</v>
      </c>
      <c r="D22" s="1612" t="s">
        <v>31</v>
      </c>
      <c r="E22" s="1612" t="s">
        <v>385</v>
      </c>
      <c r="F22" s="1629" t="s">
        <v>31</v>
      </c>
      <c r="G22" s="1612"/>
      <c r="H22" s="1612"/>
      <c r="I22" s="1413" t="s">
        <v>31</v>
      </c>
      <c r="J22" s="1413" t="s">
        <v>31</v>
      </c>
      <c r="K22" s="1413" t="s">
        <v>31</v>
      </c>
      <c r="L22" s="1413" t="s">
        <v>31</v>
      </c>
      <c r="M22" s="1413" t="s">
        <v>31</v>
      </c>
      <c r="N22" s="1633"/>
      <c r="O22" s="1633"/>
      <c r="P22" s="1633">
        <v>1</v>
      </c>
      <c r="Q22" s="1628">
        <v>1</v>
      </c>
      <c r="R22" s="1633">
        <v>1</v>
      </c>
      <c r="S22" s="1612">
        <v>1</v>
      </c>
      <c r="T22" s="1612">
        <v>1</v>
      </c>
      <c r="U22" s="1633"/>
      <c r="V22" s="1633"/>
      <c r="W22" s="1633">
        <v>1</v>
      </c>
      <c r="X22" s="1933" t="s">
        <v>31</v>
      </c>
      <c r="Y22" s="2004" t="s">
        <v>31</v>
      </c>
      <c r="Z22" s="1612"/>
      <c r="AA22" s="1612"/>
      <c r="AB22" s="1612"/>
      <c r="AC22" s="1612"/>
      <c r="AD22" s="1739" t="s">
        <v>31</v>
      </c>
      <c r="AE22" s="1933" t="s">
        <v>31</v>
      </c>
      <c r="AF22" s="1739" t="s">
        <v>31</v>
      </c>
      <c r="AG22" s="2138"/>
      <c r="AH22" s="190"/>
      <c r="AI22" s="190"/>
    </row>
    <row r="23" spans="1:37" ht="22.15" customHeight="1" x14ac:dyDescent="0.2">
      <c r="A23" s="1626"/>
      <c r="B23" s="2139"/>
      <c r="C23" s="1629"/>
      <c r="D23" s="1628"/>
      <c r="E23" s="1612"/>
      <c r="F23" s="1612"/>
      <c r="G23" s="1612"/>
      <c r="H23" s="1612"/>
      <c r="I23" s="1629"/>
      <c r="J23" s="1629"/>
      <c r="K23" s="1629"/>
      <c r="L23" s="1629"/>
      <c r="M23" s="1629"/>
      <c r="N23" s="1629"/>
      <c r="O23" s="2140"/>
      <c r="P23" s="1629"/>
      <c r="Q23" s="1629"/>
      <c r="R23" s="2141"/>
      <c r="S23" s="2141"/>
      <c r="T23" s="1629"/>
      <c r="U23" s="1629"/>
      <c r="V23" s="1629"/>
      <c r="W23" s="1629"/>
      <c r="X23" s="1629"/>
      <c r="Y23" s="1629"/>
      <c r="Z23" s="1629"/>
      <c r="AA23" s="1629"/>
      <c r="AB23" s="1629"/>
      <c r="AC23" s="1633"/>
      <c r="AD23" s="1633"/>
      <c r="AE23" s="1633"/>
      <c r="AF23" s="1633"/>
      <c r="AG23" s="2138"/>
    </row>
    <row r="24" spans="1:37" ht="22.15" customHeight="1" thickBot="1" x14ac:dyDescent="0.25">
      <c r="A24" s="688"/>
      <c r="B24" s="2142" t="s">
        <v>287</v>
      </c>
      <c r="C24" s="1612" t="s">
        <v>31</v>
      </c>
      <c r="D24" s="1612" t="s">
        <v>31</v>
      </c>
      <c r="E24" s="1612" t="s">
        <v>31</v>
      </c>
      <c r="F24" s="1629" t="s">
        <v>31</v>
      </c>
      <c r="G24" s="1612"/>
      <c r="H24" s="1612"/>
      <c r="I24" s="1612" t="s">
        <v>31</v>
      </c>
      <c r="J24" s="1612" t="s">
        <v>31</v>
      </c>
      <c r="K24" s="1612" t="s">
        <v>31</v>
      </c>
      <c r="L24" s="1612" t="s">
        <v>31</v>
      </c>
      <c r="M24" s="1612" t="s">
        <v>31</v>
      </c>
      <c r="N24" s="1633"/>
      <c r="O24" s="1633"/>
      <c r="P24" s="1612" t="s">
        <v>31</v>
      </c>
      <c r="Q24" s="1612" t="s">
        <v>31</v>
      </c>
      <c r="R24" s="1612" t="s">
        <v>31</v>
      </c>
      <c r="S24" s="1612" t="s">
        <v>31</v>
      </c>
      <c r="T24" s="1612" t="s">
        <v>31</v>
      </c>
      <c r="U24" s="1633"/>
      <c r="V24" s="1633"/>
      <c r="W24" s="1633" t="s">
        <v>31</v>
      </c>
      <c r="X24" s="1612" t="s">
        <v>31</v>
      </c>
      <c r="Y24" s="2143" t="s">
        <v>31</v>
      </c>
      <c r="Z24" s="1612"/>
      <c r="AA24" s="1612"/>
      <c r="AB24" s="1612"/>
      <c r="AC24" s="1612"/>
      <c r="AD24" s="2144" t="s">
        <v>31</v>
      </c>
      <c r="AE24" s="2145" t="s">
        <v>31</v>
      </c>
      <c r="AF24" s="2144" t="s">
        <v>31</v>
      </c>
      <c r="AG24" s="2138"/>
    </row>
    <row r="25" spans="1:37" ht="22.15" customHeight="1" x14ac:dyDescent="0.2">
      <c r="A25" s="102"/>
      <c r="C25">
        <v>89</v>
      </c>
      <c r="D25">
        <v>89</v>
      </c>
      <c r="L25" t="s">
        <v>0</v>
      </c>
      <c r="N25" s="2146"/>
      <c r="R25" t="s">
        <v>0</v>
      </c>
    </row>
    <row r="26" spans="1:37" ht="22.15" customHeight="1" x14ac:dyDescent="0.2">
      <c r="A26" s="102"/>
    </row>
    <row r="27" spans="1:37" ht="22.15" customHeight="1" x14ac:dyDescent="0.2">
      <c r="A27" s="102"/>
    </row>
    <row r="28" spans="1:37" ht="22.15" customHeight="1" x14ac:dyDescent="0.2">
      <c r="A28" s="102"/>
    </row>
    <row r="29" spans="1:37" ht="22.15" customHeight="1" x14ac:dyDescent="0.2">
      <c r="A29" s="102"/>
    </row>
    <row r="30" spans="1:37" ht="12.75" customHeight="1" thickBot="1" x14ac:dyDescent="0.25">
      <c r="A30" s="162" t="s">
        <v>48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37" ht="28.5" customHeight="1" x14ac:dyDescent="0.2">
      <c r="A31" s="302" t="s">
        <v>49</v>
      </c>
      <c r="B31" s="404"/>
      <c r="C31" s="404"/>
      <c r="D31" s="471" t="s">
        <v>50</v>
      </c>
      <c r="E31" s="405"/>
      <c r="F31" s="405"/>
      <c r="G31" s="405"/>
      <c r="H31" s="405"/>
      <c r="I31" s="405"/>
      <c r="J31" s="405"/>
      <c r="K31" s="405"/>
      <c r="L31" s="405"/>
      <c r="M31" s="406" t="s">
        <v>51</v>
      </c>
      <c r="N31" s="405"/>
      <c r="O31" s="405"/>
      <c r="P31" s="405"/>
      <c r="Q31" s="405"/>
      <c r="R31" s="405"/>
      <c r="S31" s="407"/>
      <c r="T31" s="3653" t="s">
        <v>52</v>
      </c>
      <c r="U31" s="3654"/>
      <c r="V31" s="3654"/>
      <c r="W31" s="3654"/>
      <c r="X31" s="3654"/>
      <c r="Y31" s="3654"/>
      <c r="Z31" s="3655"/>
      <c r="AA31" s="472" t="s">
        <v>53</v>
      </c>
      <c r="AB31" s="473"/>
      <c r="AC31" s="473"/>
      <c r="AD31" s="473"/>
      <c r="AE31" s="473"/>
      <c r="AF31" s="473"/>
      <c r="AG31" s="474"/>
      <c r="AK31" s="1"/>
    </row>
    <row r="32" spans="1:37" ht="22.15" customHeight="1" x14ac:dyDescent="0.2">
      <c r="A32" s="1227" t="s">
        <v>54</v>
      </c>
      <c r="B32" s="1180"/>
      <c r="C32" s="1180"/>
      <c r="D32" s="1228" t="s">
        <v>55</v>
      </c>
      <c r="E32" s="1229"/>
      <c r="F32" s="1167"/>
      <c r="G32" s="1167"/>
      <c r="H32" s="1167"/>
      <c r="I32" s="1167"/>
      <c r="J32" s="1167"/>
      <c r="K32" s="1167"/>
      <c r="L32" s="1175"/>
      <c r="M32" s="1230" t="s">
        <v>56</v>
      </c>
      <c r="N32" s="1180"/>
      <c r="O32" s="1231"/>
      <c r="P32" s="1180"/>
      <c r="Q32" s="1180"/>
      <c r="R32" s="1180"/>
      <c r="S32" s="1232"/>
      <c r="T32" s="1228" t="s">
        <v>57</v>
      </c>
      <c r="U32" s="1167"/>
      <c r="V32" s="1229"/>
      <c r="W32" s="1167"/>
      <c r="X32" s="1167"/>
      <c r="Y32" s="1167"/>
      <c r="Z32" s="1175"/>
      <c r="AA32" s="163" t="s">
        <v>58</v>
      </c>
      <c r="AD32" s="100"/>
      <c r="AG32" s="103"/>
      <c r="AK32" s="1"/>
    </row>
    <row r="33" spans="1:38" ht="22.15" customHeight="1" x14ac:dyDescent="0.2">
      <c r="A33" s="1233" t="s">
        <v>59</v>
      </c>
      <c r="B33" s="1167"/>
      <c r="C33" s="1167"/>
      <c r="D33" s="1234"/>
      <c r="E33" s="1167"/>
      <c r="F33" s="1167"/>
      <c r="G33" s="1175"/>
      <c r="H33" s="1182" t="s">
        <v>60</v>
      </c>
      <c r="I33" s="1167"/>
      <c r="J33" s="1167"/>
      <c r="K33" s="1167"/>
      <c r="L33" s="1167"/>
      <c r="M33" s="1235"/>
      <c r="N33" s="1167"/>
      <c r="O33" s="1167"/>
      <c r="P33" s="1167"/>
      <c r="Q33" s="1167"/>
      <c r="R33" s="1167"/>
      <c r="S33" s="1167"/>
      <c r="T33" s="1234"/>
      <c r="U33" s="162" t="s">
        <v>61</v>
      </c>
      <c r="AA33" s="1231"/>
      <c r="AB33" s="1180"/>
      <c r="AC33" s="1180"/>
      <c r="AD33" s="1180"/>
      <c r="AE33" s="1180"/>
      <c r="AF33" s="1180"/>
      <c r="AG33" s="1236"/>
      <c r="AK33" s="64"/>
    </row>
    <row r="34" spans="1:38" ht="22.15" customHeight="1" thickBot="1" x14ac:dyDescent="0.25">
      <c r="A34" s="1935" t="s">
        <v>62</v>
      </c>
      <c r="B34" s="1238"/>
      <c r="C34" s="1238"/>
      <c r="D34" s="1239"/>
      <c r="E34" s="1238"/>
      <c r="F34" s="1238"/>
      <c r="G34" s="1240"/>
      <c r="H34" s="1241" t="s">
        <v>63</v>
      </c>
      <c r="I34" s="1240"/>
      <c r="J34" s="1238"/>
      <c r="K34" s="1238"/>
      <c r="L34" s="1238"/>
      <c r="M34" s="1242"/>
      <c r="N34" s="1238"/>
      <c r="O34" s="1238"/>
      <c r="P34" s="1238"/>
      <c r="Q34" s="1243"/>
      <c r="R34" s="1243"/>
      <c r="S34" s="1243"/>
      <c r="T34" s="1239"/>
      <c r="U34" s="1244" t="s">
        <v>64</v>
      </c>
      <c r="V34" s="1238"/>
      <c r="W34" s="1238"/>
      <c r="X34" s="1238"/>
      <c r="Y34" s="1238"/>
      <c r="Z34" s="1238"/>
      <c r="AA34" s="1238"/>
      <c r="AB34" s="1238"/>
      <c r="AC34" s="1238"/>
      <c r="AD34" s="1238"/>
      <c r="AE34" s="1238"/>
      <c r="AF34" s="1238"/>
      <c r="AG34" s="1245"/>
      <c r="AK34" s="1"/>
    </row>
    <row r="35" spans="1:38" ht="22.1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  <c r="AJ35" s="177"/>
    </row>
    <row r="36" spans="1:38" ht="22.15" customHeight="1" thickBot="1" x14ac:dyDescent="0.25">
      <c r="A36" s="1246" t="s">
        <v>28</v>
      </c>
      <c r="B36" s="1247" t="s">
        <v>29</v>
      </c>
      <c r="C36" s="1254">
        <v>1</v>
      </c>
      <c r="D36" s="1254">
        <v>2</v>
      </c>
      <c r="E36" s="1254">
        <v>3</v>
      </c>
      <c r="F36" s="1254">
        <v>4</v>
      </c>
      <c r="G36" s="1185">
        <v>5</v>
      </c>
      <c r="H36" s="1185">
        <v>6</v>
      </c>
      <c r="I36" s="1254">
        <v>7</v>
      </c>
      <c r="J36" s="1254">
        <v>8</v>
      </c>
      <c r="K36" s="1254">
        <v>9</v>
      </c>
      <c r="L36" s="1254">
        <v>10</v>
      </c>
      <c r="M36" s="1254">
        <v>11</v>
      </c>
      <c r="N36" s="1185">
        <v>12</v>
      </c>
      <c r="O36" s="1185">
        <v>13</v>
      </c>
      <c r="P36" s="1254">
        <v>14</v>
      </c>
      <c r="Q36" s="1254">
        <v>15</v>
      </c>
      <c r="R36" s="1254">
        <v>16</v>
      </c>
      <c r="S36" s="1254">
        <v>17</v>
      </c>
      <c r="T36" s="1254">
        <v>18</v>
      </c>
      <c r="U36" s="1185">
        <v>19</v>
      </c>
      <c r="V36" s="1185">
        <v>20</v>
      </c>
      <c r="W36" s="1254">
        <v>21</v>
      </c>
      <c r="X36" s="1254">
        <v>22</v>
      </c>
      <c r="Y36" s="1254">
        <v>23</v>
      </c>
      <c r="Z36" s="1185">
        <v>24</v>
      </c>
      <c r="AA36" s="1185">
        <v>25</v>
      </c>
      <c r="AB36" s="1185">
        <v>26</v>
      </c>
      <c r="AC36" s="1185">
        <v>27</v>
      </c>
      <c r="AD36" s="1254">
        <v>28</v>
      </c>
      <c r="AE36" s="1254">
        <v>29</v>
      </c>
      <c r="AF36" s="1254">
        <v>30</v>
      </c>
      <c r="AG36" s="2064">
        <v>31</v>
      </c>
      <c r="AH36" s="184"/>
      <c r="AI36" s="185"/>
      <c r="AL36" t="s">
        <v>0</v>
      </c>
    </row>
    <row r="37" spans="1:38" ht="22.15" customHeight="1" x14ac:dyDescent="0.2">
      <c r="A37" s="475">
        <v>1</v>
      </c>
      <c r="B37" s="476" t="s">
        <v>65</v>
      </c>
      <c r="C37" s="477" t="s">
        <v>35</v>
      </c>
      <c r="D37" s="458" t="s">
        <v>35</v>
      </c>
      <c r="E37" s="477" t="s">
        <v>35</v>
      </c>
      <c r="F37" s="477" t="s">
        <v>35</v>
      </c>
      <c r="G37" s="477" t="s">
        <v>68</v>
      </c>
      <c r="H37" s="477" t="s">
        <v>69</v>
      </c>
      <c r="I37" s="477">
        <v>6</v>
      </c>
      <c r="J37" s="458">
        <v>6</v>
      </c>
      <c r="K37" s="477">
        <v>6</v>
      </c>
      <c r="L37" s="477">
        <v>6</v>
      </c>
      <c r="M37" s="477">
        <v>6</v>
      </c>
      <c r="N37" s="477"/>
      <c r="O37" s="458"/>
      <c r="P37" s="477" t="s">
        <v>35</v>
      </c>
      <c r="Q37" s="459" t="s">
        <v>35</v>
      </c>
      <c r="R37" s="458" t="s">
        <v>35</v>
      </c>
      <c r="S37" s="477" t="s">
        <v>35</v>
      </c>
      <c r="T37" s="477" t="s">
        <v>35</v>
      </c>
      <c r="U37" s="477"/>
      <c r="V37" s="477"/>
      <c r="W37" s="477">
        <v>5</v>
      </c>
      <c r="X37" s="459">
        <v>5</v>
      </c>
      <c r="Y37" s="459">
        <v>5</v>
      </c>
      <c r="Z37" s="477"/>
      <c r="AA37" s="477"/>
      <c r="AB37" s="459"/>
      <c r="AC37" s="459"/>
      <c r="AD37" s="459">
        <v>10</v>
      </c>
      <c r="AE37" s="483">
        <v>10</v>
      </c>
      <c r="AF37" s="483">
        <v>10</v>
      </c>
      <c r="AG37" s="661">
        <v>10</v>
      </c>
      <c r="AH37" s="189"/>
      <c r="AI37" s="190"/>
    </row>
    <row r="38" spans="1:38" ht="22.15" customHeight="1" x14ac:dyDescent="0.2">
      <c r="A38" s="1249">
        <v>6</v>
      </c>
      <c r="B38" s="2142" t="s">
        <v>180</v>
      </c>
      <c r="C38" s="1193" t="s">
        <v>35</v>
      </c>
      <c r="D38" s="1193" t="s">
        <v>35</v>
      </c>
      <c r="E38" s="1193" t="s">
        <v>35</v>
      </c>
      <c r="F38" s="1193" t="s">
        <v>35</v>
      </c>
      <c r="G38" s="1193" t="s">
        <v>71</v>
      </c>
      <c r="H38" s="1193" t="s">
        <v>71</v>
      </c>
      <c r="I38" s="1193">
        <v>7</v>
      </c>
      <c r="J38" s="2025">
        <v>7</v>
      </c>
      <c r="K38" s="1193">
        <v>7</v>
      </c>
      <c r="L38" s="1193">
        <v>7</v>
      </c>
      <c r="M38" s="1193">
        <v>7</v>
      </c>
      <c r="N38" s="1193"/>
      <c r="O38" s="1193"/>
      <c r="P38" s="1193">
        <v>4</v>
      </c>
      <c r="Q38" s="1193">
        <v>4</v>
      </c>
      <c r="R38" s="1193">
        <v>4</v>
      </c>
      <c r="S38" s="1193">
        <v>4</v>
      </c>
      <c r="T38" s="1193">
        <v>4</v>
      </c>
      <c r="U38" s="1193"/>
      <c r="V38" s="1193"/>
      <c r="W38" s="1193">
        <v>3</v>
      </c>
      <c r="X38" s="2025">
        <v>3</v>
      </c>
      <c r="Y38" s="1193">
        <v>3</v>
      </c>
      <c r="Z38" s="1193">
        <v>3</v>
      </c>
      <c r="AA38" s="1193">
        <v>3</v>
      </c>
      <c r="AB38" s="1193"/>
      <c r="AC38" s="1193"/>
      <c r="AD38" s="1193">
        <v>11</v>
      </c>
      <c r="AE38" s="1193">
        <v>11</v>
      </c>
      <c r="AF38" s="1193">
        <v>11</v>
      </c>
      <c r="AG38" s="1251">
        <v>11</v>
      </c>
      <c r="AH38" s="189"/>
      <c r="AI38" s="190"/>
    </row>
    <row r="39" spans="1:38" ht="22.15" customHeight="1" thickBot="1" x14ac:dyDescent="0.25">
      <c r="A39" s="1936">
        <v>11</v>
      </c>
      <c r="B39" s="1253" t="s">
        <v>72</v>
      </c>
      <c r="C39" s="1254" t="s">
        <v>35</v>
      </c>
      <c r="D39" s="1255" t="s">
        <v>35</v>
      </c>
      <c r="E39" s="1255" t="s">
        <v>35</v>
      </c>
      <c r="F39" s="1255" t="s">
        <v>35</v>
      </c>
      <c r="G39" s="1255" t="s">
        <v>69</v>
      </c>
      <c r="H39" s="1255" t="s">
        <v>69</v>
      </c>
      <c r="I39" s="1256">
        <v>8</v>
      </c>
      <c r="J39" s="1256">
        <v>8</v>
      </c>
      <c r="K39" s="1256">
        <v>8</v>
      </c>
      <c r="L39" s="1256">
        <v>8</v>
      </c>
      <c r="M39" s="1256">
        <v>8</v>
      </c>
      <c r="N39" s="1256"/>
      <c r="O39" s="1256"/>
      <c r="P39" s="1255" t="s">
        <v>35</v>
      </c>
      <c r="Q39" s="1254" t="s">
        <v>35</v>
      </c>
      <c r="R39" s="1254" t="s">
        <v>35</v>
      </c>
      <c r="S39" s="1255" t="s">
        <v>35</v>
      </c>
      <c r="T39" s="1938" t="s">
        <v>35</v>
      </c>
      <c r="U39" s="1938"/>
      <c r="V39" s="1938"/>
      <c r="W39" s="2024">
        <v>1</v>
      </c>
      <c r="X39" s="1938">
        <v>1</v>
      </c>
      <c r="Y39" s="1938">
        <v>1</v>
      </c>
      <c r="Z39" s="1255">
        <v>1</v>
      </c>
      <c r="AA39" s="1255">
        <v>1</v>
      </c>
      <c r="AB39" s="1263"/>
      <c r="AC39" s="1263"/>
      <c r="AD39" s="1263">
        <v>9</v>
      </c>
      <c r="AE39" s="1255">
        <v>9</v>
      </c>
      <c r="AF39" s="1255">
        <v>9</v>
      </c>
      <c r="AG39" s="2021">
        <v>9</v>
      </c>
      <c r="AH39" s="189"/>
      <c r="AI39" s="190"/>
    </row>
    <row r="40" spans="1:38" ht="22.15" customHeight="1" x14ac:dyDescent="0.2">
      <c r="A40" s="475">
        <v>2</v>
      </c>
      <c r="B40" s="183" t="s">
        <v>74</v>
      </c>
      <c r="C40" s="458">
        <v>6</v>
      </c>
      <c r="D40" s="458">
        <v>6</v>
      </c>
      <c r="E40" s="458">
        <v>6</v>
      </c>
      <c r="F40" s="458">
        <v>6</v>
      </c>
      <c r="G40" s="458"/>
      <c r="H40" s="477"/>
      <c r="I40" s="477" t="s">
        <v>35</v>
      </c>
      <c r="J40" s="458" t="s">
        <v>35</v>
      </c>
      <c r="K40" s="458" t="s">
        <v>35</v>
      </c>
      <c r="L40" s="477" t="s">
        <v>35</v>
      </c>
      <c r="M40" s="477" t="s">
        <v>35</v>
      </c>
      <c r="N40" s="477"/>
      <c r="O40" s="459"/>
      <c r="P40" s="477">
        <v>5</v>
      </c>
      <c r="Q40" s="459">
        <v>5</v>
      </c>
      <c r="R40" s="459">
        <v>5</v>
      </c>
      <c r="S40" s="458">
        <v>5</v>
      </c>
      <c r="T40" s="459">
        <v>5</v>
      </c>
      <c r="U40" s="459"/>
      <c r="V40" s="459"/>
      <c r="W40" s="459">
        <v>10</v>
      </c>
      <c r="X40" s="459">
        <v>10</v>
      </c>
      <c r="Y40" s="477">
        <v>10</v>
      </c>
      <c r="Z40" s="477">
        <v>10</v>
      </c>
      <c r="AA40" s="477">
        <v>10</v>
      </c>
      <c r="AB40" s="477" t="s">
        <v>67</v>
      </c>
      <c r="AC40" s="459" t="s">
        <v>67</v>
      </c>
      <c r="AD40" s="459" t="s">
        <v>35</v>
      </c>
      <c r="AE40" s="477" t="s">
        <v>35</v>
      </c>
      <c r="AF40" s="477" t="s">
        <v>35</v>
      </c>
      <c r="AG40" s="478" t="s">
        <v>35</v>
      </c>
      <c r="AH40" s="189"/>
      <c r="AI40" s="190"/>
    </row>
    <row r="41" spans="1:38" ht="22.15" customHeight="1" x14ac:dyDescent="0.2">
      <c r="A41" s="1249">
        <v>7</v>
      </c>
      <c r="B41" s="1202" t="s">
        <v>75</v>
      </c>
      <c r="C41" s="1270">
        <v>7</v>
      </c>
      <c r="D41" s="1270">
        <v>7</v>
      </c>
      <c r="E41" s="1270">
        <v>7</v>
      </c>
      <c r="F41" s="1270">
        <v>7</v>
      </c>
      <c r="G41" s="1259"/>
      <c r="H41" s="1259"/>
      <c r="I41" s="1200">
        <v>4</v>
      </c>
      <c r="J41" s="1200">
        <v>4</v>
      </c>
      <c r="K41" s="1200">
        <v>4</v>
      </c>
      <c r="L41" s="1200">
        <v>4</v>
      </c>
      <c r="M41" s="1200">
        <v>4</v>
      </c>
      <c r="N41" s="1200"/>
      <c r="O41" s="1200"/>
      <c r="P41" s="1270">
        <v>3</v>
      </c>
      <c r="Q41" s="1270">
        <v>3</v>
      </c>
      <c r="R41" s="1270">
        <v>3</v>
      </c>
      <c r="S41" s="1270">
        <v>3</v>
      </c>
      <c r="T41" s="1270">
        <v>3</v>
      </c>
      <c r="U41" s="1260"/>
      <c r="V41" s="1260"/>
      <c r="W41" s="1260">
        <v>11</v>
      </c>
      <c r="X41" s="1259">
        <v>11</v>
      </c>
      <c r="Y41" s="1259">
        <v>11</v>
      </c>
      <c r="Z41" s="1259">
        <v>11</v>
      </c>
      <c r="AA41" s="1259">
        <v>11</v>
      </c>
      <c r="AB41" s="1259" t="s">
        <v>73</v>
      </c>
      <c r="AC41" s="1259" t="s">
        <v>73</v>
      </c>
      <c r="AD41" s="1259" t="s">
        <v>35</v>
      </c>
      <c r="AE41" s="1259" t="s">
        <v>35</v>
      </c>
      <c r="AF41" s="1259" t="s">
        <v>35</v>
      </c>
      <c r="AG41" s="1261" t="s">
        <v>35</v>
      </c>
      <c r="AH41" s="189"/>
      <c r="AI41" s="190"/>
    </row>
    <row r="42" spans="1:38" ht="22.15" customHeight="1" thickBot="1" x14ac:dyDescent="0.25">
      <c r="A42" s="1936">
        <v>12</v>
      </c>
      <c r="B42" s="1262" t="s">
        <v>76</v>
      </c>
      <c r="C42" s="1256">
        <v>8</v>
      </c>
      <c r="D42" s="1256">
        <v>8</v>
      </c>
      <c r="E42" s="1256">
        <v>8</v>
      </c>
      <c r="F42" s="1256">
        <v>8</v>
      </c>
      <c r="G42" s="1256"/>
      <c r="H42" s="1256"/>
      <c r="I42" s="1255" t="s">
        <v>35</v>
      </c>
      <c r="J42" s="1255" t="s">
        <v>35</v>
      </c>
      <c r="K42" s="1254" t="s">
        <v>35</v>
      </c>
      <c r="L42" s="1255" t="s">
        <v>35</v>
      </c>
      <c r="M42" s="1255" t="s">
        <v>35</v>
      </c>
      <c r="N42" s="1255"/>
      <c r="O42" s="1255"/>
      <c r="P42" s="1255">
        <v>1</v>
      </c>
      <c r="Q42" s="1321">
        <v>1</v>
      </c>
      <c r="R42" s="1321">
        <v>1</v>
      </c>
      <c r="S42" s="1321">
        <v>1</v>
      </c>
      <c r="T42" s="1321">
        <v>1</v>
      </c>
      <c r="U42" s="1321" t="s">
        <v>118</v>
      </c>
      <c r="V42" s="1186"/>
      <c r="W42" s="1263">
        <v>9</v>
      </c>
      <c r="X42" s="1255">
        <v>9</v>
      </c>
      <c r="Y42" s="1255">
        <v>9</v>
      </c>
      <c r="Z42" s="1255">
        <v>9</v>
      </c>
      <c r="AA42" s="1255">
        <v>9</v>
      </c>
      <c r="AB42" s="1255" t="s">
        <v>66</v>
      </c>
      <c r="AC42" s="1254" t="s">
        <v>67</v>
      </c>
      <c r="AD42" s="1254" t="s">
        <v>35</v>
      </c>
      <c r="AE42" s="1254" t="s">
        <v>35</v>
      </c>
      <c r="AF42" s="1254" t="s">
        <v>35</v>
      </c>
      <c r="AG42" s="1945" t="s">
        <v>35</v>
      </c>
      <c r="AH42" s="189"/>
      <c r="AI42" s="190"/>
    </row>
    <row r="43" spans="1:38" ht="22.15" customHeight="1" x14ac:dyDescent="0.2">
      <c r="A43" s="475">
        <v>3</v>
      </c>
      <c r="B43" s="479" t="s">
        <v>77</v>
      </c>
      <c r="C43" s="480" t="s">
        <v>35</v>
      </c>
      <c r="D43" s="459" t="s">
        <v>35</v>
      </c>
      <c r="E43" s="477" t="s">
        <v>35</v>
      </c>
      <c r="F43" s="477" t="s">
        <v>35</v>
      </c>
      <c r="G43" s="477"/>
      <c r="H43" s="477"/>
      <c r="I43" s="485">
        <v>5</v>
      </c>
      <c r="J43" s="481">
        <v>5</v>
      </c>
      <c r="K43" s="481">
        <v>5</v>
      </c>
      <c r="L43" s="481">
        <v>5</v>
      </c>
      <c r="M43" s="481">
        <v>5</v>
      </c>
      <c r="N43" s="459"/>
      <c r="O43" s="459"/>
      <c r="P43" s="459">
        <v>10</v>
      </c>
      <c r="Q43" s="459">
        <v>10</v>
      </c>
      <c r="R43" s="477">
        <v>10</v>
      </c>
      <c r="S43" s="477">
        <v>10</v>
      </c>
      <c r="T43" s="477">
        <v>10</v>
      </c>
      <c r="U43" s="477" t="s">
        <v>67</v>
      </c>
      <c r="V43" s="459" t="s">
        <v>67</v>
      </c>
      <c r="W43" s="459" t="s">
        <v>35</v>
      </c>
      <c r="X43" s="458" t="s">
        <v>35</v>
      </c>
      <c r="Y43" s="477" t="s">
        <v>35</v>
      </c>
      <c r="Z43" s="477" t="s">
        <v>35</v>
      </c>
      <c r="AA43" s="477" t="s">
        <v>35</v>
      </c>
      <c r="AB43" s="477" t="s">
        <v>71</v>
      </c>
      <c r="AC43" s="482" t="s">
        <v>71</v>
      </c>
      <c r="AD43" s="477">
        <v>7</v>
      </c>
      <c r="AE43" s="477">
        <v>7</v>
      </c>
      <c r="AF43" s="477">
        <v>7</v>
      </c>
      <c r="AG43" s="478">
        <v>7</v>
      </c>
      <c r="AH43" s="189"/>
      <c r="AI43" s="190"/>
    </row>
    <row r="44" spans="1:38" ht="22.15" customHeight="1" x14ac:dyDescent="0.2">
      <c r="A44" s="1249">
        <v>8</v>
      </c>
      <c r="B44" s="1202" t="s">
        <v>111</v>
      </c>
      <c r="C44" s="1267">
        <v>4</v>
      </c>
      <c r="D44" s="1267">
        <v>4</v>
      </c>
      <c r="E44" s="1267">
        <v>4</v>
      </c>
      <c r="F44" s="1267">
        <v>4</v>
      </c>
      <c r="G44" s="1199"/>
      <c r="H44" s="1199"/>
      <c r="I44" s="1986">
        <v>3</v>
      </c>
      <c r="J44" s="2147">
        <v>3</v>
      </c>
      <c r="K44" s="2025">
        <v>3</v>
      </c>
      <c r="L44" s="2025">
        <v>3</v>
      </c>
      <c r="M44" s="2025">
        <v>3</v>
      </c>
      <c r="N44" s="1199"/>
      <c r="O44" s="2148"/>
      <c r="P44" s="1259">
        <v>11</v>
      </c>
      <c r="Q44" s="1259">
        <v>11</v>
      </c>
      <c r="R44" s="1259">
        <v>11</v>
      </c>
      <c r="S44" s="1259">
        <v>11</v>
      </c>
      <c r="T44" s="1259">
        <v>11</v>
      </c>
      <c r="U44" s="1259" t="s">
        <v>73</v>
      </c>
      <c r="V44" s="1259" t="s">
        <v>73</v>
      </c>
      <c r="W44" s="1259" t="s">
        <v>35</v>
      </c>
      <c r="X44" s="1258" t="s">
        <v>35</v>
      </c>
      <c r="Y44" s="1259" t="s">
        <v>35</v>
      </c>
      <c r="Z44" s="1259" t="s">
        <v>35</v>
      </c>
      <c r="AA44" s="1259" t="s">
        <v>35</v>
      </c>
      <c r="AB44" s="1259" t="s">
        <v>69</v>
      </c>
      <c r="AC44" s="1259" t="s">
        <v>69</v>
      </c>
      <c r="AD44" s="1199">
        <v>8</v>
      </c>
      <c r="AE44" s="1199">
        <v>8</v>
      </c>
      <c r="AF44" s="1267">
        <v>8</v>
      </c>
      <c r="AG44" s="1261">
        <v>8</v>
      </c>
      <c r="AH44" s="189"/>
      <c r="AI44" s="190"/>
    </row>
    <row r="45" spans="1:38" ht="22.15" customHeight="1" thickBot="1" x14ac:dyDescent="0.25">
      <c r="A45" s="1936">
        <v>13</v>
      </c>
      <c r="B45" s="1253" t="s">
        <v>79</v>
      </c>
      <c r="C45" s="1254" t="s">
        <v>35</v>
      </c>
      <c r="D45" s="1254" t="s">
        <v>35</v>
      </c>
      <c r="E45" s="1255" t="s">
        <v>35</v>
      </c>
      <c r="F45" s="1255" t="s">
        <v>35</v>
      </c>
      <c r="G45" s="1255"/>
      <c r="H45" s="1255"/>
      <c r="I45" s="1271">
        <v>1</v>
      </c>
      <c r="J45" s="1941">
        <v>1</v>
      </c>
      <c r="K45" s="1271">
        <v>1</v>
      </c>
      <c r="L45" s="1272">
        <v>1</v>
      </c>
      <c r="M45" s="1271">
        <v>1</v>
      </c>
      <c r="N45" s="1263"/>
      <c r="O45" s="1263"/>
      <c r="P45" s="1263">
        <v>9</v>
      </c>
      <c r="Q45" s="1255">
        <v>9</v>
      </c>
      <c r="R45" s="1255">
        <v>9</v>
      </c>
      <c r="S45" s="1255">
        <v>9</v>
      </c>
      <c r="T45" s="1255">
        <v>9</v>
      </c>
      <c r="U45" s="1255" t="s">
        <v>66</v>
      </c>
      <c r="V45" s="1255" t="s">
        <v>67</v>
      </c>
      <c r="W45" s="1255" t="s">
        <v>35</v>
      </c>
      <c r="X45" s="1255" t="s">
        <v>35</v>
      </c>
      <c r="Y45" s="1254" t="s">
        <v>35</v>
      </c>
      <c r="Z45" s="1255" t="s">
        <v>35</v>
      </c>
      <c r="AA45" s="1255" t="s">
        <v>35</v>
      </c>
      <c r="AB45" s="1255" t="s">
        <v>68</v>
      </c>
      <c r="AC45" s="1255" t="s">
        <v>69</v>
      </c>
      <c r="AD45" s="1255">
        <v>6</v>
      </c>
      <c r="AE45" s="1254">
        <v>6</v>
      </c>
      <c r="AF45" s="1255">
        <v>6</v>
      </c>
      <c r="AG45" s="2021">
        <v>6</v>
      </c>
      <c r="AH45" s="189"/>
      <c r="AI45" s="190"/>
    </row>
    <row r="46" spans="1:38" ht="22.15" customHeight="1" x14ac:dyDescent="0.2">
      <c r="A46" s="475">
        <v>4</v>
      </c>
      <c r="B46" s="476" t="s">
        <v>403</v>
      </c>
      <c r="C46" s="621">
        <v>5</v>
      </c>
      <c r="D46" s="621">
        <v>5</v>
      </c>
      <c r="E46" s="621">
        <v>5</v>
      </c>
      <c r="F46" s="621" t="s">
        <v>414</v>
      </c>
      <c r="G46" s="458"/>
      <c r="H46" s="458"/>
      <c r="I46" s="2149" t="s">
        <v>31</v>
      </c>
      <c r="J46" s="2149" t="s">
        <v>31</v>
      </c>
      <c r="K46" s="2149" t="s">
        <v>31</v>
      </c>
      <c r="L46" s="2149" t="s">
        <v>31</v>
      </c>
      <c r="M46" s="2149" t="s">
        <v>31</v>
      </c>
      <c r="N46" s="458" t="s">
        <v>0</v>
      </c>
      <c r="O46" s="458" t="s">
        <v>0</v>
      </c>
      <c r="P46" s="458" t="s">
        <v>31</v>
      </c>
      <c r="Q46" s="458" t="s">
        <v>31</v>
      </c>
      <c r="R46" s="458" t="s">
        <v>31</v>
      </c>
      <c r="S46" s="458" t="s">
        <v>31</v>
      </c>
      <c r="T46" s="458" t="s">
        <v>31</v>
      </c>
      <c r="U46" s="477" t="s">
        <v>351</v>
      </c>
      <c r="V46" s="482" t="s">
        <v>0</v>
      </c>
      <c r="W46" s="477">
        <v>7</v>
      </c>
      <c r="X46" s="477">
        <v>7</v>
      </c>
      <c r="Y46" s="477" t="s">
        <v>415</v>
      </c>
      <c r="Z46" s="477">
        <v>7</v>
      </c>
      <c r="AA46" s="477">
        <v>7</v>
      </c>
      <c r="AB46" s="477"/>
      <c r="AC46" s="477"/>
      <c r="AD46" s="477">
        <v>4</v>
      </c>
      <c r="AE46" s="477">
        <v>4</v>
      </c>
      <c r="AF46" s="477">
        <v>4</v>
      </c>
      <c r="AG46" s="478">
        <v>4</v>
      </c>
      <c r="AH46" s="189"/>
      <c r="AI46" s="190"/>
    </row>
    <row r="47" spans="1:38" ht="22.15" customHeight="1" x14ac:dyDescent="0.2">
      <c r="A47" s="1249">
        <v>9</v>
      </c>
      <c r="B47" s="1202" t="s">
        <v>84</v>
      </c>
      <c r="C47" s="1259">
        <v>3</v>
      </c>
      <c r="D47" s="1259">
        <v>3</v>
      </c>
      <c r="E47" s="1259">
        <v>3</v>
      </c>
      <c r="F47" s="1259">
        <v>3</v>
      </c>
      <c r="G47" s="1259"/>
      <c r="H47" s="1259"/>
      <c r="I47" s="1259">
        <v>11</v>
      </c>
      <c r="J47" s="1259">
        <v>11</v>
      </c>
      <c r="K47" s="1259">
        <v>11</v>
      </c>
      <c r="L47" s="1259">
        <v>11</v>
      </c>
      <c r="M47" s="1259">
        <v>11</v>
      </c>
      <c r="N47" s="1259" t="s">
        <v>73</v>
      </c>
      <c r="O47" s="1259" t="s">
        <v>73</v>
      </c>
      <c r="P47" s="1259" t="s">
        <v>35</v>
      </c>
      <c r="Q47" s="1258" t="s">
        <v>35</v>
      </c>
      <c r="R47" s="1259" t="s">
        <v>35</v>
      </c>
      <c r="S47" s="1259" t="s">
        <v>35</v>
      </c>
      <c r="T47" s="1259" t="s">
        <v>35</v>
      </c>
      <c r="U47" s="1259" t="s">
        <v>69</v>
      </c>
      <c r="V47" s="1259" t="s">
        <v>69</v>
      </c>
      <c r="W47" s="1259">
        <v>8</v>
      </c>
      <c r="X47" s="1259">
        <v>8</v>
      </c>
      <c r="Y47" s="1259">
        <v>8</v>
      </c>
      <c r="Z47" s="1259">
        <v>8</v>
      </c>
      <c r="AA47" s="1259">
        <v>8</v>
      </c>
      <c r="AB47" s="1259"/>
      <c r="AC47" s="1259"/>
      <c r="AD47" s="1259" t="s">
        <v>35</v>
      </c>
      <c r="AE47" s="1259" t="s">
        <v>35</v>
      </c>
      <c r="AF47" s="1259" t="s">
        <v>35</v>
      </c>
      <c r="AG47" s="1261" t="s">
        <v>35</v>
      </c>
      <c r="AH47" s="189"/>
      <c r="AI47" s="190"/>
    </row>
    <row r="48" spans="1:38" ht="22.15" customHeight="1" thickBot="1" x14ac:dyDescent="0.25">
      <c r="A48" s="1936">
        <v>14</v>
      </c>
      <c r="B48" s="1253" t="s">
        <v>85</v>
      </c>
      <c r="C48" s="1254">
        <v>1</v>
      </c>
      <c r="D48" s="1255">
        <v>1</v>
      </c>
      <c r="E48" s="1255">
        <v>1</v>
      </c>
      <c r="F48" s="1255">
        <v>1</v>
      </c>
      <c r="G48" s="1263"/>
      <c r="H48" s="1263"/>
      <c r="I48" s="1263">
        <v>9</v>
      </c>
      <c r="J48" s="1255">
        <v>9</v>
      </c>
      <c r="K48" s="1255">
        <v>9</v>
      </c>
      <c r="L48" s="1255">
        <v>9</v>
      </c>
      <c r="M48" s="1255">
        <v>9</v>
      </c>
      <c r="N48" s="1255" t="s">
        <v>66</v>
      </c>
      <c r="O48" s="1254" t="s">
        <v>67</v>
      </c>
      <c r="P48" s="1255" t="s">
        <v>35</v>
      </c>
      <c r="Q48" s="1255" t="s">
        <v>35</v>
      </c>
      <c r="R48" s="1254" t="s">
        <v>35</v>
      </c>
      <c r="S48" s="1255" t="s">
        <v>35</v>
      </c>
      <c r="T48" s="1255" t="s">
        <v>35</v>
      </c>
      <c r="U48" s="1255" t="s">
        <v>68</v>
      </c>
      <c r="V48" s="1255" t="s">
        <v>69</v>
      </c>
      <c r="W48" s="1255">
        <v>6</v>
      </c>
      <c r="X48" s="1254">
        <v>6</v>
      </c>
      <c r="Y48" s="1255">
        <v>6</v>
      </c>
      <c r="Z48" s="1255">
        <v>6</v>
      </c>
      <c r="AA48" s="1255">
        <v>6</v>
      </c>
      <c r="AB48" s="1255"/>
      <c r="AC48" s="1254"/>
      <c r="AD48" s="1255" t="s">
        <v>35</v>
      </c>
      <c r="AE48" s="1255" t="s">
        <v>35</v>
      </c>
      <c r="AF48" s="1254" t="s">
        <v>35</v>
      </c>
      <c r="AG48" s="1945" t="s">
        <v>35</v>
      </c>
      <c r="AH48" s="189"/>
      <c r="AI48" s="190"/>
    </row>
    <row r="49" spans="1:35" ht="22.15" customHeight="1" x14ac:dyDescent="0.2">
      <c r="A49" s="475">
        <v>5</v>
      </c>
      <c r="B49" s="1202" t="s">
        <v>86</v>
      </c>
      <c r="C49" s="459">
        <v>10</v>
      </c>
      <c r="D49" s="477">
        <v>10</v>
      </c>
      <c r="E49" s="477">
        <v>10</v>
      </c>
      <c r="F49" s="459">
        <v>10</v>
      </c>
      <c r="G49" s="459" t="s">
        <v>67</v>
      </c>
      <c r="H49" s="459" t="s">
        <v>67</v>
      </c>
      <c r="I49" s="459" t="s">
        <v>35</v>
      </c>
      <c r="J49" s="459" t="s">
        <v>35</v>
      </c>
      <c r="K49" s="477" t="s">
        <v>35</v>
      </c>
      <c r="L49" s="477" t="s">
        <v>35</v>
      </c>
      <c r="M49" s="477" t="s">
        <v>35</v>
      </c>
      <c r="N49" s="484" t="s">
        <v>71</v>
      </c>
      <c r="O49" s="458" t="s">
        <v>71</v>
      </c>
      <c r="P49" s="477">
        <v>7</v>
      </c>
      <c r="Q49" s="477">
        <v>7</v>
      </c>
      <c r="R49" s="458">
        <v>7</v>
      </c>
      <c r="S49" s="477">
        <v>7</v>
      </c>
      <c r="T49" s="477">
        <v>7</v>
      </c>
      <c r="U49" s="459"/>
      <c r="V49" s="459"/>
      <c r="W49" s="477" t="s">
        <v>339</v>
      </c>
      <c r="X49" s="477" t="s">
        <v>339</v>
      </c>
      <c r="Y49" s="459">
        <v>4</v>
      </c>
      <c r="Z49" s="459">
        <v>4</v>
      </c>
      <c r="AA49" s="459">
        <v>4</v>
      </c>
      <c r="AB49" s="459"/>
      <c r="AC49" s="459"/>
      <c r="AD49" s="477">
        <v>3</v>
      </c>
      <c r="AE49" s="477">
        <v>3</v>
      </c>
      <c r="AF49" s="477">
        <v>3</v>
      </c>
      <c r="AG49" s="486">
        <v>3</v>
      </c>
      <c r="AH49" s="189"/>
      <c r="AI49" s="190"/>
    </row>
    <row r="50" spans="1:35" ht="22.15" customHeight="1" x14ac:dyDescent="0.2">
      <c r="A50" s="1249">
        <v>10</v>
      </c>
      <c r="B50" s="1202" t="s">
        <v>87</v>
      </c>
      <c r="C50" s="1259">
        <v>11</v>
      </c>
      <c r="D50" s="1259">
        <v>11</v>
      </c>
      <c r="E50" s="1259">
        <v>11</v>
      </c>
      <c r="F50" s="1199">
        <v>11</v>
      </c>
      <c r="G50" s="1193" t="s">
        <v>73</v>
      </c>
      <c r="H50" s="1193" t="s">
        <v>73</v>
      </c>
      <c r="I50" s="1193" t="s">
        <v>35</v>
      </c>
      <c r="J50" s="1193" t="s">
        <v>35</v>
      </c>
      <c r="K50" s="1193" t="s">
        <v>35</v>
      </c>
      <c r="L50" s="1193" t="s">
        <v>35</v>
      </c>
      <c r="M50" s="1193" t="s">
        <v>35</v>
      </c>
      <c r="N50" s="1193" t="s">
        <v>69</v>
      </c>
      <c r="O50" s="1193" t="s">
        <v>69</v>
      </c>
      <c r="P50" s="1193">
        <v>8</v>
      </c>
      <c r="Q50" s="1193">
        <v>8</v>
      </c>
      <c r="R50" s="1193">
        <v>8</v>
      </c>
      <c r="S50" s="1193">
        <v>8</v>
      </c>
      <c r="T50" s="1193">
        <v>8</v>
      </c>
      <c r="U50" s="1193"/>
      <c r="V50" s="1193"/>
      <c r="W50" s="1199" t="s">
        <v>35</v>
      </c>
      <c r="X50" s="1259" t="s">
        <v>35</v>
      </c>
      <c r="Y50" s="1258" t="s">
        <v>35</v>
      </c>
      <c r="Z50" s="1259" t="s">
        <v>35</v>
      </c>
      <c r="AA50" s="1259" t="s">
        <v>35</v>
      </c>
      <c r="AB50" s="1259"/>
      <c r="AC50" s="1259"/>
      <c r="AD50" s="1204">
        <v>1</v>
      </c>
      <c r="AE50" s="1204">
        <v>1</v>
      </c>
      <c r="AF50" s="1204">
        <v>1</v>
      </c>
      <c r="AG50" s="1946">
        <v>1</v>
      </c>
      <c r="AH50" s="189"/>
      <c r="AI50" s="190"/>
    </row>
    <row r="51" spans="1:35" ht="22.15" customHeight="1" thickBot="1" x14ac:dyDescent="0.25">
      <c r="A51" s="1936">
        <v>15</v>
      </c>
      <c r="B51" s="1253" t="s">
        <v>88</v>
      </c>
      <c r="C51" s="1255">
        <v>9</v>
      </c>
      <c r="D51" s="1255">
        <v>9</v>
      </c>
      <c r="E51" s="1255">
        <v>9</v>
      </c>
      <c r="F51" s="1263">
        <v>9</v>
      </c>
      <c r="G51" s="1263" t="s">
        <v>66</v>
      </c>
      <c r="H51" s="1263" t="s">
        <v>67</v>
      </c>
      <c r="I51" s="1263" t="s">
        <v>35</v>
      </c>
      <c r="J51" s="1263" t="s">
        <v>35</v>
      </c>
      <c r="K51" s="1254" t="s">
        <v>35</v>
      </c>
      <c r="L51" s="1255" t="s">
        <v>35</v>
      </c>
      <c r="M51" s="1255" t="s">
        <v>35</v>
      </c>
      <c r="N51" s="1255" t="s">
        <v>68</v>
      </c>
      <c r="O51" s="1255" t="s">
        <v>69</v>
      </c>
      <c r="P51" s="1255">
        <v>6</v>
      </c>
      <c r="Q51" s="1254">
        <v>6</v>
      </c>
      <c r="R51" s="1255">
        <v>6</v>
      </c>
      <c r="S51" s="1255">
        <v>6</v>
      </c>
      <c r="T51" s="1255">
        <v>6</v>
      </c>
      <c r="U51" s="1255"/>
      <c r="V51" s="1255"/>
      <c r="W51" s="1255" t="s">
        <v>35</v>
      </c>
      <c r="X51" s="1255" t="s">
        <v>35</v>
      </c>
      <c r="Y51" s="1254" t="s">
        <v>35</v>
      </c>
      <c r="Z51" s="1255" t="s">
        <v>35</v>
      </c>
      <c r="AA51" s="1255" t="s">
        <v>35</v>
      </c>
      <c r="AB51" s="1255"/>
      <c r="AC51" s="1255"/>
      <c r="AD51" s="1255">
        <v>5</v>
      </c>
      <c r="AE51" s="1254">
        <v>5</v>
      </c>
      <c r="AF51" s="1263">
        <v>5</v>
      </c>
      <c r="AG51" s="2026"/>
      <c r="AH51" s="189"/>
      <c r="AI51" s="190"/>
    </row>
    <row r="52" spans="1:35" ht="22.1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35" ht="22.15" customHeight="1" x14ac:dyDescent="0.2">
      <c r="A53" s="109"/>
      <c r="B53" s="64" t="s">
        <v>89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35" ht="22.15" customHeight="1" x14ac:dyDescent="0.2">
      <c r="A54" s="1274" t="s">
        <v>28</v>
      </c>
      <c r="B54" s="1274"/>
      <c r="C54" s="1275"/>
      <c r="D54" s="1274" t="s">
        <v>90</v>
      </c>
      <c r="E54" s="1276"/>
      <c r="F54" s="1275"/>
      <c r="G54" s="1274" t="s">
        <v>91</v>
      </c>
      <c r="H54" s="1276"/>
      <c r="I54" s="1275"/>
      <c r="J54" s="1274" t="s">
        <v>92</v>
      </c>
      <c r="K54" s="1276"/>
      <c r="L54" s="1275"/>
      <c r="M54" s="1274" t="s">
        <v>93</v>
      </c>
      <c r="N54" s="1276"/>
      <c r="O54" s="1275"/>
      <c r="P54" s="1274" t="s">
        <v>94</v>
      </c>
      <c r="Q54" s="1276"/>
      <c r="R54" s="1277"/>
      <c r="S54" s="1278" t="s">
        <v>95</v>
      </c>
      <c r="T54" s="1276"/>
      <c r="U54" s="1275"/>
      <c r="V54" s="1274" t="s">
        <v>96</v>
      </c>
      <c r="W54" s="1276"/>
      <c r="X54" s="1279" t="s">
        <v>97</v>
      </c>
      <c r="Y54" s="1276"/>
      <c r="Z54" s="1276"/>
      <c r="AA54" s="1280"/>
      <c r="AB54" s="1169"/>
      <c r="AC54" s="1169"/>
      <c r="AD54" s="1169"/>
      <c r="AE54" s="1169"/>
      <c r="AF54" s="1169"/>
      <c r="AG54" s="1170"/>
      <c r="AH54" s="1"/>
    </row>
    <row r="55" spans="1:35" ht="22.15" customHeight="1" x14ac:dyDescent="0.2">
      <c r="A55" s="1281">
        <v>8517</v>
      </c>
      <c r="B55" s="1282" t="s">
        <v>98</v>
      </c>
      <c r="C55" s="1283" t="s">
        <v>99</v>
      </c>
      <c r="D55" s="1284"/>
      <c r="E55" s="1168"/>
      <c r="F55" s="1283" t="s">
        <v>99</v>
      </c>
      <c r="G55" s="1284"/>
      <c r="H55" s="1168"/>
      <c r="I55" s="1283" t="s">
        <v>99</v>
      </c>
      <c r="J55" s="1284"/>
      <c r="K55" s="1168"/>
      <c r="L55" s="1283" t="s">
        <v>99</v>
      </c>
      <c r="M55" s="1284"/>
      <c r="N55" s="1168"/>
      <c r="O55" s="1283" t="s">
        <v>100</v>
      </c>
      <c r="P55" s="1284"/>
      <c r="Q55" s="1168"/>
      <c r="R55" s="1283" t="s">
        <v>99</v>
      </c>
      <c r="S55" s="1284"/>
      <c r="T55" s="1168"/>
      <c r="U55" s="1283" t="s">
        <v>99</v>
      </c>
      <c r="V55" s="1284"/>
      <c r="W55" s="1168"/>
      <c r="X55" s="1166"/>
      <c r="Y55" s="1169"/>
      <c r="Z55" s="1169"/>
      <c r="AA55" s="1169"/>
      <c r="AB55" s="1169"/>
      <c r="AC55" s="1169"/>
      <c r="AD55" s="1169"/>
      <c r="AE55" s="1169"/>
      <c r="AF55" s="1169"/>
      <c r="AG55" s="1170"/>
      <c r="AH55" s="1"/>
    </row>
    <row r="56" spans="1:35" ht="22.15" customHeight="1" x14ac:dyDescent="0.2">
      <c r="B56" s="1191" t="s">
        <v>101</v>
      </c>
      <c r="C56" s="1285" t="s">
        <v>102</v>
      </c>
      <c r="D56" s="1286"/>
      <c r="E56" s="1287"/>
      <c r="F56" s="1285" t="s">
        <v>102</v>
      </c>
      <c r="G56" s="1288"/>
      <c r="H56" s="1287"/>
      <c r="I56" s="1283" t="s">
        <v>102</v>
      </c>
      <c r="J56" s="1284"/>
      <c r="K56" s="1289"/>
      <c r="L56" s="1283" t="s">
        <v>102</v>
      </c>
      <c r="M56" s="1284"/>
      <c r="N56" s="1289"/>
      <c r="O56" s="1283" t="s">
        <v>103</v>
      </c>
      <c r="P56" s="1284"/>
      <c r="Q56" s="1168"/>
      <c r="R56" s="1290" t="s">
        <v>0</v>
      </c>
      <c r="S56" s="1284"/>
      <c r="T56" s="1289"/>
      <c r="U56" s="1284" t="s">
        <v>0</v>
      </c>
      <c r="V56" s="1284"/>
      <c r="W56" s="1168"/>
      <c r="X56" s="2069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35" ht="22.15" customHeight="1" x14ac:dyDescent="0.2">
      <c r="A57" s="1292"/>
      <c r="B57" s="1282" t="s">
        <v>104</v>
      </c>
      <c r="C57" s="1283" t="s">
        <v>105</v>
      </c>
      <c r="D57" s="1284"/>
      <c r="E57" s="1168"/>
      <c r="F57" s="1283" t="s">
        <v>105</v>
      </c>
      <c r="G57" s="1284"/>
      <c r="H57" s="1289"/>
      <c r="I57" s="1283" t="s">
        <v>105</v>
      </c>
      <c r="J57" s="1284"/>
      <c r="K57" s="1289"/>
      <c r="L57" s="1283" t="s">
        <v>105</v>
      </c>
      <c r="M57" s="1284"/>
      <c r="N57" s="1289"/>
      <c r="O57" s="1283" t="s">
        <v>106</v>
      </c>
      <c r="P57" s="1284"/>
      <c r="Q57" s="1168"/>
      <c r="R57" s="112"/>
      <c r="S57" s="113"/>
      <c r="T57" s="1289"/>
      <c r="U57" s="1284"/>
      <c r="V57" s="1284"/>
      <c r="W57" s="1168"/>
      <c r="X57" s="1166"/>
      <c r="Y57" s="1169"/>
      <c r="Z57" s="1169"/>
      <c r="AA57" s="1169"/>
      <c r="AB57" s="1169"/>
      <c r="AC57" s="1169"/>
      <c r="AD57" s="1169"/>
      <c r="AE57" s="1169"/>
      <c r="AF57" s="1169"/>
      <c r="AG57" s="1170"/>
      <c r="AH57" s="1"/>
    </row>
    <row r="58" spans="1:35" ht="22.15" customHeight="1" x14ac:dyDescent="0.2">
      <c r="A58" s="1274"/>
      <c r="B58" s="1191" t="s">
        <v>107</v>
      </c>
      <c r="C58" s="1293" t="s">
        <v>108</v>
      </c>
      <c r="D58" s="1293"/>
      <c r="E58" s="1294"/>
      <c r="F58" s="1293" t="s">
        <v>108</v>
      </c>
      <c r="G58" s="1293"/>
      <c r="H58" s="1294"/>
      <c r="I58" s="1293" t="s">
        <v>108</v>
      </c>
      <c r="J58" s="1293"/>
      <c r="K58" s="1294"/>
      <c r="L58" s="1293" t="s">
        <v>108</v>
      </c>
      <c r="M58" s="1293"/>
      <c r="N58" s="1294"/>
      <c r="O58" s="1293" t="s">
        <v>108</v>
      </c>
      <c r="P58" s="1293"/>
      <c r="Q58" s="1294"/>
      <c r="R58" s="1293" t="s">
        <v>108</v>
      </c>
      <c r="S58" s="1293"/>
      <c r="T58" s="1294"/>
      <c r="U58" s="1293" t="s">
        <v>108</v>
      </c>
      <c r="V58" s="1293"/>
      <c r="W58" s="1294"/>
      <c r="X58" s="1166"/>
      <c r="Y58" s="1169"/>
      <c r="Z58" s="1169"/>
      <c r="AA58" s="1169"/>
      <c r="AB58" s="1169"/>
      <c r="AC58" s="1169"/>
      <c r="AD58" s="1169"/>
      <c r="AE58" s="1169"/>
      <c r="AF58" s="1169"/>
      <c r="AG58" s="1170"/>
      <c r="AH58" s="1"/>
    </row>
    <row r="59" spans="1:35" ht="22.1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35" ht="22.15" customHeight="1" thickBot="1" x14ac:dyDescent="0.25">
      <c r="A60" s="1295"/>
      <c r="B60" s="1184" t="s">
        <v>29</v>
      </c>
      <c r="C60" s="1254">
        <v>1</v>
      </c>
      <c r="D60" s="1254">
        <v>2</v>
      </c>
      <c r="E60" s="1254">
        <v>3</v>
      </c>
      <c r="F60" s="1254">
        <v>4</v>
      </c>
      <c r="G60" s="1185">
        <v>5</v>
      </c>
      <c r="H60" s="1185">
        <v>6</v>
      </c>
      <c r="I60" s="1254">
        <v>7</v>
      </c>
      <c r="J60" s="1254">
        <v>8</v>
      </c>
      <c r="K60" s="1254">
        <v>9</v>
      </c>
      <c r="L60" s="1254">
        <v>10</v>
      </c>
      <c r="M60" s="1254">
        <v>11</v>
      </c>
      <c r="N60" s="1185">
        <v>12</v>
      </c>
      <c r="O60" s="1185">
        <v>13</v>
      </c>
      <c r="P60" s="1254">
        <v>14</v>
      </c>
      <c r="Q60" s="1254">
        <v>15</v>
      </c>
      <c r="R60" s="1254">
        <v>16</v>
      </c>
      <c r="S60" s="1254">
        <v>17</v>
      </c>
      <c r="T60" s="1254">
        <v>18</v>
      </c>
      <c r="U60" s="1185">
        <v>19</v>
      </c>
      <c r="V60" s="1185">
        <v>20</v>
      </c>
      <c r="W60" s="1254">
        <v>21</v>
      </c>
      <c r="X60" s="1254">
        <v>22</v>
      </c>
      <c r="Y60" s="1254">
        <v>23</v>
      </c>
      <c r="Z60" s="1185">
        <v>24</v>
      </c>
      <c r="AA60" s="1185">
        <v>25</v>
      </c>
      <c r="AB60" s="1185">
        <v>26</v>
      </c>
      <c r="AC60" s="1185">
        <v>27</v>
      </c>
      <c r="AD60" s="1254">
        <v>28</v>
      </c>
      <c r="AE60" s="1254">
        <v>29</v>
      </c>
      <c r="AF60" s="1254">
        <v>30</v>
      </c>
      <c r="AG60" s="2064">
        <v>31</v>
      </c>
      <c r="AH60" s="1"/>
    </row>
    <row r="61" spans="1:35" ht="22.15" customHeight="1" thickBot="1" x14ac:dyDescent="0.25">
      <c r="A61" s="252"/>
      <c r="B61" s="265" t="s">
        <v>109</v>
      </c>
      <c r="C61" s="271" t="s">
        <v>31</v>
      </c>
      <c r="D61" s="271" t="s">
        <v>385</v>
      </c>
      <c r="E61" s="271" t="s">
        <v>31</v>
      </c>
      <c r="F61" s="271" t="s">
        <v>31</v>
      </c>
      <c r="G61" s="271" t="s">
        <v>0</v>
      </c>
      <c r="H61" s="271" t="s">
        <v>0</v>
      </c>
      <c r="I61" s="271" t="s">
        <v>35</v>
      </c>
      <c r="J61" s="271" t="s">
        <v>35</v>
      </c>
      <c r="K61" s="1259">
        <v>89</v>
      </c>
      <c r="L61" s="1259">
        <v>89</v>
      </c>
      <c r="M61" s="271">
        <v>25</v>
      </c>
      <c r="N61" s="272"/>
      <c r="O61" s="272"/>
      <c r="P61" s="385">
        <v>22</v>
      </c>
      <c r="Q61" s="390">
        <v>22</v>
      </c>
      <c r="R61" s="380">
        <v>22</v>
      </c>
      <c r="S61" s="385">
        <v>22</v>
      </c>
      <c r="T61" s="390">
        <v>22</v>
      </c>
      <c r="U61" s="390">
        <v>22</v>
      </c>
      <c r="V61" s="380">
        <v>22</v>
      </c>
      <c r="W61" s="272" t="s">
        <v>35</v>
      </c>
      <c r="X61" s="271" t="s">
        <v>35</v>
      </c>
      <c r="Y61" s="272" t="s">
        <v>35</v>
      </c>
      <c r="Z61" s="271"/>
      <c r="AA61" s="271"/>
      <c r="AB61" s="271"/>
      <c r="AC61" s="271"/>
      <c r="AD61" s="266">
        <v>69</v>
      </c>
      <c r="AE61" s="266">
        <v>69</v>
      </c>
      <c r="AF61" s="266">
        <v>69</v>
      </c>
      <c r="AG61" s="659"/>
      <c r="AH61" s="1"/>
    </row>
    <row r="62" spans="1:35" ht="22.15" customHeight="1" thickBot="1" x14ac:dyDescent="0.25">
      <c r="A62" s="1709"/>
      <c r="B62" s="2142" t="s">
        <v>113</v>
      </c>
      <c r="C62" s="1612">
        <v>5</v>
      </c>
      <c r="D62" s="1612">
        <v>5</v>
      </c>
      <c r="E62" s="1612">
        <v>5</v>
      </c>
      <c r="F62" s="1629">
        <v>5</v>
      </c>
      <c r="G62" s="1612"/>
      <c r="H62" s="1612"/>
      <c r="I62" s="637">
        <v>10</v>
      </c>
      <c r="J62" s="637">
        <v>10</v>
      </c>
      <c r="K62" s="637">
        <v>10</v>
      </c>
      <c r="L62" s="637">
        <v>10</v>
      </c>
      <c r="M62" s="637">
        <v>10</v>
      </c>
      <c r="N62" s="642" t="s">
        <v>67</v>
      </c>
      <c r="O62" s="642" t="s">
        <v>67</v>
      </c>
      <c r="P62" s="458" t="s">
        <v>35</v>
      </c>
      <c r="Q62" s="658" t="s">
        <v>35</v>
      </c>
      <c r="R62" s="658" t="s">
        <v>35</v>
      </c>
      <c r="S62" s="458" t="s">
        <v>35</v>
      </c>
      <c r="T62" s="462" t="s">
        <v>35</v>
      </c>
      <c r="U62" s="642" t="s">
        <v>71</v>
      </c>
      <c r="V62" s="642" t="s">
        <v>71</v>
      </c>
      <c r="W62" s="477">
        <v>7</v>
      </c>
      <c r="X62" s="477">
        <v>7</v>
      </c>
      <c r="Y62" s="458">
        <v>7</v>
      </c>
      <c r="Z62" s="477">
        <v>7</v>
      </c>
      <c r="AA62" s="477">
        <v>7</v>
      </c>
      <c r="AB62" s="477"/>
      <c r="AC62" s="477"/>
      <c r="AD62" s="477">
        <v>4</v>
      </c>
      <c r="AE62" s="621" t="s">
        <v>416</v>
      </c>
      <c r="AF62" s="648">
        <v>4</v>
      </c>
      <c r="AG62" s="660">
        <v>4</v>
      </c>
      <c r="AH62" s="1"/>
    </row>
    <row r="63" spans="1:35" ht="22.15" customHeight="1" thickBot="1" x14ac:dyDescent="0.25">
      <c r="A63" s="1630"/>
      <c r="B63" s="1715" t="s">
        <v>114</v>
      </c>
      <c r="C63" s="1629" t="s">
        <v>31</v>
      </c>
      <c r="D63" s="1629" t="s">
        <v>31</v>
      </c>
      <c r="E63" s="1629" t="s">
        <v>31</v>
      </c>
      <c r="F63" s="1612" t="s">
        <v>385</v>
      </c>
      <c r="G63" s="1612" t="s">
        <v>112</v>
      </c>
      <c r="H63" s="1612"/>
      <c r="I63" s="541" t="s">
        <v>110</v>
      </c>
      <c r="J63" s="541" t="s">
        <v>110</v>
      </c>
      <c r="K63" s="541" t="s">
        <v>110</v>
      </c>
      <c r="L63" s="541" t="s">
        <v>110</v>
      </c>
      <c r="M63" s="541" t="s">
        <v>110</v>
      </c>
      <c r="N63" s="541" t="s">
        <v>46</v>
      </c>
      <c r="O63" s="541" t="s">
        <v>46</v>
      </c>
      <c r="P63" s="2150" t="s">
        <v>35</v>
      </c>
      <c r="Q63" s="1633" t="s">
        <v>35</v>
      </c>
      <c r="R63" s="2150" t="s">
        <v>35</v>
      </c>
      <c r="S63" s="2150" t="s">
        <v>35</v>
      </c>
      <c r="T63" s="2150" t="s">
        <v>35</v>
      </c>
      <c r="U63" s="1612"/>
      <c r="V63" s="1612"/>
      <c r="W63" s="1612" t="s">
        <v>158</v>
      </c>
      <c r="X63" s="1612" t="s">
        <v>158</v>
      </c>
      <c r="Y63" s="1612" t="s">
        <v>158</v>
      </c>
      <c r="Z63" s="1612"/>
      <c r="AA63" s="1612"/>
      <c r="AB63" s="1612"/>
      <c r="AC63" s="1612"/>
      <c r="AD63" s="1629">
        <v>99</v>
      </c>
      <c r="AE63" s="1629">
        <v>99</v>
      </c>
      <c r="AF63" s="1629">
        <v>99</v>
      </c>
      <c r="AG63" s="2151"/>
      <c r="AH63" s="1"/>
    </row>
    <row r="64" spans="1:35" ht="22.15" customHeight="1" thickBot="1" x14ac:dyDescent="0.25">
      <c r="A64" s="2142"/>
      <c r="B64" s="1715" t="s">
        <v>124</v>
      </c>
      <c r="C64" s="1384" t="s">
        <v>110</v>
      </c>
      <c r="D64" s="1384" t="s">
        <v>110</v>
      </c>
      <c r="E64" s="1384" t="s">
        <v>110</v>
      </c>
      <c r="F64" s="1384" t="s">
        <v>110</v>
      </c>
      <c r="G64" s="1384" t="s">
        <v>46</v>
      </c>
      <c r="H64" s="1384" t="s">
        <v>46</v>
      </c>
      <c r="I64" s="1714">
        <v>25</v>
      </c>
      <c r="J64" s="1612" t="s">
        <v>35</v>
      </c>
      <c r="K64" s="1624" t="s">
        <v>35</v>
      </c>
      <c r="L64" s="1624" t="s">
        <v>35</v>
      </c>
      <c r="M64" s="1612" t="s">
        <v>31</v>
      </c>
      <c r="N64" s="458" t="s">
        <v>67</v>
      </c>
      <c r="O64" s="458" t="s">
        <v>67</v>
      </c>
      <c r="P64" s="1633" t="s">
        <v>35</v>
      </c>
      <c r="Q64" s="1633" t="s">
        <v>31</v>
      </c>
      <c r="R64" s="2150">
        <v>23</v>
      </c>
      <c r="S64" s="1612">
        <v>23</v>
      </c>
      <c r="T64" s="1612" t="s">
        <v>35</v>
      </c>
      <c r="U64" s="1612"/>
      <c r="V64" s="1612"/>
      <c r="W64" s="1633" t="s">
        <v>35</v>
      </c>
      <c r="X64" s="1624"/>
      <c r="Y64" s="1633" t="s">
        <v>35</v>
      </c>
      <c r="Z64" s="1612"/>
      <c r="AA64" s="1612"/>
      <c r="AB64" s="1612"/>
      <c r="AC64" s="1612"/>
      <c r="AD64" s="1629">
        <v>25</v>
      </c>
      <c r="AE64" s="1612">
        <v>25</v>
      </c>
      <c r="AF64" s="1710">
        <v>25</v>
      </c>
      <c r="AG64" s="2152">
        <v>10</v>
      </c>
      <c r="AH64" s="1"/>
    </row>
    <row r="65" spans="1:34" ht="22.15" customHeight="1" x14ac:dyDescent="0.2">
      <c r="A65" s="2142"/>
      <c r="B65" s="2142" t="s">
        <v>117</v>
      </c>
      <c r="C65" s="1193">
        <v>7</v>
      </c>
      <c r="D65" s="1193">
        <v>7</v>
      </c>
      <c r="E65" s="1193">
        <v>7</v>
      </c>
      <c r="F65" s="1193">
        <v>7</v>
      </c>
      <c r="G65" s="1376"/>
      <c r="H65" s="1376"/>
      <c r="I65" s="2051">
        <v>5</v>
      </c>
      <c r="J65" s="2153">
        <v>5</v>
      </c>
      <c r="K65" s="2153">
        <v>5</v>
      </c>
      <c r="L65" s="2153">
        <v>5</v>
      </c>
      <c r="M65" s="2153">
        <v>5</v>
      </c>
      <c r="N65" s="1193"/>
      <c r="O65" s="1193"/>
      <c r="P65" s="2153">
        <v>25</v>
      </c>
      <c r="Q65" s="2153">
        <v>25</v>
      </c>
      <c r="R65" s="2153">
        <v>25</v>
      </c>
      <c r="S65" s="2153">
        <v>25</v>
      </c>
      <c r="T65" s="2153">
        <v>25</v>
      </c>
      <c r="U65" s="1633"/>
      <c r="V65" s="1633"/>
      <c r="W65" s="1633" t="s">
        <v>110</v>
      </c>
      <c r="X65" s="1612" t="s">
        <v>110</v>
      </c>
      <c r="Y65" s="1633" t="s">
        <v>233</v>
      </c>
      <c r="Z65" s="1612"/>
      <c r="AA65" s="1612"/>
      <c r="AB65" s="1612"/>
      <c r="AC65" s="1612"/>
      <c r="AD65" s="1633" t="s">
        <v>233</v>
      </c>
      <c r="AE65" s="1633" t="s">
        <v>233</v>
      </c>
      <c r="AF65" s="1633" t="s">
        <v>233</v>
      </c>
      <c r="AG65" s="2138"/>
      <c r="AH65" s="1"/>
    </row>
    <row r="66" spans="1:34" ht="22.15" customHeight="1" x14ac:dyDescent="0.2">
      <c r="A66" s="2142"/>
      <c r="B66" s="1715" t="s">
        <v>119</v>
      </c>
      <c r="C66" s="1612">
        <v>8</v>
      </c>
      <c r="D66" s="1612">
        <v>8</v>
      </c>
      <c r="E66" s="1612">
        <v>8</v>
      </c>
      <c r="F66" s="1629">
        <v>8</v>
      </c>
      <c r="G66" s="1714"/>
      <c r="H66" s="1714"/>
      <c r="I66" s="1612">
        <v>21</v>
      </c>
      <c r="J66" s="1612">
        <v>21</v>
      </c>
      <c r="K66" s="1612">
        <v>21</v>
      </c>
      <c r="L66" s="1612">
        <v>21</v>
      </c>
      <c r="M66" s="1612">
        <v>21</v>
      </c>
      <c r="N66" s="1633">
        <v>21</v>
      </c>
      <c r="O66" s="1633">
        <v>21</v>
      </c>
      <c r="P66" s="1633" t="s">
        <v>35</v>
      </c>
      <c r="Q66" s="2154" t="s">
        <v>35</v>
      </c>
      <c r="R66" s="2154" t="s">
        <v>35</v>
      </c>
      <c r="S66" s="1628" t="s">
        <v>31</v>
      </c>
      <c r="T66" s="1259" t="s">
        <v>35</v>
      </c>
      <c r="U66" s="1612"/>
      <c r="V66" s="1612"/>
      <c r="W66" s="1633" t="s">
        <v>385</v>
      </c>
      <c r="X66" s="1633" t="s">
        <v>385</v>
      </c>
      <c r="Y66" s="1633" t="s">
        <v>385</v>
      </c>
      <c r="Z66" s="1612"/>
      <c r="AA66" s="1612"/>
      <c r="AB66" s="1612"/>
      <c r="AC66" s="1612"/>
      <c r="AD66" s="1629" t="s">
        <v>35</v>
      </c>
      <c r="AE66" s="1612" t="s">
        <v>35</v>
      </c>
      <c r="AF66" s="1629" t="s">
        <v>35</v>
      </c>
      <c r="AG66" s="2138"/>
      <c r="AH66" s="1"/>
    </row>
    <row r="67" spans="1:34" ht="22.15" customHeight="1" x14ac:dyDescent="0.2">
      <c r="A67" s="2142"/>
      <c r="B67" s="1715" t="s">
        <v>120</v>
      </c>
      <c r="C67" s="1623" t="s">
        <v>31</v>
      </c>
      <c r="D67" s="1623" t="s">
        <v>31</v>
      </c>
      <c r="E67" s="1623" t="s">
        <v>31</v>
      </c>
      <c r="F67" s="1623" t="s">
        <v>31</v>
      </c>
      <c r="G67" s="1623"/>
      <c r="H67" s="1623"/>
      <c r="I67" s="1623" t="s">
        <v>31</v>
      </c>
      <c r="J67" s="1623" t="s">
        <v>31</v>
      </c>
      <c r="K67" s="1623" t="s">
        <v>31</v>
      </c>
      <c r="L67" s="1623" t="s">
        <v>31</v>
      </c>
      <c r="M67" s="1623" t="s">
        <v>31</v>
      </c>
      <c r="N67" s="1623"/>
      <c r="O67" s="1623"/>
      <c r="P67" s="1623" t="s">
        <v>31</v>
      </c>
      <c r="Q67" s="1623" t="s">
        <v>31</v>
      </c>
      <c r="R67" s="1623" t="s">
        <v>31</v>
      </c>
      <c r="S67" s="1623" t="s">
        <v>31</v>
      </c>
      <c r="T67" s="1623" t="s">
        <v>31</v>
      </c>
      <c r="U67" s="1623"/>
      <c r="V67" s="1623"/>
      <c r="W67" s="1623" t="s">
        <v>31</v>
      </c>
      <c r="X67" s="1623" t="s">
        <v>31</v>
      </c>
      <c r="Y67" s="1623" t="s">
        <v>31</v>
      </c>
      <c r="Z67" s="1623"/>
      <c r="AA67" s="1623"/>
      <c r="AB67" s="1623"/>
      <c r="AC67" s="1623"/>
      <c r="AD67" s="1623" t="s">
        <v>31</v>
      </c>
      <c r="AE67" s="1623" t="s">
        <v>31</v>
      </c>
      <c r="AF67" s="1623" t="s">
        <v>31</v>
      </c>
      <c r="AG67" s="2155"/>
      <c r="AH67" s="1"/>
    </row>
    <row r="68" spans="1:34" ht="22.15" customHeight="1" x14ac:dyDescent="0.2">
      <c r="A68" s="2142"/>
      <c r="B68" s="1729" t="s">
        <v>404</v>
      </c>
      <c r="C68" s="1612">
        <v>25</v>
      </c>
      <c r="D68" s="1612">
        <v>25</v>
      </c>
      <c r="E68" s="1612">
        <v>25</v>
      </c>
      <c r="F68" s="1629">
        <v>25</v>
      </c>
      <c r="G68" s="1376"/>
      <c r="H68" s="1612"/>
      <c r="I68" s="1624">
        <v>8</v>
      </c>
      <c r="J68" s="1624">
        <v>8</v>
      </c>
      <c r="K68" s="1624">
        <v>8</v>
      </c>
      <c r="L68" s="1624">
        <v>8</v>
      </c>
      <c r="M68" s="1624">
        <v>8</v>
      </c>
      <c r="N68" s="1633"/>
      <c r="O68" s="2150" t="s">
        <v>0</v>
      </c>
      <c r="P68" s="2150" t="s">
        <v>35</v>
      </c>
      <c r="Q68" s="2150" t="s">
        <v>35</v>
      </c>
      <c r="R68" s="2150" t="s">
        <v>35</v>
      </c>
      <c r="S68" s="2150" t="s">
        <v>35</v>
      </c>
      <c r="T68" s="2150" t="s">
        <v>35</v>
      </c>
      <c r="U68" s="1633"/>
      <c r="V68" s="1633"/>
      <c r="W68" s="1633" t="s">
        <v>31</v>
      </c>
      <c r="X68" s="1633" t="s">
        <v>31</v>
      </c>
      <c r="Y68" s="1633" t="s">
        <v>31</v>
      </c>
      <c r="Z68" s="1612"/>
      <c r="AA68" s="1612"/>
      <c r="AB68" s="1612"/>
      <c r="AC68" s="1612"/>
      <c r="AD68" s="1633" t="s">
        <v>31</v>
      </c>
      <c r="AE68" s="1633" t="s">
        <v>31</v>
      </c>
      <c r="AF68" s="1633" t="s">
        <v>31</v>
      </c>
      <c r="AG68" s="2156"/>
      <c r="AH68" s="1"/>
    </row>
    <row r="69" spans="1:34" ht="22.15" customHeight="1" x14ac:dyDescent="0.2">
      <c r="A69" s="1715"/>
      <c r="B69" s="1722" t="s">
        <v>129</v>
      </c>
      <c r="C69" s="1623" t="s">
        <v>243</v>
      </c>
      <c r="D69" s="1623" t="s">
        <v>243</v>
      </c>
      <c r="E69" s="1623" t="s">
        <v>243</v>
      </c>
      <c r="F69" s="1623" t="s">
        <v>379</v>
      </c>
      <c r="G69" s="1612"/>
      <c r="H69" s="1612"/>
      <c r="I69" s="1612" t="s">
        <v>243</v>
      </c>
      <c r="J69" s="1612" t="s">
        <v>243</v>
      </c>
      <c r="K69" s="1612" t="s">
        <v>243</v>
      </c>
      <c r="L69" s="1612" t="s">
        <v>243</v>
      </c>
      <c r="M69" s="1612" t="s">
        <v>243</v>
      </c>
      <c r="N69" s="1633"/>
      <c r="O69" s="1633"/>
      <c r="P69" s="2157" t="s">
        <v>243</v>
      </c>
      <c r="Q69" s="2004" t="s">
        <v>243</v>
      </c>
      <c r="R69" s="2004" t="s">
        <v>243</v>
      </c>
      <c r="S69" s="2004" t="s">
        <v>243</v>
      </c>
      <c r="T69" s="2158" t="s">
        <v>243</v>
      </c>
      <c r="U69" s="2158" t="s">
        <v>0</v>
      </c>
      <c r="V69" s="2158" t="s">
        <v>0</v>
      </c>
      <c r="W69" s="1612" t="s">
        <v>243</v>
      </c>
      <c r="X69" s="1612" t="s">
        <v>243</v>
      </c>
      <c r="Y69" s="1612" t="s">
        <v>243</v>
      </c>
      <c r="Z69" s="1612"/>
      <c r="AA69" s="1612"/>
      <c r="AB69" s="1612"/>
      <c r="AC69" s="1612"/>
      <c r="AD69" s="1612" t="s">
        <v>243</v>
      </c>
      <c r="AE69" s="1612" t="s">
        <v>243</v>
      </c>
      <c r="AF69" s="1612" t="s">
        <v>243</v>
      </c>
      <c r="AG69" s="2138"/>
      <c r="AH69" s="1"/>
    </row>
    <row r="70" spans="1:34" ht="22.15" customHeight="1" thickBot="1" x14ac:dyDescent="0.25">
      <c r="A70" s="1715"/>
      <c r="B70" s="1627" t="s">
        <v>122</v>
      </c>
      <c r="C70" s="1629" t="s">
        <v>228</v>
      </c>
      <c r="D70" s="1629" t="s">
        <v>228</v>
      </c>
      <c r="E70" s="1739" t="s">
        <v>228</v>
      </c>
      <c r="F70" s="1629" t="s">
        <v>228</v>
      </c>
      <c r="G70" s="1612"/>
      <c r="H70" s="1612"/>
      <c r="I70" s="1629" t="s">
        <v>228</v>
      </c>
      <c r="J70" s="1710" t="s">
        <v>228</v>
      </c>
      <c r="K70" s="1710" t="s">
        <v>228</v>
      </c>
      <c r="L70" s="1710" t="s">
        <v>228</v>
      </c>
      <c r="M70" s="1629" t="s">
        <v>228</v>
      </c>
      <c r="N70" s="1633"/>
      <c r="O70" s="2150"/>
      <c r="P70" s="1629" t="s">
        <v>228</v>
      </c>
      <c r="Q70" s="1629" t="s">
        <v>228</v>
      </c>
      <c r="R70" s="1629" t="s">
        <v>228</v>
      </c>
      <c r="S70" s="1629" t="s">
        <v>228</v>
      </c>
      <c r="T70" s="1735" t="s">
        <v>228</v>
      </c>
      <c r="U70" s="1633"/>
      <c r="V70" s="1633"/>
      <c r="W70" s="1629" t="s">
        <v>228</v>
      </c>
      <c r="X70" s="1735" t="s">
        <v>228</v>
      </c>
      <c r="Y70" s="1735" t="s">
        <v>228</v>
      </c>
      <c r="Z70" s="1612"/>
      <c r="AA70" s="1612"/>
      <c r="AB70" s="1612"/>
      <c r="AC70" s="1612"/>
      <c r="AD70" s="1623" t="s">
        <v>228</v>
      </c>
      <c r="AE70" s="1623" t="s">
        <v>228</v>
      </c>
      <c r="AF70" s="1623" t="s">
        <v>228</v>
      </c>
      <c r="AG70" s="2159"/>
      <c r="AH70" s="1"/>
    </row>
    <row r="71" spans="1:34" ht="22.15" customHeight="1" x14ac:dyDescent="0.2">
      <c r="A71" s="1725"/>
      <c r="B71" s="379" t="s">
        <v>123</v>
      </c>
      <c r="C71" s="1612" t="s">
        <v>35</v>
      </c>
      <c r="D71" s="1612" t="s">
        <v>31</v>
      </c>
      <c r="E71" s="1612" t="s">
        <v>228</v>
      </c>
      <c r="F71" s="2160">
        <v>25</v>
      </c>
      <c r="G71" s="1376"/>
      <c r="H71" s="1376"/>
      <c r="I71" s="2004" t="s">
        <v>31</v>
      </c>
      <c r="J71" s="2004" t="s">
        <v>31</v>
      </c>
      <c r="K71" s="2004" t="s">
        <v>31</v>
      </c>
      <c r="L71" s="2004" t="s">
        <v>31</v>
      </c>
      <c r="M71" s="2004" t="s">
        <v>31</v>
      </c>
      <c r="N71" s="2004"/>
      <c r="O71" s="2004"/>
      <c r="P71" s="2004" t="s">
        <v>31</v>
      </c>
      <c r="Q71" s="2004" t="s">
        <v>31</v>
      </c>
      <c r="R71" s="2004" t="s">
        <v>31</v>
      </c>
      <c r="S71" s="2004" t="s">
        <v>31</v>
      </c>
      <c r="T71" s="2004" t="s">
        <v>31</v>
      </c>
      <c r="U71" s="2004"/>
      <c r="V71" s="2004"/>
      <c r="W71" s="1633">
        <v>25</v>
      </c>
      <c r="X71" s="1624">
        <v>25</v>
      </c>
      <c r="Y71" s="1633">
        <v>25</v>
      </c>
      <c r="Z71" s="1612"/>
      <c r="AA71" s="1612"/>
      <c r="AB71" s="1612" t="s">
        <v>0</v>
      </c>
      <c r="AC71" s="1612" t="s">
        <v>0</v>
      </c>
      <c r="AD71" s="1629" t="s">
        <v>110</v>
      </c>
      <c r="AE71" s="1612" t="s">
        <v>110</v>
      </c>
      <c r="AF71" s="1714" t="s">
        <v>110</v>
      </c>
      <c r="AG71" s="2159" t="s">
        <v>46</v>
      </c>
      <c r="AH71" s="1"/>
    </row>
    <row r="72" spans="1:34" ht="22.15" customHeight="1" x14ac:dyDescent="0.2">
      <c r="A72" s="1725"/>
      <c r="B72" s="1729" t="s">
        <v>126</v>
      </c>
      <c r="C72" s="1612" t="s">
        <v>35</v>
      </c>
      <c r="D72" s="1612" t="s">
        <v>35</v>
      </c>
      <c r="E72" s="1612" t="s">
        <v>35</v>
      </c>
      <c r="F72" s="1612" t="s">
        <v>35</v>
      </c>
      <c r="G72" s="1612"/>
      <c r="H72" s="1612"/>
      <c r="I72" s="1612" t="s">
        <v>385</v>
      </c>
      <c r="J72" s="1612" t="s">
        <v>385</v>
      </c>
      <c r="K72" s="1612" t="s">
        <v>385</v>
      </c>
      <c r="L72" s="1612" t="s">
        <v>385</v>
      </c>
      <c r="M72" s="1612" t="s">
        <v>385</v>
      </c>
      <c r="N72" s="1624"/>
      <c r="O72" s="1612"/>
      <c r="P72" s="1612" t="s">
        <v>385</v>
      </c>
      <c r="Q72" s="1612" t="s">
        <v>385</v>
      </c>
      <c r="R72" s="1612" t="s">
        <v>385</v>
      </c>
      <c r="S72" s="1612" t="s">
        <v>385</v>
      </c>
      <c r="T72" s="1612" t="s">
        <v>385</v>
      </c>
      <c r="U72" s="1612"/>
      <c r="V72" s="1612"/>
      <c r="W72" s="1612" t="s">
        <v>35</v>
      </c>
      <c r="X72" s="1612" t="s">
        <v>35</v>
      </c>
      <c r="Y72" s="1612" t="s">
        <v>35</v>
      </c>
      <c r="Z72" s="1612"/>
      <c r="AA72" s="1612"/>
      <c r="AB72" s="1612"/>
      <c r="AC72" s="1612"/>
      <c r="AD72" s="1612" t="s">
        <v>35</v>
      </c>
      <c r="AE72" s="1612" t="s">
        <v>35</v>
      </c>
      <c r="AF72" s="1612" t="s">
        <v>35</v>
      </c>
      <c r="AG72" s="2159"/>
      <c r="AH72" s="1"/>
    </row>
    <row r="73" spans="1:34" ht="22.15" customHeight="1" thickBot="1" x14ac:dyDescent="0.25">
      <c r="A73" s="1725"/>
      <c r="B73" s="668" t="s">
        <v>127</v>
      </c>
      <c r="C73" s="1612" t="s">
        <v>31</v>
      </c>
      <c r="D73" s="1612" t="s">
        <v>31</v>
      </c>
      <c r="E73" s="1612" t="s">
        <v>31</v>
      </c>
      <c r="F73" s="2161" t="s">
        <v>35</v>
      </c>
      <c r="G73" s="2161"/>
      <c r="H73" s="2161"/>
      <c r="I73" s="1260" t="s">
        <v>31</v>
      </c>
      <c r="J73" s="1260" t="s">
        <v>31</v>
      </c>
      <c r="K73" s="2050" t="s">
        <v>35</v>
      </c>
      <c r="L73" s="2050" t="s">
        <v>35</v>
      </c>
      <c r="M73" s="2050" t="s">
        <v>35</v>
      </c>
      <c r="N73" s="2161" t="s">
        <v>71</v>
      </c>
      <c r="O73" s="2161"/>
      <c r="P73" s="2162" t="s">
        <v>243</v>
      </c>
      <c r="Q73" s="2163" t="s">
        <v>35</v>
      </c>
      <c r="R73" s="2163" t="s">
        <v>35</v>
      </c>
      <c r="S73" s="2163" t="s">
        <v>35</v>
      </c>
      <c r="T73" s="2163" t="s">
        <v>35</v>
      </c>
      <c r="U73" s="2161" t="s">
        <v>71</v>
      </c>
      <c r="V73" s="2161" t="s">
        <v>71</v>
      </c>
      <c r="W73" s="2163" t="s">
        <v>80</v>
      </c>
      <c r="X73" s="2163" t="s">
        <v>235</v>
      </c>
      <c r="Y73" s="2163" t="s">
        <v>235</v>
      </c>
      <c r="Z73" s="2163"/>
      <c r="AA73" s="2163"/>
      <c r="AB73" s="2161"/>
      <c r="AC73" s="2161"/>
      <c r="AD73" s="2161" t="s">
        <v>31</v>
      </c>
      <c r="AE73" s="2161" t="s">
        <v>31</v>
      </c>
      <c r="AF73" s="2161" t="s">
        <v>31</v>
      </c>
      <c r="AG73" s="2164"/>
      <c r="AH73" s="1"/>
    </row>
    <row r="74" spans="1:34" ht="22.15" customHeight="1" thickBot="1" x14ac:dyDescent="0.25">
      <c r="A74" s="669"/>
      <c r="B74" s="2165" t="s">
        <v>417</v>
      </c>
      <c r="C74" s="2166" t="s">
        <v>385</v>
      </c>
      <c r="D74" s="1720" t="s">
        <v>385</v>
      </c>
      <c r="E74" s="271" t="s">
        <v>31</v>
      </c>
      <c r="F74" s="271" t="s">
        <v>31</v>
      </c>
      <c r="G74" s="2146"/>
      <c r="H74" s="2146"/>
      <c r="I74" s="2146" t="s">
        <v>35</v>
      </c>
      <c r="J74" s="2146" t="s">
        <v>35</v>
      </c>
      <c r="K74" s="2146" t="s">
        <v>35</v>
      </c>
      <c r="L74" s="2146" t="s">
        <v>35</v>
      </c>
      <c r="M74" s="2146" t="s">
        <v>35</v>
      </c>
      <c r="N74" s="2146"/>
      <c r="O74" s="2146"/>
      <c r="P74" s="2146" t="s">
        <v>236</v>
      </c>
      <c r="Q74" s="2146" t="s">
        <v>236</v>
      </c>
      <c r="R74" s="2146" t="s">
        <v>236</v>
      </c>
      <c r="S74" s="2146" t="s">
        <v>35</v>
      </c>
      <c r="T74" s="1259" t="s">
        <v>238</v>
      </c>
      <c r="U74" s="2146"/>
      <c r="V74" s="1624"/>
      <c r="W74" s="2101" t="s">
        <v>31</v>
      </c>
      <c r="X74" s="2101" t="s">
        <v>31</v>
      </c>
      <c r="Y74" s="2004" t="s">
        <v>31</v>
      </c>
      <c r="Z74" s="2146" t="s">
        <v>112</v>
      </c>
      <c r="AA74" s="2146" t="s">
        <v>112</v>
      </c>
      <c r="AB74" s="2146"/>
      <c r="AC74" s="2146"/>
      <c r="AD74" s="2146" t="s">
        <v>236</v>
      </c>
      <c r="AE74" s="2101" t="s">
        <v>31</v>
      </c>
      <c r="AF74" s="2101" t="s">
        <v>31</v>
      </c>
      <c r="AG74" s="2146"/>
      <c r="AH74" s="1"/>
    </row>
    <row r="75" spans="1:34" ht="22.15" customHeight="1" thickBot="1" x14ac:dyDescent="0.25">
      <c r="A75" s="2074"/>
      <c r="B75" s="2167" t="s">
        <v>418</v>
      </c>
      <c r="C75" s="1612"/>
      <c r="D75" s="1612"/>
      <c r="E75" s="1612"/>
      <c r="F75" s="1629"/>
      <c r="G75" s="1612"/>
      <c r="H75" s="1612"/>
      <c r="I75" s="1612"/>
      <c r="J75" s="1720"/>
      <c r="K75" s="1720"/>
      <c r="L75" s="1720"/>
      <c r="M75" s="1735"/>
      <c r="N75" s="1737" t="s">
        <v>118</v>
      </c>
      <c r="O75" s="1633"/>
      <c r="P75" s="1612"/>
      <c r="Q75" s="1612"/>
      <c r="R75" s="1612"/>
      <c r="S75" s="1612"/>
      <c r="T75" s="1629"/>
      <c r="U75" s="1633"/>
      <c r="V75" s="1633"/>
      <c r="W75" s="1631"/>
      <c r="X75" s="1631"/>
      <c r="Y75" s="1631"/>
      <c r="Z75" s="1612"/>
      <c r="AA75" s="1612"/>
      <c r="AB75" s="1612"/>
      <c r="AC75" s="1612"/>
      <c r="AD75" s="1631"/>
      <c r="AE75" s="1631"/>
      <c r="AF75" s="1631"/>
      <c r="AG75" s="387"/>
      <c r="AH75" s="1"/>
    </row>
    <row r="76" spans="1:34" ht="22.15" customHeight="1" thickBot="1" x14ac:dyDescent="0.25">
      <c r="A76" s="377"/>
      <c r="B76" s="378" t="s">
        <v>125</v>
      </c>
      <c r="C76" s="1254">
        <v>1</v>
      </c>
      <c r="D76" s="1254">
        <v>2</v>
      </c>
      <c r="E76" s="1254">
        <v>3</v>
      </c>
      <c r="F76" s="1254">
        <v>4</v>
      </c>
      <c r="G76" s="1185">
        <v>5</v>
      </c>
      <c r="H76" s="1185">
        <v>6</v>
      </c>
      <c r="I76" s="1254">
        <v>7</v>
      </c>
      <c r="J76" s="1254">
        <v>8</v>
      </c>
      <c r="K76" s="1254">
        <v>9</v>
      </c>
      <c r="L76" s="1254">
        <v>10</v>
      </c>
      <c r="M76" s="1254">
        <v>11</v>
      </c>
      <c r="N76" s="1185">
        <v>12</v>
      </c>
      <c r="O76" s="1185">
        <v>13</v>
      </c>
      <c r="P76" s="1254">
        <v>14</v>
      </c>
      <c r="Q76" s="1254">
        <v>15</v>
      </c>
      <c r="R76" s="1254">
        <v>16</v>
      </c>
      <c r="S76" s="1254">
        <v>17</v>
      </c>
      <c r="T76" s="1254">
        <v>18</v>
      </c>
      <c r="U76" s="1185">
        <v>19</v>
      </c>
      <c r="V76" s="1185">
        <v>20</v>
      </c>
      <c r="W76" s="1254">
        <v>21</v>
      </c>
      <c r="X76" s="1254">
        <v>22</v>
      </c>
      <c r="Y76" s="1254">
        <v>23</v>
      </c>
      <c r="Z76" s="1185">
        <v>24</v>
      </c>
      <c r="AA76" s="1185">
        <v>25</v>
      </c>
      <c r="AB76" s="1185">
        <v>26</v>
      </c>
      <c r="AC76" s="1185">
        <v>27</v>
      </c>
      <c r="AD76" s="1254">
        <v>28</v>
      </c>
      <c r="AE76" s="1254">
        <v>29</v>
      </c>
      <c r="AF76" s="1254">
        <v>30</v>
      </c>
      <c r="AG76" s="2064">
        <v>31</v>
      </c>
      <c r="AH76" s="1"/>
    </row>
    <row r="77" spans="1:34" ht="22.15" customHeight="1" x14ac:dyDescent="0.2">
      <c r="A77" s="379"/>
      <c r="B77" s="379"/>
      <c r="C77" s="1612"/>
      <c r="D77" s="1612"/>
      <c r="E77" s="1612"/>
      <c r="F77" s="1629"/>
      <c r="G77" s="1612"/>
      <c r="H77" s="1612"/>
      <c r="I77" s="1612"/>
      <c r="J77" s="1612"/>
      <c r="K77" s="1612"/>
      <c r="L77" s="1612"/>
      <c r="M77" s="1612"/>
      <c r="N77" s="1633"/>
      <c r="O77" s="1633"/>
      <c r="P77" s="1633"/>
      <c r="Q77" s="1628"/>
      <c r="R77" s="1633"/>
      <c r="S77" s="1612"/>
      <c r="T77" s="1612"/>
      <c r="U77" s="1633"/>
      <c r="V77" s="1633"/>
      <c r="W77" s="1633"/>
      <c r="X77" s="1612"/>
      <c r="Y77" s="1633"/>
      <c r="Z77" s="1612"/>
      <c r="AA77" s="1612"/>
      <c r="AB77" s="1612"/>
      <c r="AC77" s="1612"/>
      <c r="AD77" s="1629"/>
      <c r="AE77" s="1612"/>
      <c r="AF77" s="1629"/>
      <c r="AG77" s="387"/>
      <c r="AH77" s="1"/>
    </row>
    <row r="78" spans="1:34" ht="22.15" customHeight="1" x14ac:dyDescent="0.2">
      <c r="A78" s="1715"/>
      <c r="B78" s="1715"/>
      <c r="C78" s="1629"/>
      <c r="D78" s="1629"/>
      <c r="E78" s="1629"/>
      <c r="F78" s="1629"/>
      <c r="G78" s="1629"/>
      <c r="H78" s="1629"/>
      <c r="I78" s="1629"/>
      <c r="J78" s="1629"/>
      <c r="K78" s="2140"/>
      <c r="L78" s="2140"/>
      <c r="M78" s="2140"/>
      <c r="N78" s="2140"/>
      <c r="O78" s="2140"/>
      <c r="P78" s="1725"/>
      <c r="Q78" s="1725"/>
      <c r="R78" s="1725"/>
      <c r="S78" s="1725"/>
      <c r="T78" s="1725"/>
      <c r="U78" s="1725"/>
      <c r="V78" s="1725"/>
      <c r="W78" s="1625"/>
      <c r="X78" s="1629"/>
      <c r="Y78" s="1625"/>
      <c r="Z78" s="1625"/>
      <c r="AA78" s="1625"/>
      <c r="AB78" s="1629"/>
      <c r="AC78" s="1629"/>
      <c r="AD78" s="1629"/>
      <c r="AE78" s="1629"/>
      <c r="AF78" s="1629"/>
      <c r="AG78" s="2159"/>
      <c r="AH78" s="1"/>
    </row>
    <row r="79" spans="1:34" ht="22.15" customHeight="1" x14ac:dyDescent="0.2">
      <c r="A79" s="1733"/>
      <c r="B79" s="1715"/>
      <c r="C79" s="1629"/>
      <c r="D79" s="1629"/>
      <c r="E79" s="1629"/>
      <c r="F79" s="1629"/>
      <c r="G79" s="1629"/>
      <c r="H79" s="1629"/>
      <c r="I79" s="1629"/>
      <c r="J79" s="1629"/>
      <c r="K79" s="1629"/>
      <c r="L79" s="1629"/>
      <c r="M79" s="1629"/>
      <c r="N79" s="1629"/>
      <c r="O79" s="1629"/>
      <c r="P79" s="1629"/>
      <c r="Q79" s="1629"/>
      <c r="R79" s="1629"/>
      <c r="S79" s="1629"/>
      <c r="T79" s="1629"/>
      <c r="U79" s="1629"/>
      <c r="V79" s="1629"/>
      <c r="W79" s="1629"/>
      <c r="X79" s="1629"/>
      <c r="Y79" s="1629"/>
      <c r="Z79" s="1629"/>
      <c r="AA79" s="1629"/>
      <c r="AB79" s="1629"/>
      <c r="AC79" s="1629"/>
      <c r="AD79" s="1629"/>
      <c r="AE79" s="1629"/>
      <c r="AF79" s="1629"/>
      <c r="AG79" s="2156"/>
      <c r="AH79" s="1"/>
    </row>
    <row r="80" spans="1:34" ht="22.15" customHeight="1" thickBot="1" x14ac:dyDescent="0.25">
      <c r="A80" s="691"/>
      <c r="B80" s="692"/>
      <c r="C80" s="690"/>
      <c r="D80" s="693"/>
      <c r="E80" s="693"/>
      <c r="F80" s="693"/>
      <c r="G80" s="693"/>
      <c r="H80" s="693"/>
      <c r="I80" s="690"/>
      <c r="J80" s="690"/>
      <c r="K80" s="693"/>
      <c r="L80" s="693"/>
      <c r="M80" s="693"/>
      <c r="N80" s="693"/>
      <c r="O80" s="693"/>
      <c r="P80" s="696"/>
      <c r="Q80" s="696"/>
      <c r="R80" s="690"/>
      <c r="S80" s="696"/>
      <c r="T80" s="696"/>
      <c r="U80" s="696"/>
      <c r="V80" s="696"/>
      <c r="W80" s="696"/>
      <c r="X80" s="690"/>
      <c r="Y80" s="696"/>
      <c r="Z80" s="696"/>
      <c r="AA80" s="696"/>
      <c r="AB80" s="696"/>
      <c r="AC80" s="690"/>
      <c r="AD80" s="696"/>
      <c r="AE80" s="696"/>
      <c r="AF80" s="690"/>
      <c r="AG80" s="218"/>
      <c r="AH80" s="1"/>
    </row>
    <row r="81" spans="1:35" ht="22.15" customHeight="1" thickBot="1" x14ac:dyDescent="0.25">
      <c r="A81" s="223"/>
      <c r="B81" s="224" t="s">
        <v>387</v>
      </c>
      <c r="C81" s="219"/>
      <c r="D81" s="225"/>
      <c r="E81" s="225"/>
      <c r="F81" s="225"/>
      <c r="G81" s="225"/>
      <c r="H81" s="225"/>
      <c r="I81" s="219"/>
      <c r="J81" s="219"/>
      <c r="K81" s="225"/>
      <c r="L81" s="225"/>
      <c r="M81" s="225"/>
      <c r="N81" s="225"/>
      <c r="O81" s="225"/>
      <c r="P81" s="219"/>
      <c r="Q81" s="219"/>
      <c r="R81" s="219"/>
      <c r="S81" s="226"/>
      <c r="T81" s="226"/>
      <c r="U81" s="226"/>
      <c r="V81" s="220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48"/>
      <c r="AH81" s="1"/>
    </row>
    <row r="82" spans="1:35" ht="22.15" customHeight="1" thickBot="1" x14ac:dyDescent="0.25">
      <c r="A82" s="221"/>
      <c r="B82" s="222"/>
      <c r="C82" s="1612" t="s">
        <v>31</v>
      </c>
      <c r="D82" s="1612" t="s">
        <v>31</v>
      </c>
      <c r="E82" s="1612" t="s">
        <v>31</v>
      </c>
      <c r="F82" s="1629" t="s">
        <v>31</v>
      </c>
      <c r="G82" s="1612"/>
      <c r="H82" s="1612"/>
      <c r="I82" s="1612" t="s">
        <v>31</v>
      </c>
      <c r="J82" s="1612" t="s">
        <v>31</v>
      </c>
      <c r="K82" s="1612" t="s">
        <v>31</v>
      </c>
      <c r="L82" s="1612" t="s">
        <v>31</v>
      </c>
      <c r="M82" s="1612" t="s">
        <v>31</v>
      </c>
      <c r="N82" s="1633"/>
      <c r="O82" s="1633"/>
      <c r="P82" s="1633" t="s">
        <v>31</v>
      </c>
      <c r="Q82" s="1628" t="s">
        <v>31</v>
      </c>
      <c r="R82" s="1633" t="s">
        <v>31</v>
      </c>
      <c r="S82" s="1612" t="s">
        <v>31</v>
      </c>
      <c r="T82" s="1612" t="s">
        <v>31</v>
      </c>
      <c r="U82" s="1633"/>
      <c r="V82" s="1633"/>
      <c r="W82" s="1633" t="s">
        <v>31</v>
      </c>
      <c r="X82" s="1612" t="s">
        <v>31</v>
      </c>
      <c r="Y82" s="1633" t="s">
        <v>31</v>
      </c>
      <c r="Z82" s="1612"/>
      <c r="AA82" s="1612"/>
      <c r="AB82" s="1612"/>
      <c r="AC82" s="1612"/>
      <c r="AD82" s="1629" t="s">
        <v>31</v>
      </c>
      <c r="AE82" s="1612" t="s">
        <v>31</v>
      </c>
      <c r="AF82" s="1629" t="s">
        <v>31</v>
      </c>
      <c r="AG82" s="2168"/>
      <c r="AH82" s="1"/>
    </row>
    <row r="83" spans="1:35" ht="22.15" customHeight="1" x14ac:dyDescent="0.2">
      <c r="A83" s="64" t="s">
        <v>134</v>
      </c>
      <c r="AH83" s="1"/>
    </row>
    <row r="84" spans="1:35" ht="22.15" customHeight="1" thickBot="1" x14ac:dyDescent="0.25">
      <c r="A84" s="1343"/>
      <c r="B84" s="1247" t="s">
        <v>29</v>
      </c>
      <c r="C84" s="1254">
        <v>1</v>
      </c>
      <c r="D84" s="1254">
        <v>2</v>
      </c>
      <c r="E84" s="1254">
        <v>3</v>
      </c>
      <c r="F84" s="1254">
        <v>4</v>
      </c>
      <c r="G84" s="1185">
        <v>5</v>
      </c>
      <c r="H84" s="1185">
        <v>6</v>
      </c>
      <c r="I84" s="1254">
        <v>7</v>
      </c>
      <c r="J84" s="1254">
        <v>8</v>
      </c>
      <c r="K84" s="1254">
        <v>9</v>
      </c>
      <c r="L84" s="1254">
        <v>10</v>
      </c>
      <c r="M84" s="1254">
        <v>11</v>
      </c>
      <c r="N84" s="1185">
        <v>12</v>
      </c>
      <c r="O84" s="1185">
        <v>13</v>
      </c>
      <c r="P84" s="1254">
        <v>14</v>
      </c>
      <c r="Q84" s="1254">
        <v>15</v>
      </c>
      <c r="R84" s="1254">
        <v>16</v>
      </c>
      <c r="S84" s="1254">
        <v>17</v>
      </c>
      <c r="T84" s="1254">
        <v>18</v>
      </c>
      <c r="U84" s="1185">
        <v>19</v>
      </c>
      <c r="V84" s="1185">
        <v>20</v>
      </c>
      <c r="W84" s="1254">
        <v>21</v>
      </c>
      <c r="X84" s="1254">
        <v>22</v>
      </c>
      <c r="Y84" s="1254">
        <v>23</v>
      </c>
      <c r="Z84" s="1185">
        <v>24</v>
      </c>
      <c r="AA84" s="1185">
        <v>25</v>
      </c>
      <c r="AB84" s="1185">
        <v>26</v>
      </c>
      <c r="AC84" s="1185">
        <v>27</v>
      </c>
      <c r="AD84" s="1254">
        <v>28</v>
      </c>
      <c r="AE84" s="1254">
        <v>29</v>
      </c>
      <c r="AF84" s="1254">
        <v>30</v>
      </c>
      <c r="AG84" s="2064">
        <v>31</v>
      </c>
      <c r="AH84" s="1"/>
    </row>
    <row r="85" spans="1:35" ht="22.15" customHeight="1" x14ac:dyDescent="0.2">
      <c r="A85" s="487"/>
      <c r="B85" s="488" t="s">
        <v>135</v>
      </c>
      <c r="C85" s="458"/>
      <c r="D85" s="482"/>
      <c r="E85" s="458"/>
      <c r="F85" s="458"/>
      <c r="G85" s="458"/>
      <c r="H85" s="458"/>
      <c r="I85" s="458"/>
      <c r="J85" s="458"/>
      <c r="K85" s="458"/>
      <c r="L85" s="458"/>
      <c r="M85" s="458"/>
      <c r="N85" s="458"/>
      <c r="O85" s="458"/>
      <c r="P85" s="458"/>
      <c r="Q85" s="458"/>
      <c r="R85" s="458"/>
      <c r="S85" s="458"/>
      <c r="T85" s="458"/>
      <c r="U85" s="458"/>
      <c r="V85" s="458"/>
      <c r="W85" s="458"/>
      <c r="X85" s="458"/>
      <c r="Y85" s="458"/>
      <c r="Z85" s="458"/>
      <c r="AA85" s="458"/>
      <c r="AB85" s="458"/>
      <c r="AC85" s="458"/>
      <c r="AD85" s="458"/>
      <c r="AE85" s="458"/>
      <c r="AF85" s="458"/>
      <c r="AG85" s="464"/>
      <c r="AH85" s="1"/>
    </row>
    <row r="86" spans="1:35" ht="22.15" customHeight="1" x14ac:dyDescent="0.2">
      <c r="A86" s="1336">
        <v>2</v>
      </c>
      <c r="B86" s="1630" t="s">
        <v>405</v>
      </c>
      <c r="C86" s="2169">
        <v>10</v>
      </c>
      <c r="D86" s="2169">
        <v>10</v>
      </c>
      <c r="E86" s="2169">
        <v>10</v>
      </c>
      <c r="F86" s="2170" t="s">
        <v>31</v>
      </c>
      <c r="G86" s="2170"/>
      <c r="H86" s="2170"/>
      <c r="I86" s="2170" t="s">
        <v>419</v>
      </c>
      <c r="J86" s="2170" t="s">
        <v>419</v>
      </c>
      <c r="K86" s="2170">
        <v>25</v>
      </c>
      <c r="L86" s="2170">
        <v>25</v>
      </c>
      <c r="M86" s="2170" t="s">
        <v>31</v>
      </c>
      <c r="N86" s="2170"/>
      <c r="O86" s="2170"/>
      <c r="P86" s="2170" t="s">
        <v>31</v>
      </c>
      <c r="Q86" s="2170" t="s">
        <v>31</v>
      </c>
      <c r="R86" s="2171" t="s">
        <v>31</v>
      </c>
      <c r="S86" s="2171" t="s">
        <v>31</v>
      </c>
      <c r="T86" s="2171" t="s">
        <v>31</v>
      </c>
      <c r="U86" s="2171"/>
      <c r="V86" s="2171"/>
      <c r="W86" s="2169">
        <v>8</v>
      </c>
      <c r="X86" s="2169">
        <v>8</v>
      </c>
      <c r="Y86" s="2171">
        <v>8</v>
      </c>
      <c r="Z86" s="2171"/>
      <c r="AA86" s="2171"/>
      <c r="AB86" s="2171"/>
      <c r="AC86" s="2171"/>
      <c r="AD86" s="2169" t="s">
        <v>35</v>
      </c>
      <c r="AE86" s="2169" t="s">
        <v>35</v>
      </c>
      <c r="AF86" s="2172" t="s">
        <v>35</v>
      </c>
      <c r="AG86" s="1340"/>
      <c r="AH86" s="1"/>
    </row>
    <row r="87" spans="1:35" ht="22.15" customHeight="1" thickBot="1" x14ac:dyDescent="0.25">
      <c r="A87" s="1336">
        <v>3</v>
      </c>
      <c r="B87" s="1630" t="s">
        <v>406</v>
      </c>
      <c r="C87" s="2173">
        <v>11</v>
      </c>
      <c r="D87" s="2173">
        <v>11</v>
      </c>
      <c r="E87" s="2173">
        <v>11</v>
      </c>
      <c r="F87" s="2173" t="s">
        <v>31</v>
      </c>
      <c r="G87" s="2173"/>
      <c r="H87" s="2173"/>
      <c r="I87" s="2173">
        <v>25</v>
      </c>
      <c r="J87" s="2173">
        <v>25</v>
      </c>
      <c r="K87" s="2173" t="s">
        <v>419</v>
      </c>
      <c r="L87" s="2173" t="s">
        <v>419</v>
      </c>
      <c r="M87" s="2173" t="s">
        <v>31</v>
      </c>
      <c r="N87" s="2173"/>
      <c r="O87" s="2173"/>
      <c r="P87" s="2173" t="s">
        <v>31</v>
      </c>
      <c r="Q87" s="2173" t="s">
        <v>31</v>
      </c>
      <c r="R87" s="2173" t="s">
        <v>31</v>
      </c>
      <c r="S87" s="2173" t="s">
        <v>31</v>
      </c>
      <c r="T87" s="2173" t="s">
        <v>31</v>
      </c>
      <c r="U87" s="2173"/>
      <c r="V87" s="2173"/>
      <c r="W87" s="2173">
        <v>7</v>
      </c>
      <c r="X87" s="2173">
        <v>7</v>
      </c>
      <c r="Y87" s="2173">
        <v>7</v>
      </c>
      <c r="Z87" s="2173"/>
      <c r="AA87" s="2173"/>
      <c r="AB87" s="2173"/>
      <c r="AC87" s="2173"/>
      <c r="AD87" s="2173" t="s">
        <v>35</v>
      </c>
      <c r="AE87" s="2173" t="s">
        <v>35</v>
      </c>
      <c r="AF87" s="2174" t="s">
        <v>35</v>
      </c>
      <c r="AG87" s="1251"/>
      <c r="AH87" s="1"/>
    </row>
    <row r="88" spans="1:35" ht="22.15" customHeight="1" x14ac:dyDescent="0.2">
      <c r="A88" s="1336">
        <v>4</v>
      </c>
      <c r="B88" s="2114" t="s">
        <v>397</v>
      </c>
      <c r="C88" s="645" t="s">
        <v>35</v>
      </c>
      <c r="D88" s="645" t="s">
        <v>35</v>
      </c>
      <c r="E88" s="645" t="s">
        <v>35</v>
      </c>
      <c r="F88" s="645" t="s">
        <v>35</v>
      </c>
      <c r="G88" s="645" t="s">
        <v>68</v>
      </c>
      <c r="H88" s="645" t="s">
        <v>69</v>
      </c>
      <c r="I88" s="645">
        <v>6</v>
      </c>
      <c r="J88" s="645">
        <v>6</v>
      </c>
      <c r="K88" s="645">
        <v>6</v>
      </c>
      <c r="L88" s="645">
        <v>6</v>
      </c>
      <c r="M88" s="645">
        <v>6</v>
      </c>
      <c r="N88" s="645"/>
      <c r="O88" s="645"/>
      <c r="P88" s="645" t="s">
        <v>35</v>
      </c>
      <c r="Q88" s="645" t="s">
        <v>35</v>
      </c>
      <c r="R88" s="645" t="s">
        <v>35</v>
      </c>
      <c r="S88" s="645" t="s">
        <v>35</v>
      </c>
      <c r="T88" s="645" t="s">
        <v>35</v>
      </c>
      <c r="U88" s="645"/>
      <c r="V88" s="645"/>
      <c r="W88" s="645">
        <v>5</v>
      </c>
      <c r="X88" s="645">
        <v>5</v>
      </c>
      <c r="Y88" s="645">
        <v>5</v>
      </c>
      <c r="Z88" s="645"/>
      <c r="AA88" s="645"/>
      <c r="AB88" s="645"/>
      <c r="AC88" s="645"/>
      <c r="AD88" s="645">
        <v>10</v>
      </c>
      <c r="AE88" s="645">
        <v>10</v>
      </c>
      <c r="AF88" s="645">
        <v>10</v>
      </c>
      <c r="AG88" s="562"/>
      <c r="AH88" s="1"/>
    </row>
    <row r="89" spans="1:35" ht="22.15" customHeight="1" x14ac:dyDescent="0.2">
      <c r="A89" s="227"/>
      <c r="B89" s="228"/>
      <c r="C89" s="229"/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30"/>
      <c r="S89" s="230"/>
      <c r="T89" s="230"/>
      <c r="U89" s="229"/>
      <c r="V89" s="229"/>
      <c r="W89" s="229"/>
      <c r="X89" s="229"/>
      <c r="Y89" s="229"/>
      <c r="Z89" s="229"/>
      <c r="AA89" s="229"/>
      <c r="AB89" s="229"/>
      <c r="AC89" s="229"/>
      <c r="AD89" s="229"/>
      <c r="AE89" s="229"/>
      <c r="AF89" s="229"/>
      <c r="AG89" s="229"/>
      <c r="AH89" s="1"/>
    </row>
    <row r="90" spans="1:35" ht="22.15" customHeight="1" x14ac:dyDescent="0.2">
      <c r="A90" s="227"/>
      <c r="B90" s="228"/>
      <c r="C90" s="229"/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30"/>
      <c r="S90" s="230"/>
      <c r="T90" s="230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29"/>
      <c r="AG90" s="229"/>
      <c r="AH90" s="1"/>
    </row>
    <row r="91" spans="1:35" ht="22.15" customHeight="1" thickBot="1" x14ac:dyDescent="0.25">
      <c r="A91" s="176" t="s">
        <v>136</v>
      </c>
      <c r="B91" s="177"/>
      <c r="C91" s="177"/>
      <c r="D91" s="177"/>
      <c r="E91" s="177"/>
      <c r="F91" s="177"/>
      <c r="G91" s="178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</row>
    <row r="92" spans="1:35" ht="22.15" customHeight="1" thickBot="1" x14ac:dyDescent="0.25">
      <c r="A92" s="179"/>
      <c r="B92" s="303" t="s">
        <v>137</v>
      </c>
      <c r="C92" s="281"/>
      <c r="D92" s="282" t="s">
        <v>90</v>
      </c>
      <c r="E92" s="283"/>
      <c r="F92" s="284"/>
      <c r="G92" s="281"/>
      <c r="H92" s="282" t="s">
        <v>91</v>
      </c>
      <c r="I92" s="283"/>
      <c r="J92" s="284"/>
      <c r="K92" s="281"/>
      <c r="L92" s="282" t="s">
        <v>92</v>
      </c>
      <c r="M92" s="283"/>
      <c r="N92" s="284"/>
      <c r="O92" s="281"/>
      <c r="P92" s="282" t="s">
        <v>93</v>
      </c>
      <c r="Q92" s="283"/>
      <c r="R92" s="284"/>
      <c r="S92" s="285"/>
      <c r="T92" s="282" t="s">
        <v>94</v>
      </c>
      <c r="U92" s="283"/>
      <c r="V92" s="284"/>
      <c r="W92" s="281"/>
      <c r="X92" s="282" t="s">
        <v>95</v>
      </c>
      <c r="Y92" s="283"/>
      <c r="Z92" s="284"/>
      <c r="AA92" s="281"/>
      <c r="AB92" s="282" t="s">
        <v>96</v>
      </c>
      <c r="AC92" s="283"/>
      <c r="AD92" s="283"/>
      <c r="AE92" s="286" t="s">
        <v>138</v>
      </c>
      <c r="AF92" s="283"/>
      <c r="AG92" s="283"/>
      <c r="AH92" s="283"/>
      <c r="AI92" s="287"/>
    </row>
    <row r="93" spans="1:35" ht="22.15" customHeight="1" x14ac:dyDescent="0.2">
      <c r="A93" s="179"/>
      <c r="B93" s="489" t="s">
        <v>139</v>
      </c>
      <c r="C93" s="490" t="s">
        <v>140</v>
      </c>
      <c r="D93" s="283"/>
      <c r="E93" s="491"/>
      <c r="F93" s="492"/>
      <c r="G93" s="490" t="s">
        <v>140</v>
      </c>
      <c r="H93" s="491"/>
      <c r="I93" s="491"/>
      <c r="J93" s="492"/>
      <c r="K93" s="288" t="s">
        <v>140</v>
      </c>
      <c r="L93" s="283"/>
      <c r="M93" s="283"/>
      <c r="N93" s="289"/>
      <c r="O93" s="288" t="s">
        <v>141</v>
      </c>
      <c r="P93" s="283"/>
      <c r="Q93" s="491"/>
      <c r="R93" s="492"/>
      <c r="S93" s="490" t="s">
        <v>142</v>
      </c>
      <c r="T93" s="491"/>
      <c r="U93" s="491"/>
      <c r="V93" s="493"/>
      <c r="W93" s="494"/>
      <c r="X93" s="495"/>
      <c r="Y93" s="495"/>
      <c r="Z93" s="496"/>
      <c r="AA93" s="493"/>
      <c r="AB93" s="491"/>
      <c r="AC93" s="491"/>
      <c r="AD93" s="493"/>
      <c r="AE93" s="497">
        <v>37</v>
      </c>
      <c r="AF93" s="283"/>
      <c r="AG93" s="491"/>
      <c r="AH93" s="493"/>
      <c r="AI93" s="498"/>
    </row>
    <row r="94" spans="1:35" ht="22.15" customHeight="1" x14ac:dyDescent="0.2">
      <c r="A94" s="179"/>
      <c r="B94" s="1350" t="s">
        <v>143</v>
      </c>
      <c r="C94" s="1351" t="s">
        <v>144</v>
      </c>
      <c r="D94" s="1352"/>
      <c r="E94" s="1352"/>
      <c r="F94" s="1353"/>
      <c r="G94" s="1351" t="s">
        <v>145</v>
      </c>
      <c r="H94" s="1352"/>
      <c r="I94" s="1352"/>
      <c r="J94" s="1353"/>
      <c r="K94" s="1351" t="s">
        <v>146</v>
      </c>
      <c r="L94" s="1354" t="s">
        <v>147</v>
      </c>
      <c r="M94" s="1352"/>
      <c r="N94" s="1353"/>
      <c r="O94" s="1351" t="s">
        <v>146</v>
      </c>
      <c r="P94" s="1354" t="s">
        <v>147</v>
      </c>
      <c r="Q94" s="1352"/>
      <c r="R94" s="1353"/>
      <c r="S94" s="1351" t="s">
        <v>145</v>
      </c>
      <c r="T94" s="1354" t="s">
        <v>148</v>
      </c>
      <c r="U94" s="1352"/>
      <c r="V94" s="1353"/>
      <c r="W94" s="180" t="s">
        <v>46</v>
      </c>
      <c r="X94" s="254" t="s">
        <v>152</v>
      </c>
      <c r="Y94" s="181"/>
      <c r="Z94" s="181"/>
      <c r="AA94" s="1351" t="s">
        <v>46</v>
      </c>
      <c r="AB94" s="1354" t="s">
        <v>152</v>
      </c>
      <c r="AC94" s="1351"/>
      <c r="AD94" s="1351"/>
      <c r="AE94" s="1356">
        <v>68</v>
      </c>
      <c r="AF94" s="1352"/>
      <c r="AG94" s="1357"/>
      <c r="AH94" s="1358"/>
      <c r="AI94" s="1359"/>
    </row>
    <row r="95" spans="1:35" ht="22.15" customHeight="1" x14ac:dyDescent="0.2">
      <c r="A95" s="179"/>
      <c r="B95" s="1350" t="s">
        <v>153</v>
      </c>
      <c r="C95" s="1360" t="s">
        <v>154</v>
      </c>
      <c r="D95" s="1352"/>
      <c r="E95" s="1352"/>
      <c r="F95" s="1353"/>
      <c r="G95" s="1352" t="s">
        <v>154</v>
      </c>
      <c r="H95" s="1352"/>
      <c r="I95" s="1352"/>
      <c r="J95" s="1353"/>
      <c r="K95" s="1352" t="s">
        <v>154</v>
      </c>
      <c r="L95" s="1352"/>
      <c r="M95" s="1352"/>
      <c r="N95" s="1353"/>
      <c r="O95" s="1352" t="s">
        <v>154</v>
      </c>
      <c r="P95" s="1352"/>
      <c r="Q95" s="1352"/>
      <c r="R95" s="1353"/>
      <c r="S95" s="1352" t="s">
        <v>154</v>
      </c>
      <c r="T95" s="1352"/>
      <c r="U95" s="1352"/>
      <c r="V95" s="1353"/>
      <c r="W95" s="1351"/>
      <c r="X95" s="1352"/>
      <c r="Y95" s="1352"/>
      <c r="Z95" s="1353"/>
      <c r="AA95" s="1351"/>
      <c r="AB95" s="1352"/>
      <c r="AC95" s="1352"/>
      <c r="AD95" s="1354"/>
      <c r="AE95" s="1356">
        <v>0</v>
      </c>
      <c r="AF95" s="1357"/>
      <c r="AG95" s="1352"/>
      <c r="AH95" s="1354"/>
      <c r="AI95" s="1361"/>
    </row>
    <row r="96" spans="1:35" ht="22.15" customHeight="1" thickBot="1" x14ac:dyDescent="0.25">
      <c r="A96" s="179"/>
      <c r="B96" s="1979" t="s">
        <v>155</v>
      </c>
      <c r="C96" s="1363" t="s">
        <v>140</v>
      </c>
      <c r="D96" s="2175"/>
      <c r="E96" s="1365"/>
      <c r="F96" s="1366"/>
      <c r="G96" s="1363" t="s">
        <v>140</v>
      </c>
      <c r="H96" s="2175"/>
      <c r="I96" s="1365"/>
      <c r="J96" s="1366"/>
      <c r="K96" s="1363" t="s">
        <v>140</v>
      </c>
      <c r="L96" s="2175"/>
      <c r="M96" s="1365"/>
      <c r="N96" s="1366"/>
      <c r="O96" s="1363" t="s">
        <v>141</v>
      </c>
      <c r="P96" s="1365"/>
      <c r="Q96" s="1365"/>
      <c r="R96" s="1366"/>
      <c r="S96" s="1363" t="s">
        <v>142</v>
      </c>
      <c r="T96" s="1365"/>
      <c r="U96" s="1365"/>
      <c r="V96" s="1367"/>
      <c r="W96" s="1980"/>
      <c r="X96" s="1365"/>
      <c r="Y96" s="1365"/>
      <c r="Z96" s="1369"/>
      <c r="AA96" s="1367"/>
      <c r="AB96" s="1365"/>
      <c r="AC96" s="1365"/>
      <c r="AD96" s="1367"/>
      <c r="AE96" s="1370">
        <v>37</v>
      </c>
      <c r="AF96" s="1365"/>
      <c r="AG96" s="1365"/>
      <c r="AH96" s="1367"/>
      <c r="AI96" s="1371"/>
    </row>
    <row r="97" spans="1:35" ht="22.15" customHeight="1" x14ac:dyDescent="0.2">
      <c r="A97" s="182"/>
      <c r="B97" s="179"/>
      <c r="C97" s="177"/>
      <c r="D97" s="181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</row>
    <row r="98" spans="1:35" ht="22.15" customHeight="1" thickBot="1" x14ac:dyDescent="0.25">
      <c r="A98" s="1372"/>
      <c r="B98" s="1373" t="s">
        <v>29</v>
      </c>
      <c r="C98" s="1254">
        <v>1</v>
      </c>
      <c r="D98" s="1254">
        <v>2</v>
      </c>
      <c r="E98" s="1254">
        <v>3</v>
      </c>
      <c r="F98" s="1254">
        <v>4</v>
      </c>
      <c r="G98" s="1185">
        <v>5</v>
      </c>
      <c r="H98" s="1185">
        <v>6</v>
      </c>
      <c r="I98" s="1254">
        <v>7</v>
      </c>
      <c r="J98" s="1254">
        <v>8</v>
      </c>
      <c r="K98" s="1254">
        <v>9</v>
      </c>
      <c r="L98" s="1254">
        <v>10</v>
      </c>
      <c r="M98" s="1254">
        <v>11</v>
      </c>
      <c r="N98" s="1185">
        <v>12</v>
      </c>
      <c r="O98" s="1185">
        <v>13</v>
      </c>
      <c r="P98" s="1254">
        <v>14</v>
      </c>
      <c r="Q98" s="1254">
        <v>15</v>
      </c>
      <c r="R98" s="1254">
        <v>16</v>
      </c>
      <c r="S98" s="1254">
        <v>17</v>
      </c>
      <c r="T98" s="1254">
        <v>18</v>
      </c>
      <c r="U98" s="1185">
        <v>19</v>
      </c>
      <c r="V98" s="1185">
        <v>20</v>
      </c>
      <c r="W98" s="1254">
        <v>21</v>
      </c>
      <c r="X98" s="1254">
        <v>22</v>
      </c>
      <c r="Y98" s="1254">
        <v>23</v>
      </c>
      <c r="Z98" s="1185">
        <v>24</v>
      </c>
      <c r="AA98" s="1185">
        <v>25</v>
      </c>
      <c r="AB98" s="1185">
        <v>26</v>
      </c>
      <c r="AC98" s="1185">
        <v>27</v>
      </c>
      <c r="AD98" s="1254">
        <v>28</v>
      </c>
      <c r="AE98" s="1254">
        <v>29</v>
      </c>
      <c r="AF98" s="1254">
        <v>30</v>
      </c>
      <c r="AG98" s="2064">
        <v>31</v>
      </c>
      <c r="AH98" s="191"/>
      <c r="AI98" s="192"/>
    </row>
    <row r="99" spans="1:35" ht="22.15" customHeight="1" x14ac:dyDescent="0.2">
      <c r="A99" s="499">
        <v>1</v>
      </c>
      <c r="B99" s="476"/>
      <c r="C99" s="541" t="s">
        <v>156</v>
      </c>
      <c r="D99" s="541" t="s">
        <v>156</v>
      </c>
      <c r="E99" s="541" t="s">
        <v>156</v>
      </c>
      <c r="F99" s="541" t="s">
        <v>156</v>
      </c>
      <c r="G99" s="541"/>
      <c r="H99" s="541"/>
      <c r="I99" s="541" t="s">
        <v>110</v>
      </c>
      <c r="J99" s="541" t="s">
        <v>110</v>
      </c>
      <c r="K99" s="541" t="s">
        <v>110</v>
      </c>
      <c r="L99" s="541" t="s">
        <v>110</v>
      </c>
      <c r="M99" s="541" t="s">
        <v>110</v>
      </c>
      <c r="N99" s="541" t="s">
        <v>46</v>
      </c>
      <c r="O99" s="541" t="s">
        <v>46</v>
      </c>
      <c r="P99" s="544" t="s">
        <v>35</v>
      </c>
      <c r="Q99" s="541" t="s">
        <v>35</v>
      </c>
      <c r="R99" s="541" t="s">
        <v>35</v>
      </c>
      <c r="S99" s="541" t="s">
        <v>35</v>
      </c>
      <c r="T99" s="541" t="s">
        <v>35</v>
      </c>
      <c r="U99" s="541"/>
      <c r="V99" s="541"/>
      <c r="W99" s="541" t="s">
        <v>156</v>
      </c>
      <c r="X99" s="540" t="s">
        <v>156</v>
      </c>
      <c r="Y99" s="540" t="s">
        <v>156</v>
      </c>
      <c r="Z99" s="540"/>
      <c r="AA99" s="540"/>
      <c r="AB99" s="541"/>
      <c r="AC99" s="541"/>
      <c r="AD99" s="541" t="s">
        <v>156</v>
      </c>
      <c r="AE99" s="541" t="s">
        <v>156</v>
      </c>
      <c r="AF99" s="541" t="s">
        <v>156</v>
      </c>
      <c r="AG99" s="545"/>
      <c r="AH99" s="193"/>
      <c r="AI99" s="194"/>
    </row>
    <row r="100" spans="1:35" ht="22.15" customHeight="1" x14ac:dyDescent="0.2">
      <c r="A100" s="1374">
        <v>2</v>
      </c>
      <c r="B100" s="1202" t="s">
        <v>157</v>
      </c>
      <c r="C100" s="1375" t="s">
        <v>243</v>
      </c>
      <c r="D100" s="1375" t="s">
        <v>243</v>
      </c>
      <c r="E100" s="1375" t="s">
        <v>243</v>
      </c>
      <c r="F100" s="1375" t="s">
        <v>243</v>
      </c>
      <c r="G100" s="1375"/>
      <c r="H100" s="1375"/>
      <c r="I100" s="1612">
        <v>1</v>
      </c>
      <c r="J100" s="1612">
        <v>1</v>
      </c>
      <c r="K100" s="1612">
        <v>1</v>
      </c>
      <c r="L100" s="1612">
        <v>1</v>
      </c>
      <c r="M100" s="1612">
        <v>1</v>
      </c>
      <c r="N100" s="1215"/>
      <c r="O100" s="1215"/>
      <c r="P100" s="1376" t="s">
        <v>110</v>
      </c>
      <c r="Q100" s="1215" t="s">
        <v>110</v>
      </c>
      <c r="R100" s="1215" t="s">
        <v>110</v>
      </c>
      <c r="S100" s="1376" t="s">
        <v>110</v>
      </c>
      <c r="T100" s="1215" t="s">
        <v>110</v>
      </c>
      <c r="U100" s="1380" t="s">
        <v>46</v>
      </c>
      <c r="V100" s="1215" t="s">
        <v>46</v>
      </c>
      <c r="W100" s="1311" t="s">
        <v>35</v>
      </c>
      <c r="X100" s="1376" t="s">
        <v>35</v>
      </c>
      <c r="Y100" s="1215" t="s">
        <v>35</v>
      </c>
      <c r="Z100" s="1215" t="s">
        <v>35</v>
      </c>
      <c r="AA100" s="1380" t="s">
        <v>35</v>
      </c>
      <c r="AB100" s="1380"/>
      <c r="AC100" s="1380"/>
      <c r="AD100" s="1380" t="s">
        <v>156</v>
      </c>
      <c r="AE100" s="1380" t="s">
        <v>156</v>
      </c>
      <c r="AF100" s="1380" t="s">
        <v>156</v>
      </c>
      <c r="AG100" s="1378"/>
      <c r="AH100" s="193"/>
      <c r="AI100" s="194"/>
    </row>
    <row r="101" spans="1:35" ht="22.15" customHeight="1" x14ac:dyDescent="0.2">
      <c r="A101" s="1374">
        <v>3</v>
      </c>
      <c r="B101" s="1379" t="s">
        <v>159</v>
      </c>
      <c r="C101" s="1215" t="s">
        <v>35</v>
      </c>
      <c r="D101" s="1984" t="s">
        <v>35</v>
      </c>
      <c r="E101" s="1267" t="s">
        <v>35</v>
      </c>
      <c r="F101" s="1260" t="s">
        <v>35</v>
      </c>
      <c r="G101" s="1260"/>
      <c r="H101" s="1260"/>
      <c r="I101" s="1260">
        <v>4</v>
      </c>
      <c r="J101" s="1260">
        <v>4</v>
      </c>
      <c r="K101" s="1260">
        <v>4</v>
      </c>
      <c r="L101" s="1260">
        <v>4</v>
      </c>
      <c r="M101" s="1260">
        <v>4</v>
      </c>
      <c r="N101" s="2098"/>
      <c r="O101" s="2098"/>
      <c r="P101" s="1259" t="s">
        <v>31</v>
      </c>
      <c r="Q101" s="1259" t="s">
        <v>243</v>
      </c>
      <c r="R101" s="1259" t="s">
        <v>243</v>
      </c>
      <c r="S101" s="1380" t="s">
        <v>243</v>
      </c>
      <c r="T101" s="1380" t="s">
        <v>228</v>
      </c>
      <c r="U101" s="1215"/>
      <c r="V101" s="1624"/>
      <c r="W101" s="2176" t="s">
        <v>110</v>
      </c>
      <c r="X101" s="2176" t="s">
        <v>110</v>
      </c>
      <c r="Y101" s="1259" t="s">
        <v>110</v>
      </c>
      <c r="Z101" s="1380" t="s">
        <v>46</v>
      </c>
      <c r="AA101" s="1380" t="s">
        <v>46</v>
      </c>
      <c r="AB101" s="1380" t="s">
        <v>46</v>
      </c>
      <c r="AC101" s="1380" t="s">
        <v>46</v>
      </c>
      <c r="AD101" s="1311" t="s">
        <v>35</v>
      </c>
      <c r="AE101" s="1215" t="s">
        <v>35</v>
      </c>
      <c r="AF101" s="1215" t="s">
        <v>35</v>
      </c>
      <c r="AG101" s="1328" t="s">
        <v>35</v>
      </c>
      <c r="AH101" s="193"/>
      <c r="AI101" s="194"/>
    </row>
    <row r="102" spans="1:35" ht="22.15" customHeight="1" thickBot="1" x14ac:dyDescent="0.25">
      <c r="A102" s="1382">
        <v>4</v>
      </c>
      <c r="B102" s="1383"/>
      <c r="C102" s="1384" t="s">
        <v>110</v>
      </c>
      <c r="D102" s="1384" t="s">
        <v>110</v>
      </c>
      <c r="E102" s="1384" t="s">
        <v>110</v>
      </c>
      <c r="F102" s="1384" t="s">
        <v>110</v>
      </c>
      <c r="G102" s="1384" t="s">
        <v>46</v>
      </c>
      <c r="H102" s="1384" t="s">
        <v>46</v>
      </c>
      <c r="I102" s="1384" t="s">
        <v>35</v>
      </c>
      <c r="J102" s="1384" t="s">
        <v>35</v>
      </c>
      <c r="K102" s="1384" t="s">
        <v>35</v>
      </c>
      <c r="L102" s="1384" t="s">
        <v>35</v>
      </c>
      <c r="M102" s="1384" t="s">
        <v>35</v>
      </c>
      <c r="N102" s="1384"/>
      <c r="O102" s="1384"/>
      <c r="P102" s="1384" t="s">
        <v>156</v>
      </c>
      <c r="Q102" s="1384" t="s">
        <v>156</v>
      </c>
      <c r="R102" s="1384" t="s">
        <v>156</v>
      </c>
      <c r="S102" s="1384" t="s">
        <v>156</v>
      </c>
      <c r="T102" s="1384" t="s">
        <v>156</v>
      </c>
      <c r="U102" s="1384"/>
      <c r="V102" s="1384"/>
      <c r="W102" s="1384" t="s">
        <v>156</v>
      </c>
      <c r="X102" s="1384" t="s">
        <v>156</v>
      </c>
      <c r="Y102" s="1384" t="s">
        <v>156</v>
      </c>
      <c r="Z102" s="1384"/>
      <c r="AA102" s="1381"/>
      <c r="AB102" s="1381" t="s">
        <v>0</v>
      </c>
      <c r="AC102" s="1381" t="s">
        <v>0</v>
      </c>
      <c r="AD102" s="1381" t="s">
        <v>110</v>
      </c>
      <c r="AE102" s="1381" t="s">
        <v>110</v>
      </c>
      <c r="AF102" s="1384" t="s">
        <v>110</v>
      </c>
      <c r="AG102" s="1988" t="s">
        <v>110</v>
      </c>
      <c r="AH102" s="193"/>
      <c r="AI102" s="194"/>
    </row>
    <row r="103" spans="1:35" ht="22.15" customHeight="1" thickBot="1" x14ac:dyDescent="0.25">
      <c r="A103" s="231"/>
      <c r="B103" s="232"/>
      <c r="C103" s="233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3"/>
      <c r="U103" s="233"/>
      <c r="V103" s="233"/>
      <c r="W103" s="233"/>
      <c r="X103" s="233"/>
      <c r="Y103" s="233"/>
      <c r="Z103" s="233"/>
      <c r="AA103" s="233"/>
      <c r="AB103" s="233"/>
      <c r="AC103" s="233"/>
      <c r="AD103" s="233"/>
      <c r="AE103" s="233"/>
      <c r="AF103" s="233"/>
      <c r="AG103" s="234"/>
      <c r="AH103" s="235"/>
      <c r="AI103" s="194"/>
    </row>
    <row r="104" spans="1:35" ht="22.15" customHeight="1" x14ac:dyDescent="0.2">
      <c r="A104" s="72"/>
      <c r="B104" s="304" t="s">
        <v>160</v>
      </c>
      <c r="C104" s="500"/>
      <c r="D104" s="501" t="s">
        <v>90</v>
      </c>
      <c r="E104" s="502"/>
      <c r="F104" s="500"/>
      <c r="G104" s="503" t="s">
        <v>91</v>
      </c>
      <c r="H104" s="504"/>
      <c r="I104" s="505"/>
      <c r="J104" s="503" t="s">
        <v>92</v>
      </c>
      <c r="K104" s="506"/>
      <c r="L104" s="505"/>
      <c r="M104" s="507" t="s">
        <v>93</v>
      </c>
      <c r="N104" s="506"/>
      <c r="O104" s="505"/>
      <c r="P104" s="503" t="s">
        <v>94</v>
      </c>
      <c r="Q104" s="508"/>
      <c r="R104" s="505"/>
      <c r="S104" s="503" t="s">
        <v>95</v>
      </c>
      <c r="T104" s="509"/>
      <c r="U104" s="505"/>
      <c r="V104" s="503" t="s">
        <v>96</v>
      </c>
      <c r="W104" s="508"/>
      <c r="X104" s="510" t="s">
        <v>138</v>
      </c>
      <c r="Y104" s="511"/>
      <c r="Z104" s="511"/>
      <c r="AA104" s="512"/>
      <c r="AB104" s="290" t="s">
        <v>97</v>
      </c>
      <c r="AC104" s="291"/>
      <c r="AD104" s="291"/>
      <c r="AE104" s="292"/>
      <c r="AF104" s="292"/>
      <c r="AG104" s="293"/>
      <c r="AH104" s="235"/>
      <c r="AI104" s="194"/>
    </row>
    <row r="105" spans="1:35" ht="22.15" customHeight="1" x14ac:dyDescent="0.2">
      <c r="A105" s="72"/>
      <c r="B105" s="1386" t="s">
        <v>161</v>
      </c>
      <c r="C105" s="1387" t="s">
        <v>162</v>
      </c>
      <c r="D105" s="1169"/>
      <c r="E105" s="1170"/>
      <c r="F105" s="1387" t="s">
        <v>162</v>
      </c>
      <c r="G105" s="1169"/>
      <c r="H105" s="1170"/>
      <c r="I105" s="1387" t="s">
        <v>162</v>
      </c>
      <c r="J105" s="1169"/>
      <c r="K105" s="1170"/>
      <c r="L105" s="1387" t="s">
        <v>162</v>
      </c>
      <c r="M105" s="1169"/>
      <c r="N105" s="1170"/>
      <c r="O105" s="1387" t="s">
        <v>163</v>
      </c>
      <c r="P105" s="1169"/>
      <c r="Q105" s="1170"/>
      <c r="R105" s="1387"/>
      <c r="S105" s="1169"/>
      <c r="T105" s="1170"/>
      <c r="U105" s="1387"/>
      <c r="V105" s="1169"/>
      <c r="W105" s="1170"/>
      <c r="X105" s="1387"/>
      <c r="Y105" s="1388"/>
      <c r="Z105" s="1388"/>
      <c r="AA105" s="1388"/>
      <c r="AB105" s="1166"/>
      <c r="AC105" s="1388"/>
      <c r="AD105" s="1388"/>
      <c r="AE105" s="1388"/>
      <c r="AF105" s="1388"/>
      <c r="AG105" s="1389"/>
      <c r="AH105" s="235"/>
      <c r="AI105" s="194"/>
    </row>
    <row r="106" spans="1:35" ht="22.15" customHeight="1" x14ac:dyDescent="0.2">
      <c r="A106" s="72"/>
      <c r="B106" s="17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235"/>
      <c r="AI106" s="194"/>
    </row>
    <row r="107" spans="1:35" ht="22.15" customHeight="1" thickBot="1" x14ac:dyDescent="0.25">
      <c r="A107" s="1343" t="s">
        <v>28</v>
      </c>
      <c r="B107" s="1247" t="s">
        <v>29</v>
      </c>
      <c r="C107" s="1254">
        <v>1</v>
      </c>
      <c r="D107" s="1254">
        <v>2</v>
      </c>
      <c r="E107" s="1254">
        <v>3</v>
      </c>
      <c r="F107" s="1254">
        <v>4</v>
      </c>
      <c r="G107" s="1185">
        <v>5</v>
      </c>
      <c r="H107" s="1185">
        <v>6</v>
      </c>
      <c r="I107" s="1254">
        <v>7</v>
      </c>
      <c r="J107" s="1254">
        <v>8</v>
      </c>
      <c r="K107" s="1254">
        <v>9</v>
      </c>
      <c r="L107" s="1254">
        <v>10</v>
      </c>
      <c r="M107" s="1254">
        <v>11</v>
      </c>
      <c r="N107" s="1185">
        <v>12</v>
      </c>
      <c r="O107" s="1185">
        <v>13</v>
      </c>
      <c r="P107" s="1254">
        <v>14</v>
      </c>
      <c r="Q107" s="1254">
        <v>15</v>
      </c>
      <c r="R107" s="1254">
        <v>16</v>
      </c>
      <c r="S107" s="1254">
        <v>17</v>
      </c>
      <c r="T107" s="1254">
        <v>18</v>
      </c>
      <c r="U107" s="1185">
        <v>19</v>
      </c>
      <c r="V107" s="1185">
        <v>20</v>
      </c>
      <c r="W107" s="1254">
        <v>21</v>
      </c>
      <c r="X107" s="1254">
        <v>22</v>
      </c>
      <c r="Y107" s="1254">
        <v>23</v>
      </c>
      <c r="Z107" s="1185">
        <v>24</v>
      </c>
      <c r="AA107" s="1185">
        <v>25</v>
      </c>
      <c r="AB107" s="1185">
        <v>26</v>
      </c>
      <c r="AC107" s="1185">
        <v>27</v>
      </c>
      <c r="AD107" s="1254">
        <v>28</v>
      </c>
      <c r="AE107" s="1254">
        <v>29</v>
      </c>
      <c r="AF107" s="1254">
        <v>30</v>
      </c>
      <c r="AG107" s="2064">
        <v>31</v>
      </c>
      <c r="AH107" s="235"/>
      <c r="AI107" s="194"/>
    </row>
    <row r="108" spans="1:35" ht="22.15" customHeight="1" x14ac:dyDescent="0.2">
      <c r="A108" s="513">
        <v>8520</v>
      </c>
      <c r="B108" s="514" t="s">
        <v>164</v>
      </c>
      <c r="C108" s="458" t="s">
        <v>165</v>
      </c>
      <c r="D108" s="458" t="s">
        <v>165</v>
      </c>
      <c r="E108" s="458" t="s">
        <v>165</v>
      </c>
      <c r="F108" s="458" t="s">
        <v>165</v>
      </c>
      <c r="G108" s="458"/>
      <c r="H108" s="458"/>
      <c r="I108" s="458" t="s">
        <v>165</v>
      </c>
      <c r="J108" s="458" t="s">
        <v>165</v>
      </c>
      <c r="K108" s="458" t="s">
        <v>165</v>
      </c>
      <c r="L108" s="458" t="s">
        <v>165</v>
      </c>
      <c r="M108" s="458" t="s">
        <v>165</v>
      </c>
      <c r="N108" s="458"/>
      <c r="O108" s="458"/>
      <c r="P108" s="458" t="s">
        <v>165</v>
      </c>
      <c r="Q108" s="458" t="s">
        <v>165</v>
      </c>
      <c r="R108" s="458" t="s">
        <v>165</v>
      </c>
      <c r="S108" s="458" t="s">
        <v>165</v>
      </c>
      <c r="T108" s="458" t="s">
        <v>165</v>
      </c>
      <c r="U108" s="458"/>
      <c r="V108" s="458"/>
      <c r="W108" s="458" t="s">
        <v>165</v>
      </c>
      <c r="X108" s="458" t="s">
        <v>165</v>
      </c>
      <c r="Y108" s="484" t="s">
        <v>165</v>
      </c>
      <c r="Z108" s="458"/>
      <c r="AA108" s="458"/>
      <c r="AB108" s="458"/>
      <c r="AC108" s="458"/>
      <c r="AD108" s="458" t="s">
        <v>165</v>
      </c>
      <c r="AE108" s="458" t="s">
        <v>165</v>
      </c>
      <c r="AF108" s="458" t="s">
        <v>165</v>
      </c>
      <c r="AG108" s="464"/>
      <c r="AH108" s="235"/>
      <c r="AI108" s="194"/>
    </row>
    <row r="109" spans="1:35" ht="22.15" customHeight="1" x14ac:dyDescent="0.2">
      <c r="A109" s="243"/>
      <c r="B109" s="242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35"/>
      <c r="AI109" s="194"/>
    </row>
    <row r="110" spans="1:35" ht="22.15" customHeight="1" x14ac:dyDescent="0.2">
      <c r="AH110" s="107"/>
      <c r="AI110" s="107"/>
    </row>
    <row r="111" spans="1:35" ht="22.15" customHeight="1" thickBot="1" x14ac:dyDescent="0.25">
      <c r="A111" s="173" t="s">
        <v>166</v>
      </c>
      <c r="B111" s="174"/>
      <c r="C111" s="174"/>
      <c r="D111" s="175"/>
      <c r="E111" s="175"/>
      <c r="F111" s="175"/>
      <c r="G111" s="10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4"/>
      <c r="AI111" s="174"/>
    </row>
    <row r="112" spans="1:35" ht="22.15" customHeight="1" x14ac:dyDescent="0.2">
      <c r="A112" s="173"/>
      <c r="B112" s="304" t="s">
        <v>167</v>
      </c>
      <c r="C112" s="515"/>
      <c r="D112" s="516" t="s">
        <v>90</v>
      </c>
      <c r="E112" s="517"/>
      <c r="F112" s="518"/>
      <c r="G112" s="515"/>
      <c r="H112" s="516" t="s">
        <v>91</v>
      </c>
      <c r="I112" s="517"/>
      <c r="J112" s="518"/>
      <c r="K112" s="515"/>
      <c r="L112" s="516" t="s">
        <v>92</v>
      </c>
      <c r="M112" s="517"/>
      <c r="N112" s="518"/>
      <c r="O112" s="515"/>
      <c r="P112" s="516" t="s">
        <v>93</v>
      </c>
      <c r="Q112" s="517"/>
      <c r="R112" s="518"/>
      <c r="S112" s="515"/>
      <c r="T112" s="516" t="s">
        <v>94</v>
      </c>
      <c r="U112" s="517"/>
      <c r="V112" s="518"/>
      <c r="W112" s="515"/>
      <c r="X112" s="516" t="s">
        <v>95</v>
      </c>
      <c r="Y112" s="517"/>
      <c r="Z112" s="518"/>
      <c r="AA112" s="515"/>
      <c r="AB112" s="516" t="s">
        <v>96</v>
      </c>
      <c r="AC112" s="517"/>
      <c r="AD112" s="517"/>
      <c r="AE112" s="519" t="s">
        <v>97</v>
      </c>
      <c r="AF112" s="517"/>
      <c r="AG112" s="517"/>
      <c r="AH112" s="517"/>
      <c r="AI112" s="520"/>
    </row>
    <row r="113" spans="1:35" ht="22.15" customHeight="1" x14ac:dyDescent="0.2">
      <c r="A113" s="173"/>
      <c r="B113" s="1390" t="s">
        <v>139</v>
      </c>
      <c r="C113" s="1391">
        <v>69</v>
      </c>
      <c r="D113" s="1392" t="s">
        <v>168</v>
      </c>
      <c r="E113" s="1392"/>
      <c r="F113" s="1393"/>
      <c r="G113" s="1391">
        <v>69</v>
      </c>
      <c r="H113" s="1392" t="s">
        <v>168</v>
      </c>
      <c r="I113" s="1392"/>
      <c r="J113" s="1393"/>
      <c r="K113" s="1391">
        <v>69</v>
      </c>
      <c r="L113" s="1392" t="s">
        <v>168</v>
      </c>
      <c r="M113" s="1392"/>
      <c r="N113" s="1393"/>
      <c r="O113" s="1391">
        <v>69</v>
      </c>
      <c r="P113" s="1392" t="s">
        <v>168</v>
      </c>
      <c r="Q113" s="1392"/>
      <c r="R113" s="1393"/>
      <c r="S113" s="1391">
        <v>69</v>
      </c>
      <c r="T113" s="1392" t="s">
        <v>168</v>
      </c>
      <c r="U113" s="1392"/>
      <c r="V113" s="1393"/>
      <c r="W113" s="1391"/>
      <c r="X113" s="1394"/>
      <c r="Y113" s="1394"/>
      <c r="Z113" s="1395"/>
      <c r="AA113" s="1391"/>
      <c r="AB113" s="1392"/>
      <c r="AC113" s="1392"/>
      <c r="AD113" s="1284"/>
      <c r="AE113" s="1396">
        <v>35</v>
      </c>
      <c r="AF113" s="1392"/>
      <c r="AG113" s="1392"/>
      <c r="AH113" s="1284"/>
      <c r="AI113" s="1397"/>
    </row>
    <row r="114" spans="1:35" ht="22.15" customHeight="1" x14ac:dyDescent="0.2">
      <c r="A114" s="173"/>
      <c r="B114" s="1390" t="s">
        <v>143</v>
      </c>
      <c r="C114" s="1391">
        <v>79</v>
      </c>
      <c r="D114" s="1392" t="s">
        <v>169</v>
      </c>
      <c r="E114" s="1392"/>
      <c r="F114" s="1393"/>
      <c r="G114" s="1391">
        <v>79</v>
      </c>
      <c r="H114" s="1392" t="s">
        <v>169</v>
      </c>
      <c r="I114" s="1392"/>
      <c r="J114" s="1393"/>
      <c r="K114" s="1391">
        <v>79</v>
      </c>
      <c r="L114" s="1392" t="s">
        <v>169</v>
      </c>
      <c r="M114" s="1392"/>
      <c r="N114" s="1393"/>
      <c r="O114" s="1391">
        <v>79</v>
      </c>
      <c r="P114" s="1392" t="s">
        <v>169</v>
      </c>
      <c r="Q114" s="1392"/>
      <c r="R114" s="1393"/>
      <c r="S114" s="1391">
        <v>79</v>
      </c>
      <c r="T114" s="1392" t="s">
        <v>169</v>
      </c>
      <c r="U114" s="1392"/>
      <c r="V114" s="1393"/>
      <c r="W114" s="1391"/>
      <c r="X114" s="1392"/>
      <c r="Y114" s="1392"/>
      <c r="Z114" s="1393"/>
      <c r="AA114" s="1392"/>
      <c r="AB114" s="1392"/>
      <c r="AC114" s="1392"/>
      <c r="AD114" s="1284"/>
      <c r="AE114" s="1396">
        <v>40</v>
      </c>
      <c r="AF114" s="1392"/>
      <c r="AG114" s="1392"/>
      <c r="AH114" s="1284"/>
      <c r="AI114" s="1397"/>
    </row>
    <row r="115" spans="1:35" ht="22.15" customHeight="1" x14ac:dyDescent="0.2">
      <c r="A115" s="173"/>
      <c r="B115" s="1390" t="s">
        <v>153</v>
      </c>
      <c r="C115" s="1391">
        <v>89</v>
      </c>
      <c r="D115" s="1392" t="s">
        <v>170</v>
      </c>
      <c r="E115" s="1392"/>
      <c r="F115" s="1393"/>
      <c r="G115" s="1391">
        <v>89</v>
      </c>
      <c r="H115" s="1392" t="s">
        <v>170</v>
      </c>
      <c r="I115" s="1392"/>
      <c r="J115" s="1393"/>
      <c r="K115" s="1391">
        <v>89</v>
      </c>
      <c r="L115" s="1392" t="s">
        <v>170</v>
      </c>
      <c r="M115" s="1392"/>
      <c r="N115" s="1393"/>
      <c r="O115" s="1391">
        <v>89</v>
      </c>
      <c r="P115" s="1392" t="s">
        <v>170</v>
      </c>
      <c r="Q115" s="1392"/>
      <c r="R115" s="1393"/>
      <c r="S115" s="1391">
        <v>89</v>
      </c>
      <c r="T115" s="1392" t="s">
        <v>171</v>
      </c>
      <c r="U115" s="1392"/>
      <c r="V115" s="1393"/>
      <c r="W115" s="1398"/>
      <c r="X115" s="1399" t="s">
        <v>172</v>
      </c>
      <c r="Y115" s="1399"/>
      <c r="Z115" s="1400"/>
      <c r="AA115" s="1398"/>
      <c r="AB115" s="1399"/>
      <c r="AC115" s="1399"/>
      <c r="AD115" s="1286"/>
      <c r="AE115" s="1396">
        <v>44</v>
      </c>
      <c r="AF115" s="1392"/>
      <c r="AG115" s="1392"/>
      <c r="AH115" s="1284"/>
      <c r="AI115" s="1397"/>
    </row>
    <row r="116" spans="1:35" ht="22.15" customHeight="1" x14ac:dyDescent="0.2">
      <c r="A116" s="173"/>
      <c r="B116" s="38" t="s">
        <v>155</v>
      </c>
      <c r="C116" s="1398">
        <v>99</v>
      </c>
      <c r="D116" s="1399" t="s">
        <v>173</v>
      </c>
      <c r="E116" s="1399"/>
      <c r="F116" s="1400"/>
      <c r="G116" s="1398">
        <v>99</v>
      </c>
      <c r="H116" s="1399" t="s">
        <v>173</v>
      </c>
      <c r="I116" s="1399"/>
      <c r="J116" s="1400"/>
      <c r="K116" s="1398">
        <v>99</v>
      </c>
      <c r="L116" s="1399" t="s">
        <v>173</v>
      </c>
      <c r="M116" s="1399"/>
      <c r="N116" s="1400"/>
      <c r="O116" s="1398">
        <v>99</v>
      </c>
      <c r="P116" s="1399" t="s">
        <v>173</v>
      </c>
      <c r="Q116" s="1399"/>
      <c r="R116" s="1400"/>
      <c r="S116" s="1398">
        <v>99</v>
      </c>
      <c r="T116" s="1399" t="s">
        <v>154</v>
      </c>
      <c r="U116" s="1399"/>
      <c r="V116" s="1286"/>
      <c r="W116" s="1285"/>
      <c r="X116" s="1286"/>
      <c r="Y116" s="1399"/>
      <c r="Z116" s="1400"/>
      <c r="AA116" s="1285"/>
      <c r="AB116" s="1286"/>
      <c r="AC116" s="1399"/>
      <c r="AD116" s="1400"/>
      <c r="AE116" s="1401">
        <v>28</v>
      </c>
      <c r="AF116" s="1399"/>
      <c r="AG116" s="1399"/>
      <c r="AH116" s="1286"/>
      <c r="AI116" s="1402"/>
    </row>
    <row r="117" spans="1:35" ht="22.15" customHeight="1" thickBot="1" x14ac:dyDescent="0.25">
      <c r="A117" s="173"/>
      <c r="B117" s="1989" t="s">
        <v>174</v>
      </c>
      <c r="C117" s="1404" t="s">
        <v>175</v>
      </c>
      <c r="D117" s="1405" t="s">
        <v>176</v>
      </c>
      <c r="E117" s="1406"/>
      <c r="F117" s="1240"/>
      <c r="G117" s="1404" t="s">
        <v>175</v>
      </c>
      <c r="H117" s="1405" t="s">
        <v>176</v>
      </c>
      <c r="I117" s="1238"/>
      <c r="J117" s="1406"/>
      <c r="K117" s="1404" t="s">
        <v>175</v>
      </c>
      <c r="L117" s="1405" t="s">
        <v>176</v>
      </c>
      <c r="M117" s="1406"/>
      <c r="N117" s="1407"/>
      <c r="O117" s="1404" t="s">
        <v>175</v>
      </c>
      <c r="P117" s="1405" t="s">
        <v>176</v>
      </c>
      <c r="Q117" s="1406"/>
      <c r="R117" s="1405"/>
      <c r="S117" s="1404" t="s">
        <v>175</v>
      </c>
      <c r="T117" s="1242" t="s">
        <v>177</v>
      </c>
      <c r="U117" s="1405"/>
      <c r="V117" s="1407"/>
      <c r="W117" s="1406"/>
      <c r="X117" s="1405"/>
      <c r="Y117" s="1405"/>
      <c r="Z117" s="1405"/>
      <c r="AA117" s="1408"/>
      <c r="AB117" s="1409"/>
      <c r="AC117" s="1405"/>
      <c r="AD117" s="1410"/>
      <c r="AE117" s="1405"/>
      <c r="AF117" s="1405"/>
      <c r="AG117" s="1405"/>
      <c r="AH117" s="1411"/>
      <c r="AI117" s="1412"/>
    </row>
    <row r="118" spans="1:35" ht="22.15" customHeight="1" x14ac:dyDescent="0.2">
      <c r="A118" s="108"/>
      <c r="B118" s="173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4"/>
      <c r="AI118" s="174"/>
    </row>
    <row r="119" spans="1:35" ht="22.15" customHeight="1" thickBot="1" x14ac:dyDescent="0.25">
      <c r="A119" s="1343"/>
      <c r="B119" s="1247" t="s">
        <v>29</v>
      </c>
      <c r="C119" s="1254">
        <v>1</v>
      </c>
      <c r="D119" s="1254">
        <v>2</v>
      </c>
      <c r="E119" s="1254">
        <v>3</v>
      </c>
      <c r="F119" s="1254">
        <v>4</v>
      </c>
      <c r="G119" s="1185">
        <v>5</v>
      </c>
      <c r="H119" s="1185">
        <v>6</v>
      </c>
      <c r="I119" s="1254">
        <v>7</v>
      </c>
      <c r="J119" s="1254">
        <v>8</v>
      </c>
      <c r="K119" s="1254">
        <v>9</v>
      </c>
      <c r="L119" s="1254">
        <v>10</v>
      </c>
      <c r="M119" s="1254">
        <v>11</v>
      </c>
      <c r="N119" s="1185">
        <v>12</v>
      </c>
      <c r="O119" s="1185">
        <v>13</v>
      </c>
      <c r="P119" s="1254">
        <v>14</v>
      </c>
      <c r="Q119" s="1254">
        <v>15</v>
      </c>
      <c r="R119" s="1254">
        <v>16</v>
      </c>
      <c r="S119" s="1254">
        <v>17</v>
      </c>
      <c r="T119" s="1254">
        <v>18</v>
      </c>
      <c r="U119" s="1185">
        <v>19</v>
      </c>
      <c r="V119" s="1185">
        <v>20</v>
      </c>
      <c r="W119" s="1254">
        <v>21</v>
      </c>
      <c r="X119" s="1254">
        <v>22</v>
      </c>
      <c r="Y119" s="1254">
        <v>23</v>
      </c>
      <c r="Z119" s="1185">
        <v>24</v>
      </c>
      <c r="AA119" s="1185">
        <v>25</v>
      </c>
      <c r="AB119" s="1185">
        <v>26</v>
      </c>
      <c r="AC119" s="1185">
        <v>27</v>
      </c>
      <c r="AD119" s="1254">
        <v>28</v>
      </c>
      <c r="AE119" s="1254">
        <v>29</v>
      </c>
      <c r="AF119" s="1254">
        <v>30</v>
      </c>
      <c r="AG119" s="2064">
        <v>31</v>
      </c>
      <c r="AH119" s="184"/>
      <c r="AI119" s="185"/>
    </row>
    <row r="120" spans="1:35" ht="22.15" customHeight="1" thickBot="1" x14ac:dyDescent="0.25">
      <c r="A120" s="521">
        <v>1</v>
      </c>
      <c r="B120" s="522" t="s">
        <v>178</v>
      </c>
      <c r="C120" s="477">
        <v>69</v>
      </c>
      <c r="D120" s="477">
        <v>69</v>
      </c>
      <c r="E120" s="458">
        <v>69</v>
      </c>
      <c r="F120" s="458">
        <v>69</v>
      </c>
      <c r="G120" s="459"/>
      <c r="H120" s="477"/>
      <c r="I120" s="1421">
        <v>79</v>
      </c>
      <c r="J120" s="1421">
        <v>79</v>
      </c>
      <c r="K120" s="1421">
        <v>79</v>
      </c>
      <c r="L120" s="1421">
        <v>79</v>
      </c>
      <c r="M120" s="1421">
        <v>79</v>
      </c>
      <c r="N120" s="477"/>
      <c r="O120" s="477"/>
      <c r="P120" s="458">
        <v>89</v>
      </c>
      <c r="Q120" s="458">
        <v>89</v>
      </c>
      <c r="R120" s="458">
        <v>89</v>
      </c>
      <c r="S120" s="458">
        <v>89</v>
      </c>
      <c r="T120" s="458">
        <v>89</v>
      </c>
      <c r="U120" s="477">
        <v>89</v>
      </c>
      <c r="V120" s="477"/>
      <c r="W120" s="477">
        <v>99</v>
      </c>
      <c r="X120" s="477">
        <v>99</v>
      </c>
      <c r="Y120" s="477">
        <v>99</v>
      </c>
      <c r="Z120" s="477"/>
      <c r="AA120" s="459" t="s">
        <v>35</v>
      </c>
      <c r="AB120" s="477"/>
      <c r="AC120" s="477"/>
      <c r="AD120" s="653" t="s">
        <v>175</v>
      </c>
      <c r="AE120" s="653" t="s">
        <v>175</v>
      </c>
      <c r="AF120" s="459" t="s">
        <v>175</v>
      </c>
      <c r="AG120" s="478"/>
      <c r="AH120" s="215"/>
      <c r="AI120" s="107"/>
    </row>
    <row r="121" spans="1:35" ht="22.15" customHeight="1" x14ac:dyDescent="0.2">
      <c r="A121" s="1415">
        <v>2</v>
      </c>
      <c r="B121" s="1330" t="s">
        <v>179</v>
      </c>
      <c r="C121" s="1199">
        <v>79</v>
      </c>
      <c r="D121" s="1259">
        <v>79</v>
      </c>
      <c r="E121" s="1258">
        <v>79</v>
      </c>
      <c r="F121" s="1258">
        <v>79</v>
      </c>
      <c r="G121" s="1259"/>
      <c r="H121" s="1259"/>
      <c r="I121" s="1259">
        <v>89</v>
      </c>
      <c r="J121" s="1259">
        <v>89</v>
      </c>
      <c r="K121" s="2177">
        <v>89</v>
      </c>
      <c r="L121" s="2178">
        <v>89</v>
      </c>
      <c r="M121" s="1259">
        <v>89</v>
      </c>
      <c r="N121" s="1259">
        <v>89</v>
      </c>
      <c r="O121" s="1259"/>
      <c r="P121" s="2179">
        <v>99</v>
      </c>
      <c r="Q121" s="1259">
        <v>99</v>
      </c>
      <c r="R121" s="1259">
        <v>99</v>
      </c>
      <c r="S121" s="1259">
        <v>99</v>
      </c>
      <c r="T121" s="1940" t="s">
        <v>35</v>
      </c>
      <c r="U121" s="1259"/>
      <c r="V121" s="1259"/>
      <c r="W121" s="1259" t="s">
        <v>175</v>
      </c>
      <c r="X121" s="1259" t="s">
        <v>175</v>
      </c>
      <c r="Y121" s="1259" t="s">
        <v>175</v>
      </c>
      <c r="Z121" s="1258"/>
      <c r="AA121" s="1258"/>
      <c r="AB121" s="1199"/>
      <c r="AC121" s="1259"/>
      <c r="AD121" s="1270">
        <v>69</v>
      </c>
      <c r="AE121" s="2180">
        <v>69</v>
      </c>
      <c r="AF121" s="2180">
        <v>69</v>
      </c>
      <c r="AG121" s="1416"/>
      <c r="AH121" s="216"/>
      <c r="AI121" s="172"/>
    </row>
    <row r="122" spans="1:35" ht="22.15" customHeight="1" x14ac:dyDescent="0.2">
      <c r="A122" s="1415">
        <v>3</v>
      </c>
      <c r="B122" s="1330" t="s">
        <v>344</v>
      </c>
      <c r="C122" s="2038">
        <v>89</v>
      </c>
      <c r="D122" s="1413">
        <v>89</v>
      </c>
      <c r="E122" s="1413">
        <v>89</v>
      </c>
      <c r="F122" s="1413">
        <v>89</v>
      </c>
      <c r="G122" s="1413">
        <v>89</v>
      </c>
      <c r="H122" s="1413"/>
      <c r="I122" s="1413">
        <v>99</v>
      </c>
      <c r="J122" s="1413">
        <v>99</v>
      </c>
      <c r="K122" s="1413">
        <v>99</v>
      </c>
      <c r="L122" s="1413">
        <v>99</v>
      </c>
      <c r="M122" s="2052" t="s">
        <v>35</v>
      </c>
      <c r="N122" s="2052" t="s">
        <v>0</v>
      </c>
      <c r="O122" s="2052"/>
      <c r="P122" s="1414" t="s">
        <v>175</v>
      </c>
      <c r="Q122" s="1414" t="s">
        <v>175</v>
      </c>
      <c r="R122" s="1414" t="s">
        <v>175</v>
      </c>
      <c r="S122" s="1414" t="s">
        <v>175</v>
      </c>
      <c r="T122" s="1414" t="s">
        <v>175</v>
      </c>
      <c r="U122" s="1413"/>
      <c r="V122" s="1413"/>
      <c r="W122" s="1413">
        <v>69</v>
      </c>
      <c r="X122" s="1413">
        <v>69</v>
      </c>
      <c r="Y122" s="1413">
        <v>69</v>
      </c>
      <c r="Z122" s="1413"/>
      <c r="AA122" s="1413"/>
      <c r="AB122" s="1413"/>
      <c r="AC122" s="1413"/>
      <c r="AD122" s="1413">
        <v>79</v>
      </c>
      <c r="AE122" s="1413">
        <v>79</v>
      </c>
      <c r="AF122" s="1413">
        <v>79</v>
      </c>
      <c r="AG122" s="2181">
        <v>1</v>
      </c>
      <c r="AH122" s="215"/>
      <c r="AI122" s="107"/>
    </row>
    <row r="123" spans="1:35" ht="22.15" customHeight="1" x14ac:dyDescent="0.2">
      <c r="A123" s="1415">
        <v>4</v>
      </c>
      <c r="B123" s="1330" t="s">
        <v>0</v>
      </c>
      <c r="C123" s="2182">
        <v>99</v>
      </c>
      <c r="D123" s="1334">
        <v>99</v>
      </c>
      <c r="E123" s="1334">
        <v>99</v>
      </c>
      <c r="F123" s="1334" t="s">
        <v>35</v>
      </c>
      <c r="G123" s="1334"/>
      <c r="H123" s="1334"/>
      <c r="I123" s="1334" t="s">
        <v>175</v>
      </c>
      <c r="J123" s="1334" t="s">
        <v>175</v>
      </c>
      <c r="K123" s="1334" t="s">
        <v>175</v>
      </c>
      <c r="L123" s="1334" t="s">
        <v>181</v>
      </c>
      <c r="M123" s="1334" t="s">
        <v>181</v>
      </c>
      <c r="N123" s="1334"/>
      <c r="O123" s="1334"/>
      <c r="P123" s="1258">
        <v>69</v>
      </c>
      <c r="Q123" s="1344">
        <v>69</v>
      </c>
      <c r="R123" s="1344">
        <v>69</v>
      </c>
      <c r="S123" s="1258">
        <v>69</v>
      </c>
      <c r="T123" s="1258">
        <v>69</v>
      </c>
      <c r="U123" s="1258"/>
      <c r="V123" s="1258"/>
      <c r="W123" s="1258">
        <v>79</v>
      </c>
      <c r="X123" s="1258">
        <v>79</v>
      </c>
      <c r="Y123" s="1344">
        <v>79</v>
      </c>
      <c r="Z123" s="1311"/>
      <c r="AA123" s="1258"/>
      <c r="AB123" s="1258"/>
      <c r="AC123" s="1258"/>
      <c r="AD123" s="1258">
        <v>89</v>
      </c>
      <c r="AE123" s="1258">
        <v>89</v>
      </c>
      <c r="AF123" s="1344">
        <v>89</v>
      </c>
      <c r="AG123" s="1418"/>
      <c r="AH123" s="215"/>
      <c r="AI123" s="107"/>
    </row>
    <row r="124" spans="1:35" ht="22.15" customHeight="1" thickBot="1" x14ac:dyDescent="0.25">
      <c r="A124" s="1419">
        <v>5</v>
      </c>
      <c r="B124" s="1420" t="s">
        <v>182</v>
      </c>
      <c r="C124" s="1421" t="s">
        <v>175</v>
      </c>
      <c r="D124" s="1421" t="s">
        <v>175</v>
      </c>
      <c r="E124" s="1421" t="s">
        <v>175</v>
      </c>
      <c r="F124" s="1254" t="s">
        <v>175</v>
      </c>
      <c r="G124" s="1255"/>
      <c r="H124" s="1255"/>
      <c r="I124" s="1255">
        <v>69</v>
      </c>
      <c r="J124" s="1255">
        <v>69</v>
      </c>
      <c r="K124" s="1255">
        <v>69</v>
      </c>
      <c r="L124" s="1255">
        <v>69</v>
      </c>
      <c r="M124" s="1255">
        <v>69</v>
      </c>
      <c r="N124" s="1421"/>
      <c r="O124" s="1421"/>
      <c r="P124" s="1421">
        <v>79</v>
      </c>
      <c r="Q124" s="1421">
        <v>79</v>
      </c>
      <c r="R124" s="1421">
        <v>79</v>
      </c>
      <c r="S124" s="1421">
        <v>79</v>
      </c>
      <c r="T124" s="1421">
        <v>79</v>
      </c>
      <c r="U124" s="1421"/>
      <c r="V124" s="1421"/>
      <c r="W124" s="1421">
        <v>89</v>
      </c>
      <c r="X124" s="1421">
        <v>89</v>
      </c>
      <c r="Y124" s="1421">
        <v>89</v>
      </c>
      <c r="Z124" s="1998"/>
      <c r="AA124" s="1998"/>
      <c r="AB124" s="1421"/>
      <c r="AC124" s="1421"/>
      <c r="AD124" s="2183">
        <v>99</v>
      </c>
      <c r="AE124" s="1421">
        <v>99</v>
      </c>
      <c r="AF124" s="1421">
        <v>99</v>
      </c>
      <c r="AG124" s="1999"/>
      <c r="AH124" s="215"/>
      <c r="AI124" s="107"/>
    </row>
    <row r="125" spans="1:35" ht="22.15" customHeight="1" x14ac:dyDescent="0.2">
      <c r="A125" s="256"/>
      <c r="B125" s="257"/>
      <c r="C125" s="258"/>
      <c r="D125" s="258"/>
      <c r="E125" s="258"/>
      <c r="F125" s="229"/>
      <c r="G125" s="255"/>
      <c r="H125" s="255"/>
      <c r="I125" s="255"/>
      <c r="J125" s="255"/>
      <c r="K125" s="255"/>
      <c r="L125" s="229"/>
      <c r="M125" s="229"/>
      <c r="N125" s="258"/>
      <c r="O125" s="258"/>
      <c r="P125" s="258"/>
      <c r="Q125" s="258"/>
      <c r="R125" s="258"/>
      <c r="S125" s="229"/>
      <c r="T125" s="259"/>
      <c r="U125" s="258"/>
      <c r="V125" s="258"/>
      <c r="W125" s="258"/>
      <c r="X125" s="258"/>
      <c r="Y125" s="258"/>
      <c r="Z125" s="260"/>
      <c r="AA125" s="260"/>
      <c r="AB125" s="258"/>
      <c r="AC125" s="258"/>
      <c r="AD125" s="258"/>
      <c r="AE125" s="258"/>
      <c r="AF125" s="258"/>
      <c r="AG125" s="260"/>
      <c r="AH125" s="215"/>
      <c r="AI125" s="107"/>
    </row>
    <row r="126" spans="1:35" ht="22.15" customHeight="1" x14ac:dyDescent="0.2">
      <c r="A126" s="109"/>
      <c r="B126" s="110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7"/>
      <c r="AI126" s="107"/>
    </row>
    <row r="127" spans="1:35" ht="22.15" customHeight="1" thickBot="1" x14ac:dyDescent="0.25">
      <c r="A127" s="173" t="s">
        <v>183</v>
      </c>
      <c r="B127" s="174"/>
      <c r="C127" s="174"/>
      <c r="D127" s="175"/>
      <c r="E127" s="175"/>
      <c r="F127" s="175"/>
      <c r="G127" s="10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4"/>
      <c r="AI127" s="174"/>
    </row>
    <row r="128" spans="1:35" ht="22.15" customHeight="1" x14ac:dyDescent="0.2">
      <c r="A128" s="173"/>
      <c r="B128" s="304" t="s">
        <v>167</v>
      </c>
      <c r="C128" s="515"/>
      <c r="D128" s="516" t="s">
        <v>90</v>
      </c>
      <c r="E128" s="517"/>
      <c r="F128" s="518"/>
      <c r="G128" s="515"/>
      <c r="H128" s="516" t="s">
        <v>91</v>
      </c>
      <c r="I128" s="517"/>
      <c r="J128" s="518"/>
      <c r="K128" s="515"/>
      <c r="L128" s="516" t="s">
        <v>92</v>
      </c>
      <c r="M128" s="517"/>
      <c r="N128" s="518"/>
      <c r="O128" s="515"/>
      <c r="P128" s="516" t="s">
        <v>93</v>
      </c>
      <c r="Q128" s="517"/>
      <c r="R128" s="518"/>
      <c r="S128" s="515"/>
      <c r="T128" s="516" t="s">
        <v>94</v>
      </c>
      <c r="U128" s="517"/>
      <c r="V128" s="518"/>
      <c r="W128" s="515"/>
      <c r="X128" s="516" t="s">
        <v>95</v>
      </c>
      <c r="Y128" s="517"/>
      <c r="Z128" s="518"/>
      <c r="AA128" s="515"/>
      <c r="AB128" s="516" t="s">
        <v>96</v>
      </c>
      <c r="AC128" s="517"/>
      <c r="AD128" s="517"/>
      <c r="AE128" s="519" t="s">
        <v>97</v>
      </c>
      <c r="AF128" s="517"/>
      <c r="AG128" s="517"/>
      <c r="AH128" s="517"/>
      <c r="AI128" s="520"/>
    </row>
    <row r="129" spans="1:35" ht="22.15" customHeight="1" x14ac:dyDescent="0.2">
      <c r="A129" s="173"/>
      <c r="B129" s="1390" t="s">
        <v>184</v>
      </c>
      <c r="C129" s="1283" t="s">
        <v>185</v>
      </c>
      <c r="D129" s="1392"/>
      <c r="E129" s="1392"/>
      <c r="F129" s="1393"/>
      <c r="G129" s="1283" t="s">
        <v>185</v>
      </c>
      <c r="H129" s="1392"/>
      <c r="I129" s="1392"/>
      <c r="J129" s="1393"/>
      <c r="K129" s="1283" t="s">
        <v>185</v>
      </c>
      <c r="L129" s="1392"/>
      <c r="M129" s="1392"/>
      <c r="N129" s="1393"/>
      <c r="O129" s="1283" t="s">
        <v>185</v>
      </c>
      <c r="P129" s="1392"/>
      <c r="Q129" s="1392"/>
      <c r="R129" s="1393"/>
      <c r="S129" s="1283" t="s">
        <v>185</v>
      </c>
      <c r="T129" s="1392"/>
      <c r="U129" s="1392"/>
      <c r="V129" s="1393"/>
      <c r="W129" s="1283" t="s">
        <v>186</v>
      </c>
      <c r="X129" s="1394"/>
      <c r="Y129" s="1394"/>
      <c r="Z129" s="1395"/>
      <c r="AA129" s="1283" t="s">
        <v>186</v>
      </c>
      <c r="AB129" s="1392"/>
      <c r="AC129" s="1392"/>
      <c r="AD129" s="1284"/>
      <c r="AE129" s="1396">
        <v>68</v>
      </c>
      <c r="AF129" s="208"/>
      <c r="AG129" s="208"/>
      <c r="AH129" s="208"/>
      <c r="AI129" s="209"/>
    </row>
    <row r="130" spans="1:35" ht="22.15" customHeight="1" x14ac:dyDescent="0.2">
      <c r="A130" s="173"/>
      <c r="B130" s="1390" t="s">
        <v>143</v>
      </c>
      <c r="C130" s="1283" t="s">
        <v>154</v>
      </c>
      <c r="D130" s="1392"/>
      <c r="E130" s="1392"/>
      <c r="F130" s="1393"/>
      <c r="G130" s="1283" t="s">
        <v>154</v>
      </c>
      <c r="H130" s="1392"/>
      <c r="I130" s="1392"/>
      <c r="J130" s="1393"/>
      <c r="K130" s="1283" t="s">
        <v>154</v>
      </c>
      <c r="L130" s="1392"/>
      <c r="M130" s="1392"/>
      <c r="N130" s="1393"/>
      <c r="O130" s="1283" t="s">
        <v>154</v>
      </c>
      <c r="P130" s="1392"/>
      <c r="Q130" s="1392"/>
      <c r="R130" s="1393"/>
      <c r="S130" s="1283" t="s">
        <v>154</v>
      </c>
      <c r="T130" s="1392"/>
      <c r="U130" s="1392"/>
      <c r="V130" s="1393"/>
      <c r="W130" s="1283" t="s">
        <v>154</v>
      </c>
      <c r="X130" s="1392"/>
      <c r="Y130" s="1392"/>
      <c r="Z130" s="1393"/>
      <c r="AA130" s="1392" t="s">
        <v>154</v>
      </c>
      <c r="AB130" s="1392"/>
      <c r="AC130" s="1392"/>
      <c r="AD130" s="1284"/>
      <c r="AE130" s="1396">
        <v>0</v>
      </c>
      <c r="AF130" s="208"/>
      <c r="AG130" s="208"/>
      <c r="AH130" s="208"/>
      <c r="AI130" s="209"/>
    </row>
    <row r="131" spans="1:35" ht="22.15" customHeight="1" x14ac:dyDescent="0.2">
      <c r="A131" s="173"/>
      <c r="B131" s="1390" t="s">
        <v>187</v>
      </c>
      <c r="C131" s="1283" t="s">
        <v>185</v>
      </c>
      <c r="D131" s="1392"/>
      <c r="E131" s="1392"/>
      <c r="F131" s="1393"/>
      <c r="G131" s="1283" t="s">
        <v>185</v>
      </c>
      <c r="H131" s="1392"/>
      <c r="I131" s="1392"/>
      <c r="J131" s="1393"/>
      <c r="K131" s="1283" t="s">
        <v>185</v>
      </c>
      <c r="L131" s="1392"/>
      <c r="M131" s="1392"/>
      <c r="N131" s="1393"/>
      <c r="O131" s="1283" t="s">
        <v>185</v>
      </c>
      <c r="P131" s="1392"/>
      <c r="Q131" s="1392"/>
      <c r="R131" s="1393"/>
      <c r="S131" s="1283" t="s">
        <v>185</v>
      </c>
      <c r="T131" s="1392"/>
      <c r="U131" s="1392"/>
      <c r="V131" s="1393"/>
      <c r="W131" s="1283" t="s">
        <v>186</v>
      </c>
      <c r="X131" s="1394"/>
      <c r="Y131" s="1394"/>
      <c r="Z131" s="1395"/>
      <c r="AA131" s="1283" t="s">
        <v>186</v>
      </c>
      <c r="AB131" s="1392"/>
      <c r="AC131" s="1392"/>
      <c r="AD131" s="1284"/>
      <c r="AE131" s="1396">
        <v>68</v>
      </c>
      <c r="AF131" s="1392"/>
      <c r="AG131" s="1392" t="s">
        <v>0</v>
      </c>
      <c r="AH131" s="1284"/>
      <c r="AI131" s="1397"/>
    </row>
    <row r="132" spans="1:35" ht="22.15" customHeight="1" x14ac:dyDescent="0.2">
      <c r="A132" s="173"/>
      <c r="B132" s="1390" t="s">
        <v>155</v>
      </c>
      <c r="C132" s="1283" t="s">
        <v>154</v>
      </c>
      <c r="D132" s="1392"/>
      <c r="E132" s="1392"/>
      <c r="F132" s="1393"/>
      <c r="G132" s="1283" t="s">
        <v>154</v>
      </c>
      <c r="H132" s="1392"/>
      <c r="I132" s="1392"/>
      <c r="J132" s="1393"/>
      <c r="K132" s="1283" t="s">
        <v>154</v>
      </c>
      <c r="L132" s="1392"/>
      <c r="M132" s="1392"/>
      <c r="N132" s="1393"/>
      <c r="O132" s="1283" t="s">
        <v>154</v>
      </c>
      <c r="P132" s="1392"/>
      <c r="Q132" s="1392"/>
      <c r="R132" s="1393"/>
      <c r="S132" s="1283" t="s">
        <v>154</v>
      </c>
      <c r="T132" s="1392"/>
      <c r="U132" s="1392"/>
      <c r="V132" s="1393"/>
      <c r="W132" s="1283" t="s">
        <v>154</v>
      </c>
      <c r="X132" s="1392"/>
      <c r="Y132" s="1392"/>
      <c r="Z132" s="1393"/>
      <c r="AA132" s="1392" t="s">
        <v>154</v>
      </c>
      <c r="AB132" s="1392"/>
      <c r="AC132" s="1392"/>
      <c r="AD132" s="1284"/>
      <c r="AE132" s="1396">
        <v>0</v>
      </c>
      <c r="AF132" s="1392"/>
      <c r="AG132" s="1392"/>
      <c r="AH132" s="1284"/>
      <c r="AI132" s="1397"/>
    </row>
    <row r="133" spans="1:35" ht="22.15" customHeight="1" x14ac:dyDescent="0.2">
      <c r="A133" s="173"/>
      <c r="B133" s="1390" t="s">
        <v>188</v>
      </c>
      <c r="C133" s="1283" t="s">
        <v>185</v>
      </c>
      <c r="D133" s="1392"/>
      <c r="E133" s="1392"/>
      <c r="F133" s="1393"/>
      <c r="G133" s="1283" t="s">
        <v>185</v>
      </c>
      <c r="H133" s="1392"/>
      <c r="I133" s="1392"/>
      <c r="J133" s="1393"/>
      <c r="K133" s="1283" t="s">
        <v>185</v>
      </c>
      <c r="L133" s="1392"/>
      <c r="M133" s="1392"/>
      <c r="N133" s="1393"/>
      <c r="O133" s="1283" t="s">
        <v>185</v>
      </c>
      <c r="P133" s="1392"/>
      <c r="Q133" s="1392"/>
      <c r="R133" s="1393"/>
      <c r="S133" s="1283" t="s">
        <v>185</v>
      </c>
      <c r="T133" s="1392"/>
      <c r="U133" s="1392"/>
      <c r="V133" s="1393"/>
      <c r="W133" s="1283" t="s">
        <v>189</v>
      </c>
      <c r="X133" s="1399"/>
      <c r="Y133" s="1399"/>
      <c r="Z133" s="1400"/>
      <c r="AA133" s="1283" t="s">
        <v>189</v>
      </c>
      <c r="AB133" s="1399"/>
      <c r="AC133" s="1399"/>
      <c r="AD133" s="1286"/>
      <c r="AE133" s="1396">
        <v>68</v>
      </c>
      <c r="AF133" s="1392"/>
      <c r="AG133" s="1392"/>
      <c r="AH133" s="1284"/>
      <c r="AI133" s="1397"/>
    </row>
    <row r="134" spans="1:35" ht="22.15" customHeight="1" thickBot="1" x14ac:dyDescent="0.25">
      <c r="A134" s="173"/>
      <c r="B134" s="1390" t="s">
        <v>190</v>
      </c>
      <c r="C134" s="1423" t="s">
        <v>154</v>
      </c>
      <c r="D134" s="1424"/>
      <c r="E134" s="1424"/>
      <c r="F134" s="1425"/>
      <c r="G134" s="1423" t="s">
        <v>154</v>
      </c>
      <c r="H134" s="1424"/>
      <c r="I134" s="1424"/>
      <c r="J134" s="1425"/>
      <c r="K134" s="1423" t="s">
        <v>154</v>
      </c>
      <c r="L134" s="1424"/>
      <c r="M134" s="1424"/>
      <c r="N134" s="1425"/>
      <c r="O134" s="1423" t="s">
        <v>154</v>
      </c>
      <c r="P134" s="1424"/>
      <c r="Q134" s="1424"/>
      <c r="R134" s="1425"/>
      <c r="S134" s="1423" t="s">
        <v>154</v>
      </c>
      <c r="T134" s="1424"/>
      <c r="U134" s="1424"/>
      <c r="V134" s="1411"/>
      <c r="W134" s="1423" t="s">
        <v>154</v>
      </c>
      <c r="X134" s="1411"/>
      <c r="Y134" s="1424"/>
      <c r="Z134" s="1425"/>
      <c r="AA134" s="1423" t="s">
        <v>154</v>
      </c>
      <c r="AB134" s="1411"/>
      <c r="AC134" s="1424"/>
      <c r="AD134" s="1425"/>
      <c r="AE134" s="1426" t="s">
        <v>191</v>
      </c>
      <c r="AF134" s="1424"/>
      <c r="AG134" s="1424"/>
      <c r="AH134" s="1411"/>
      <c r="AI134" s="1412"/>
    </row>
    <row r="135" spans="1:35" ht="22.15" customHeight="1" x14ac:dyDescent="0.2">
      <c r="A135" s="108"/>
      <c r="B135" s="173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4"/>
      <c r="AI135" s="174"/>
    </row>
    <row r="136" spans="1:35" ht="22.15" customHeight="1" thickBot="1" x14ac:dyDescent="0.25">
      <c r="A136" s="1343"/>
      <c r="B136" s="1184" t="s">
        <v>29</v>
      </c>
      <c r="C136" s="1254">
        <v>1</v>
      </c>
      <c r="D136" s="1254">
        <v>2</v>
      </c>
      <c r="E136" s="1254">
        <v>3</v>
      </c>
      <c r="F136" s="1254">
        <v>4</v>
      </c>
      <c r="G136" s="1185">
        <v>5</v>
      </c>
      <c r="H136" s="1185">
        <v>6</v>
      </c>
      <c r="I136" s="1254">
        <v>7</v>
      </c>
      <c r="J136" s="1254">
        <v>8</v>
      </c>
      <c r="K136" s="1254">
        <v>9</v>
      </c>
      <c r="L136" s="1254">
        <v>10</v>
      </c>
      <c r="M136" s="1254">
        <v>11</v>
      </c>
      <c r="N136" s="1185">
        <v>12</v>
      </c>
      <c r="O136" s="1185">
        <v>13</v>
      </c>
      <c r="P136" s="1254">
        <v>14</v>
      </c>
      <c r="Q136" s="1254">
        <v>15</v>
      </c>
      <c r="R136" s="1254">
        <v>16</v>
      </c>
      <c r="S136" s="1254">
        <v>17</v>
      </c>
      <c r="T136" s="1254">
        <v>18</v>
      </c>
      <c r="U136" s="1185">
        <v>19</v>
      </c>
      <c r="V136" s="1185">
        <v>20</v>
      </c>
      <c r="W136" s="1254">
        <v>21</v>
      </c>
      <c r="X136" s="1254">
        <v>22</v>
      </c>
      <c r="Y136" s="1254">
        <v>23</v>
      </c>
      <c r="Z136" s="1185">
        <v>24</v>
      </c>
      <c r="AA136" s="1185">
        <v>25</v>
      </c>
      <c r="AB136" s="1185">
        <v>26</v>
      </c>
      <c r="AC136" s="1185">
        <v>27</v>
      </c>
      <c r="AD136" s="1254">
        <v>28</v>
      </c>
      <c r="AE136" s="1254">
        <v>29</v>
      </c>
      <c r="AF136" s="1254">
        <v>30</v>
      </c>
      <c r="AG136" s="2064">
        <v>31</v>
      </c>
      <c r="AH136" s="184"/>
      <c r="AI136" s="185"/>
    </row>
    <row r="137" spans="1:35" ht="22.15" customHeight="1" x14ac:dyDescent="0.2">
      <c r="A137" s="408">
        <v>1</v>
      </c>
      <c r="B137" s="252" t="s">
        <v>192</v>
      </c>
      <c r="C137" s="380" t="s">
        <v>35</v>
      </c>
      <c r="D137" s="380" t="s">
        <v>35</v>
      </c>
      <c r="E137" s="380" t="s">
        <v>35</v>
      </c>
      <c r="F137" s="380" t="s">
        <v>35</v>
      </c>
      <c r="G137" s="390"/>
      <c r="H137" s="380"/>
      <c r="I137" s="385">
        <v>22</v>
      </c>
      <c r="J137" s="390">
        <v>22</v>
      </c>
      <c r="K137" s="380">
        <v>22</v>
      </c>
      <c r="L137" s="385">
        <v>22</v>
      </c>
      <c r="M137" s="390">
        <v>22</v>
      </c>
      <c r="N137" s="390">
        <v>22</v>
      </c>
      <c r="O137" s="380">
        <v>22</v>
      </c>
      <c r="P137" s="380" t="s">
        <v>35</v>
      </c>
      <c r="Q137" s="380" t="s">
        <v>35</v>
      </c>
      <c r="R137" s="380" t="s">
        <v>35</v>
      </c>
      <c r="S137" s="380" t="s">
        <v>35</v>
      </c>
      <c r="T137" s="380" t="s">
        <v>35</v>
      </c>
      <c r="U137" s="380"/>
      <c r="V137" s="380"/>
      <c r="W137" s="385">
        <v>23</v>
      </c>
      <c r="X137" s="380">
        <v>23</v>
      </c>
      <c r="Y137" s="380">
        <v>23</v>
      </c>
      <c r="Z137" s="385">
        <v>23</v>
      </c>
      <c r="AA137" s="380">
        <v>23</v>
      </c>
      <c r="AB137" s="380">
        <v>23</v>
      </c>
      <c r="AC137" s="380">
        <v>23</v>
      </c>
      <c r="AD137" s="380" t="s">
        <v>35</v>
      </c>
      <c r="AE137" s="380" t="s">
        <v>35</v>
      </c>
      <c r="AF137" s="380" t="s">
        <v>35</v>
      </c>
      <c r="AG137" s="387" t="s">
        <v>35</v>
      </c>
      <c r="AH137" s="107"/>
      <c r="AI137" s="107"/>
    </row>
    <row r="138" spans="1:35" ht="22.15" customHeight="1" x14ac:dyDescent="0.2">
      <c r="A138" s="1840">
        <v>2</v>
      </c>
      <c r="B138" s="1630" t="s">
        <v>193</v>
      </c>
      <c r="C138" s="1629" t="s">
        <v>35</v>
      </c>
      <c r="D138" s="1629" t="s">
        <v>35</v>
      </c>
      <c r="E138" s="1629" t="s">
        <v>35</v>
      </c>
      <c r="F138" s="1629" t="s">
        <v>35</v>
      </c>
      <c r="G138" s="1629"/>
      <c r="H138" s="1629"/>
      <c r="I138" s="1625">
        <v>23</v>
      </c>
      <c r="J138" s="1629">
        <v>23</v>
      </c>
      <c r="K138" s="1629">
        <v>23</v>
      </c>
      <c r="L138" s="1625">
        <v>23</v>
      </c>
      <c r="M138" s="1628">
        <v>23</v>
      </c>
      <c r="N138" s="1628">
        <v>23</v>
      </c>
      <c r="O138" s="1628">
        <v>23</v>
      </c>
      <c r="P138" s="1628" t="s">
        <v>35</v>
      </c>
      <c r="Q138" s="1628" t="s">
        <v>35</v>
      </c>
      <c r="R138" s="1628" t="s">
        <v>35</v>
      </c>
      <c r="S138" s="1628" t="s">
        <v>35</v>
      </c>
      <c r="T138" s="1628" t="s">
        <v>35</v>
      </c>
      <c r="U138" s="1628"/>
      <c r="V138" s="1628"/>
      <c r="W138" s="1625">
        <v>21</v>
      </c>
      <c r="X138" s="1629">
        <v>21</v>
      </c>
      <c r="Y138" s="1629">
        <v>21</v>
      </c>
      <c r="Z138" s="1625">
        <v>21</v>
      </c>
      <c r="AA138" s="1628">
        <v>21</v>
      </c>
      <c r="AB138" s="1628">
        <v>21</v>
      </c>
      <c r="AC138" s="1628">
        <v>21</v>
      </c>
      <c r="AD138" s="1628" t="s">
        <v>35</v>
      </c>
      <c r="AE138" s="1628" t="s">
        <v>35</v>
      </c>
      <c r="AF138" s="1628" t="s">
        <v>35</v>
      </c>
      <c r="AG138" s="2138" t="s">
        <v>35</v>
      </c>
      <c r="AH138" s="107"/>
      <c r="AI138" s="107"/>
    </row>
    <row r="139" spans="1:35" ht="22.15" customHeight="1" x14ac:dyDescent="0.2">
      <c r="A139" s="1840">
        <v>3</v>
      </c>
      <c r="B139" s="1630" t="s">
        <v>194</v>
      </c>
      <c r="C139" s="1629" t="s">
        <v>35</v>
      </c>
      <c r="D139" s="1629" t="s">
        <v>35</v>
      </c>
      <c r="E139" s="1629" t="s">
        <v>35</v>
      </c>
      <c r="F139" s="1629" t="s">
        <v>35</v>
      </c>
      <c r="G139" s="1628"/>
      <c r="H139" s="1628"/>
      <c r="I139" s="1712">
        <v>21</v>
      </c>
      <c r="J139" s="1712">
        <v>21</v>
      </c>
      <c r="K139" s="1712">
        <v>21</v>
      </c>
      <c r="L139" s="1712">
        <v>21</v>
      </c>
      <c r="M139" s="1712">
        <v>21</v>
      </c>
      <c r="N139" s="1712">
        <v>21</v>
      </c>
      <c r="O139" s="1712">
        <v>21</v>
      </c>
      <c r="P139" s="1629" t="s">
        <v>35</v>
      </c>
      <c r="Q139" s="1629" t="s">
        <v>35</v>
      </c>
      <c r="R139" s="2141" t="s">
        <v>35</v>
      </c>
      <c r="S139" s="2141" t="s">
        <v>35</v>
      </c>
      <c r="T139" s="1629" t="s">
        <v>35</v>
      </c>
      <c r="U139" s="1628"/>
      <c r="V139" s="1628"/>
      <c r="W139" s="1625">
        <v>22</v>
      </c>
      <c r="X139" s="1629">
        <v>22</v>
      </c>
      <c r="Y139" s="1629">
        <v>22</v>
      </c>
      <c r="Z139" s="1625">
        <v>22</v>
      </c>
      <c r="AA139" s="1629">
        <v>22</v>
      </c>
      <c r="AB139" s="1629">
        <v>22</v>
      </c>
      <c r="AC139" s="1623" t="s">
        <v>420</v>
      </c>
      <c r="AD139" s="1629" t="s">
        <v>35</v>
      </c>
      <c r="AE139" s="1629" t="s">
        <v>35</v>
      </c>
      <c r="AF139" s="1629" t="s">
        <v>35</v>
      </c>
      <c r="AG139" s="2138" t="s">
        <v>35</v>
      </c>
      <c r="AH139" s="107"/>
      <c r="AI139" s="107"/>
    </row>
    <row r="140" spans="1:35" ht="22.15" customHeight="1" x14ac:dyDescent="0.2">
      <c r="A140" s="1840">
        <v>4</v>
      </c>
      <c r="B140" s="1630" t="s">
        <v>195</v>
      </c>
      <c r="C140" s="1629">
        <v>21</v>
      </c>
      <c r="D140" s="1629">
        <v>21</v>
      </c>
      <c r="E140" s="1625">
        <v>21</v>
      </c>
      <c r="F140" s="1629">
        <v>21</v>
      </c>
      <c r="G140" s="1629">
        <v>21</v>
      </c>
      <c r="H140" s="1629">
        <v>21</v>
      </c>
      <c r="I140" s="1629" t="s">
        <v>35</v>
      </c>
      <c r="J140" s="1629" t="s">
        <v>35</v>
      </c>
      <c r="K140" s="1629" t="s">
        <v>35</v>
      </c>
      <c r="L140" s="1629" t="s">
        <v>35</v>
      </c>
      <c r="M140" s="1629" t="s">
        <v>35</v>
      </c>
      <c r="N140" s="1629"/>
      <c r="O140" s="1716"/>
      <c r="P140" s="1712">
        <v>22</v>
      </c>
      <c r="Q140" s="1712">
        <v>22</v>
      </c>
      <c r="R140" s="1712">
        <v>22</v>
      </c>
      <c r="S140" s="1712">
        <v>22</v>
      </c>
      <c r="T140" s="1712">
        <v>22</v>
      </c>
      <c r="U140" s="1712">
        <v>22</v>
      </c>
      <c r="V140" s="1712">
        <v>22</v>
      </c>
      <c r="W140" s="1629" t="s">
        <v>35</v>
      </c>
      <c r="X140" s="1629" t="s">
        <v>35</v>
      </c>
      <c r="Y140" s="1629" t="s">
        <v>35</v>
      </c>
      <c r="Z140" s="1629" t="s">
        <v>35</v>
      </c>
      <c r="AA140" s="1629" t="s">
        <v>35</v>
      </c>
      <c r="AB140" s="1629"/>
      <c r="AC140" s="1629"/>
      <c r="AD140" s="1625">
        <v>23</v>
      </c>
      <c r="AE140" s="1629">
        <v>23</v>
      </c>
      <c r="AF140" s="1629">
        <v>23</v>
      </c>
      <c r="AG140" s="2156">
        <v>23</v>
      </c>
      <c r="AH140" s="107"/>
      <c r="AI140" s="107"/>
    </row>
    <row r="141" spans="1:35" ht="22.15" customHeight="1" x14ac:dyDescent="0.2">
      <c r="A141" s="1840">
        <v>5</v>
      </c>
      <c r="B141" s="1630" t="s">
        <v>115</v>
      </c>
      <c r="C141" s="1629">
        <v>22</v>
      </c>
      <c r="D141" s="1629">
        <v>22</v>
      </c>
      <c r="E141" s="1625">
        <v>22</v>
      </c>
      <c r="F141" s="1628">
        <v>22</v>
      </c>
      <c r="G141" s="1629">
        <v>22</v>
      </c>
      <c r="H141" s="1612">
        <v>22</v>
      </c>
      <c r="I141" s="1629" t="s">
        <v>35</v>
      </c>
      <c r="J141" s="1629" t="s">
        <v>35</v>
      </c>
      <c r="K141" s="1629" t="s">
        <v>35</v>
      </c>
      <c r="L141" s="1629" t="s">
        <v>35</v>
      </c>
      <c r="M141" s="1629" t="s">
        <v>35</v>
      </c>
      <c r="N141" s="1629"/>
      <c r="O141" s="1629"/>
      <c r="P141" s="1629">
        <v>23</v>
      </c>
      <c r="Q141" s="1629">
        <v>23</v>
      </c>
      <c r="R141" s="1625" t="s">
        <v>35</v>
      </c>
      <c r="S141" s="1625" t="s">
        <v>35</v>
      </c>
      <c r="T141" s="1629">
        <v>23</v>
      </c>
      <c r="U141" s="1629">
        <v>23</v>
      </c>
      <c r="V141" s="1629">
        <v>23</v>
      </c>
      <c r="W141" s="1629" t="s">
        <v>35</v>
      </c>
      <c r="X141" s="1629" t="s">
        <v>35</v>
      </c>
      <c r="Y141" s="1629" t="s">
        <v>35</v>
      </c>
      <c r="Z141" s="1629" t="s">
        <v>35</v>
      </c>
      <c r="AA141" s="1629" t="s">
        <v>35</v>
      </c>
      <c r="AB141" s="1629"/>
      <c r="AC141" s="1628"/>
      <c r="AD141" s="1628">
        <v>21</v>
      </c>
      <c r="AE141" s="1628">
        <v>21</v>
      </c>
      <c r="AF141" s="1629">
        <v>21</v>
      </c>
      <c r="AG141" s="2156">
        <v>21</v>
      </c>
      <c r="AH141" s="107"/>
      <c r="AI141" s="107"/>
    </row>
    <row r="142" spans="1:35" ht="22.15" customHeight="1" thickBot="1" x14ac:dyDescent="0.25">
      <c r="A142" s="670">
        <v>6</v>
      </c>
      <c r="B142" s="671" t="s">
        <v>197</v>
      </c>
      <c r="C142" s="690">
        <v>23</v>
      </c>
      <c r="D142" s="690">
        <v>23</v>
      </c>
      <c r="E142" s="696">
        <v>23</v>
      </c>
      <c r="F142" s="690">
        <v>23</v>
      </c>
      <c r="G142" s="690">
        <v>23</v>
      </c>
      <c r="H142" s="680">
        <v>23</v>
      </c>
      <c r="I142" s="680" t="s">
        <v>35</v>
      </c>
      <c r="J142" s="680" t="s">
        <v>35</v>
      </c>
      <c r="K142" s="680" t="s">
        <v>35</v>
      </c>
      <c r="L142" s="680" t="s">
        <v>35</v>
      </c>
      <c r="M142" s="680" t="s">
        <v>35</v>
      </c>
      <c r="N142" s="676"/>
      <c r="O142" s="676"/>
      <c r="P142" s="696">
        <v>21</v>
      </c>
      <c r="Q142" s="690">
        <v>21</v>
      </c>
      <c r="R142" s="690">
        <v>21</v>
      </c>
      <c r="S142" s="696">
        <v>21</v>
      </c>
      <c r="T142" s="690">
        <v>21</v>
      </c>
      <c r="U142" s="690">
        <v>21</v>
      </c>
      <c r="V142" s="690">
        <v>21</v>
      </c>
      <c r="W142" s="690" t="s">
        <v>35</v>
      </c>
      <c r="X142" s="690" t="s">
        <v>35</v>
      </c>
      <c r="Y142" s="690" t="s">
        <v>35</v>
      </c>
      <c r="Z142" s="690" t="s">
        <v>35</v>
      </c>
      <c r="AA142" s="690" t="s">
        <v>35</v>
      </c>
      <c r="AB142" s="676"/>
      <c r="AC142" s="676"/>
      <c r="AD142" s="696">
        <v>22</v>
      </c>
      <c r="AE142" s="690">
        <v>22</v>
      </c>
      <c r="AF142" s="690">
        <v>22</v>
      </c>
      <c r="AG142" s="217">
        <v>22</v>
      </c>
      <c r="AH142" s="107"/>
      <c r="AI142" s="107"/>
    </row>
    <row r="143" spans="1:35" ht="22.15" customHeight="1" x14ac:dyDescent="0.2">
      <c r="A143" s="256"/>
      <c r="B143" s="228"/>
      <c r="C143" s="229"/>
      <c r="D143" s="229"/>
      <c r="E143" s="255"/>
      <c r="F143" s="229"/>
      <c r="G143" s="229"/>
      <c r="H143" s="261"/>
      <c r="I143" s="261"/>
      <c r="J143" s="261"/>
      <c r="K143" s="261"/>
      <c r="L143" s="261"/>
      <c r="M143" s="261"/>
      <c r="N143" s="216"/>
      <c r="O143" s="216"/>
      <c r="P143" s="255"/>
      <c r="Q143" s="229"/>
      <c r="R143" s="229"/>
      <c r="S143" s="255"/>
      <c r="T143" s="229"/>
      <c r="U143" s="229"/>
      <c r="V143" s="229"/>
      <c r="W143" s="229"/>
      <c r="X143" s="229"/>
      <c r="Y143" s="229"/>
      <c r="Z143" s="229"/>
      <c r="AA143" s="229"/>
      <c r="AB143" s="216"/>
      <c r="AC143" s="216"/>
      <c r="AD143" s="255"/>
      <c r="AE143" s="229"/>
      <c r="AF143" s="229"/>
      <c r="AG143" s="255"/>
      <c r="AH143" s="107"/>
      <c r="AI143" s="107"/>
    </row>
    <row r="144" spans="1:35" ht="22.15" customHeight="1" x14ac:dyDescent="0.2">
      <c r="A144" s="109"/>
      <c r="B144" s="110"/>
      <c r="C144" s="206"/>
      <c r="D144" s="206"/>
      <c r="E144" s="172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172"/>
      <c r="Q144" s="206"/>
      <c r="R144" s="206"/>
      <c r="S144" s="172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7"/>
      <c r="AD144" s="207"/>
      <c r="AE144" s="207"/>
      <c r="AF144" s="206"/>
      <c r="AG144" s="172"/>
      <c r="AH144" s="107"/>
      <c r="AI144" s="107"/>
    </row>
    <row r="145" spans="1:35" ht="22.15" customHeight="1" thickBot="1" x14ac:dyDescent="0.25">
      <c r="A145" s="162" t="s">
        <v>198</v>
      </c>
      <c r="D145" s="72"/>
      <c r="E145" s="72"/>
      <c r="F145" s="72"/>
      <c r="G145" s="105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</row>
    <row r="146" spans="1:35" ht="22.15" customHeight="1" x14ac:dyDescent="0.2">
      <c r="A146" s="1"/>
      <c r="B146" s="304" t="s">
        <v>167</v>
      </c>
      <c r="C146" s="500"/>
      <c r="D146" s="516" t="s">
        <v>90</v>
      </c>
      <c r="E146" s="473"/>
      <c r="F146" s="504"/>
      <c r="G146" s="500"/>
      <c r="H146" s="516" t="s">
        <v>91</v>
      </c>
      <c r="I146" s="473"/>
      <c r="J146" s="504"/>
      <c r="K146" s="500"/>
      <c r="L146" s="516" t="s">
        <v>92</v>
      </c>
      <c r="M146" s="473"/>
      <c r="N146" s="504"/>
      <c r="O146" s="500"/>
      <c r="P146" s="516" t="s">
        <v>93</v>
      </c>
      <c r="Q146" s="473"/>
      <c r="R146" s="504"/>
      <c r="S146" s="500"/>
      <c r="T146" s="516" t="s">
        <v>94</v>
      </c>
      <c r="U146" s="473"/>
      <c r="V146" s="504"/>
      <c r="W146" s="500"/>
      <c r="X146" s="516" t="s">
        <v>95</v>
      </c>
      <c r="Y146" s="473"/>
      <c r="Z146" s="504"/>
      <c r="AA146" s="500"/>
      <c r="AB146" s="516" t="s">
        <v>96</v>
      </c>
      <c r="AC146" s="473"/>
      <c r="AD146" s="473"/>
      <c r="AE146" s="519" t="s">
        <v>97</v>
      </c>
      <c r="AF146" s="473"/>
      <c r="AG146" s="473"/>
      <c r="AH146" s="473"/>
      <c r="AI146" s="474"/>
    </row>
    <row r="147" spans="1:35" ht="22.15" customHeight="1" x14ac:dyDescent="0.2">
      <c r="A147" s="1"/>
      <c r="B147" s="1390" t="s">
        <v>139</v>
      </c>
      <c r="C147" s="1283" t="s">
        <v>168</v>
      </c>
      <c r="D147" s="1167"/>
      <c r="E147" s="1167"/>
      <c r="F147" s="1393"/>
      <c r="G147" s="1283" t="s">
        <v>168</v>
      </c>
      <c r="H147" s="1167"/>
      <c r="I147" s="1167"/>
      <c r="J147" s="1393"/>
      <c r="K147" s="1283" t="s">
        <v>168</v>
      </c>
      <c r="L147" s="1167"/>
      <c r="M147" s="1167"/>
      <c r="N147" s="1393"/>
      <c r="O147" s="1283" t="s">
        <v>199</v>
      </c>
      <c r="P147" s="1167"/>
      <c r="Q147" s="1167"/>
      <c r="R147" s="1393"/>
      <c r="S147" s="1283" t="s">
        <v>154</v>
      </c>
      <c r="T147" s="1167"/>
      <c r="U147" s="1167"/>
      <c r="V147" s="1393"/>
      <c r="W147" s="1431"/>
      <c r="X147" s="1432"/>
      <c r="Y147" s="1432"/>
      <c r="Z147" s="1395"/>
      <c r="AA147" s="1391"/>
      <c r="AB147" s="1167"/>
      <c r="AC147" s="1167"/>
      <c r="AD147" s="1284"/>
      <c r="AE147" s="1396">
        <v>27</v>
      </c>
      <c r="AF147" s="1167"/>
      <c r="AG147" s="1167"/>
      <c r="AH147" s="1284"/>
      <c r="AI147" s="1176"/>
    </row>
    <row r="148" spans="1:35" ht="22.15" customHeight="1" x14ac:dyDescent="0.2">
      <c r="A148" s="1"/>
      <c r="B148" s="1390" t="s">
        <v>143</v>
      </c>
      <c r="C148" s="1283" t="s">
        <v>200</v>
      </c>
      <c r="D148" s="1167"/>
      <c r="E148" s="1167"/>
      <c r="F148" s="1393"/>
      <c r="G148" s="1283" t="s">
        <v>200</v>
      </c>
      <c r="H148" s="1167"/>
      <c r="I148" s="1167"/>
      <c r="J148" s="1393"/>
      <c r="K148" s="1283" t="s">
        <v>200</v>
      </c>
      <c r="L148" s="1167"/>
      <c r="M148" s="1167"/>
      <c r="N148" s="1393"/>
      <c r="O148" s="1283" t="s">
        <v>200</v>
      </c>
      <c r="P148" s="1167"/>
      <c r="Q148" s="1167"/>
      <c r="R148" s="1393"/>
      <c r="S148" s="1283" t="s">
        <v>168</v>
      </c>
      <c r="T148" s="1167"/>
      <c r="U148" s="1167"/>
      <c r="V148" s="1393"/>
      <c r="W148" s="1283"/>
      <c r="X148" s="1167"/>
      <c r="Y148" s="1167"/>
      <c r="Z148" s="1393"/>
      <c r="AA148" s="1167"/>
      <c r="AB148" s="1167"/>
      <c r="AC148" s="1167"/>
      <c r="AD148" s="1284"/>
      <c r="AE148" s="1396">
        <v>39</v>
      </c>
      <c r="AF148" s="1167"/>
      <c r="AG148" s="1167"/>
      <c r="AH148" s="1284"/>
      <c r="AI148" s="1176"/>
    </row>
    <row r="149" spans="1:35" ht="22.15" customHeight="1" x14ac:dyDescent="0.2">
      <c r="A149" s="1"/>
      <c r="B149" s="1390" t="s">
        <v>153</v>
      </c>
      <c r="C149" s="1283" t="s">
        <v>200</v>
      </c>
      <c r="D149" s="1167"/>
      <c r="E149" s="1167"/>
      <c r="F149" s="1393"/>
      <c r="G149" s="1283" t="s">
        <v>200</v>
      </c>
      <c r="H149" s="1167"/>
      <c r="I149" s="1167"/>
      <c r="J149" s="1393"/>
      <c r="K149" s="1283" t="s">
        <v>200</v>
      </c>
      <c r="L149" s="1167"/>
      <c r="M149" s="1167"/>
      <c r="N149" s="1393"/>
      <c r="O149" s="1283" t="s">
        <v>200</v>
      </c>
      <c r="P149" s="1167"/>
      <c r="Q149" s="1167"/>
      <c r="R149" s="1393"/>
      <c r="S149" s="1283" t="s">
        <v>200</v>
      </c>
      <c r="T149" s="1167"/>
      <c r="U149" s="1167"/>
      <c r="V149" s="1393"/>
      <c r="W149" s="1285" t="s">
        <v>201</v>
      </c>
      <c r="X149" s="1180"/>
      <c r="Y149" s="1180"/>
      <c r="Z149" s="1400"/>
      <c r="AA149" s="1398"/>
      <c r="AB149" s="1180"/>
      <c r="AC149" s="1180"/>
      <c r="AD149" s="1286"/>
      <c r="AE149" s="1396">
        <v>45</v>
      </c>
      <c r="AF149" s="1167"/>
      <c r="AG149" s="1167"/>
      <c r="AH149" s="1284"/>
      <c r="AI149" s="1176"/>
    </row>
    <row r="150" spans="1:35" ht="22.15" customHeight="1" thickBot="1" x14ac:dyDescent="0.25">
      <c r="A150" s="1"/>
      <c r="B150" s="2184" t="s">
        <v>155</v>
      </c>
      <c r="C150" s="1423"/>
      <c r="D150" s="1238"/>
      <c r="E150" s="1238"/>
      <c r="F150" s="1425"/>
      <c r="G150" s="1423"/>
      <c r="H150" s="1238"/>
      <c r="I150" s="1238"/>
      <c r="J150" s="1425"/>
      <c r="K150" s="1423"/>
      <c r="L150" s="1238"/>
      <c r="M150" s="1238"/>
      <c r="N150" s="1425"/>
      <c r="O150" s="1423"/>
      <c r="P150" s="1238"/>
      <c r="Q150" s="1238"/>
      <c r="R150" s="1425"/>
      <c r="S150" s="1423"/>
      <c r="T150" s="1238"/>
      <c r="U150" s="1238"/>
      <c r="V150" s="1411"/>
      <c r="W150" s="1423"/>
      <c r="X150" s="1411"/>
      <c r="Y150" s="1238"/>
      <c r="Z150" s="1425"/>
      <c r="AA150" s="1423"/>
      <c r="AB150" s="1411"/>
      <c r="AC150" s="1238"/>
      <c r="AD150" s="1425"/>
      <c r="AE150" s="1433"/>
      <c r="AF150" s="1238"/>
      <c r="AG150" s="1238"/>
      <c r="AH150" s="1411"/>
      <c r="AI150" s="1245"/>
    </row>
    <row r="151" spans="1:35" ht="22.15" customHeight="1" x14ac:dyDescent="0.2">
      <c r="A151" s="108"/>
      <c r="B151" s="1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</row>
    <row r="152" spans="1:35" ht="22.15" customHeight="1" thickBot="1" x14ac:dyDescent="0.25">
      <c r="A152" s="1343"/>
      <c r="B152" s="1247" t="s">
        <v>29</v>
      </c>
      <c r="C152" s="1254">
        <v>1</v>
      </c>
      <c r="D152" s="1254">
        <v>2</v>
      </c>
      <c r="E152" s="1254">
        <v>3</v>
      </c>
      <c r="F152" s="1254">
        <v>4</v>
      </c>
      <c r="G152" s="1185">
        <v>5</v>
      </c>
      <c r="H152" s="1185">
        <v>6</v>
      </c>
      <c r="I152" s="1254">
        <v>7</v>
      </c>
      <c r="J152" s="1254">
        <v>8</v>
      </c>
      <c r="K152" s="1254">
        <v>9</v>
      </c>
      <c r="L152" s="1254">
        <v>10</v>
      </c>
      <c r="M152" s="1254">
        <v>11</v>
      </c>
      <c r="N152" s="1185">
        <v>12</v>
      </c>
      <c r="O152" s="1185">
        <v>13</v>
      </c>
      <c r="P152" s="1254">
        <v>14</v>
      </c>
      <c r="Q152" s="1254">
        <v>15</v>
      </c>
      <c r="R152" s="1254">
        <v>16</v>
      </c>
      <c r="S152" s="1254">
        <v>17</v>
      </c>
      <c r="T152" s="1254">
        <v>18</v>
      </c>
      <c r="U152" s="1185">
        <v>19</v>
      </c>
      <c r="V152" s="1185">
        <v>20</v>
      </c>
      <c r="W152" s="1254">
        <v>21</v>
      </c>
      <c r="X152" s="1254">
        <v>22</v>
      </c>
      <c r="Y152" s="1254">
        <v>23</v>
      </c>
      <c r="Z152" s="1185">
        <v>24</v>
      </c>
      <c r="AA152" s="1185">
        <v>25</v>
      </c>
      <c r="AB152" s="1185">
        <v>26</v>
      </c>
      <c r="AC152" s="1185">
        <v>27</v>
      </c>
      <c r="AD152" s="1254">
        <v>28</v>
      </c>
      <c r="AE152" s="1254">
        <v>29</v>
      </c>
      <c r="AF152" s="1254">
        <v>30</v>
      </c>
      <c r="AG152" s="2064">
        <v>31</v>
      </c>
      <c r="AH152" s="184"/>
      <c r="AI152" s="185"/>
    </row>
    <row r="153" spans="1:35" ht="22.15" customHeight="1" x14ac:dyDescent="0.2">
      <c r="A153" s="521">
        <v>1</v>
      </c>
      <c r="B153" s="523" t="s">
        <v>202</v>
      </c>
      <c r="C153" s="459" t="s">
        <v>31</v>
      </c>
      <c r="D153" s="458" t="s">
        <v>31</v>
      </c>
      <c r="E153" s="458" t="s">
        <v>31</v>
      </c>
      <c r="F153" s="566" t="s">
        <v>31</v>
      </c>
      <c r="G153" s="458"/>
      <c r="H153" s="458"/>
      <c r="I153" s="458" t="s">
        <v>31</v>
      </c>
      <c r="J153" s="458" t="s">
        <v>31</v>
      </c>
      <c r="K153" s="458" t="s">
        <v>31</v>
      </c>
      <c r="L153" s="458" t="s">
        <v>31</v>
      </c>
      <c r="M153" s="566" t="s">
        <v>31</v>
      </c>
      <c r="N153" s="458"/>
      <c r="O153" s="458"/>
      <c r="P153" s="458" t="s">
        <v>31</v>
      </c>
      <c r="Q153" s="458" t="s">
        <v>31</v>
      </c>
      <c r="R153" s="458" t="s">
        <v>31</v>
      </c>
      <c r="S153" s="458" t="s">
        <v>31</v>
      </c>
      <c r="T153" s="463" t="s">
        <v>31</v>
      </c>
      <c r="U153" s="458"/>
      <c r="V153" s="458"/>
      <c r="W153" s="463" t="s">
        <v>31</v>
      </c>
      <c r="X153" s="463" t="s">
        <v>31</v>
      </c>
      <c r="Y153" s="463" t="s">
        <v>31</v>
      </c>
      <c r="Z153" s="458"/>
      <c r="AA153" s="460"/>
      <c r="AB153" s="459"/>
      <c r="AC153" s="458"/>
      <c r="AD153" s="484" t="s">
        <v>31</v>
      </c>
      <c r="AE153" s="484" t="s">
        <v>31</v>
      </c>
      <c r="AF153" s="484" t="s">
        <v>31</v>
      </c>
      <c r="AG153" s="464"/>
      <c r="AH153" s="250"/>
      <c r="AI153" s="190"/>
    </row>
    <row r="154" spans="1:35" ht="22.15" customHeight="1" x14ac:dyDescent="0.2">
      <c r="A154" s="1415">
        <v>2</v>
      </c>
      <c r="B154" s="1434" t="s">
        <v>203</v>
      </c>
      <c r="C154" s="1258" t="s">
        <v>204</v>
      </c>
      <c r="D154" s="1200" t="s">
        <v>204</v>
      </c>
      <c r="E154" s="1258" t="s">
        <v>204</v>
      </c>
      <c r="F154" s="1258" t="s">
        <v>204</v>
      </c>
      <c r="G154" s="1258" t="s">
        <v>204</v>
      </c>
      <c r="H154" s="1258"/>
      <c r="I154" s="1258" t="s">
        <v>205</v>
      </c>
      <c r="J154" s="1258" t="s">
        <v>205</v>
      </c>
      <c r="K154" s="1258" t="s">
        <v>205</v>
      </c>
      <c r="L154" s="1258" t="s">
        <v>205</v>
      </c>
      <c r="M154" s="1258" t="s">
        <v>35</v>
      </c>
      <c r="N154" s="1258"/>
      <c r="O154" s="1258"/>
      <c r="P154" s="1258" t="s">
        <v>207</v>
      </c>
      <c r="Q154" s="1258" t="s">
        <v>207</v>
      </c>
      <c r="R154" s="1204" t="s">
        <v>207</v>
      </c>
      <c r="S154" s="1204" t="s">
        <v>207</v>
      </c>
      <c r="T154" s="1204" t="s">
        <v>410</v>
      </c>
      <c r="U154" s="1258"/>
      <c r="V154" s="1258"/>
      <c r="W154" s="1258" t="s">
        <v>204</v>
      </c>
      <c r="X154" s="1258" t="s">
        <v>204</v>
      </c>
      <c r="Y154" s="1258" t="s">
        <v>204</v>
      </c>
      <c r="Z154" s="1258"/>
      <c r="AA154" s="1258"/>
      <c r="AB154" s="1258"/>
      <c r="AC154" s="1258"/>
      <c r="AD154" s="1258" t="s">
        <v>204</v>
      </c>
      <c r="AE154" s="1258" t="s">
        <v>204</v>
      </c>
      <c r="AF154" s="1258" t="s">
        <v>204</v>
      </c>
      <c r="AG154" s="1251"/>
      <c r="AH154" s="250"/>
      <c r="AI154" s="190"/>
    </row>
    <row r="155" spans="1:35" ht="22.15" customHeight="1" x14ac:dyDescent="0.2">
      <c r="A155" s="1415">
        <v>3</v>
      </c>
      <c r="B155" s="1435" t="s">
        <v>421</v>
      </c>
      <c r="C155" s="1258" t="s">
        <v>205</v>
      </c>
      <c r="D155" s="1258" t="s">
        <v>205</v>
      </c>
      <c r="E155" s="1258" t="s">
        <v>205</v>
      </c>
      <c r="F155" s="1380" t="s">
        <v>35</v>
      </c>
      <c r="G155" s="1380"/>
      <c r="H155" s="1380"/>
      <c r="I155" s="1334" t="s">
        <v>207</v>
      </c>
      <c r="J155" s="1334" t="s">
        <v>207</v>
      </c>
      <c r="K155" s="1334" t="s">
        <v>207</v>
      </c>
      <c r="L155" s="1334" t="s">
        <v>207</v>
      </c>
      <c r="M155" s="1334" t="s">
        <v>207</v>
      </c>
      <c r="N155" s="1380"/>
      <c r="O155" s="1380"/>
      <c r="P155" s="1380" t="s">
        <v>204</v>
      </c>
      <c r="Q155" s="1380" t="s">
        <v>204</v>
      </c>
      <c r="R155" s="1380" t="s">
        <v>204</v>
      </c>
      <c r="S155" s="1380" t="s">
        <v>204</v>
      </c>
      <c r="T155" s="1380" t="s">
        <v>204</v>
      </c>
      <c r="U155" s="1258" t="s">
        <v>204</v>
      </c>
      <c r="V155" s="1258"/>
      <c r="W155" s="1258" t="s">
        <v>205</v>
      </c>
      <c r="X155" s="1258" t="s">
        <v>205</v>
      </c>
      <c r="Y155" s="1258" t="s">
        <v>205</v>
      </c>
      <c r="Z155" s="1258"/>
      <c r="AA155" s="1311" t="s">
        <v>35</v>
      </c>
      <c r="AB155" s="1311"/>
      <c r="AC155" s="1311"/>
      <c r="AD155" s="1311" t="s">
        <v>207</v>
      </c>
      <c r="AE155" s="1311" t="s">
        <v>207</v>
      </c>
      <c r="AF155" s="1311" t="s">
        <v>207</v>
      </c>
      <c r="AG155" s="1251"/>
      <c r="AH155" s="250"/>
      <c r="AI155" s="190"/>
    </row>
    <row r="156" spans="1:35" ht="22.15" customHeight="1" x14ac:dyDescent="0.2">
      <c r="A156" s="1415">
        <v>4</v>
      </c>
      <c r="B156" s="1435" t="s">
        <v>209</v>
      </c>
      <c r="C156" s="1258" t="s">
        <v>32</v>
      </c>
      <c r="D156" s="1258" t="s">
        <v>31</v>
      </c>
      <c r="E156" s="1258"/>
      <c r="F156" s="1258" t="s">
        <v>31</v>
      </c>
      <c r="G156" s="1258"/>
      <c r="H156" s="1258"/>
      <c r="I156" s="1258"/>
      <c r="J156" s="1258" t="s">
        <v>32</v>
      </c>
      <c r="K156" s="1258"/>
      <c r="L156" s="1258"/>
      <c r="M156" s="1258" t="s">
        <v>32</v>
      </c>
      <c r="N156" s="1258" t="s">
        <v>204</v>
      </c>
      <c r="O156" s="1258"/>
      <c r="P156" s="1258"/>
      <c r="Q156" s="1193" t="s">
        <v>32</v>
      </c>
      <c r="R156" s="1193" t="s">
        <v>32</v>
      </c>
      <c r="S156" s="1193"/>
      <c r="T156" s="1193" t="s">
        <v>32</v>
      </c>
      <c r="U156" s="1193"/>
      <c r="V156" s="1258"/>
      <c r="W156" s="1258"/>
      <c r="X156" s="1258" t="s">
        <v>32</v>
      </c>
      <c r="Y156" s="1200" t="s">
        <v>32</v>
      </c>
      <c r="Z156" s="1258"/>
      <c r="AA156" s="1258"/>
      <c r="AB156" s="1258"/>
      <c r="AC156" s="1258"/>
      <c r="AD156" s="1200" t="s">
        <v>32</v>
      </c>
      <c r="AE156" s="1200" t="s">
        <v>32</v>
      </c>
      <c r="AF156" s="1258"/>
      <c r="AG156" s="1251"/>
      <c r="AH156" s="250"/>
      <c r="AI156" s="190"/>
    </row>
    <row r="157" spans="1:35" ht="22.15" customHeight="1" x14ac:dyDescent="0.2">
      <c r="A157" s="1415">
        <v>5</v>
      </c>
      <c r="B157" s="1435" t="s">
        <v>210</v>
      </c>
      <c r="C157" s="1258" t="s">
        <v>31</v>
      </c>
      <c r="D157" s="1258"/>
      <c r="E157" s="1258" t="s">
        <v>31</v>
      </c>
      <c r="F157" s="1258"/>
      <c r="G157" s="1258"/>
      <c r="H157" s="1258"/>
      <c r="I157" s="1258" t="s">
        <v>32</v>
      </c>
      <c r="J157" s="1258"/>
      <c r="K157" s="1258"/>
      <c r="L157" s="1258" t="s">
        <v>31</v>
      </c>
      <c r="M157" s="1258"/>
      <c r="N157" s="1258"/>
      <c r="O157" s="1258"/>
      <c r="P157" s="1258" t="s">
        <v>32</v>
      </c>
      <c r="Q157" s="1258"/>
      <c r="R157" s="1258"/>
      <c r="S157" s="1258" t="s">
        <v>31</v>
      </c>
      <c r="T157" s="1258"/>
      <c r="U157" s="1258"/>
      <c r="V157" s="1258"/>
      <c r="W157" s="1200" t="s">
        <v>32</v>
      </c>
      <c r="X157" s="1258"/>
      <c r="Y157" s="1258"/>
      <c r="Z157" s="1258"/>
      <c r="AA157" s="1258"/>
      <c r="AB157" s="1258"/>
      <c r="AC157" s="1258"/>
      <c r="AD157" s="1200" t="s">
        <v>32</v>
      </c>
      <c r="AE157" s="1258"/>
      <c r="AF157" s="1258"/>
      <c r="AG157" s="1251"/>
      <c r="AH157" s="250"/>
      <c r="AI157" s="190"/>
    </row>
    <row r="158" spans="1:35" ht="22.15" customHeight="1" x14ac:dyDescent="0.2">
      <c r="A158" s="1415">
        <v>6</v>
      </c>
      <c r="B158" s="1202" t="s">
        <v>211</v>
      </c>
      <c r="C158" s="1258" t="s">
        <v>31</v>
      </c>
      <c r="D158" s="1258" t="s">
        <v>31</v>
      </c>
      <c r="E158" s="1258" t="s">
        <v>31</v>
      </c>
      <c r="F158" s="1258" t="s">
        <v>31</v>
      </c>
      <c r="G158" s="1258"/>
      <c r="H158" s="1258"/>
      <c r="I158" s="1258" t="s">
        <v>31</v>
      </c>
      <c r="J158" s="1199" t="s">
        <v>31</v>
      </c>
      <c r="K158" s="1258" t="s">
        <v>31</v>
      </c>
      <c r="L158" s="1258" t="s">
        <v>31</v>
      </c>
      <c r="M158" s="1258" t="s">
        <v>31</v>
      </c>
      <c r="N158" s="1258"/>
      <c r="O158" s="1258"/>
      <c r="P158" s="1258" t="s">
        <v>31</v>
      </c>
      <c r="Q158" s="1258" t="s">
        <v>31</v>
      </c>
      <c r="R158" s="1258" t="s">
        <v>31</v>
      </c>
      <c r="S158" s="1258" t="s">
        <v>31</v>
      </c>
      <c r="T158" s="1193" t="s">
        <v>31</v>
      </c>
      <c r="U158" s="1193"/>
      <c r="V158" s="1193"/>
      <c r="W158" s="1200" t="s">
        <v>31</v>
      </c>
      <c r="X158" s="1200" t="s">
        <v>31</v>
      </c>
      <c r="Y158" s="1200" t="s">
        <v>31</v>
      </c>
      <c r="Z158" s="1258"/>
      <c r="AA158" s="1258"/>
      <c r="AB158" s="1258"/>
      <c r="AC158" s="1258"/>
      <c r="AD158" s="1200" t="s">
        <v>31</v>
      </c>
      <c r="AE158" s="1200" t="s">
        <v>31</v>
      </c>
      <c r="AF158" s="1200" t="s">
        <v>31</v>
      </c>
      <c r="AG158" s="1251"/>
      <c r="AH158" s="215"/>
      <c r="AI158" s="107"/>
    </row>
    <row r="159" spans="1:35" ht="22.15" customHeight="1" thickBot="1" x14ac:dyDescent="0.25">
      <c r="A159" s="1419"/>
      <c r="B159" s="1253" t="s">
        <v>212</v>
      </c>
      <c r="C159" s="1254"/>
      <c r="D159" s="1254"/>
      <c r="E159" s="1254"/>
      <c r="F159" s="1254"/>
      <c r="G159" s="1254"/>
      <c r="H159" s="1254"/>
      <c r="I159" s="1254"/>
      <c r="J159" s="1254"/>
      <c r="K159" s="1254"/>
      <c r="L159" s="1254"/>
      <c r="M159" s="1254"/>
      <c r="N159" s="1254"/>
      <c r="O159" s="1254"/>
      <c r="P159" s="1254"/>
      <c r="Q159" s="1254"/>
      <c r="R159" s="1254"/>
      <c r="S159" s="1254"/>
      <c r="T159" s="1254"/>
      <c r="U159" s="1254"/>
      <c r="V159" s="1254"/>
      <c r="W159" s="1254"/>
      <c r="X159" s="1254"/>
      <c r="Y159" s="1254"/>
      <c r="Z159" s="1254"/>
      <c r="AA159" s="1254"/>
      <c r="AB159" s="1254"/>
      <c r="AC159" s="1254"/>
      <c r="AD159" s="1254"/>
      <c r="AE159" s="1254"/>
      <c r="AF159" s="1254"/>
      <c r="AG159" s="1945"/>
      <c r="AH159" s="107"/>
      <c r="AI159" s="107"/>
    </row>
    <row r="160" spans="1:35" ht="22.15" customHeight="1" x14ac:dyDescent="0.2">
      <c r="A160" s="256"/>
      <c r="B160" s="228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107"/>
      <c r="AI160" s="107"/>
    </row>
    <row r="161" spans="1:36" ht="22.15" customHeight="1" x14ac:dyDescent="0.2">
      <c r="A161" s="256"/>
      <c r="B161" s="228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107"/>
      <c r="AI161" s="107"/>
    </row>
    <row r="162" spans="1:36" ht="22.15" customHeight="1" thickBot="1" x14ac:dyDescent="0.25">
      <c r="A162" s="150" t="s">
        <v>213</v>
      </c>
      <c r="B162" s="72"/>
      <c r="C162" s="106" t="s">
        <v>99</v>
      </c>
      <c r="D162" s="72"/>
      <c r="E162" s="72"/>
      <c r="F162" s="106" t="s">
        <v>99</v>
      </c>
      <c r="G162" s="72"/>
      <c r="H162" s="72"/>
      <c r="I162" s="106" t="s">
        <v>99</v>
      </c>
      <c r="J162" s="106"/>
      <c r="K162" s="72"/>
      <c r="L162" s="106" t="s">
        <v>99</v>
      </c>
      <c r="M162" s="72"/>
      <c r="N162" s="72"/>
      <c r="O162" s="106" t="s">
        <v>99</v>
      </c>
      <c r="P162" s="72"/>
      <c r="Q162" s="106"/>
      <c r="R162" s="106" t="s">
        <v>99</v>
      </c>
      <c r="S162" s="72"/>
      <c r="T162" s="72"/>
      <c r="U162" s="106" t="s">
        <v>99</v>
      </c>
      <c r="V162" s="72"/>
      <c r="W162" s="106"/>
      <c r="X162" s="106"/>
      <c r="Y162" s="72"/>
      <c r="Z162" s="72"/>
      <c r="AA162" s="72"/>
      <c r="AB162" s="72"/>
      <c r="AC162" s="72"/>
      <c r="AD162" s="72"/>
      <c r="AE162" s="106"/>
      <c r="AF162" s="72"/>
      <c r="AG162" s="72"/>
      <c r="AH162" s="107"/>
      <c r="AI162" s="107"/>
    </row>
    <row r="163" spans="1:36" ht="22.15" customHeight="1" x14ac:dyDescent="0.2">
      <c r="A163" s="109"/>
      <c r="B163" s="294" t="s">
        <v>214</v>
      </c>
      <c r="C163" s="295"/>
      <c r="D163" s="296" t="s">
        <v>90</v>
      </c>
      <c r="E163" s="297"/>
      <c r="F163" s="298"/>
      <c r="G163" s="299"/>
      <c r="H163" s="296" t="s">
        <v>91</v>
      </c>
      <c r="I163" s="297"/>
      <c r="J163" s="298"/>
      <c r="K163" s="299"/>
      <c r="L163" s="296" t="s">
        <v>92</v>
      </c>
      <c r="M163" s="297"/>
      <c r="N163" s="298"/>
      <c r="O163" s="299"/>
      <c r="P163" s="296" t="s">
        <v>93</v>
      </c>
      <c r="Q163" s="297"/>
      <c r="R163" s="298"/>
      <c r="S163" s="299"/>
      <c r="T163" s="296" t="s">
        <v>94</v>
      </c>
      <c r="U163" s="297"/>
      <c r="V163" s="298"/>
      <c r="W163" s="299"/>
      <c r="X163" s="296" t="s">
        <v>95</v>
      </c>
      <c r="Y163" s="297"/>
      <c r="Z163" s="298"/>
      <c r="AA163" s="299"/>
      <c r="AB163" s="296" t="s">
        <v>96</v>
      </c>
      <c r="AC163" s="297"/>
      <c r="AD163" s="297"/>
      <c r="AE163" s="300" t="s">
        <v>97</v>
      </c>
      <c r="AF163" s="297"/>
      <c r="AG163" s="297"/>
      <c r="AH163" s="297"/>
      <c r="AI163" s="301"/>
    </row>
    <row r="164" spans="1:36" ht="22.15" customHeight="1" x14ac:dyDescent="0.2">
      <c r="A164" s="109"/>
      <c r="B164" s="1851" t="s">
        <v>215</v>
      </c>
      <c r="C164" s="1852" t="s">
        <v>216</v>
      </c>
      <c r="D164" s="1438" t="s">
        <v>217</v>
      </c>
      <c r="E164" s="1439"/>
      <c r="F164" s="2001"/>
      <c r="G164" s="1853"/>
      <c r="H164" s="1438" t="s">
        <v>217</v>
      </c>
      <c r="I164" s="1439"/>
      <c r="J164" s="2001"/>
      <c r="K164" s="1853"/>
      <c r="L164" s="1438" t="s">
        <v>217</v>
      </c>
      <c r="M164" s="1439"/>
      <c r="N164" s="2001"/>
      <c r="O164" s="1853"/>
      <c r="P164" s="1438" t="s">
        <v>218</v>
      </c>
      <c r="Q164" s="1439"/>
      <c r="R164" s="2001"/>
      <c r="S164" s="1853"/>
      <c r="T164" s="1438" t="s">
        <v>219</v>
      </c>
      <c r="U164" s="2001"/>
      <c r="V164" s="2002"/>
      <c r="W164" s="1854"/>
      <c r="X164" s="1444"/>
      <c r="Y164" s="1444"/>
      <c r="Z164" s="2002"/>
      <c r="AA164" s="1854"/>
      <c r="AB164" s="1444"/>
      <c r="AC164" s="1444"/>
      <c r="AD164" s="1444"/>
      <c r="AE164" s="1854"/>
      <c r="AF164" s="1444"/>
      <c r="AG164" s="1444"/>
      <c r="AH164" s="1445"/>
      <c r="AI164" s="1855"/>
    </row>
    <row r="165" spans="1:36" ht="22.15" customHeight="1" x14ac:dyDescent="0.2">
      <c r="A165" s="109"/>
      <c r="B165" s="1851" t="s">
        <v>215</v>
      </c>
      <c r="C165" s="1852" t="s">
        <v>220</v>
      </c>
      <c r="D165" s="1438" t="s">
        <v>217</v>
      </c>
      <c r="E165" s="1439"/>
      <c r="F165" s="2001"/>
      <c r="G165" s="1853"/>
      <c r="H165" s="1438" t="s">
        <v>217</v>
      </c>
      <c r="I165" s="1439"/>
      <c r="J165" s="2001"/>
      <c r="K165" s="1853"/>
      <c r="L165" s="1438" t="s">
        <v>217</v>
      </c>
      <c r="M165" s="1439"/>
      <c r="N165" s="2001"/>
      <c r="O165" s="1853"/>
      <c r="P165" s="1438" t="s">
        <v>218</v>
      </c>
      <c r="Q165" s="1439"/>
      <c r="R165" s="2001"/>
      <c r="S165" s="1853"/>
      <c r="T165" s="1438" t="s">
        <v>219</v>
      </c>
      <c r="U165" s="2001"/>
      <c r="V165" s="2002"/>
      <c r="W165" s="1854"/>
      <c r="X165" s="1444"/>
      <c r="Y165" s="1444"/>
      <c r="Z165" s="2002"/>
      <c r="AA165" s="1854"/>
      <c r="AB165" s="1444"/>
      <c r="AC165" s="1444"/>
      <c r="AD165" s="1444"/>
      <c r="AE165" s="1854"/>
      <c r="AF165" s="1444"/>
      <c r="AG165" s="1444"/>
      <c r="AH165" s="1445"/>
      <c r="AI165" s="1855"/>
    </row>
    <row r="166" spans="1:36" ht="22.15" customHeight="1" x14ac:dyDescent="0.2">
      <c r="A166" s="109"/>
      <c r="B166" s="1851" t="s">
        <v>221</v>
      </c>
      <c r="C166" s="1852" t="s">
        <v>158</v>
      </c>
      <c r="D166" s="1438" t="s">
        <v>217</v>
      </c>
      <c r="E166" s="1439"/>
      <c r="F166" s="2001"/>
      <c r="G166" s="1853"/>
      <c r="H166" s="1438" t="s">
        <v>217</v>
      </c>
      <c r="I166" s="1439"/>
      <c r="J166" s="2001"/>
      <c r="K166" s="1853"/>
      <c r="L166" s="1438" t="s">
        <v>217</v>
      </c>
      <c r="M166" s="1439"/>
      <c r="N166" s="2001"/>
      <c r="O166" s="1853"/>
      <c r="P166" s="1438" t="s">
        <v>218</v>
      </c>
      <c r="Q166" s="1439"/>
      <c r="R166" s="2001"/>
      <c r="S166" s="1853"/>
      <c r="T166" s="1438" t="s">
        <v>219</v>
      </c>
      <c r="U166" s="2001"/>
      <c r="V166" s="2002"/>
      <c r="W166" s="1854"/>
      <c r="X166" s="1444"/>
      <c r="Y166" s="1444"/>
      <c r="Z166" s="2002"/>
      <c r="AA166" s="1854"/>
      <c r="AB166" s="1444"/>
      <c r="AC166" s="1444"/>
      <c r="AD166" s="1444"/>
      <c r="AE166" s="1854"/>
      <c r="AF166" s="1444"/>
      <c r="AG166" s="1444"/>
      <c r="AH166" s="1445"/>
      <c r="AI166" s="1855"/>
    </row>
    <row r="167" spans="1:36" ht="22.15" customHeight="1" x14ac:dyDescent="0.2">
      <c r="A167" s="109"/>
      <c r="B167" s="1851" t="s">
        <v>222</v>
      </c>
      <c r="C167" s="1852" t="s">
        <v>223</v>
      </c>
      <c r="D167" s="1438" t="s">
        <v>224</v>
      </c>
      <c r="E167" s="1439"/>
      <c r="F167" s="2001"/>
      <c r="G167" s="1853"/>
      <c r="H167" s="1438" t="s">
        <v>224</v>
      </c>
      <c r="I167" s="1439"/>
      <c r="J167" s="2001"/>
      <c r="K167" s="1853"/>
      <c r="L167" s="1438" t="s">
        <v>224</v>
      </c>
      <c r="M167" s="1439"/>
      <c r="N167" s="2001"/>
      <c r="O167" s="1853"/>
      <c r="P167" s="1438" t="s">
        <v>225</v>
      </c>
      <c r="Q167" s="1439"/>
      <c r="R167" s="2001"/>
      <c r="S167" s="1853"/>
      <c r="T167" s="1438" t="s">
        <v>226</v>
      </c>
      <c r="U167" s="2001"/>
      <c r="V167" s="2002"/>
      <c r="W167" s="1854"/>
      <c r="X167" s="1444"/>
      <c r="Y167" s="1444"/>
      <c r="Z167" s="2002"/>
      <c r="AA167" s="1854"/>
      <c r="AB167" s="1444"/>
      <c r="AC167" s="1444"/>
      <c r="AD167" s="1444"/>
      <c r="AE167" s="1854"/>
      <c r="AF167" s="1444"/>
      <c r="AG167" s="1444"/>
      <c r="AH167" s="1445"/>
      <c r="AI167" s="1855"/>
    </row>
    <row r="168" spans="1:36" ht="22.15" customHeight="1" x14ac:dyDescent="0.2">
      <c r="A168" s="109"/>
      <c r="B168" s="1851" t="s">
        <v>227</v>
      </c>
      <c r="C168" s="1852" t="s">
        <v>228</v>
      </c>
      <c r="D168" s="1438" t="s">
        <v>229</v>
      </c>
      <c r="E168" s="1439"/>
      <c r="F168" s="2001"/>
      <c r="G168" s="1853"/>
      <c r="H168" s="1438" t="s">
        <v>229</v>
      </c>
      <c r="I168" s="1439"/>
      <c r="J168" s="2001"/>
      <c r="K168" s="1853"/>
      <c r="L168" s="1438" t="s">
        <v>230</v>
      </c>
      <c r="M168" s="1439"/>
      <c r="N168" s="2001"/>
      <c r="O168" s="1853"/>
      <c r="P168" s="1438" t="s">
        <v>231</v>
      </c>
      <c r="Q168" s="1439"/>
      <c r="R168" s="2001"/>
      <c r="S168" s="1853"/>
      <c r="T168" s="1438" t="s">
        <v>226</v>
      </c>
      <c r="U168" s="2001"/>
      <c r="V168" s="2002"/>
      <c r="W168" s="1854"/>
      <c r="X168" s="1444"/>
      <c r="Y168" s="1444"/>
      <c r="Z168" s="2002"/>
      <c r="AA168" s="1854"/>
      <c r="AB168" s="1444"/>
      <c r="AC168" s="1444"/>
      <c r="AD168" s="1444"/>
      <c r="AE168" s="1854"/>
      <c r="AF168" s="1444"/>
      <c r="AG168" s="1444"/>
      <c r="AH168" s="1445"/>
      <c r="AI168" s="1855"/>
    </row>
    <row r="169" spans="1:36" ht="22.15" customHeight="1" x14ac:dyDescent="0.2">
      <c r="A169" s="109"/>
      <c r="B169" s="1851" t="s">
        <v>232</v>
      </c>
      <c r="C169" s="1852" t="s">
        <v>233</v>
      </c>
      <c r="D169" s="1438" t="s">
        <v>217</v>
      </c>
      <c r="E169" s="1439"/>
      <c r="F169" s="2001"/>
      <c r="G169" s="1853"/>
      <c r="H169" s="1438" t="s">
        <v>217</v>
      </c>
      <c r="I169" s="1439"/>
      <c r="J169" s="2001"/>
      <c r="K169" s="1853"/>
      <c r="L169" s="1438" t="s">
        <v>217</v>
      </c>
      <c r="M169" s="1439"/>
      <c r="N169" s="2001"/>
      <c r="O169" s="1853"/>
      <c r="P169" s="1438" t="s">
        <v>217</v>
      </c>
      <c r="Q169" s="1439"/>
      <c r="R169" s="2001"/>
      <c r="S169" s="1853"/>
      <c r="T169" s="1438" t="s">
        <v>229</v>
      </c>
      <c r="U169" s="2001"/>
      <c r="V169" s="2002"/>
      <c r="W169" s="1854"/>
      <c r="X169" s="1444"/>
      <c r="Y169" s="1444"/>
      <c r="Z169" s="2002"/>
      <c r="AA169" s="1854"/>
      <c r="AB169" s="1444"/>
      <c r="AC169" s="1444"/>
      <c r="AD169" s="1444"/>
      <c r="AE169" s="1854"/>
      <c r="AF169" s="1444"/>
      <c r="AG169" s="1444"/>
      <c r="AH169" s="1445"/>
      <c r="AI169" s="1855"/>
    </row>
    <row r="170" spans="1:36" ht="22.15" customHeight="1" x14ac:dyDescent="0.2">
      <c r="A170" s="109"/>
      <c r="B170" s="1851" t="s">
        <v>234</v>
      </c>
      <c r="C170" s="1852" t="s">
        <v>235</v>
      </c>
      <c r="D170" s="1438" t="s">
        <v>217</v>
      </c>
      <c r="E170" s="1439"/>
      <c r="F170" s="2001"/>
      <c r="G170" s="1853"/>
      <c r="H170" s="1438" t="s">
        <v>217</v>
      </c>
      <c r="I170" s="1439"/>
      <c r="J170" s="2001"/>
      <c r="K170" s="1853"/>
      <c r="L170" s="1438" t="s">
        <v>217</v>
      </c>
      <c r="M170" s="1439"/>
      <c r="N170" s="2001"/>
      <c r="O170" s="1853"/>
      <c r="P170" s="1438" t="s">
        <v>218</v>
      </c>
      <c r="Q170" s="1439"/>
      <c r="R170" s="2001"/>
      <c r="S170" s="1853"/>
      <c r="T170" s="1438" t="s">
        <v>219</v>
      </c>
      <c r="U170" s="2001"/>
      <c r="V170" s="2002"/>
      <c r="W170" s="1854"/>
      <c r="X170" s="1444"/>
      <c r="Y170" s="1444"/>
      <c r="Z170" s="2002"/>
      <c r="AA170" s="1854"/>
      <c r="AB170" s="1444"/>
      <c r="AC170" s="1444"/>
      <c r="AD170" s="1444"/>
      <c r="AE170" s="1854"/>
      <c r="AF170" s="1444"/>
      <c r="AG170" s="1444"/>
      <c r="AH170" s="1445"/>
      <c r="AI170" s="1855"/>
    </row>
    <row r="171" spans="1:36" ht="22.15" customHeight="1" x14ac:dyDescent="0.2">
      <c r="A171" s="109"/>
      <c r="B171" s="1851" t="s">
        <v>234</v>
      </c>
      <c r="C171" s="1852" t="s">
        <v>236</v>
      </c>
      <c r="D171" s="1438" t="s">
        <v>217</v>
      </c>
      <c r="E171" s="1439"/>
      <c r="F171" s="2001"/>
      <c r="G171" s="1853"/>
      <c r="H171" s="1438" t="s">
        <v>217</v>
      </c>
      <c r="I171" s="1439"/>
      <c r="J171" s="2001"/>
      <c r="K171" s="1853"/>
      <c r="L171" s="1438" t="s">
        <v>217</v>
      </c>
      <c r="M171" s="1439"/>
      <c r="N171" s="2001"/>
      <c r="O171" s="1853"/>
      <c r="P171" s="1438" t="s">
        <v>218</v>
      </c>
      <c r="Q171" s="1439"/>
      <c r="R171" s="2001"/>
      <c r="S171" s="1853"/>
      <c r="T171" s="1438" t="s">
        <v>219</v>
      </c>
      <c r="U171" s="2001"/>
      <c r="V171" s="2002"/>
      <c r="W171" s="1854"/>
      <c r="X171" s="1444"/>
      <c r="Y171" s="1444"/>
      <c r="Z171" s="2002"/>
      <c r="AA171" s="1854"/>
      <c r="AB171" s="1444"/>
      <c r="AC171" s="1444"/>
      <c r="AD171" s="1444"/>
      <c r="AE171" s="1854"/>
      <c r="AF171" s="1444"/>
      <c r="AG171" s="1444"/>
      <c r="AH171" s="1445"/>
      <c r="AI171" s="1855"/>
    </row>
    <row r="172" spans="1:36" ht="22.15" customHeight="1" x14ac:dyDescent="0.2">
      <c r="A172" s="109"/>
      <c r="B172" s="1851" t="s">
        <v>237</v>
      </c>
      <c r="C172" s="1852" t="s">
        <v>238</v>
      </c>
      <c r="D172" s="1438" t="s">
        <v>217</v>
      </c>
      <c r="E172" s="1439"/>
      <c r="F172" s="2001"/>
      <c r="G172" s="1853"/>
      <c r="H172" s="1438" t="s">
        <v>217</v>
      </c>
      <c r="I172" s="1439"/>
      <c r="J172" s="2001"/>
      <c r="K172" s="1853"/>
      <c r="L172" s="1438" t="s">
        <v>217</v>
      </c>
      <c r="M172" s="1439"/>
      <c r="N172" s="2001"/>
      <c r="O172" s="1853"/>
      <c r="P172" s="1438" t="s">
        <v>239</v>
      </c>
      <c r="Q172" s="1439"/>
      <c r="R172" s="2001"/>
      <c r="S172" s="1853"/>
      <c r="T172" s="1438" t="s">
        <v>226</v>
      </c>
      <c r="U172" s="2001"/>
      <c r="V172" s="2002"/>
      <c r="W172" s="1854"/>
      <c r="X172" s="1444"/>
      <c r="Y172" s="1444"/>
      <c r="Z172" s="2002"/>
      <c r="AA172" s="1854"/>
      <c r="AB172" s="1444"/>
      <c r="AC172" s="1444"/>
      <c r="AD172" s="1444"/>
      <c r="AE172" s="1854"/>
      <c r="AF172" s="1444"/>
      <c r="AG172" s="1444"/>
      <c r="AH172" s="1445"/>
      <c r="AI172" s="1855"/>
    </row>
    <row r="173" spans="1:36" ht="22.15" customHeight="1" x14ac:dyDescent="0.2">
      <c r="A173" s="109"/>
      <c r="B173" s="1447" t="s">
        <v>240</v>
      </c>
      <c r="C173" s="1852" t="s">
        <v>80</v>
      </c>
      <c r="D173" s="1438" t="s">
        <v>217</v>
      </c>
      <c r="E173" s="1439"/>
      <c r="F173" s="2001"/>
      <c r="G173" s="1853"/>
      <c r="H173" s="1438" t="s">
        <v>217</v>
      </c>
      <c r="I173" s="1439"/>
      <c r="J173" s="2001"/>
      <c r="K173" s="1853"/>
      <c r="L173" s="1438" t="s">
        <v>217</v>
      </c>
      <c r="M173" s="1439"/>
      <c r="N173" s="2001"/>
      <c r="O173" s="1853"/>
      <c r="P173" s="1438" t="s">
        <v>218</v>
      </c>
      <c r="Q173" s="1439"/>
      <c r="R173" s="2001"/>
      <c r="S173" s="1853"/>
      <c r="T173" s="1438" t="s">
        <v>219</v>
      </c>
      <c r="U173" s="2001"/>
      <c r="V173" s="212"/>
      <c r="W173" s="1448"/>
      <c r="X173" s="211"/>
      <c r="Y173" s="211"/>
      <c r="Z173" s="212"/>
      <c r="AA173" s="1448"/>
      <c r="AB173" s="211"/>
      <c r="AC173" s="211"/>
      <c r="AD173" s="211"/>
      <c r="AE173" s="1448"/>
      <c r="AF173" s="211"/>
      <c r="AG173" s="211"/>
      <c r="AH173" s="213"/>
      <c r="AI173" s="1449"/>
      <c r="AJ173" s="214"/>
    </row>
    <row r="174" spans="1:36" ht="22.15" customHeight="1" x14ac:dyDescent="0.2">
      <c r="A174" s="109"/>
      <c r="B174" s="1851" t="s">
        <v>241</v>
      </c>
      <c r="C174" s="1852" t="s">
        <v>132</v>
      </c>
      <c r="D174" s="1438" t="s">
        <v>217</v>
      </c>
      <c r="E174" s="1439"/>
      <c r="F174" s="2001"/>
      <c r="G174" s="1853"/>
      <c r="H174" s="1438" t="s">
        <v>217</v>
      </c>
      <c r="I174" s="1439"/>
      <c r="J174" s="2001"/>
      <c r="K174" s="1853"/>
      <c r="L174" s="1438" t="s">
        <v>217</v>
      </c>
      <c r="M174" s="1439"/>
      <c r="N174" s="2001"/>
      <c r="O174" s="1853"/>
      <c r="P174" s="1438" t="s">
        <v>218</v>
      </c>
      <c r="Q174" s="1439"/>
      <c r="R174" s="2001"/>
      <c r="S174" s="1853"/>
      <c r="T174" s="1438" t="s">
        <v>219</v>
      </c>
      <c r="U174" s="2001"/>
      <c r="V174" s="1444"/>
      <c r="W174" s="1854"/>
      <c r="X174" s="1444"/>
      <c r="Y174" s="1444"/>
      <c r="Z174" s="1444"/>
      <c r="AA174" s="1854"/>
      <c r="AB174" s="1444"/>
      <c r="AC174" s="1444"/>
      <c r="AD174" s="1444"/>
      <c r="AE174" s="1854"/>
      <c r="AF174" s="1444"/>
      <c r="AG174" s="1444"/>
      <c r="AH174" s="1445"/>
      <c r="AI174" s="1855"/>
      <c r="AJ174" s="214"/>
    </row>
    <row r="175" spans="1:36" ht="22.15" customHeight="1" x14ac:dyDescent="0.2">
      <c r="A175" s="109"/>
      <c r="B175" s="1851" t="s">
        <v>242</v>
      </c>
      <c r="C175" s="1856" t="s">
        <v>243</v>
      </c>
      <c r="D175" s="1438" t="s">
        <v>244</v>
      </c>
      <c r="E175" s="1439"/>
      <c r="F175" s="2001"/>
      <c r="G175" s="1853"/>
      <c r="H175" s="1438" t="s">
        <v>244</v>
      </c>
      <c r="I175" s="1439"/>
      <c r="J175" s="2001"/>
      <c r="K175" s="1853"/>
      <c r="L175" s="1438" t="s">
        <v>244</v>
      </c>
      <c r="M175" s="1439"/>
      <c r="N175" s="1439"/>
      <c r="O175" s="1853"/>
      <c r="P175" s="1438" t="s">
        <v>244</v>
      </c>
      <c r="Q175" s="1439"/>
      <c r="R175" s="1439"/>
      <c r="S175" s="1853"/>
      <c r="T175" s="1438" t="s">
        <v>226</v>
      </c>
      <c r="U175" s="2001"/>
      <c r="V175" s="1444"/>
      <c r="W175" s="1857"/>
      <c r="X175" s="1444"/>
      <c r="Y175" s="1444"/>
      <c r="Z175" s="1444"/>
      <c r="AA175" s="1854"/>
      <c r="AB175" s="1444"/>
      <c r="AC175" s="1444"/>
      <c r="AD175" s="1444"/>
      <c r="AE175" s="1854"/>
      <c r="AF175" s="1444"/>
      <c r="AG175" s="1444"/>
      <c r="AH175" s="1445"/>
      <c r="AI175" s="1855"/>
      <c r="AJ175" s="214"/>
    </row>
    <row r="176" spans="1:36" ht="22.15" customHeight="1" x14ac:dyDescent="0.2">
      <c r="A176" s="109"/>
      <c r="B176" s="1851" t="s">
        <v>245</v>
      </c>
      <c r="C176" s="1856" t="s">
        <v>246</v>
      </c>
      <c r="D176" s="1438" t="s">
        <v>244</v>
      </c>
      <c r="E176" s="1439"/>
      <c r="F176" s="2001"/>
      <c r="G176" s="1853"/>
      <c r="H176" s="1438" t="s">
        <v>244</v>
      </c>
      <c r="I176" s="1439"/>
      <c r="J176" s="2001"/>
      <c r="K176" s="1853"/>
      <c r="L176" s="1438" t="s">
        <v>244</v>
      </c>
      <c r="M176" s="1439"/>
      <c r="N176" s="1439"/>
      <c r="O176" s="1853"/>
      <c r="P176" s="1438" t="s">
        <v>244</v>
      </c>
      <c r="Q176" s="1439"/>
      <c r="R176" s="1439"/>
      <c r="S176" s="1853"/>
      <c r="T176" s="1438" t="s">
        <v>226</v>
      </c>
      <c r="U176" s="2001"/>
      <c r="V176" s="1444"/>
      <c r="W176" s="1857"/>
      <c r="X176" s="1444"/>
      <c r="Y176" s="1444"/>
      <c r="Z176" s="2002"/>
      <c r="AA176" s="1452"/>
      <c r="AB176" s="1444"/>
      <c r="AC176" s="1444"/>
      <c r="AD176" s="1444"/>
      <c r="AE176" s="1854"/>
      <c r="AF176" s="1444"/>
      <c r="AG176" s="1444"/>
      <c r="AH176" s="1445"/>
      <c r="AI176" s="1855"/>
      <c r="AJ176" s="214"/>
    </row>
    <row r="177" spans="1:36" ht="22.15" customHeight="1" thickBot="1" x14ac:dyDescent="0.25">
      <c r="A177" s="109"/>
      <c r="B177" s="1851" t="s">
        <v>247</v>
      </c>
      <c r="C177" s="1856" t="s">
        <v>248</v>
      </c>
      <c r="D177" s="1438" t="s">
        <v>244</v>
      </c>
      <c r="E177" s="1439"/>
      <c r="F177" s="2001"/>
      <c r="G177" s="1853"/>
      <c r="H177" s="1438" t="s">
        <v>244</v>
      </c>
      <c r="I177" s="1439"/>
      <c r="J177" s="2001"/>
      <c r="K177" s="1853"/>
      <c r="L177" s="1438" t="s">
        <v>244</v>
      </c>
      <c r="M177" s="1439"/>
      <c r="N177" s="1439"/>
      <c r="O177" s="1853"/>
      <c r="P177" s="1438" t="s">
        <v>244</v>
      </c>
      <c r="Q177" s="1439"/>
      <c r="R177" s="1439"/>
      <c r="S177" s="1853"/>
      <c r="T177" s="1438" t="s">
        <v>226</v>
      </c>
      <c r="U177" s="2001"/>
      <c r="V177" s="2185"/>
      <c r="W177" s="677"/>
      <c r="X177" s="2185"/>
      <c r="Y177" s="2185"/>
      <c r="Z177" s="2186"/>
      <c r="AA177" s="2187"/>
      <c r="AB177" s="2185"/>
      <c r="AC177" s="2185"/>
      <c r="AD177" s="2185"/>
      <c r="AE177" s="678"/>
      <c r="AF177" s="2185"/>
      <c r="AG177" s="2185"/>
      <c r="AH177" s="2188"/>
      <c r="AI177" s="679"/>
      <c r="AJ177" s="214"/>
    </row>
    <row r="178" spans="1:36" ht="22.15" customHeight="1" x14ac:dyDescent="0.2">
      <c r="A178" s="109"/>
      <c r="B178" s="240"/>
      <c r="C178" s="241"/>
      <c r="D178" s="242"/>
      <c r="E178" s="243"/>
      <c r="F178" s="243"/>
      <c r="G178" s="244"/>
      <c r="H178" s="242"/>
      <c r="I178" s="243"/>
      <c r="J178" s="243"/>
      <c r="K178" s="244"/>
      <c r="L178" s="242"/>
      <c r="M178" s="243"/>
      <c r="N178" s="243"/>
      <c r="O178" s="244"/>
      <c r="P178" s="228"/>
      <c r="Q178" s="243"/>
      <c r="R178" s="243"/>
      <c r="S178" s="244"/>
      <c r="T178" s="228"/>
      <c r="U178" s="243"/>
      <c r="V178" s="243"/>
      <c r="W178" s="243"/>
      <c r="X178" s="243"/>
      <c r="Y178" s="243"/>
      <c r="Z178" s="243"/>
      <c r="AA178" s="244"/>
      <c r="AB178" s="243"/>
      <c r="AC178" s="243"/>
      <c r="AD178" s="243"/>
      <c r="AE178" s="244"/>
      <c r="AF178" s="243"/>
      <c r="AG178" s="243"/>
      <c r="AH178" s="215"/>
      <c r="AI178" s="215"/>
      <c r="AJ178" s="214"/>
    </row>
    <row r="179" spans="1:36" ht="22.15" customHeight="1" thickBot="1" x14ac:dyDescent="0.25">
      <c r="A179" s="148"/>
      <c r="B179" s="1457" t="s">
        <v>29</v>
      </c>
      <c r="C179" s="1254">
        <v>1</v>
      </c>
      <c r="D179" s="1254">
        <v>2</v>
      </c>
      <c r="E179" s="1254">
        <v>3</v>
      </c>
      <c r="F179" s="1254">
        <v>4</v>
      </c>
      <c r="G179" s="1185">
        <v>5</v>
      </c>
      <c r="H179" s="1185">
        <v>6</v>
      </c>
      <c r="I179" s="1254">
        <v>7</v>
      </c>
      <c r="J179" s="1254">
        <v>8</v>
      </c>
      <c r="K179" s="1254">
        <v>9</v>
      </c>
      <c r="L179" s="1254">
        <v>10</v>
      </c>
      <c r="M179" s="1254">
        <v>11</v>
      </c>
      <c r="N179" s="1185">
        <v>12</v>
      </c>
      <c r="O179" s="1185">
        <v>13</v>
      </c>
      <c r="P179" s="1254">
        <v>14</v>
      </c>
      <c r="Q179" s="1254">
        <v>15</v>
      </c>
      <c r="R179" s="1254">
        <v>16</v>
      </c>
      <c r="S179" s="1254">
        <v>17</v>
      </c>
      <c r="T179" s="1254">
        <v>18</v>
      </c>
      <c r="U179" s="1185">
        <v>19</v>
      </c>
      <c r="V179" s="1185">
        <v>20</v>
      </c>
      <c r="W179" s="1254">
        <v>21</v>
      </c>
      <c r="X179" s="1254">
        <v>22</v>
      </c>
      <c r="Y179" s="1254">
        <v>23</v>
      </c>
      <c r="Z179" s="1185">
        <v>24</v>
      </c>
      <c r="AA179" s="1185">
        <v>25</v>
      </c>
      <c r="AB179" s="1185">
        <v>26</v>
      </c>
      <c r="AC179" s="1185">
        <v>27</v>
      </c>
      <c r="AD179" s="1254">
        <v>28</v>
      </c>
      <c r="AE179" s="1254">
        <v>29</v>
      </c>
      <c r="AF179" s="1254">
        <v>30</v>
      </c>
      <c r="AG179" s="2064">
        <v>31</v>
      </c>
      <c r="AH179" s="195"/>
      <c r="AI179" s="185"/>
    </row>
    <row r="180" spans="1:36" ht="22.15" customHeight="1" thickBot="1" x14ac:dyDescent="0.25">
      <c r="A180" s="109"/>
      <c r="B180" s="411" t="s">
        <v>249</v>
      </c>
      <c r="C180" s="385" t="s">
        <v>216</v>
      </c>
      <c r="D180" s="385" t="s">
        <v>216</v>
      </c>
      <c r="E180" s="385" t="s">
        <v>216</v>
      </c>
      <c r="F180" s="385" t="s">
        <v>216</v>
      </c>
      <c r="G180" s="385"/>
      <c r="H180" s="385"/>
      <c r="I180" s="385" t="s">
        <v>216</v>
      </c>
      <c r="J180" s="385" t="s">
        <v>216</v>
      </c>
      <c r="K180" s="385" t="s">
        <v>216</v>
      </c>
      <c r="L180" s="385" t="s">
        <v>216</v>
      </c>
      <c r="M180" s="385" t="s">
        <v>216</v>
      </c>
      <c r="N180" s="1624" t="s">
        <v>31</v>
      </c>
      <c r="O180" s="385"/>
      <c r="P180" s="385" t="s">
        <v>216</v>
      </c>
      <c r="Q180" s="385" t="s">
        <v>216</v>
      </c>
      <c r="R180" s="385" t="s">
        <v>216</v>
      </c>
      <c r="S180" s="385" t="s">
        <v>216</v>
      </c>
      <c r="T180" s="385" t="s">
        <v>216</v>
      </c>
      <c r="U180" s="1624"/>
      <c r="V180" s="385"/>
      <c r="W180" s="385" t="s">
        <v>216</v>
      </c>
      <c r="X180" s="385" t="s">
        <v>216</v>
      </c>
      <c r="Y180" s="385" t="s">
        <v>216</v>
      </c>
      <c r="Z180" s="385"/>
      <c r="AA180" s="385"/>
      <c r="AB180" s="385"/>
      <c r="AC180" s="385"/>
      <c r="AD180" s="385" t="s">
        <v>216</v>
      </c>
      <c r="AE180" s="385" t="s">
        <v>216</v>
      </c>
      <c r="AF180" s="385" t="s">
        <v>216</v>
      </c>
      <c r="AG180" s="412"/>
      <c r="AH180" s="190"/>
      <c r="AI180" s="190"/>
    </row>
    <row r="181" spans="1:36" ht="22.15" customHeight="1" thickBot="1" x14ac:dyDescent="0.25">
      <c r="A181" s="109"/>
      <c r="B181" s="1459" t="s">
        <v>250</v>
      </c>
      <c r="C181" s="1625" t="s">
        <v>216</v>
      </c>
      <c r="D181" s="1625" t="s">
        <v>216</v>
      </c>
      <c r="E181" s="1625" t="s">
        <v>216</v>
      </c>
      <c r="F181" s="1625" t="s">
        <v>216</v>
      </c>
      <c r="G181" s="1625"/>
      <c r="H181" s="1625"/>
      <c r="I181" s="1625" t="s">
        <v>216</v>
      </c>
      <c r="J181" s="1625" t="s">
        <v>216</v>
      </c>
      <c r="K181" s="1625" t="s">
        <v>216</v>
      </c>
      <c r="L181" s="1625" t="s">
        <v>216</v>
      </c>
      <c r="M181" s="1625" t="s">
        <v>216</v>
      </c>
      <c r="N181" s="1624" t="s">
        <v>31</v>
      </c>
      <c r="O181" s="1625"/>
      <c r="P181" s="1625" t="s">
        <v>216</v>
      </c>
      <c r="Q181" s="1625" t="s">
        <v>216</v>
      </c>
      <c r="R181" s="1625" t="s">
        <v>216</v>
      </c>
      <c r="S181" s="1625" t="s">
        <v>216</v>
      </c>
      <c r="T181" s="1625" t="s">
        <v>216</v>
      </c>
      <c r="U181" s="1624"/>
      <c r="V181" s="1625"/>
      <c r="W181" s="1625" t="s">
        <v>216</v>
      </c>
      <c r="X181" s="1625" t="s">
        <v>216</v>
      </c>
      <c r="Y181" s="1625" t="s">
        <v>216</v>
      </c>
      <c r="Z181" s="1625"/>
      <c r="AA181" s="1625"/>
      <c r="AB181" s="1625"/>
      <c r="AC181" s="1625"/>
      <c r="AD181" s="385" t="s">
        <v>216</v>
      </c>
      <c r="AE181" s="385" t="s">
        <v>216</v>
      </c>
      <c r="AF181" s="385" t="s">
        <v>216</v>
      </c>
      <c r="AG181" s="2156"/>
      <c r="AH181" s="190"/>
      <c r="AI181" s="190"/>
    </row>
    <row r="182" spans="1:36" ht="22.15" customHeight="1" x14ac:dyDescent="0.2">
      <c r="A182" s="109"/>
      <c r="B182" s="1459" t="s">
        <v>251</v>
      </c>
      <c r="C182" s="1625" t="s">
        <v>220</v>
      </c>
      <c r="D182" s="1625" t="s">
        <v>220</v>
      </c>
      <c r="E182" s="1625" t="s">
        <v>220</v>
      </c>
      <c r="F182" s="1625" t="s">
        <v>220</v>
      </c>
      <c r="G182" s="2189"/>
      <c r="H182" s="2189"/>
      <c r="I182" s="1625" t="s">
        <v>220</v>
      </c>
      <c r="J182" s="1625" t="s">
        <v>220</v>
      </c>
      <c r="K182" s="1625" t="s">
        <v>220</v>
      </c>
      <c r="L182" s="1625" t="s">
        <v>220</v>
      </c>
      <c r="M182" s="1625" t="s">
        <v>220</v>
      </c>
      <c r="N182" s="1624" t="s">
        <v>31</v>
      </c>
      <c r="O182" s="1624" t="s">
        <v>31</v>
      </c>
      <c r="P182" s="1625" t="s">
        <v>220</v>
      </c>
      <c r="Q182" s="1625" t="s">
        <v>220</v>
      </c>
      <c r="R182" s="1625" t="s">
        <v>220</v>
      </c>
      <c r="S182" s="1625" t="s">
        <v>220</v>
      </c>
      <c r="T182" s="1625" t="s">
        <v>220</v>
      </c>
      <c r="U182" s="1612"/>
      <c r="V182" s="1612"/>
      <c r="W182" s="1625" t="s">
        <v>220</v>
      </c>
      <c r="X182" s="1625" t="s">
        <v>220</v>
      </c>
      <c r="Y182" s="1625" t="s">
        <v>220</v>
      </c>
      <c r="Z182" s="1625"/>
      <c r="AA182" s="1625"/>
      <c r="AB182" s="1625"/>
      <c r="AC182" s="1625"/>
      <c r="AD182" s="385" t="s">
        <v>216</v>
      </c>
      <c r="AE182" s="385" t="s">
        <v>216</v>
      </c>
      <c r="AF182" s="385" t="s">
        <v>216</v>
      </c>
      <c r="AG182" s="2156"/>
      <c r="AH182" s="190"/>
      <c r="AI182" s="190"/>
    </row>
    <row r="183" spans="1:36" ht="22.15" customHeight="1" x14ac:dyDescent="0.2">
      <c r="A183" s="109"/>
      <c r="B183" s="1459" t="s">
        <v>252</v>
      </c>
      <c r="C183" s="1625" t="s">
        <v>158</v>
      </c>
      <c r="D183" s="1625" t="s">
        <v>158</v>
      </c>
      <c r="E183" s="1625" t="s">
        <v>158</v>
      </c>
      <c r="F183" s="1625" t="s">
        <v>158</v>
      </c>
      <c r="G183" s="1625"/>
      <c r="H183" s="2050"/>
      <c r="I183" s="1625" t="s">
        <v>158</v>
      </c>
      <c r="J183" s="1625" t="s">
        <v>158</v>
      </c>
      <c r="K183" s="1625" t="s">
        <v>158</v>
      </c>
      <c r="L183" s="1625" t="s">
        <v>158</v>
      </c>
      <c r="M183" s="1625" t="s">
        <v>158</v>
      </c>
      <c r="N183" s="1625"/>
      <c r="O183" s="1625"/>
      <c r="P183" s="1625" t="s">
        <v>158</v>
      </c>
      <c r="Q183" s="1625" t="s">
        <v>158</v>
      </c>
      <c r="R183" s="1625" t="s">
        <v>158</v>
      </c>
      <c r="S183" s="1625" t="s">
        <v>158</v>
      </c>
      <c r="T183" s="1625" t="s">
        <v>158</v>
      </c>
      <c r="U183" s="1625"/>
      <c r="V183" s="1625"/>
      <c r="W183" s="1465" t="s">
        <v>158</v>
      </c>
      <c r="X183" s="1465" t="s">
        <v>158</v>
      </c>
      <c r="Y183" s="1465" t="s">
        <v>158</v>
      </c>
      <c r="Z183" s="1625"/>
      <c r="AA183" s="1625"/>
      <c r="AB183" s="1625"/>
      <c r="AC183" s="1625"/>
      <c r="AD183" s="1625" t="s">
        <v>158</v>
      </c>
      <c r="AE183" s="1625" t="s">
        <v>158</v>
      </c>
      <c r="AF183" s="1625" t="s">
        <v>158</v>
      </c>
      <c r="AG183" s="2156"/>
      <c r="AH183" s="190"/>
      <c r="AI183" s="190"/>
    </row>
    <row r="184" spans="1:36" ht="22.15" customHeight="1" x14ac:dyDescent="0.2">
      <c r="A184" s="109"/>
      <c r="B184" s="2142" t="s">
        <v>253</v>
      </c>
      <c r="C184" s="1625" t="s">
        <v>223</v>
      </c>
      <c r="D184" s="1625" t="s">
        <v>223</v>
      </c>
      <c r="E184" s="1625" t="s">
        <v>223</v>
      </c>
      <c r="F184" s="1625" t="s">
        <v>223</v>
      </c>
      <c r="G184" s="1625"/>
      <c r="H184" s="1625"/>
      <c r="I184" s="1625" t="s">
        <v>223</v>
      </c>
      <c r="J184" s="1625" t="s">
        <v>223</v>
      </c>
      <c r="K184" s="1625" t="s">
        <v>223</v>
      </c>
      <c r="L184" s="1625" t="s">
        <v>223</v>
      </c>
      <c r="M184" s="1625" t="s">
        <v>223</v>
      </c>
      <c r="N184" s="1625"/>
      <c r="O184" s="1625"/>
      <c r="P184" s="1712" t="s">
        <v>223</v>
      </c>
      <c r="Q184" s="1712" t="s">
        <v>223</v>
      </c>
      <c r="R184" s="1712" t="s">
        <v>223</v>
      </c>
      <c r="S184" s="1712" t="s">
        <v>223</v>
      </c>
      <c r="T184" s="1712" t="s">
        <v>223</v>
      </c>
      <c r="U184" s="1712"/>
      <c r="V184" s="1712"/>
      <c r="W184" s="1625" t="s">
        <v>223</v>
      </c>
      <c r="X184" s="1625" t="s">
        <v>223</v>
      </c>
      <c r="Y184" s="1625" t="s">
        <v>223</v>
      </c>
      <c r="Z184" s="1625"/>
      <c r="AA184" s="1625"/>
      <c r="AB184" s="1625"/>
      <c r="AC184" s="1625"/>
      <c r="AD184" s="1625" t="s">
        <v>223</v>
      </c>
      <c r="AE184" s="1625" t="s">
        <v>223</v>
      </c>
      <c r="AF184" s="1625" t="s">
        <v>223</v>
      </c>
      <c r="AG184" s="2156"/>
      <c r="AH184" s="190"/>
      <c r="AI184" s="190"/>
    </row>
    <row r="185" spans="1:36" ht="22.15" customHeight="1" x14ac:dyDescent="0.2">
      <c r="A185" s="109"/>
      <c r="B185" s="1330" t="s">
        <v>422</v>
      </c>
      <c r="C185" s="1625" t="s">
        <v>228</v>
      </c>
      <c r="D185" s="1625" t="s">
        <v>228</v>
      </c>
      <c r="E185" s="1625" t="s">
        <v>228</v>
      </c>
      <c r="F185" s="1625" t="s">
        <v>228</v>
      </c>
      <c r="G185" s="1625"/>
      <c r="H185" s="1625"/>
      <c r="I185" s="1625" t="s">
        <v>228</v>
      </c>
      <c r="J185" s="1625" t="s">
        <v>228</v>
      </c>
      <c r="K185" s="1625" t="s">
        <v>228</v>
      </c>
      <c r="L185" s="1625" t="s">
        <v>228</v>
      </c>
      <c r="M185" s="1625" t="s">
        <v>228</v>
      </c>
      <c r="N185" s="1625"/>
      <c r="O185" s="1625"/>
      <c r="P185" s="1625" t="s">
        <v>228</v>
      </c>
      <c r="Q185" s="1625" t="s">
        <v>228</v>
      </c>
      <c r="R185" s="1625" t="s">
        <v>228</v>
      </c>
      <c r="S185" s="1625" t="s">
        <v>228</v>
      </c>
      <c r="T185" s="1625" t="s">
        <v>228</v>
      </c>
      <c r="U185" s="1625"/>
      <c r="V185" s="1625"/>
      <c r="W185" s="1629" t="s">
        <v>228</v>
      </c>
      <c r="X185" s="1735" t="s">
        <v>228</v>
      </c>
      <c r="Y185" s="1735" t="s">
        <v>228</v>
      </c>
      <c r="Z185" s="1625"/>
      <c r="AA185" s="1625"/>
      <c r="AB185" s="1625"/>
      <c r="AC185" s="1625"/>
      <c r="AD185" s="1623" t="s">
        <v>228</v>
      </c>
      <c r="AE185" s="1623" t="s">
        <v>228</v>
      </c>
      <c r="AF185" s="1623" t="s">
        <v>228</v>
      </c>
      <c r="AG185" s="2156"/>
      <c r="AH185" s="190"/>
      <c r="AI185" s="190"/>
    </row>
    <row r="186" spans="1:36" ht="22.15" customHeight="1" x14ac:dyDescent="0.2">
      <c r="A186" s="109"/>
      <c r="B186" s="1459" t="s">
        <v>255</v>
      </c>
      <c r="C186" s="1612" t="s">
        <v>233</v>
      </c>
      <c r="D186" s="1612" t="s">
        <v>233</v>
      </c>
      <c r="E186" s="1612" t="s">
        <v>233</v>
      </c>
      <c r="F186" s="1612" t="s">
        <v>233</v>
      </c>
      <c r="G186" s="1612"/>
      <c r="H186" s="1612"/>
      <c r="I186" s="1612" t="s">
        <v>233</v>
      </c>
      <c r="J186" s="1612" t="s">
        <v>233</v>
      </c>
      <c r="K186" s="1612" t="s">
        <v>233</v>
      </c>
      <c r="L186" s="1612" t="s">
        <v>233</v>
      </c>
      <c r="M186" s="1612" t="s">
        <v>233</v>
      </c>
      <c r="N186" s="1612"/>
      <c r="O186" s="1612"/>
      <c r="P186" s="1612" t="s">
        <v>233</v>
      </c>
      <c r="Q186" s="1612" t="s">
        <v>233</v>
      </c>
      <c r="R186" s="1612" t="s">
        <v>233</v>
      </c>
      <c r="S186" s="1612" t="s">
        <v>233</v>
      </c>
      <c r="T186" s="1612" t="s">
        <v>233</v>
      </c>
      <c r="U186" s="1612"/>
      <c r="V186" s="1612"/>
      <c r="W186" s="1612" t="s">
        <v>233</v>
      </c>
      <c r="X186" s="1612" t="s">
        <v>233</v>
      </c>
      <c r="Y186" s="2190" t="s">
        <v>233</v>
      </c>
      <c r="Z186" s="1612"/>
      <c r="AA186" s="1612"/>
      <c r="AB186" s="1612"/>
      <c r="AC186" s="1612"/>
      <c r="AD186" s="2190" t="s">
        <v>233</v>
      </c>
      <c r="AE186" s="2190" t="s">
        <v>233</v>
      </c>
      <c r="AF186" s="2190" t="s">
        <v>233</v>
      </c>
      <c r="AG186" s="2156"/>
      <c r="AH186" s="190"/>
      <c r="AI186" s="190"/>
    </row>
    <row r="187" spans="1:36" ht="22.15" customHeight="1" x14ac:dyDescent="0.2">
      <c r="A187" s="109"/>
      <c r="B187" s="1715" t="s">
        <v>256</v>
      </c>
      <c r="C187" s="1625" t="s">
        <v>235</v>
      </c>
      <c r="D187" s="1625" t="s">
        <v>235</v>
      </c>
      <c r="E187" s="1625" t="s">
        <v>235</v>
      </c>
      <c r="F187" s="1625" t="s">
        <v>235</v>
      </c>
      <c r="G187" s="1625"/>
      <c r="H187" s="1625"/>
      <c r="I187" s="1625" t="s">
        <v>235</v>
      </c>
      <c r="J187" s="1625" t="s">
        <v>235</v>
      </c>
      <c r="K187" s="1625" t="s">
        <v>235</v>
      </c>
      <c r="L187" s="1625" t="s">
        <v>235</v>
      </c>
      <c r="M187" s="1625" t="s">
        <v>235</v>
      </c>
      <c r="N187" s="1625"/>
      <c r="O187" s="1625"/>
      <c r="P187" s="1625" t="s">
        <v>235</v>
      </c>
      <c r="Q187" s="1625" t="s">
        <v>235</v>
      </c>
      <c r="R187" s="2191" t="s">
        <v>235</v>
      </c>
      <c r="S187" s="2140" t="s">
        <v>235</v>
      </c>
      <c r="T187" s="1625" t="s">
        <v>235</v>
      </c>
      <c r="U187" s="1625"/>
      <c r="V187" s="1625"/>
      <c r="W187" s="1625" t="s">
        <v>235</v>
      </c>
      <c r="X187" s="1465" t="s">
        <v>235</v>
      </c>
      <c r="Y187" s="1465" t="s">
        <v>235</v>
      </c>
      <c r="Z187" s="1625"/>
      <c r="AA187" s="1625"/>
      <c r="AB187" s="1625"/>
      <c r="AC187" s="1625"/>
      <c r="AD187" s="1625" t="s">
        <v>235</v>
      </c>
      <c r="AE187" s="1625" t="s">
        <v>235</v>
      </c>
      <c r="AF187" s="1625" t="s">
        <v>235</v>
      </c>
      <c r="AG187" s="2156"/>
      <c r="AH187" s="190"/>
      <c r="AI187" s="190"/>
    </row>
    <row r="188" spans="1:36" ht="22.15" customHeight="1" x14ac:dyDescent="0.2">
      <c r="A188" s="109"/>
      <c r="B188" s="1459" t="s">
        <v>257</v>
      </c>
      <c r="C188" s="1625" t="s">
        <v>236</v>
      </c>
      <c r="D188" s="1625" t="s">
        <v>236</v>
      </c>
      <c r="E188" s="1625" t="s">
        <v>236</v>
      </c>
      <c r="F188" s="1625" t="s">
        <v>236</v>
      </c>
      <c r="G188" s="1625"/>
      <c r="H188" s="1625"/>
      <c r="I188" s="1625" t="s">
        <v>236</v>
      </c>
      <c r="J188" s="1625" t="s">
        <v>236</v>
      </c>
      <c r="K188" s="1625" t="s">
        <v>236</v>
      </c>
      <c r="L188" s="1625" t="s">
        <v>236</v>
      </c>
      <c r="M188" s="1625" t="s">
        <v>236</v>
      </c>
      <c r="N188" s="1625"/>
      <c r="O188" s="1625"/>
      <c r="P188" s="1465" t="s">
        <v>236</v>
      </c>
      <c r="Q188" s="1465" t="s">
        <v>236</v>
      </c>
      <c r="R188" s="1465" t="s">
        <v>236</v>
      </c>
      <c r="S188" s="1625" t="s">
        <v>236</v>
      </c>
      <c r="T188" s="1625" t="s">
        <v>236</v>
      </c>
      <c r="U188" s="1625"/>
      <c r="V188" s="1625"/>
      <c r="W188" s="1625" t="s">
        <v>236</v>
      </c>
      <c r="X188" s="1625" t="s">
        <v>236</v>
      </c>
      <c r="Y188" s="1625" t="s">
        <v>236</v>
      </c>
      <c r="Z188" s="1625"/>
      <c r="AA188" s="1625"/>
      <c r="AB188" s="1625"/>
      <c r="AC188" s="1625"/>
      <c r="AD188" s="1725" t="s">
        <v>236</v>
      </c>
      <c r="AE188" s="1725" t="s">
        <v>236</v>
      </c>
      <c r="AF188" s="1725" t="s">
        <v>236</v>
      </c>
      <c r="AG188" s="2156"/>
      <c r="AH188" s="190"/>
      <c r="AI188" s="190"/>
    </row>
    <row r="189" spans="1:36" ht="22.15" customHeight="1" x14ac:dyDescent="0.2">
      <c r="A189" s="109"/>
      <c r="B189" s="1459" t="s">
        <v>258</v>
      </c>
      <c r="C189" s="1625" t="s">
        <v>238</v>
      </c>
      <c r="D189" s="1625" t="s">
        <v>238</v>
      </c>
      <c r="E189" s="1625" t="s">
        <v>238</v>
      </c>
      <c r="F189" s="1625" t="s">
        <v>238</v>
      </c>
      <c r="G189" s="1625"/>
      <c r="H189" s="1625"/>
      <c r="I189" s="1625" t="s">
        <v>238</v>
      </c>
      <c r="J189" s="1625" t="s">
        <v>238</v>
      </c>
      <c r="K189" s="1625" t="s">
        <v>238</v>
      </c>
      <c r="L189" s="1625" t="s">
        <v>238</v>
      </c>
      <c r="M189" s="1625" t="s">
        <v>238</v>
      </c>
      <c r="N189" s="1625"/>
      <c r="O189" s="1625"/>
      <c r="P189" s="1625" t="s">
        <v>238</v>
      </c>
      <c r="Q189" s="1625" t="s">
        <v>238</v>
      </c>
      <c r="R189" s="1625" t="s">
        <v>238</v>
      </c>
      <c r="S189" s="1625" t="s">
        <v>238</v>
      </c>
      <c r="T189" s="1625" t="s">
        <v>238</v>
      </c>
      <c r="U189" s="1625"/>
      <c r="V189" s="1625"/>
      <c r="W189" s="1625" t="s">
        <v>238</v>
      </c>
      <c r="X189" s="1625" t="s">
        <v>238</v>
      </c>
      <c r="Y189" s="1625" t="s">
        <v>238</v>
      </c>
      <c r="Z189" s="1625"/>
      <c r="AA189" s="1625"/>
      <c r="AB189" s="1625"/>
      <c r="AC189" s="1625"/>
      <c r="AD189" s="1625" t="s">
        <v>238</v>
      </c>
      <c r="AE189" s="1625" t="s">
        <v>238</v>
      </c>
      <c r="AF189" s="1625" t="s">
        <v>238</v>
      </c>
      <c r="AG189" s="2156"/>
      <c r="AH189" s="190"/>
      <c r="AI189" s="190"/>
    </row>
    <row r="190" spans="1:36" ht="22.15" customHeight="1" x14ac:dyDescent="0.2">
      <c r="A190" s="109"/>
      <c r="B190" s="1715" t="s">
        <v>260</v>
      </c>
      <c r="C190" s="1625" t="s">
        <v>80</v>
      </c>
      <c r="D190" s="1625" t="s">
        <v>80</v>
      </c>
      <c r="E190" s="1625" t="s">
        <v>80</v>
      </c>
      <c r="F190" s="1625" t="s">
        <v>80</v>
      </c>
      <c r="G190" s="1625"/>
      <c r="H190" s="1625"/>
      <c r="I190" s="1625" t="s">
        <v>80</v>
      </c>
      <c r="J190" s="1625" t="s">
        <v>80</v>
      </c>
      <c r="K190" s="1625" t="s">
        <v>80</v>
      </c>
      <c r="L190" s="1625" t="s">
        <v>80</v>
      </c>
      <c r="M190" s="1625" t="s">
        <v>80</v>
      </c>
      <c r="N190" s="1625"/>
      <c r="O190" s="1625"/>
      <c r="P190" s="1625" t="s">
        <v>80</v>
      </c>
      <c r="Q190" s="1625" t="s">
        <v>80</v>
      </c>
      <c r="R190" s="1625" t="s">
        <v>80</v>
      </c>
      <c r="S190" s="1623" t="s">
        <v>399</v>
      </c>
      <c r="T190" s="1725" t="s">
        <v>80</v>
      </c>
      <c r="U190" s="1725"/>
      <c r="V190" s="1725"/>
      <c r="W190" s="1623" t="s">
        <v>80</v>
      </c>
      <c r="X190" s="1623" t="s">
        <v>80</v>
      </c>
      <c r="Y190" s="1623" t="s">
        <v>399</v>
      </c>
      <c r="Z190" s="1625"/>
      <c r="AA190" s="1625"/>
      <c r="AB190" s="1625"/>
      <c r="AC190" s="1625"/>
      <c r="AD190" s="2122" t="s">
        <v>80</v>
      </c>
      <c r="AE190" s="2122" t="s">
        <v>80</v>
      </c>
      <c r="AF190" s="2192" t="s">
        <v>80</v>
      </c>
      <c r="AG190" s="2156"/>
      <c r="AH190" s="190"/>
      <c r="AI190" s="190"/>
    </row>
    <row r="191" spans="1:36" ht="22.15" customHeight="1" x14ac:dyDescent="0.2">
      <c r="A191" s="109"/>
      <c r="B191" s="1459" t="s">
        <v>261</v>
      </c>
      <c r="C191" s="1625" t="s">
        <v>132</v>
      </c>
      <c r="D191" s="1625" t="s">
        <v>132</v>
      </c>
      <c r="E191" s="1625" t="s">
        <v>132</v>
      </c>
      <c r="F191" s="1625" t="s">
        <v>132</v>
      </c>
      <c r="G191" s="1625"/>
      <c r="H191" s="1625"/>
      <c r="I191" s="1625" t="s">
        <v>132</v>
      </c>
      <c r="J191" s="1625" t="s">
        <v>132</v>
      </c>
      <c r="K191" s="1625" t="s">
        <v>132</v>
      </c>
      <c r="L191" s="1625" t="s">
        <v>132</v>
      </c>
      <c r="M191" s="1625" t="s">
        <v>132</v>
      </c>
      <c r="N191" s="1625"/>
      <c r="O191" s="1625"/>
      <c r="P191" s="1625" t="s">
        <v>132</v>
      </c>
      <c r="Q191" s="1625" t="s">
        <v>132</v>
      </c>
      <c r="R191" s="1625" t="s">
        <v>132</v>
      </c>
      <c r="S191" s="1625" t="s">
        <v>132</v>
      </c>
      <c r="T191" s="1625" t="s">
        <v>132</v>
      </c>
      <c r="U191" s="1625"/>
      <c r="V191" s="1625"/>
      <c r="W191" s="1623" t="s">
        <v>132</v>
      </c>
      <c r="X191" s="1623" t="s">
        <v>132</v>
      </c>
      <c r="Y191" s="1623" t="s">
        <v>423</v>
      </c>
      <c r="Z191" s="1625"/>
      <c r="AA191" s="1625"/>
      <c r="AB191" s="1625"/>
      <c r="AC191" s="1625"/>
      <c r="AD191" s="1625" t="s">
        <v>132</v>
      </c>
      <c r="AE191" s="1625" t="s">
        <v>132</v>
      </c>
      <c r="AF191" s="1625" t="s">
        <v>132</v>
      </c>
      <c r="AG191" s="2156"/>
      <c r="AH191" s="190"/>
      <c r="AI191" s="190"/>
    </row>
    <row r="192" spans="1:36" ht="22.15" customHeight="1" x14ac:dyDescent="0.2">
      <c r="A192" s="109"/>
      <c r="B192" s="1715" t="s">
        <v>129</v>
      </c>
      <c r="C192" s="1623" t="s">
        <v>243</v>
      </c>
      <c r="D192" s="1623" t="s">
        <v>243</v>
      </c>
      <c r="E192" s="1623" t="s">
        <v>243</v>
      </c>
      <c r="F192" s="1623" t="s">
        <v>379</v>
      </c>
      <c r="G192" s="1625"/>
      <c r="H192" s="1625"/>
      <c r="I192" s="1625" t="s">
        <v>243</v>
      </c>
      <c r="J192" s="1625" t="s">
        <v>243</v>
      </c>
      <c r="K192" s="1625" t="s">
        <v>243</v>
      </c>
      <c r="L192" s="1625" t="s">
        <v>243</v>
      </c>
      <c r="M192" s="1625" t="s">
        <v>243</v>
      </c>
      <c r="N192" s="1625"/>
      <c r="O192" s="1625"/>
      <c r="P192" s="1736" t="s">
        <v>243</v>
      </c>
      <c r="Q192" s="1465" t="s">
        <v>243</v>
      </c>
      <c r="R192" s="1465" t="s">
        <v>243</v>
      </c>
      <c r="S192" s="1465" t="s">
        <v>243</v>
      </c>
      <c r="T192" s="1625" t="s">
        <v>243</v>
      </c>
      <c r="U192" s="1633"/>
      <c r="V192" s="1633"/>
      <c r="W192" s="1625" t="s">
        <v>243</v>
      </c>
      <c r="X192" s="1625" t="s">
        <v>243</v>
      </c>
      <c r="Y192" s="1856" t="s">
        <v>243</v>
      </c>
      <c r="Z192" s="1625"/>
      <c r="AA192" s="1625"/>
      <c r="AB192" s="1625"/>
      <c r="AC192" s="1625"/>
      <c r="AD192" s="1625" t="s">
        <v>243</v>
      </c>
      <c r="AE192" s="1625" t="s">
        <v>243</v>
      </c>
      <c r="AF192" s="1625" t="s">
        <v>243</v>
      </c>
      <c r="AG192" s="2156"/>
      <c r="AH192" s="190"/>
      <c r="AI192" s="190"/>
    </row>
    <row r="193" spans="1:35" ht="22.15" customHeight="1" x14ac:dyDescent="0.2">
      <c r="A193" s="109"/>
      <c r="B193" s="1715" t="s">
        <v>263</v>
      </c>
      <c r="C193" s="1625" t="s">
        <v>246</v>
      </c>
      <c r="D193" s="1625" t="s">
        <v>246</v>
      </c>
      <c r="E193" s="1625" t="s">
        <v>246</v>
      </c>
      <c r="F193" s="1625" t="s">
        <v>246</v>
      </c>
      <c r="G193" s="1625"/>
      <c r="H193" s="1625"/>
      <c r="I193" s="1625" t="s">
        <v>246</v>
      </c>
      <c r="J193" s="1625" t="s">
        <v>246</v>
      </c>
      <c r="K193" s="1625" t="s">
        <v>246</v>
      </c>
      <c r="L193" s="1625" t="s">
        <v>246</v>
      </c>
      <c r="M193" s="1625" t="s">
        <v>246</v>
      </c>
      <c r="N193" s="1625"/>
      <c r="O193" s="1625"/>
      <c r="P193" s="1625" t="s">
        <v>246</v>
      </c>
      <c r="Q193" s="1625" t="s">
        <v>246</v>
      </c>
      <c r="R193" s="1625" t="s">
        <v>246</v>
      </c>
      <c r="S193" s="1625" t="s">
        <v>246</v>
      </c>
      <c r="T193" s="1949" t="s">
        <v>246</v>
      </c>
      <c r="U193" s="1625"/>
      <c r="V193" s="1625"/>
      <c r="W193" s="1625" t="s">
        <v>246</v>
      </c>
      <c r="X193" s="1625" t="s">
        <v>246</v>
      </c>
      <c r="Y193" s="1625" t="s">
        <v>246</v>
      </c>
      <c r="Z193" s="1625"/>
      <c r="AA193" s="1625"/>
      <c r="AB193" s="1625"/>
      <c r="AC193" s="1625"/>
      <c r="AD193" s="1625" t="s">
        <v>246</v>
      </c>
      <c r="AE193" s="1625" t="s">
        <v>246</v>
      </c>
      <c r="AF193" s="1625" t="s">
        <v>246</v>
      </c>
      <c r="AG193" s="2156"/>
      <c r="AH193" s="107"/>
      <c r="AI193" s="107"/>
    </row>
    <row r="194" spans="1:35" ht="21" customHeight="1" thickBot="1" x14ac:dyDescent="0.25">
      <c r="A194" s="148"/>
      <c r="B194" s="692" t="s">
        <v>264</v>
      </c>
      <c r="C194" s="696" t="s">
        <v>248</v>
      </c>
      <c r="D194" s="696" t="s">
        <v>248</v>
      </c>
      <c r="E194" s="696" t="s">
        <v>248</v>
      </c>
      <c r="F194" s="696" t="s">
        <v>248</v>
      </c>
      <c r="G194" s="696"/>
      <c r="H194" s="696"/>
      <c r="I194" s="696" t="s">
        <v>248</v>
      </c>
      <c r="J194" s="696" t="s">
        <v>248</v>
      </c>
      <c r="K194" s="696" t="s">
        <v>248</v>
      </c>
      <c r="L194" s="696" t="s">
        <v>248</v>
      </c>
      <c r="M194" s="696" t="s">
        <v>248</v>
      </c>
      <c r="N194" s="696"/>
      <c r="O194" s="696"/>
      <c r="P194" s="696" t="s">
        <v>248</v>
      </c>
      <c r="Q194" s="696" t="s">
        <v>248</v>
      </c>
      <c r="R194" s="696" t="s">
        <v>248</v>
      </c>
      <c r="S194" s="696" t="s">
        <v>248</v>
      </c>
      <c r="T194" s="696" t="s">
        <v>248</v>
      </c>
      <c r="U194" s="696"/>
      <c r="V194" s="696"/>
      <c r="W194" s="723" t="s">
        <v>248</v>
      </c>
      <c r="X194" s="723" t="s">
        <v>248</v>
      </c>
      <c r="Y194" s="723" t="s">
        <v>248</v>
      </c>
      <c r="Z194" s="696"/>
      <c r="AA194" s="696"/>
      <c r="AB194" s="696"/>
      <c r="AC194" s="696"/>
      <c r="AD194" s="723" t="s">
        <v>248</v>
      </c>
      <c r="AE194" s="723" t="s">
        <v>248</v>
      </c>
      <c r="AF194" s="723" t="s">
        <v>248</v>
      </c>
      <c r="AG194" s="217"/>
      <c r="AH194" s="115"/>
    </row>
    <row r="195" spans="1:35" ht="21" customHeight="1" x14ac:dyDescent="0.2">
      <c r="A195" s="148"/>
      <c r="B195" s="257"/>
      <c r="C195" s="255"/>
      <c r="D195" s="255"/>
      <c r="E195" s="255"/>
      <c r="F195" s="255"/>
      <c r="G195" s="255"/>
      <c r="H195" s="255"/>
      <c r="I195" s="255"/>
      <c r="J195" s="255"/>
      <c r="K195" s="255"/>
      <c r="L195" s="255"/>
      <c r="M195" s="255"/>
      <c r="N195" s="255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255"/>
      <c r="AC195" s="255"/>
      <c r="AD195" s="255"/>
      <c r="AE195" s="255"/>
      <c r="AF195" s="255"/>
      <c r="AG195" s="255"/>
      <c r="AH195" s="115"/>
    </row>
    <row r="196" spans="1:35" ht="22.15" customHeight="1" x14ac:dyDescent="0.2"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</row>
    <row r="197" spans="1:35" ht="22.15" customHeight="1" thickBot="1" x14ac:dyDescent="0.25">
      <c r="A197" s="1" t="s">
        <v>266</v>
      </c>
      <c r="B197" s="59"/>
    </row>
    <row r="198" spans="1:35" ht="22.15" customHeight="1" x14ac:dyDescent="0.2">
      <c r="A198" s="1"/>
      <c r="B198" s="1466" t="s">
        <v>267</v>
      </c>
      <c r="C198" s="525" t="s">
        <v>90</v>
      </c>
      <c r="D198" s="525"/>
      <c r="E198" s="525"/>
      <c r="F198" s="525"/>
      <c r="G198" s="526" t="s">
        <v>91</v>
      </c>
      <c r="H198" s="525"/>
      <c r="I198" s="525"/>
      <c r="J198" s="525"/>
      <c r="K198" s="526" t="s">
        <v>92</v>
      </c>
      <c r="L198" s="525"/>
      <c r="M198" s="525"/>
      <c r="N198" s="525"/>
      <c r="O198" s="526" t="s">
        <v>93</v>
      </c>
      <c r="P198" s="525"/>
      <c r="Q198" s="525"/>
      <c r="R198" s="525"/>
      <c r="S198" s="526" t="s">
        <v>94</v>
      </c>
      <c r="T198" s="525"/>
      <c r="U198" s="525"/>
      <c r="V198" s="525"/>
      <c r="W198" s="527" t="s">
        <v>95</v>
      </c>
      <c r="X198" s="473"/>
      <c r="Y198" s="525"/>
      <c r="Z198" s="528"/>
      <c r="AA198" s="527" t="s">
        <v>96</v>
      </c>
      <c r="AB198" s="473"/>
      <c r="AC198" s="525"/>
      <c r="AD198" s="528"/>
      <c r="AE198" s="529" t="s">
        <v>97</v>
      </c>
      <c r="AF198" s="525"/>
      <c r="AG198" s="525"/>
      <c r="AH198" s="525"/>
      <c r="AI198" s="474"/>
    </row>
    <row r="199" spans="1:35" ht="22.15" customHeight="1" x14ac:dyDescent="0.2">
      <c r="A199" s="1"/>
      <c r="B199" s="1467">
        <v>3701</v>
      </c>
      <c r="C199" s="110" t="s">
        <v>268</v>
      </c>
      <c r="D199" s="110"/>
      <c r="E199" s="110"/>
      <c r="F199" s="110"/>
      <c r="G199" s="2089" t="s">
        <v>269</v>
      </c>
      <c r="H199" s="110"/>
      <c r="I199" s="110"/>
      <c r="J199" s="110"/>
      <c r="K199" s="2089" t="s">
        <v>269</v>
      </c>
      <c r="L199" s="110"/>
      <c r="M199" s="110"/>
      <c r="N199" s="110"/>
      <c r="O199" s="2089" t="s">
        <v>269</v>
      </c>
      <c r="P199" s="110"/>
      <c r="Q199" s="110"/>
      <c r="R199" s="110"/>
      <c r="S199" s="2089" t="s">
        <v>270</v>
      </c>
      <c r="T199" s="110"/>
      <c r="U199" s="110"/>
      <c r="V199" s="110"/>
      <c r="W199" s="1865"/>
      <c r="X199" s="1866"/>
      <c r="Y199" s="1235"/>
      <c r="Z199" s="1867"/>
      <c r="AA199" s="1865"/>
      <c r="AB199" s="1866"/>
      <c r="AC199" s="1235"/>
      <c r="AD199" s="1867"/>
      <c r="AE199" s="1391"/>
      <c r="AF199" s="1235"/>
      <c r="AG199" s="1235"/>
      <c r="AH199" s="1235"/>
      <c r="AI199" s="1176"/>
    </row>
    <row r="200" spans="1:35" ht="22.15" customHeight="1" x14ac:dyDescent="0.2">
      <c r="A200" s="1472"/>
      <c r="B200" s="1466"/>
      <c r="C200" s="2011"/>
      <c r="D200" s="1474"/>
      <c r="E200" s="1474"/>
      <c r="F200" s="1868"/>
      <c r="G200" s="2011"/>
      <c r="H200" s="1474"/>
      <c r="I200" s="1474"/>
      <c r="J200" s="1868"/>
      <c r="K200" s="2011"/>
      <c r="L200" s="1474"/>
      <c r="M200" s="1474"/>
      <c r="N200" s="1868"/>
      <c r="O200" s="2011"/>
      <c r="P200" s="1474"/>
      <c r="Q200" s="1474"/>
      <c r="R200" s="1868"/>
      <c r="S200" s="2011"/>
      <c r="T200" s="1474"/>
      <c r="U200" s="1474"/>
      <c r="V200" s="1474"/>
      <c r="W200" s="1865"/>
      <c r="X200" s="1866"/>
      <c r="Y200" s="1235"/>
      <c r="Z200" s="1867"/>
      <c r="AA200" s="1865"/>
      <c r="AB200" s="1866"/>
      <c r="AC200" s="1235"/>
      <c r="AD200" s="1867"/>
      <c r="AE200" s="1391"/>
      <c r="AF200" s="1235"/>
      <c r="AG200" s="1235"/>
      <c r="AH200" s="1235"/>
      <c r="AI200" s="1176"/>
    </row>
    <row r="201" spans="1:35" ht="22.15" customHeight="1" x14ac:dyDescent="0.2">
      <c r="A201" s="1472"/>
      <c r="B201" s="1466"/>
      <c r="C201" s="2011"/>
      <c r="D201" s="1474"/>
      <c r="E201" s="1474"/>
      <c r="F201" s="1868"/>
      <c r="G201" s="2011"/>
      <c r="H201" s="1474"/>
      <c r="I201" s="1474"/>
      <c r="J201" s="1868"/>
      <c r="K201" s="2011"/>
      <c r="L201" s="1474"/>
      <c r="M201" s="1474"/>
      <c r="N201" s="1868"/>
      <c r="O201" s="2011"/>
      <c r="P201" s="1474"/>
      <c r="Q201" s="1474"/>
      <c r="R201" s="1868"/>
      <c r="S201" s="2011"/>
      <c r="T201" s="1474"/>
      <c r="U201" s="1474"/>
      <c r="V201" s="1474"/>
      <c r="W201" s="1865"/>
      <c r="X201" s="1866"/>
      <c r="Y201" s="1235"/>
      <c r="Z201" s="1867"/>
      <c r="AA201" s="1865"/>
      <c r="AB201" s="1866"/>
      <c r="AC201" s="1235"/>
      <c r="AD201" s="1867"/>
      <c r="AE201" s="1391"/>
      <c r="AF201" s="1235"/>
      <c r="AG201" s="1235"/>
      <c r="AH201" s="1235"/>
      <c r="AI201" s="1176"/>
    </row>
    <row r="202" spans="1:35" ht="22.15" customHeight="1" thickBot="1" x14ac:dyDescent="0.25">
      <c r="A202" s="682"/>
      <c r="B202" s="683"/>
      <c r="C202" s="1869"/>
      <c r="D202" s="1870"/>
      <c r="E202" s="1870"/>
      <c r="F202" s="1871"/>
      <c r="G202" s="1869"/>
      <c r="H202" s="1870"/>
      <c r="I202" s="1870"/>
      <c r="J202" s="1871"/>
      <c r="K202" s="1869"/>
      <c r="L202" s="1870"/>
      <c r="M202" s="1870"/>
      <c r="N202" s="1871"/>
      <c r="O202" s="1869"/>
      <c r="P202" s="1870"/>
      <c r="Q202" s="1870"/>
      <c r="R202" s="1871"/>
      <c r="S202" s="1869"/>
      <c r="T202" s="1870"/>
      <c r="U202" s="1870"/>
      <c r="V202" s="1870"/>
      <c r="W202" s="1872"/>
      <c r="X202" s="1873"/>
      <c r="Y202" s="1874"/>
      <c r="Z202" s="1875"/>
      <c r="AA202" s="1872"/>
      <c r="AB202" s="1873"/>
      <c r="AC202" s="1874"/>
      <c r="AD202" s="1875"/>
      <c r="AE202" s="1404"/>
      <c r="AF202" s="1242"/>
      <c r="AG202" s="1242"/>
      <c r="AH202" s="1242"/>
      <c r="AI202" s="1245"/>
    </row>
    <row r="203" spans="1:35" ht="22.15" customHeight="1" x14ac:dyDescent="0.2">
      <c r="AG203" s="110"/>
      <c r="AH203" s="110"/>
    </row>
    <row r="204" spans="1:35" ht="22.15" customHeight="1" x14ac:dyDescent="0.2">
      <c r="B204" s="1466">
        <v>3700</v>
      </c>
      <c r="C204" s="1235" t="s">
        <v>162</v>
      </c>
      <c r="D204" s="1235"/>
      <c r="E204" s="1235"/>
      <c r="F204" s="1235"/>
      <c r="G204" s="1876" t="s">
        <v>162</v>
      </c>
      <c r="H204" s="1235"/>
      <c r="I204" s="1235"/>
      <c r="J204" s="1235"/>
      <c r="K204" s="1876" t="s">
        <v>162</v>
      </c>
      <c r="L204" s="1235"/>
      <c r="M204" s="1235"/>
      <c r="N204" s="1235"/>
      <c r="O204" s="1876" t="s">
        <v>162</v>
      </c>
      <c r="P204" s="1235"/>
      <c r="Q204" s="1235"/>
      <c r="R204" s="1235"/>
      <c r="S204" s="1876" t="s">
        <v>163</v>
      </c>
      <c r="T204" s="1235"/>
      <c r="U204" s="1235"/>
      <c r="V204" s="1235"/>
      <c r="W204" s="1235"/>
      <c r="X204" s="1876"/>
      <c r="Y204" s="1235"/>
      <c r="Z204" s="1393"/>
      <c r="AA204" s="1391"/>
      <c r="AB204" s="1235"/>
      <c r="AC204" s="1235"/>
      <c r="AD204" s="1284"/>
      <c r="AE204" s="1877"/>
      <c r="AF204" s="1235"/>
      <c r="AG204" s="1235"/>
      <c r="AH204" s="1284"/>
      <c r="AI204" s="1176"/>
    </row>
    <row r="205" spans="1:35" ht="22.15" customHeight="1" x14ac:dyDescent="0.2">
      <c r="A205" s="1"/>
      <c r="B205" s="1466">
        <v>8514</v>
      </c>
      <c r="C205" s="1235" t="s">
        <v>269</v>
      </c>
      <c r="D205" s="1235"/>
      <c r="E205" s="1235"/>
      <c r="F205" s="1235"/>
      <c r="G205" s="1876" t="s">
        <v>269</v>
      </c>
      <c r="H205" s="1235"/>
      <c r="I205" s="1235"/>
      <c r="J205" s="1235"/>
      <c r="K205" s="1876" t="s">
        <v>269</v>
      </c>
      <c r="L205" s="1235"/>
      <c r="M205" s="1235"/>
      <c r="N205" s="1235"/>
      <c r="O205" s="1876" t="s">
        <v>269</v>
      </c>
      <c r="P205" s="1235"/>
      <c r="Q205" s="1235"/>
      <c r="R205" s="1235"/>
      <c r="S205" s="1876" t="s">
        <v>271</v>
      </c>
      <c r="T205" s="1235"/>
      <c r="U205" s="1235"/>
      <c r="V205" s="1235"/>
      <c r="W205" s="1235"/>
      <c r="X205" s="1876"/>
      <c r="Y205" s="1235"/>
      <c r="Z205" s="1393"/>
      <c r="AA205" s="1283"/>
      <c r="AB205" s="1235"/>
      <c r="AC205" s="1235"/>
      <c r="AD205" s="1284"/>
      <c r="AE205" s="1283"/>
      <c r="AF205" s="1235"/>
      <c r="AG205" s="1235"/>
      <c r="AH205" s="1284"/>
      <c r="AI205" s="1176"/>
    </row>
    <row r="206" spans="1:35" ht="22.15" customHeight="1" x14ac:dyDescent="0.2">
      <c r="A206" s="1"/>
      <c r="B206" s="1466">
        <v>8500</v>
      </c>
      <c r="C206" s="166" t="s">
        <v>272</v>
      </c>
      <c r="D206" s="166"/>
      <c r="E206" s="166"/>
      <c r="F206" s="166"/>
      <c r="G206" s="167" t="s">
        <v>272</v>
      </c>
      <c r="H206" s="166"/>
      <c r="I206" s="166"/>
      <c r="J206" s="166"/>
      <c r="K206" s="167" t="s">
        <v>272</v>
      </c>
      <c r="L206" s="166"/>
      <c r="M206" s="166"/>
      <c r="N206" s="166"/>
      <c r="O206" s="167" t="s">
        <v>272</v>
      </c>
      <c r="P206" s="166"/>
      <c r="Q206" s="166"/>
      <c r="R206" s="166"/>
      <c r="S206" s="167" t="s">
        <v>273</v>
      </c>
      <c r="T206" s="166"/>
      <c r="U206" s="166"/>
      <c r="V206" s="166"/>
      <c r="W206" s="166"/>
      <c r="X206" s="167"/>
      <c r="Y206" s="166"/>
      <c r="Z206" s="121"/>
      <c r="AA206" s="120"/>
      <c r="AB206" s="166"/>
      <c r="AC206" s="166"/>
      <c r="AD206" s="121"/>
      <c r="AE206" s="120"/>
      <c r="AF206" s="166"/>
      <c r="AG206" s="166"/>
      <c r="AH206" s="113"/>
      <c r="AI206" s="119"/>
    </row>
    <row r="207" spans="1:35" ht="22.15" customHeight="1" x14ac:dyDescent="0.2">
      <c r="A207" s="1"/>
      <c r="B207" s="1466">
        <v>8514</v>
      </c>
      <c r="C207" s="169" t="s">
        <v>269</v>
      </c>
      <c r="D207" s="169"/>
      <c r="E207" s="169"/>
      <c r="F207" s="169"/>
      <c r="G207" s="170" t="s">
        <v>269</v>
      </c>
      <c r="H207" s="169"/>
      <c r="I207" s="169"/>
      <c r="J207" s="169"/>
      <c r="K207" s="170" t="s">
        <v>269</v>
      </c>
      <c r="L207" s="169"/>
      <c r="M207" s="169"/>
      <c r="N207" s="169"/>
      <c r="O207" s="170" t="s">
        <v>269</v>
      </c>
      <c r="P207" s="169"/>
      <c r="Q207" s="169"/>
      <c r="R207" s="169"/>
      <c r="S207" s="170" t="s">
        <v>271</v>
      </c>
      <c r="T207" s="169"/>
      <c r="U207" s="169"/>
      <c r="V207" s="169"/>
      <c r="W207" s="169"/>
      <c r="X207" s="149"/>
      <c r="Y207" s="166"/>
      <c r="Z207" s="168"/>
      <c r="AA207" s="156"/>
      <c r="AB207" s="117"/>
      <c r="AC207" s="166"/>
      <c r="AD207" s="166"/>
      <c r="AE207" s="118"/>
      <c r="AF207" s="166"/>
      <c r="AG207" s="166"/>
      <c r="AH207" s="166"/>
      <c r="AI207" s="119"/>
    </row>
    <row r="208" spans="1:35" ht="22.15" customHeight="1" thickBot="1" x14ac:dyDescent="0.25">
      <c r="A208" s="1"/>
      <c r="B208" s="2014" t="s">
        <v>274</v>
      </c>
      <c r="C208" s="1242" t="s">
        <v>275</v>
      </c>
      <c r="D208" s="1242"/>
      <c r="E208" s="1242"/>
      <c r="F208" s="1242"/>
      <c r="G208" s="1067" t="s">
        <v>275</v>
      </c>
      <c r="H208" s="1242"/>
      <c r="I208" s="1242"/>
      <c r="J208" s="1242"/>
      <c r="K208" s="1879" t="s">
        <v>275</v>
      </c>
      <c r="L208" s="1242"/>
      <c r="M208" s="1242"/>
      <c r="N208" s="1242"/>
      <c r="O208" s="1067" t="s">
        <v>275</v>
      </c>
      <c r="P208" s="1242"/>
      <c r="Q208" s="1242"/>
      <c r="R208" s="1242"/>
      <c r="S208" s="1067" t="s">
        <v>276</v>
      </c>
      <c r="T208" s="1242"/>
      <c r="U208" s="1242"/>
      <c r="V208" s="1242"/>
      <c r="W208" s="1242"/>
      <c r="X208" s="1067"/>
      <c r="Y208" s="1242"/>
      <c r="Z208" s="1425"/>
      <c r="AA208" s="1404"/>
      <c r="AB208" s="1242"/>
      <c r="AC208" s="1242"/>
      <c r="AD208" s="1411"/>
      <c r="AE208" s="1880"/>
      <c r="AF208" s="1242"/>
      <c r="AG208" s="1242"/>
      <c r="AH208" s="1411"/>
      <c r="AI208" s="1245"/>
    </row>
    <row r="209" spans="1:36" ht="22.1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6" ht="22.15" customHeight="1" x14ac:dyDescent="0.2">
      <c r="A210" s="1" t="s">
        <v>277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6" ht="22.15" customHeight="1" thickBot="1" x14ac:dyDescent="0.25">
      <c r="A211" s="1343"/>
      <c r="B211" s="1247" t="s">
        <v>29</v>
      </c>
      <c r="C211" s="1254">
        <v>1</v>
      </c>
      <c r="D211" s="1254">
        <v>2</v>
      </c>
      <c r="E211" s="1254">
        <v>3</v>
      </c>
      <c r="F211" s="1254">
        <v>4</v>
      </c>
      <c r="G211" s="1185">
        <v>5</v>
      </c>
      <c r="H211" s="1185">
        <v>6</v>
      </c>
      <c r="I211" s="1254">
        <v>7</v>
      </c>
      <c r="J211" s="1254">
        <v>8</v>
      </c>
      <c r="K211" s="1254">
        <v>9</v>
      </c>
      <c r="L211" s="1254">
        <v>10</v>
      </c>
      <c r="M211" s="1254">
        <v>11</v>
      </c>
      <c r="N211" s="1185">
        <v>12</v>
      </c>
      <c r="O211" s="1185">
        <v>13</v>
      </c>
      <c r="P211" s="1254">
        <v>14</v>
      </c>
      <c r="Q211" s="1254">
        <v>15</v>
      </c>
      <c r="R211" s="1254">
        <v>16</v>
      </c>
      <c r="S211" s="1254">
        <v>17</v>
      </c>
      <c r="T211" s="1254">
        <v>18</v>
      </c>
      <c r="U211" s="1185">
        <v>19</v>
      </c>
      <c r="V211" s="1185">
        <v>20</v>
      </c>
      <c r="W211" s="1254">
        <v>21</v>
      </c>
      <c r="X211" s="1254">
        <v>22</v>
      </c>
      <c r="Y211" s="1254">
        <v>23</v>
      </c>
      <c r="Z211" s="1185">
        <v>24</v>
      </c>
      <c r="AA211" s="1185">
        <v>25</v>
      </c>
      <c r="AB211" s="1185">
        <v>26</v>
      </c>
      <c r="AC211" s="1185">
        <v>27</v>
      </c>
      <c r="AD211" s="1254">
        <v>28</v>
      </c>
      <c r="AE211" s="1254">
        <v>29</v>
      </c>
      <c r="AF211" s="1254">
        <v>30</v>
      </c>
      <c r="AG211" s="2064">
        <v>31</v>
      </c>
      <c r="AH211" s="184"/>
      <c r="AI211" s="185"/>
    </row>
    <row r="212" spans="1:36" ht="22.15" customHeight="1" x14ac:dyDescent="0.2">
      <c r="A212" s="305"/>
      <c r="B212" s="306" t="s">
        <v>278</v>
      </c>
      <c r="C212" s="1612" t="s">
        <v>31</v>
      </c>
      <c r="D212" s="1612" t="s">
        <v>31</v>
      </c>
      <c r="E212" s="1612" t="s">
        <v>31</v>
      </c>
      <c r="F212" s="1629" t="s">
        <v>31</v>
      </c>
      <c r="G212" s="1612"/>
      <c r="H212" s="1612"/>
      <c r="I212" s="1612" t="s">
        <v>31</v>
      </c>
      <c r="J212" s="1612" t="s">
        <v>31</v>
      </c>
      <c r="K212" s="1612" t="s">
        <v>31</v>
      </c>
      <c r="L212" s="1612" t="s">
        <v>31</v>
      </c>
      <c r="M212" s="1612" t="s">
        <v>31</v>
      </c>
      <c r="N212" s="1633"/>
      <c r="O212" s="1633"/>
      <c r="P212" s="1633" t="s">
        <v>31</v>
      </c>
      <c r="Q212" s="1628" t="s">
        <v>31</v>
      </c>
      <c r="R212" s="1633" t="s">
        <v>31</v>
      </c>
      <c r="S212" s="1712" t="s">
        <v>31</v>
      </c>
      <c r="T212" s="1612" t="s">
        <v>31</v>
      </c>
      <c r="U212" s="1633"/>
      <c r="V212" s="1633"/>
      <c r="W212" s="1633" t="s">
        <v>31</v>
      </c>
      <c r="X212" s="1612" t="s">
        <v>31</v>
      </c>
      <c r="Y212" s="1633" t="s">
        <v>31</v>
      </c>
      <c r="Z212" s="1612"/>
      <c r="AA212" s="1612"/>
      <c r="AB212" s="1612"/>
      <c r="AC212" s="1612"/>
      <c r="AD212" s="1712" t="s">
        <v>31</v>
      </c>
      <c r="AE212" s="1712" t="s">
        <v>31</v>
      </c>
      <c r="AF212" s="1712" t="s">
        <v>31</v>
      </c>
      <c r="AG212" s="274"/>
      <c r="AH212" s="184"/>
      <c r="AI212" s="185"/>
    </row>
    <row r="213" spans="1:36" ht="22.15" customHeight="1" x14ac:dyDescent="0.2">
      <c r="A213" s="1488"/>
      <c r="B213" s="1489" t="s">
        <v>279</v>
      </c>
      <c r="C213" s="1612" t="s">
        <v>31</v>
      </c>
      <c r="D213" s="1612" t="s">
        <v>31</v>
      </c>
      <c r="E213" s="1612" t="s">
        <v>31</v>
      </c>
      <c r="F213" s="1629" t="s">
        <v>31</v>
      </c>
      <c r="G213" s="1612"/>
      <c r="H213" s="1612"/>
      <c r="I213" s="1612" t="s">
        <v>31</v>
      </c>
      <c r="J213" s="1612" t="s">
        <v>31</v>
      </c>
      <c r="K213" s="1612" t="s">
        <v>31</v>
      </c>
      <c r="L213" s="1612" t="s">
        <v>31</v>
      </c>
      <c r="M213" s="1612" t="s">
        <v>31</v>
      </c>
      <c r="N213" s="1633"/>
      <c r="O213" s="1633"/>
      <c r="P213" s="1958" t="s">
        <v>31</v>
      </c>
      <c r="Q213" s="1628" t="s">
        <v>31</v>
      </c>
      <c r="R213" s="1633" t="s">
        <v>31</v>
      </c>
      <c r="S213" s="1612" t="s">
        <v>31</v>
      </c>
      <c r="T213" s="1612" t="s">
        <v>31</v>
      </c>
      <c r="U213" s="1633"/>
      <c r="V213" s="1633"/>
      <c r="W213" s="1633" t="s">
        <v>31</v>
      </c>
      <c r="X213" s="1612" t="s">
        <v>31</v>
      </c>
      <c r="Y213" s="1633" t="s">
        <v>31</v>
      </c>
      <c r="Z213" s="1612"/>
      <c r="AA213" s="1612"/>
      <c r="AB213" s="1612"/>
      <c r="AC213" s="1612"/>
      <c r="AD213" s="1958" t="s">
        <v>31</v>
      </c>
      <c r="AE213" s="1958" t="s">
        <v>31</v>
      </c>
      <c r="AF213" s="1958" t="s">
        <v>31</v>
      </c>
      <c r="AG213" s="2193"/>
      <c r="AH213" s="184"/>
      <c r="AI213" s="185"/>
    </row>
    <row r="214" spans="1:36" ht="22.15" customHeight="1" x14ac:dyDescent="0.2">
      <c r="A214" s="2194">
        <v>8514</v>
      </c>
      <c r="B214" s="2142" t="s">
        <v>280</v>
      </c>
      <c r="C214" s="1612" t="s">
        <v>31</v>
      </c>
      <c r="D214" s="1612" t="s">
        <v>31</v>
      </c>
      <c r="E214" s="1612" t="s">
        <v>31</v>
      </c>
      <c r="F214" s="1629" t="s">
        <v>31</v>
      </c>
      <c r="G214" s="1612"/>
      <c r="H214" s="1612"/>
      <c r="I214" s="1612" t="s">
        <v>31</v>
      </c>
      <c r="J214" s="1612" t="s">
        <v>31</v>
      </c>
      <c r="K214" s="1612" t="s">
        <v>31</v>
      </c>
      <c r="L214" s="1612" t="s">
        <v>31</v>
      </c>
      <c r="M214" s="1612" t="s">
        <v>31</v>
      </c>
      <c r="N214" s="2150"/>
      <c r="O214" s="2150"/>
      <c r="P214" s="1633" t="s">
        <v>31</v>
      </c>
      <c r="Q214" s="2195" t="s">
        <v>31</v>
      </c>
      <c r="R214" s="1633" t="s">
        <v>31</v>
      </c>
      <c r="S214" s="1612" t="s">
        <v>31</v>
      </c>
      <c r="T214" s="1612" t="s">
        <v>31</v>
      </c>
      <c r="U214" s="1633"/>
      <c r="V214" s="1633"/>
      <c r="W214" s="1712" t="s">
        <v>31</v>
      </c>
      <c r="X214" s="1712" t="s">
        <v>31</v>
      </c>
      <c r="Y214" s="1712" t="s">
        <v>31</v>
      </c>
      <c r="Z214" s="1612"/>
      <c r="AA214" s="1612"/>
      <c r="AB214" s="1612"/>
      <c r="AC214" s="1612"/>
      <c r="AD214" s="1958" t="s">
        <v>31</v>
      </c>
      <c r="AE214" s="1958" t="s">
        <v>31</v>
      </c>
      <c r="AF214" s="1958" t="s">
        <v>31</v>
      </c>
      <c r="AG214" s="2193"/>
      <c r="AH214" s="189"/>
      <c r="AI214" s="190"/>
    </row>
    <row r="215" spans="1:36" ht="21" customHeight="1" x14ac:dyDescent="0.2">
      <c r="A215" s="2194">
        <v>3701</v>
      </c>
      <c r="B215" s="2142" t="s">
        <v>281</v>
      </c>
      <c r="C215" s="1612" t="s">
        <v>31</v>
      </c>
      <c r="D215" s="1612" t="s">
        <v>31</v>
      </c>
      <c r="E215" s="1612" t="s">
        <v>31</v>
      </c>
      <c r="F215" s="1629" t="s">
        <v>31</v>
      </c>
      <c r="G215" s="1612"/>
      <c r="H215" s="1612"/>
      <c r="I215" s="1612" t="s">
        <v>31</v>
      </c>
      <c r="J215" s="1612" t="s">
        <v>31</v>
      </c>
      <c r="K215" s="1612" t="s">
        <v>31</v>
      </c>
      <c r="L215" s="1612" t="s">
        <v>31</v>
      </c>
      <c r="M215" s="1612" t="s">
        <v>31</v>
      </c>
      <c r="N215" s="1633"/>
      <c r="O215" s="1633"/>
      <c r="P215" s="1612" t="s">
        <v>31</v>
      </c>
      <c r="Q215" s="1612" t="s">
        <v>31</v>
      </c>
      <c r="R215" s="1612" t="s">
        <v>31</v>
      </c>
      <c r="S215" s="1612" t="s">
        <v>31</v>
      </c>
      <c r="T215" s="1612" t="s">
        <v>31</v>
      </c>
      <c r="U215" s="1633"/>
      <c r="V215" s="1633"/>
      <c r="W215" s="1633" t="s">
        <v>31</v>
      </c>
      <c r="X215" s="1612" t="s">
        <v>31</v>
      </c>
      <c r="Y215" s="1633" t="s">
        <v>31</v>
      </c>
      <c r="Z215" s="1612"/>
      <c r="AA215" s="1612"/>
      <c r="AB215" s="1612"/>
      <c r="AC215" s="1612"/>
      <c r="AD215" s="1712" t="s">
        <v>31</v>
      </c>
      <c r="AE215" s="1712" t="s">
        <v>31</v>
      </c>
      <c r="AF215" s="1712" t="s">
        <v>31</v>
      </c>
      <c r="AG215" s="2193"/>
      <c r="AH215" s="189"/>
      <c r="AI215" s="190"/>
    </row>
    <row r="216" spans="1:36" ht="21" customHeight="1" x14ac:dyDescent="0.2">
      <c r="A216" s="2194">
        <v>3701</v>
      </c>
      <c r="B216" s="2142" t="s">
        <v>282</v>
      </c>
      <c r="C216" s="1612" t="s">
        <v>31</v>
      </c>
      <c r="D216" s="1612" t="s">
        <v>31</v>
      </c>
      <c r="E216" s="1612" t="s">
        <v>31</v>
      </c>
      <c r="F216" s="1629" t="s">
        <v>31</v>
      </c>
      <c r="G216" s="1612"/>
      <c r="H216" s="1612"/>
      <c r="I216" s="1612" t="s">
        <v>31</v>
      </c>
      <c r="J216" s="1612" t="s">
        <v>31</v>
      </c>
      <c r="K216" s="1612" t="s">
        <v>31</v>
      </c>
      <c r="L216" s="1612" t="s">
        <v>31</v>
      </c>
      <c r="M216" s="1612" t="s">
        <v>31</v>
      </c>
      <c r="N216" s="1633"/>
      <c r="O216" s="1633"/>
      <c r="P216" s="1633" t="s">
        <v>31</v>
      </c>
      <c r="Q216" s="1628" t="s">
        <v>31</v>
      </c>
      <c r="R216" s="1633" t="s">
        <v>31</v>
      </c>
      <c r="S216" s="1612" t="s">
        <v>31</v>
      </c>
      <c r="T216" s="1612" t="s">
        <v>31</v>
      </c>
      <c r="U216" s="1633"/>
      <c r="V216" s="1633"/>
      <c r="W216" s="1712" t="s">
        <v>31</v>
      </c>
      <c r="X216" s="1712" t="s">
        <v>31</v>
      </c>
      <c r="Y216" s="1712" t="s">
        <v>31</v>
      </c>
      <c r="Z216" s="1612"/>
      <c r="AA216" s="1612"/>
      <c r="AB216" s="1612"/>
      <c r="AC216" s="1612"/>
      <c r="AD216" s="1712" t="s">
        <v>31</v>
      </c>
      <c r="AE216" s="1712" t="s">
        <v>31</v>
      </c>
      <c r="AF216" s="1712" t="s">
        <v>31</v>
      </c>
      <c r="AG216" s="2193"/>
      <c r="AH216" s="189"/>
      <c r="AI216" s="190"/>
      <c r="AJ216" t="s">
        <v>0</v>
      </c>
    </row>
    <row r="217" spans="1:36" ht="21" customHeight="1" x14ac:dyDescent="0.2">
      <c r="A217" s="2194">
        <v>3701</v>
      </c>
      <c r="B217" s="2142" t="s">
        <v>283</v>
      </c>
      <c r="C217" s="1612" t="s">
        <v>31</v>
      </c>
      <c r="D217" s="1612" t="s">
        <v>31</v>
      </c>
      <c r="E217" s="1612" t="s">
        <v>31</v>
      </c>
      <c r="F217" s="1629" t="s">
        <v>31</v>
      </c>
      <c r="G217" s="1612"/>
      <c r="H217" s="1612"/>
      <c r="I217" s="1624" t="s">
        <v>31</v>
      </c>
      <c r="J217" s="1624" t="s">
        <v>31</v>
      </c>
      <c r="K217" s="1612" t="s">
        <v>31</v>
      </c>
      <c r="L217" s="1612" t="s">
        <v>31</v>
      </c>
      <c r="M217" s="1612" t="s">
        <v>31</v>
      </c>
      <c r="N217" s="1633"/>
      <c r="O217" s="1633"/>
      <c r="P217" s="1633" t="s">
        <v>31</v>
      </c>
      <c r="Q217" s="1628" t="s">
        <v>31</v>
      </c>
      <c r="R217" s="1633" t="s">
        <v>31</v>
      </c>
      <c r="S217" s="1612" t="s">
        <v>31</v>
      </c>
      <c r="T217" s="1612" t="s">
        <v>31</v>
      </c>
      <c r="U217" s="1633"/>
      <c r="V217" s="1633"/>
      <c r="W217" s="1633" t="s">
        <v>31</v>
      </c>
      <c r="X217" s="1612" t="s">
        <v>31</v>
      </c>
      <c r="Y217" s="2196" t="s">
        <v>31</v>
      </c>
      <c r="Z217" s="1612"/>
      <c r="AA217" s="1612"/>
      <c r="AB217" s="1612"/>
      <c r="AC217" s="1612"/>
      <c r="AD217" s="2196" t="s">
        <v>31</v>
      </c>
      <c r="AE217" s="1958" t="s">
        <v>31</v>
      </c>
      <c r="AF217" s="1958" t="s">
        <v>31</v>
      </c>
      <c r="AG217" s="2193"/>
      <c r="AH217" s="189"/>
      <c r="AI217" s="190"/>
    </row>
    <row r="218" spans="1:36" ht="21" customHeight="1" x14ac:dyDescent="0.2">
      <c r="A218" s="2194">
        <v>3701</v>
      </c>
      <c r="B218" s="2142" t="s">
        <v>284</v>
      </c>
      <c r="C218" s="1612" t="s">
        <v>31</v>
      </c>
      <c r="D218" s="1612" t="s">
        <v>31</v>
      </c>
      <c r="E218" s="1612" t="s">
        <v>31</v>
      </c>
      <c r="F218" s="1629" t="s">
        <v>31</v>
      </c>
      <c r="G218" s="1612"/>
      <c r="H218" s="1612"/>
      <c r="I218" s="1612" t="s">
        <v>31</v>
      </c>
      <c r="J218" s="1612" t="s">
        <v>31</v>
      </c>
      <c r="K218" s="1612" t="s">
        <v>31</v>
      </c>
      <c r="L218" s="1612" t="s">
        <v>31</v>
      </c>
      <c r="M218" s="1612" t="s">
        <v>31</v>
      </c>
      <c r="N218" s="1633"/>
      <c r="O218" s="1633"/>
      <c r="P218" s="1633" t="s">
        <v>31</v>
      </c>
      <c r="Q218" s="1628" t="s">
        <v>31</v>
      </c>
      <c r="R218" s="1633" t="s">
        <v>31</v>
      </c>
      <c r="S218" s="1612" t="s">
        <v>31</v>
      </c>
      <c r="T218" s="1612" t="s">
        <v>31</v>
      </c>
      <c r="U218" s="1633"/>
      <c r="V218" s="1633"/>
      <c r="W218" s="1633" t="s">
        <v>31</v>
      </c>
      <c r="X218" s="1612" t="s">
        <v>31</v>
      </c>
      <c r="Y218" s="1633" t="s">
        <v>31</v>
      </c>
      <c r="Z218" s="1612"/>
      <c r="AA218" s="1612"/>
      <c r="AB218" s="1612"/>
      <c r="AC218" s="1612"/>
      <c r="AD218" s="1958" t="s">
        <v>31</v>
      </c>
      <c r="AE218" s="1958" t="s">
        <v>31</v>
      </c>
      <c r="AF218" s="1958" t="s">
        <v>31</v>
      </c>
      <c r="AG218" s="2193"/>
      <c r="AH218" s="189"/>
      <c r="AI218" s="190"/>
    </row>
    <row r="219" spans="1:36" ht="22.15" customHeight="1" x14ac:dyDescent="0.2">
      <c r="A219" s="2194">
        <v>3701</v>
      </c>
      <c r="B219" s="2142" t="s">
        <v>285</v>
      </c>
      <c r="C219" s="1612" t="s">
        <v>31</v>
      </c>
      <c r="D219" s="1612" t="s">
        <v>31</v>
      </c>
      <c r="E219" s="1612" t="s">
        <v>31</v>
      </c>
      <c r="F219" s="1629" t="s">
        <v>31</v>
      </c>
      <c r="G219" s="1612"/>
      <c r="H219" s="1612"/>
      <c r="I219" s="1612" t="s">
        <v>31</v>
      </c>
      <c r="J219" s="1612" t="s">
        <v>31</v>
      </c>
      <c r="K219" s="1612" t="s">
        <v>31</v>
      </c>
      <c r="L219" s="1612" t="s">
        <v>31</v>
      </c>
      <c r="M219" s="1612" t="s">
        <v>31</v>
      </c>
      <c r="N219" s="1633"/>
      <c r="O219" s="1633"/>
      <c r="P219" s="1633" t="s">
        <v>31</v>
      </c>
      <c r="Q219" s="1628" t="s">
        <v>31</v>
      </c>
      <c r="R219" s="1633" t="s">
        <v>31</v>
      </c>
      <c r="S219" s="1612" t="s">
        <v>31</v>
      </c>
      <c r="T219" s="1612" t="s">
        <v>31</v>
      </c>
      <c r="U219" s="1633"/>
      <c r="V219" s="1633"/>
      <c r="W219" s="1633" t="s">
        <v>31</v>
      </c>
      <c r="X219" s="1612" t="s">
        <v>31</v>
      </c>
      <c r="Y219" s="1633" t="s">
        <v>31</v>
      </c>
      <c r="Z219" s="1612"/>
      <c r="AA219" s="1612"/>
      <c r="AB219" s="1612"/>
      <c r="AC219" s="1612"/>
      <c r="AD219" s="1712" t="s">
        <v>31</v>
      </c>
      <c r="AE219" s="1712" t="s">
        <v>31</v>
      </c>
      <c r="AF219" s="1712" t="s">
        <v>31</v>
      </c>
      <c r="AG219" s="2193"/>
      <c r="AH219" s="189"/>
      <c r="AI219" s="190"/>
    </row>
    <row r="220" spans="1:36" ht="22.15" customHeight="1" x14ac:dyDescent="0.2">
      <c r="A220" s="2194">
        <v>3701</v>
      </c>
      <c r="B220" s="2142" t="s">
        <v>286</v>
      </c>
      <c r="C220" s="1612" t="s">
        <v>31</v>
      </c>
      <c r="D220" s="1612" t="s">
        <v>31</v>
      </c>
      <c r="E220" s="1612" t="s">
        <v>31</v>
      </c>
      <c r="F220" s="1629" t="s">
        <v>31</v>
      </c>
      <c r="G220" s="1612"/>
      <c r="H220" s="1612"/>
      <c r="I220" s="1612" t="s">
        <v>31</v>
      </c>
      <c r="J220" s="1612" t="s">
        <v>31</v>
      </c>
      <c r="K220" s="1612" t="s">
        <v>31</v>
      </c>
      <c r="L220" s="1612" t="s">
        <v>31</v>
      </c>
      <c r="M220" s="1612" t="s">
        <v>31</v>
      </c>
      <c r="N220" s="1633"/>
      <c r="O220" s="1633"/>
      <c r="P220" s="1633" t="s">
        <v>31</v>
      </c>
      <c r="Q220" s="1628" t="s">
        <v>31</v>
      </c>
      <c r="R220" s="1633" t="s">
        <v>31</v>
      </c>
      <c r="S220" s="1612" t="s">
        <v>31</v>
      </c>
      <c r="T220" s="1612" t="s">
        <v>31</v>
      </c>
      <c r="U220" s="1633"/>
      <c r="V220" s="1633"/>
      <c r="W220" s="1633" t="s">
        <v>31</v>
      </c>
      <c r="X220" s="1612" t="s">
        <v>31</v>
      </c>
      <c r="Y220" s="1633" t="s">
        <v>31</v>
      </c>
      <c r="Z220" s="1612"/>
      <c r="AA220" s="1612"/>
      <c r="AB220" s="1612"/>
      <c r="AC220" s="1612"/>
      <c r="AD220" s="2197" t="s">
        <v>31</v>
      </c>
      <c r="AE220" s="2197" t="s">
        <v>31</v>
      </c>
      <c r="AF220" s="1712" t="s">
        <v>31</v>
      </c>
      <c r="AG220" s="2193"/>
      <c r="AH220" s="189"/>
      <c r="AI220" s="190"/>
    </row>
    <row r="221" spans="1:36" ht="22.15" customHeight="1" x14ac:dyDescent="0.2">
      <c r="A221" s="2194">
        <v>3701</v>
      </c>
      <c r="B221" s="2142"/>
      <c r="C221" s="1612" t="s">
        <v>31</v>
      </c>
      <c r="D221" s="1612" t="s">
        <v>31</v>
      </c>
      <c r="E221" s="1612" t="s">
        <v>31</v>
      </c>
      <c r="F221" s="1629" t="s">
        <v>31</v>
      </c>
      <c r="G221" s="1612"/>
      <c r="H221" s="1612"/>
      <c r="I221" s="1612" t="s">
        <v>31</v>
      </c>
      <c r="J221" s="1612" t="s">
        <v>31</v>
      </c>
      <c r="K221" s="1612" t="s">
        <v>31</v>
      </c>
      <c r="L221" s="1612" t="s">
        <v>31</v>
      </c>
      <c r="M221" s="1612" t="s">
        <v>31</v>
      </c>
      <c r="N221" s="1633"/>
      <c r="O221" s="1633"/>
      <c r="P221" s="1633" t="s">
        <v>31</v>
      </c>
      <c r="Q221" s="1628" t="s">
        <v>31</v>
      </c>
      <c r="R221" s="1633" t="s">
        <v>31</v>
      </c>
      <c r="S221" s="1612" t="s">
        <v>31</v>
      </c>
      <c r="T221" s="1612" t="s">
        <v>31</v>
      </c>
      <c r="U221" s="1633"/>
      <c r="V221" s="1633"/>
      <c r="W221" s="1633" t="s">
        <v>31</v>
      </c>
      <c r="X221" s="1612" t="s">
        <v>31</v>
      </c>
      <c r="Y221" s="1633" t="s">
        <v>31</v>
      </c>
      <c r="Z221" s="1612"/>
      <c r="AA221" s="1612"/>
      <c r="AB221" s="1612"/>
      <c r="AC221" s="1612"/>
      <c r="AD221" s="1629" t="s">
        <v>31</v>
      </c>
      <c r="AE221" s="1612" t="s">
        <v>31</v>
      </c>
      <c r="AF221" s="1629" t="s">
        <v>31</v>
      </c>
      <c r="AG221" s="2193"/>
      <c r="AH221" s="189"/>
      <c r="AI221" s="190"/>
    </row>
    <row r="222" spans="1:36" ht="22.15" customHeight="1" x14ac:dyDescent="0.2">
      <c r="A222" s="2198">
        <v>3701</v>
      </c>
      <c r="B222" s="2142" t="s">
        <v>290</v>
      </c>
      <c r="C222" s="1623" t="s">
        <v>31</v>
      </c>
      <c r="D222" s="1623" t="s">
        <v>31</v>
      </c>
      <c r="E222" s="1623" t="s">
        <v>31</v>
      </c>
      <c r="F222" s="1623" t="s">
        <v>31</v>
      </c>
      <c r="G222" s="1623"/>
      <c r="H222" s="1623"/>
      <c r="I222" s="1623" t="s">
        <v>289</v>
      </c>
      <c r="J222" s="1612" t="s">
        <v>31</v>
      </c>
      <c r="K222" s="1612" t="s">
        <v>31</v>
      </c>
      <c r="L222" s="1612" t="s">
        <v>31</v>
      </c>
      <c r="M222" s="1612" t="s">
        <v>31</v>
      </c>
      <c r="N222" s="1633"/>
      <c r="O222" s="1633"/>
      <c r="P222" s="1633" t="s">
        <v>31</v>
      </c>
      <c r="Q222" s="1628" t="s">
        <v>31</v>
      </c>
      <c r="R222" s="1633" t="s">
        <v>31</v>
      </c>
      <c r="S222" s="1612" t="s">
        <v>31</v>
      </c>
      <c r="T222" s="1612" t="s">
        <v>31</v>
      </c>
      <c r="U222" s="1633"/>
      <c r="V222" s="1633"/>
      <c r="W222" s="1633" t="s">
        <v>31</v>
      </c>
      <c r="X222" s="1612" t="s">
        <v>31</v>
      </c>
      <c r="Y222" s="1712" t="s">
        <v>31</v>
      </c>
      <c r="Z222" s="1612"/>
      <c r="AA222" s="1612"/>
      <c r="AB222" s="1612"/>
      <c r="AC222" s="1612"/>
      <c r="AD222" s="1712" t="s">
        <v>31</v>
      </c>
      <c r="AE222" s="1712" t="s">
        <v>31</v>
      </c>
      <c r="AF222" s="1712" t="s">
        <v>31</v>
      </c>
      <c r="AG222" s="2193"/>
      <c r="AH222" s="189"/>
      <c r="AI222" s="190"/>
    </row>
    <row r="223" spans="1:36" ht="22.15" customHeight="1" x14ac:dyDescent="0.2">
      <c r="A223" s="2194">
        <v>3701</v>
      </c>
      <c r="B223" s="2142" t="s">
        <v>291</v>
      </c>
      <c r="C223" s="1612" t="s">
        <v>31</v>
      </c>
      <c r="D223" s="1612" t="s">
        <v>31</v>
      </c>
      <c r="E223" s="1612" t="s">
        <v>31</v>
      </c>
      <c r="F223" s="1629" t="s">
        <v>31</v>
      </c>
      <c r="G223" s="1612"/>
      <c r="H223" s="1612"/>
      <c r="I223" s="1612" t="s">
        <v>31</v>
      </c>
      <c r="J223" s="1612" t="s">
        <v>31</v>
      </c>
      <c r="K223" s="1612" t="s">
        <v>31</v>
      </c>
      <c r="L223" s="1612" t="s">
        <v>31</v>
      </c>
      <c r="M223" s="1612" t="s">
        <v>31</v>
      </c>
      <c r="N223" s="1633"/>
      <c r="O223" s="1633"/>
      <c r="P223" s="1633" t="s">
        <v>31</v>
      </c>
      <c r="Q223" s="1628" t="s">
        <v>31</v>
      </c>
      <c r="R223" s="1633" t="s">
        <v>31</v>
      </c>
      <c r="S223" s="1623" t="s">
        <v>31</v>
      </c>
      <c r="T223" s="1623" t="s">
        <v>289</v>
      </c>
      <c r="U223" s="1633"/>
      <c r="V223" s="1633"/>
      <c r="W223" s="1633" t="s">
        <v>31</v>
      </c>
      <c r="X223" s="1612" t="s">
        <v>31</v>
      </c>
      <c r="Y223" s="1633" t="s">
        <v>31</v>
      </c>
      <c r="Z223" s="1612"/>
      <c r="AA223" s="1612"/>
      <c r="AB223" s="1612"/>
      <c r="AC223" s="1612"/>
      <c r="AD223" s="1712" t="s">
        <v>31</v>
      </c>
      <c r="AE223" s="1712" t="s">
        <v>31</v>
      </c>
      <c r="AF223" s="1712" t="s">
        <v>31</v>
      </c>
      <c r="AG223" s="2199"/>
      <c r="AH223" s="189"/>
      <c r="AI223" s="190"/>
    </row>
    <row r="224" spans="1:36" ht="22.15" customHeight="1" x14ac:dyDescent="0.2">
      <c r="A224" s="2194">
        <v>3701</v>
      </c>
      <c r="B224" s="2142" t="s">
        <v>292</v>
      </c>
      <c r="C224" s="1612" t="s">
        <v>31</v>
      </c>
      <c r="D224" s="1612" t="s">
        <v>31</v>
      </c>
      <c r="E224" s="1612" t="s">
        <v>31</v>
      </c>
      <c r="F224" s="1629" t="s">
        <v>31</v>
      </c>
      <c r="G224" s="1612"/>
      <c r="H224" s="1612"/>
      <c r="I224" s="1612" t="s">
        <v>31</v>
      </c>
      <c r="J224" s="1612" t="s">
        <v>31</v>
      </c>
      <c r="K224" s="1612" t="s">
        <v>31</v>
      </c>
      <c r="L224" s="1612" t="s">
        <v>31</v>
      </c>
      <c r="M224" s="1612" t="s">
        <v>31</v>
      </c>
      <c r="N224" s="1633"/>
      <c r="O224" s="1633"/>
      <c r="P224" s="1633" t="s">
        <v>31</v>
      </c>
      <c r="Q224" s="1628" t="s">
        <v>31</v>
      </c>
      <c r="R224" s="1633" t="s">
        <v>31</v>
      </c>
      <c r="S224" s="1612" t="s">
        <v>31</v>
      </c>
      <c r="T224" s="1612" t="s">
        <v>31</v>
      </c>
      <c r="U224" s="1633"/>
      <c r="V224" s="1633"/>
      <c r="W224" s="1633" t="s">
        <v>31</v>
      </c>
      <c r="X224" s="1612" t="s">
        <v>31</v>
      </c>
      <c r="Y224" s="1712" t="s">
        <v>31</v>
      </c>
      <c r="Z224" s="1612"/>
      <c r="AA224" s="1612"/>
      <c r="AB224" s="1612"/>
      <c r="AC224" s="1612"/>
      <c r="AD224" s="1712" t="s">
        <v>31</v>
      </c>
      <c r="AE224" s="1712" t="s">
        <v>31</v>
      </c>
      <c r="AF224" s="1712" t="s">
        <v>31</v>
      </c>
      <c r="AG224" s="2200"/>
      <c r="AH224" s="189"/>
      <c r="AI224" s="190"/>
    </row>
    <row r="225" spans="1:35" ht="22.15" customHeight="1" x14ac:dyDescent="0.2">
      <c r="A225" s="2194"/>
      <c r="B225" s="2201"/>
      <c r="C225" s="1612" t="s">
        <v>31</v>
      </c>
      <c r="D225" s="1612" t="s">
        <v>31</v>
      </c>
      <c r="E225" s="1612" t="s">
        <v>31</v>
      </c>
      <c r="F225" s="1629" t="s">
        <v>31</v>
      </c>
      <c r="G225" s="1612"/>
      <c r="H225" s="1612"/>
      <c r="I225" s="1612" t="s">
        <v>31</v>
      </c>
      <c r="J225" s="1612" t="s">
        <v>31</v>
      </c>
      <c r="K225" s="1612" t="s">
        <v>31</v>
      </c>
      <c r="L225" s="1612" t="s">
        <v>31</v>
      </c>
      <c r="M225" s="1612" t="s">
        <v>31</v>
      </c>
      <c r="N225" s="1633"/>
      <c r="O225" s="1633"/>
      <c r="P225" s="1633" t="s">
        <v>31</v>
      </c>
      <c r="Q225" s="1628" t="s">
        <v>31</v>
      </c>
      <c r="R225" s="1633" t="s">
        <v>31</v>
      </c>
      <c r="S225" s="1612" t="s">
        <v>31</v>
      </c>
      <c r="T225" s="1612" t="s">
        <v>31</v>
      </c>
      <c r="U225" s="1633"/>
      <c r="V225" s="1633"/>
      <c r="W225" s="1633" t="s">
        <v>31</v>
      </c>
      <c r="X225" s="1612" t="s">
        <v>31</v>
      </c>
      <c r="Y225" s="1633" t="s">
        <v>31</v>
      </c>
      <c r="Z225" s="1612"/>
      <c r="AA225" s="1612"/>
      <c r="AB225" s="1612"/>
      <c r="AC225" s="1612"/>
      <c r="AD225" s="1629" t="s">
        <v>31</v>
      </c>
      <c r="AE225" s="1612" t="s">
        <v>31</v>
      </c>
      <c r="AF225" s="1629" t="s">
        <v>31</v>
      </c>
      <c r="AG225" s="2193"/>
      <c r="AH225" s="189"/>
      <c r="AI225" s="190"/>
    </row>
    <row r="226" spans="1:35" ht="22.15" customHeight="1" x14ac:dyDescent="0.2">
      <c r="A226" s="2194"/>
      <c r="B226" s="2142" t="s">
        <v>293</v>
      </c>
      <c r="C226" s="1612" t="s">
        <v>31</v>
      </c>
      <c r="D226" s="1612" t="s">
        <v>31</v>
      </c>
      <c r="E226" s="1612" t="s">
        <v>31</v>
      </c>
      <c r="F226" s="1629" t="s">
        <v>31</v>
      </c>
      <c r="G226" s="1612"/>
      <c r="H226" s="1612"/>
      <c r="I226" s="1612" t="s">
        <v>31</v>
      </c>
      <c r="J226" s="1612" t="s">
        <v>31</v>
      </c>
      <c r="K226" s="1612" t="s">
        <v>31</v>
      </c>
      <c r="L226" s="1612" t="s">
        <v>31</v>
      </c>
      <c r="M226" s="1612" t="s">
        <v>31</v>
      </c>
      <c r="N226" s="1633"/>
      <c r="O226" s="1633"/>
      <c r="P226" s="1633" t="s">
        <v>31</v>
      </c>
      <c r="Q226" s="1628" t="s">
        <v>31</v>
      </c>
      <c r="R226" s="1633" t="s">
        <v>31</v>
      </c>
      <c r="S226" s="1612" t="s">
        <v>31</v>
      </c>
      <c r="T226" s="1612" t="s">
        <v>31</v>
      </c>
      <c r="U226" s="1633"/>
      <c r="V226" s="1633"/>
      <c r="W226" s="1633" t="s">
        <v>31</v>
      </c>
      <c r="X226" s="1612" t="s">
        <v>31</v>
      </c>
      <c r="Y226" s="1633" t="s">
        <v>31</v>
      </c>
      <c r="Z226" s="1612"/>
      <c r="AA226" s="1612"/>
      <c r="AB226" s="1612"/>
      <c r="AC226" s="1612"/>
      <c r="AD226" s="1629" t="s">
        <v>31</v>
      </c>
      <c r="AE226" s="2196" t="s">
        <v>31</v>
      </c>
      <c r="AF226" s="1629" t="s">
        <v>31</v>
      </c>
      <c r="AG226" s="2193"/>
      <c r="AH226" s="189"/>
      <c r="AI226" s="190"/>
    </row>
    <row r="227" spans="1:35" ht="22.15" customHeight="1" x14ac:dyDescent="0.2">
      <c r="A227" s="2194"/>
      <c r="B227" s="2142" t="s">
        <v>294</v>
      </c>
      <c r="C227" s="1612" t="s">
        <v>31</v>
      </c>
      <c r="D227" s="1612" t="s">
        <v>31</v>
      </c>
      <c r="E227" s="1612" t="s">
        <v>31</v>
      </c>
      <c r="F227" s="1629" t="s">
        <v>31</v>
      </c>
      <c r="G227" s="1612"/>
      <c r="H227" s="1612"/>
      <c r="I227" s="1612" t="s">
        <v>31</v>
      </c>
      <c r="J227" s="1612" t="s">
        <v>31</v>
      </c>
      <c r="K227" s="1612" t="s">
        <v>31</v>
      </c>
      <c r="L227" s="1612" t="s">
        <v>31</v>
      </c>
      <c r="M227" s="1612" t="s">
        <v>31</v>
      </c>
      <c r="N227" s="1633"/>
      <c r="O227" s="1633"/>
      <c r="P227" s="1633" t="s">
        <v>31</v>
      </c>
      <c r="Q227" s="1628" t="s">
        <v>31</v>
      </c>
      <c r="R227" s="1633" t="s">
        <v>31</v>
      </c>
      <c r="S227" s="1612" t="s">
        <v>31</v>
      </c>
      <c r="T227" s="1612" t="s">
        <v>31</v>
      </c>
      <c r="U227" s="1633"/>
      <c r="V227" s="1633"/>
      <c r="W227" s="1633" t="s">
        <v>31</v>
      </c>
      <c r="X227" s="1612" t="s">
        <v>31</v>
      </c>
      <c r="Y227" s="1633" t="s">
        <v>31</v>
      </c>
      <c r="Z227" s="1612"/>
      <c r="AA227" s="1612"/>
      <c r="AB227" s="1612"/>
      <c r="AC227" s="1612"/>
      <c r="AD227" s="1629" t="s">
        <v>31</v>
      </c>
      <c r="AE227" s="1612" t="s">
        <v>31</v>
      </c>
      <c r="AF227" s="1629" t="s">
        <v>31</v>
      </c>
      <c r="AG227" s="2193"/>
      <c r="AH227" s="189"/>
      <c r="AI227" s="190"/>
    </row>
    <row r="228" spans="1:35" ht="22.15" customHeight="1" x14ac:dyDescent="0.2">
      <c r="A228" s="2194"/>
      <c r="B228" s="2142" t="s">
        <v>295</v>
      </c>
      <c r="C228" s="1612" t="s">
        <v>31</v>
      </c>
      <c r="D228" s="1612" t="s">
        <v>31</v>
      </c>
      <c r="E228" s="1612" t="s">
        <v>31</v>
      </c>
      <c r="F228" s="1629" t="s">
        <v>31</v>
      </c>
      <c r="G228" s="1612"/>
      <c r="H228" s="1612"/>
      <c r="I228" s="1612" t="s">
        <v>31</v>
      </c>
      <c r="J228" s="1612" t="s">
        <v>31</v>
      </c>
      <c r="K228" s="1612" t="s">
        <v>31</v>
      </c>
      <c r="L228" s="1612" t="s">
        <v>31</v>
      </c>
      <c r="M228" s="1612" t="s">
        <v>31</v>
      </c>
      <c r="N228" s="1633"/>
      <c r="O228" s="1633"/>
      <c r="P228" s="1633" t="s">
        <v>31</v>
      </c>
      <c r="Q228" s="1628" t="s">
        <v>31</v>
      </c>
      <c r="R228" s="1633" t="s">
        <v>31</v>
      </c>
      <c r="S228" s="1612" t="s">
        <v>31</v>
      </c>
      <c r="T228" s="1612" t="s">
        <v>31</v>
      </c>
      <c r="U228" s="1633"/>
      <c r="V228" s="1633"/>
      <c r="W228" s="1633" t="s">
        <v>31</v>
      </c>
      <c r="X228" s="1612" t="s">
        <v>31</v>
      </c>
      <c r="Y228" s="1712" t="s">
        <v>31</v>
      </c>
      <c r="Z228" s="1612"/>
      <c r="AA228" s="1612"/>
      <c r="AB228" s="1612"/>
      <c r="AC228" s="1612"/>
      <c r="AD228" s="1712" t="s">
        <v>31</v>
      </c>
      <c r="AE228" s="1712" t="s">
        <v>31</v>
      </c>
      <c r="AF228" s="1712" t="s">
        <v>31</v>
      </c>
      <c r="AG228" s="2193"/>
      <c r="AH228" s="189"/>
      <c r="AI228" s="190"/>
    </row>
    <row r="229" spans="1:35" ht="22.15" customHeight="1" x14ac:dyDescent="0.2">
      <c r="A229" s="2194"/>
      <c r="B229" s="2142" t="s">
        <v>296</v>
      </c>
      <c r="C229" s="1612" t="s">
        <v>31</v>
      </c>
      <c r="D229" s="1612" t="s">
        <v>31</v>
      </c>
      <c r="E229" s="1612" t="s">
        <v>31</v>
      </c>
      <c r="F229" s="1629" t="s">
        <v>31</v>
      </c>
      <c r="G229" s="1612"/>
      <c r="H229" s="1612"/>
      <c r="I229" s="1612" t="s">
        <v>31</v>
      </c>
      <c r="J229" s="1612" t="s">
        <v>31</v>
      </c>
      <c r="K229" s="1612" t="s">
        <v>31</v>
      </c>
      <c r="L229" s="1612" t="s">
        <v>31</v>
      </c>
      <c r="M229" s="1612" t="s">
        <v>31</v>
      </c>
      <c r="N229" s="1633"/>
      <c r="O229" s="1633"/>
      <c r="P229" s="1633" t="s">
        <v>31</v>
      </c>
      <c r="Q229" s="1628" t="s">
        <v>31</v>
      </c>
      <c r="R229" s="1633" t="s">
        <v>31</v>
      </c>
      <c r="S229" s="1612" t="s">
        <v>31</v>
      </c>
      <c r="T229" s="1612" t="s">
        <v>31</v>
      </c>
      <c r="U229" s="1633"/>
      <c r="V229" s="1633"/>
      <c r="W229" s="1633" t="s">
        <v>31</v>
      </c>
      <c r="X229" s="1612" t="s">
        <v>31</v>
      </c>
      <c r="Y229" s="1633" t="s">
        <v>31</v>
      </c>
      <c r="Z229" s="1612"/>
      <c r="AA229" s="1612"/>
      <c r="AB229" s="1612"/>
      <c r="AC229" s="1612"/>
      <c r="AD229" s="1629" t="s">
        <v>31</v>
      </c>
      <c r="AE229" s="1612" t="s">
        <v>31</v>
      </c>
      <c r="AF229" s="1712" t="s">
        <v>31</v>
      </c>
      <c r="AG229" s="2199"/>
      <c r="AH229" s="189"/>
      <c r="AI229" s="190"/>
    </row>
    <row r="230" spans="1:35" ht="22.15" customHeight="1" x14ac:dyDescent="0.2">
      <c r="A230" s="2194"/>
      <c r="B230" s="2202" t="s">
        <v>297</v>
      </c>
      <c r="C230" s="1629"/>
      <c r="D230" s="1629"/>
      <c r="E230" s="1629"/>
      <c r="F230" s="1625"/>
      <c r="G230" s="1633"/>
      <c r="H230" s="1633"/>
      <c r="I230" s="1629"/>
      <c r="J230" s="1629"/>
      <c r="K230" s="1629"/>
      <c r="L230" s="1629"/>
      <c r="M230" s="1629"/>
      <c r="N230" s="1612"/>
      <c r="O230" s="1629"/>
      <c r="P230" s="1629"/>
      <c r="Q230" s="1629"/>
      <c r="R230" s="1629"/>
      <c r="S230" s="1629"/>
      <c r="T230" s="1629"/>
      <c r="U230" s="1629"/>
      <c r="V230" s="1629"/>
      <c r="W230" s="1629"/>
      <c r="X230" s="1629"/>
      <c r="Y230" s="1628"/>
      <c r="Z230" s="1628"/>
      <c r="AA230" s="1628"/>
      <c r="AB230" s="1629"/>
      <c r="AC230" s="1629"/>
      <c r="AD230" s="1629"/>
      <c r="AE230" s="1629"/>
      <c r="AF230" s="1612"/>
      <c r="AG230" s="2193"/>
      <c r="AH230" s="186"/>
      <c r="AI230" s="107"/>
    </row>
    <row r="231" spans="1:35" ht="22.15" customHeight="1" x14ac:dyDescent="0.2">
      <c r="A231" s="2194"/>
      <c r="B231" s="2142"/>
      <c r="C231" s="1629"/>
      <c r="D231" s="1629"/>
      <c r="E231" s="1629"/>
      <c r="F231" s="1625"/>
      <c r="G231" s="1633"/>
      <c r="H231" s="1633"/>
      <c r="I231" s="1629"/>
      <c r="J231" s="1629"/>
      <c r="K231" s="1629"/>
      <c r="L231" s="1629"/>
      <c r="M231" s="1629"/>
      <c r="N231" s="1612"/>
      <c r="O231" s="1629"/>
      <c r="P231" s="1629"/>
      <c r="Q231" s="1629"/>
      <c r="R231" s="1629"/>
      <c r="S231" s="1629"/>
      <c r="T231" s="1629"/>
      <c r="U231" s="1629"/>
      <c r="V231" s="1629"/>
      <c r="W231" s="1629"/>
      <c r="X231" s="1629"/>
      <c r="Y231" s="1628"/>
      <c r="Z231" s="1628"/>
      <c r="AA231" s="1628"/>
      <c r="AB231" s="1629"/>
      <c r="AC231" s="1629"/>
      <c r="AD231" s="1629"/>
      <c r="AE231" s="1629"/>
      <c r="AF231" s="1612"/>
      <c r="AG231" s="2203"/>
      <c r="AH231" s="186"/>
      <c r="AI231" s="107"/>
    </row>
    <row r="232" spans="1:35" ht="22.15" customHeight="1" x14ac:dyDescent="0.2">
      <c r="A232" s="2204"/>
      <c r="B232" s="1889" t="s">
        <v>298</v>
      </c>
      <c r="C232" s="1629"/>
      <c r="D232" s="1629"/>
      <c r="E232" s="1629"/>
      <c r="F232" s="1629"/>
      <c r="G232" s="1629"/>
      <c r="H232" s="1629"/>
      <c r="I232" s="1629"/>
      <c r="J232" s="1629"/>
      <c r="K232" s="1629"/>
      <c r="L232" s="1629"/>
      <c r="M232" s="1629"/>
      <c r="N232" s="1629"/>
      <c r="O232" s="1629"/>
      <c r="P232" s="1629"/>
      <c r="Q232" s="1629"/>
      <c r="R232" s="1629"/>
      <c r="S232" s="1629"/>
      <c r="T232" s="1629"/>
      <c r="U232" s="1629"/>
      <c r="V232" s="1629"/>
      <c r="W232" s="1629"/>
      <c r="X232" s="1629"/>
      <c r="Y232" s="1629"/>
      <c r="Z232" s="1629"/>
      <c r="AA232" s="1629"/>
      <c r="AB232" s="1629"/>
      <c r="AC232" s="1629"/>
      <c r="AD232" s="1629"/>
      <c r="AE232" s="1629"/>
      <c r="AF232" s="1629"/>
      <c r="AG232" s="2193"/>
      <c r="AH232" s="186"/>
      <c r="AI232" s="107"/>
    </row>
    <row r="233" spans="1:35" ht="22.15" customHeight="1" x14ac:dyDescent="0.2">
      <c r="A233" s="2204"/>
      <c r="B233" s="2142"/>
      <c r="C233" s="1612"/>
      <c r="D233" s="1612"/>
      <c r="E233" s="1612"/>
      <c r="F233" s="1629"/>
      <c r="G233" s="1612"/>
      <c r="H233" s="1612"/>
      <c r="I233" s="1612"/>
      <c r="J233" s="1612"/>
      <c r="K233" s="1612"/>
      <c r="L233" s="1612"/>
      <c r="M233" s="1612"/>
      <c r="N233" s="1633"/>
      <c r="O233" s="1633"/>
      <c r="P233" s="1633"/>
      <c r="Q233" s="1628"/>
      <c r="R233" s="1633"/>
      <c r="S233" s="1612"/>
      <c r="T233" s="1612"/>
      <c r="U233" s="1633"/>
      <c r="V233" s="1633"/>
      <c r="W233" s="1633"/>
      <c r="X233" s="1612"/>
      <c r="Y233" s="1633"/>
      <c r="Z233" s="1612"/>
      <c r="AA233" s="1612"/>
      <c r="AB233" s="1612"/>
      <c r="AC233" s="1612"/>
      <c r="AD233" s="1629"/>
      <c r="AE233" s="1612"/>
      <c r="AF233" s="1629"/>
      <c r="AG233" s="2203"/>
      <c r="AH233" s="186"/>
      <c r="AI233" s="107"/>
    </row>
    <row r="234" spans="1:35" ht="22.15" customHeight="1" x14ac:dyDescent="0.2">
      <c r="A234" s="2204"/>
      <c r="B234" s="2204"/>
      <c r="C234" s="1629"/>
      <c r="D234" s="1629"/>
      <c r="E234" s="1629"/>
      <c r="F234" s="1629"/>
      <c r="G234" s="1629"/>
      <c r="H234" s="1629"/>
      <c r="I234" s="1629"/>
      <c r="J234" s="1629"/>
      <c r="K234" s="1629"/>
      <c r="L234" s="1629"/>
      <c r="M234" s="1629"/>
      <c r="N234" s="1629"/>
      <c r="O234" s="1629"/>
      <c r="P234" s="1629"/>
      <c r="Q234" s="1629"/>
      <c r="R234" s="1629"/>
      <c r="S234" s="1629"/>
      <c r="T234" s="1629"/>
      <c r="U234" s="1629"/>
      <c r="V234" s="1629"/>
      <c r="W234" s="1629"/>
      <c r="X234" s="1629"/>
      <c r="Y234" s="1629"/>
      <c r="Z234" s="1629"/>
      <c r="AA234" s="1629"/>
      <c r="AB234" s="1629"/>
      <c r="AC234" s="1629"/>
      <c r="AD234" s="1629"/>
      <c r="AE234" s="1629"/>
      <c r="AF234" s="1629"/>
      <c r="AG234" s="2193"/>
      <c r="AH234" s="186"/>
      <c r="AI234" s="107"/>
    </row>
    <row r="235" spans="1:35" ht="22.15" customHeight="1" x14ac:dyDescent="0.2">
      <c r="A235" s="2204"/>
      <c r="B235" s="2204"/>
      <c r="C235" s="1629"/>
      <c r="D235" s="1629"/>
      <c r="E235" s="1629"/>
      <c r="F235" s="1629"/>
      <c r="G235" s="1629"/>
      <c r="H235" s="2205"/>
      <c r="I235" s="1629"/>
      <c r="J235" s="1629"/>
      <c r="K235" s="1629"/>
      <c r="L235" s="1629"/>
      <c r="M235" s="1629"/>
      <c r="N235" s="1629"/>
      <c r="O235" s="1629"/>
      <c r="P235" s="1629"/>
      <c r="Q235" s="1629"/>
      <c r="R235" s="1629"/>
      <c r="S235" s="1629"/>
      <c r="T235" s="1629"/>
      <c r="U235" s="1629"/>
      <c r="V235" s="1629"/>
      <c r="W235" s="1629"/>
      <c r="X235" s="1629"/>
      <c r="Y235" s="1629"/>
      <c r="Z235" s="1629"/>
      <c r="AA235" s="1629"/>
      <c r="AB235" s="1629"/>
      <c r="AC235" s="1629"/>
      <c r="AD235" s="1629"/>
      <c r="AE235" s="1629"/>
      <c r="AF235" s="1629"/>
      <c r="AG235" s="2203"/>
      <c r="AH235" s="186"/>
      <c r="AI235" s="107"/>
    </row>
    <row r="236" spans="1:35" ht="22.15" customHeight="1" x14ac:dyDescent="0.2">
      <c r="A236" s="2194"/>
      <c r="B236" s="2201"/>
      <c r="C236" s="1629"/>
      <c r="D236" s="1629"/>
      <c r="E236" s="1629"/>
      <c r="F236" s="1629"/>
      <c r="G236" s="1629"/>
      <c r="H236" s="1629"/>
      <c r="I236" s="1629"/>
      <c r="J236" s="1629"/>
      <c r="K236" s="1629"/>
      <c r="L236" s="1629"/>
      <c r="M236" s="1629"/>
      <c r="N236" s="1629"/>
      <c r="O236" s="1629"/>
      <c r="P236" s="1629"/>
      <c r="Q236" s="1629"/>
      <c r="R236" s="1629"/>
      <c r="S236" s="1629"/>
      <c r="T236" s="1629"/>
      <c r="U236" s="1629"/>
      <c r="V236" s="1629"/>
      <c r="W236" s="1629"/>
      <c r="X236" s="1629"/>
      <c r="Y236" s="1629"/>
      <c r="Z236" s="1629"/>
      <c r="AA236" s="1629"/>
      <c r="AB236" s="1629"/>
      <c r="AC236" s="1629"/>
      <c r="AD236" s="1629"/>
      <c r="AE236" s="1629"/>
      <c r="AF236" s="1629"/>
      <c r="AG236" s="2203"/>
      <c r="AH236" s="186"/>
      <c r="AI236" s="107"/>
    </row>
    <row r="237" spans="1:35" ht="22.15" customHeight="1" x14ac:dyDescent="0.2">
      <c r="A237" s="2194"/>
      <c r="B237" s="2206"/>
      <c r="C237" s="1629"/>
      <c r="D237" s="1629"/>
      <c r="E237" s="1629"/>
      <c r="F237" s="1629"/>
      <c r="G237" s="1629"/>
      <c r="H237" s="1629"/>
      <c r="I237" s="1629"/>
      <c r="J237" s="1629"/>
      <c r="K237" s="1629"/>
      <c r="L237" s="1629"/>
      <c r="M237" s="1629"/>
      <c r="N237" s="1629"/>
      <c r="O237" s="1629"/>
      <c r="P237" s="1629"/>
      <c r="Q237" s="1629"/>
      <c r="R237" s="1629"/>
      <c r="S237" s="1629"/>
      <c r="T237" s="1629"/>
      <c r="U237" s="1629"/>
      <c r="V237" s="1629"/>
      <c r="W237" s="1629"/>
      <c r="X237" s="1629"/>
      <c r="Y237" s="1629"/>
      <c r="Z237" s="1629"/>
      <c r="AA237" s="1629"/>
      <c r="AB237" s="1629"/>
      <c r="AC237" s="1629"/>
      <c r="AD237" s="1629"/>
      <c r="AE237" s="1629"/>
      <c r="AF237" s="1629"/>
      <c r="AG237" s="2203"/>
      <c r="AH237" s="186"/>
      <c r="AI237" s="107"/>
    </row>
    <row r="238" spans="1:35" ht="22.15" customHeight="1" x14ac:dyDescent="0.2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2" spans="1:35" ht="21" customHeight="1" thickBot="1" x14ac:dyDescent="0.25">
      <c r="A242" s="162" t="s">
        <v>300</v>
      </c>
    </row>
    <row r="243" spans="1:35" ht="21" customHeight="1" x14ac:dyDescent="0.2">
      <c r="B243" s="530" t="s">
        <v>267</v>
      </c>
      <c r="C243" s="500"/>
      <c r="D243" s="516" t="s">
        <v>90</v>
      </c>
      <c r="E243" s="473"/>
      <c r="F243" s="504"/>
      <c r="G243" s="500"/>
      <c r="H243" s="516" t="s">
        <v>91</v>
      </c>
      <c r="I243" s="473"/>
      <c r="J243" s="504"/>
      <c r="K243" s="500"/>
      <c r="L243" s="516" t="s">
        <v>92</v>
      </c>
      <c r="M243" s="473"/>
      <c r="N243" s="504"/>
      <c r="O243" s="500"/>
      <c r="P243" s="516" t="s">
        <v>93</v>
      </c>
      <c r="Q243" s="473"/>
      <c r="R243" s="504"/>
      <c r="S243" s="500"/>
      <c r="T243" s="516" t="s">
        <v>94</v>
      </c>
      <c r="U243" s="473"/>
      <c r="V243" s="504"/>
      <c r="W243" s="500"/>
      <c r="X243" s="516" t="s">
        <v>95</v>
      </c>
      <c r="Y243" s="473"/>
      <c r="Z243" s="504"/>
      <c r="AA243" s="500"/>
      <c r="AB243" s="516" t="s">
        <v>96</v>
      </c>
      <c r="AC243" s="473"/>
      <c r="AD243" s="473"/>
      <c r="AE243" s="519" t="s">
        <v>97</v>
      </c>
      <c r="AF243" s="473"/>
      <c r="AG243" s="473"/>
      <c r="AH243" s="473"/>
      <c r="AI243" s="474"/>
    </row>
    <row r="244" spans="1:35" ht="21" customHeight="1" x14ac:dyDescent="0.2">
      <c r="B244" s="3"/>
      <c r="C244" s="156"/>
      <c r="D244" s="117"/>
      <c r="E244" s="166"/>
      <c r="F244" s="168"/>
      <c r="G244" s="156"/>
      <c r="H244" s="117"/>
      <c r="I244" s="166"/>
      <c r="J244" s="168"/>
      <c r="K244" s="156"/>
      <c r="L244" s="117"/>
      <c r="M244" s="166"/>
      <c r="N244" s="168"/>
      <c r="O244" s="156"/>
      <c r="P244" s="117"/>
      <c r="Q244" s="166"/>
      <c r="R244" s="168"/>
      <c r="S244" s="156"/>
      <c r="T244" s="117"/>
      <c r="U244" s="166"/>
      <c r="V244" s="168"/>
      <c r="W244" s="156"/>
      <c r="X244" s="117"/>
      <c r="Y244" s="166"/>
      <c r="Z244" s="168"/>
      <c r="AA244" s="156"/>
      <c r="AB244" s="117"/>
      <c r="AC244" s="166"/>
      <c r="AD244" s="166"/>
      <c r="AE244" s="118"/>
      <c r="AF244" s="166"/>
      <c r="AG244" s="14"/>
      <c r="AH244" s="14"/>
      <c r="AI244" s="119"/>
    </row>
    <row r="245" spans="1:35" ht="21" customHeight="1" x14ac:dyDescent="0.2">
      <c r="A245" s="110"/>
      <c r="B245" s="1890">
        <v>3701</v>
      </c>
      <c r="C245" s="1283" t="s">
        <v>272</v>
      </c>
      <c r="D245" s="1284"/>
      <c r="E245" s="166"/>
      <c r="F245" s="168"/>
      <c r="G245" s="1283" t="s">
        <v>272</v>
      </c>
      <c r="H245" s="117"/>
      <c r="I245" s="166"/>
      <c r="J245" s="168"/>
      <c r="K245" s="1283" t="s">
        <v>272</v>
      </c>
      <c r="L245" s="117"/>
      <c r="M245" s="166"/>
      <c r="N245" s="168"/>
      <c r="O245" s="1283" t="s">
        <v>272</v>
      </c>
      <c r="P245" s="117"/>
      <c r="Q245" s="166"/>
      <c r="R245" s="168"/>
      <c r="S245" s="156" t="s">
        <v>273</v>
      </c>
      <c r="T245" s="117"/>
      <c r="U245" s="166"/>
      <c r="V245" s="168"/>
      <c r="W245" s="156"/>
      <c r="X245" s="117"/>
      <c r="Y245" s="166"/>
      <c r="Z245" s="168"/>
      <c r="AA245" s="156"/>
      <c r="AB245" s="117"/>
      <c r="AC245" s="166"/>
      <c r="AD245" s="166"/>
      <c r="AE245" s="118"/>
      <c r="AF245" s="166"/>
      <c r="AG245" s="14"/>
      <c r="AH245" s="14"/>
      <c r="AI245" s="119"/>
    </row>
    <row r="246" spans="1:35" ht="21" customHeight="1" x14ac:dyDescent="0.2">
      <c r="B246" s="1890"/>
      <c r="C246" s="1283"/>
      <c r="D246" s="1284"/>
      <c r="E246" s="166"/>
      <c r="F246" s="168"/>
      <c r="G246" s="1283"/>
      <c r="H246" s="117"/>
      <c r="I246" s="166"/>
      <c r="J246" s="168"/>
      <c r="K246" s="1283"/>
      <c r="L246" s="117"/>
      <c r="M246" s="166"/>
      <c r="N246" s="168"/>
      <c r="O246" s="1283"/>
      <c r="P246" s="117"/>
      <c r="Q246" s="166"/>
      <c r="R246" s="168"/>
      <c r="S246" s="1283"/>
      <c r="T246" s="117"/>
      <c r="U246" s="166"/>
      <c r="V246" s="168"/>
      <c r="W246" s="156"/>
      <c r="X246" s="117"/>
      <c r="Y246" s="166"/>
      <c r="Z246" s="168"/>
      <c r="AA246" s="156"/>
      <c r="AB246" s="117"/>
      <c r="AC246" s="166"/>
      <c r="AD246" s="166"/>
      <c r="AE246" s="118"/>
      <c r="AF246" s="166"/>
      <c r="AG246" s="14"/>
      <c r="AH246" s="14"/>
      <c r="AI246" s="119"/>
    </row>
    <row r="247" spans="1:35" ht="21" customHeight="1" x14ac:dyDescent="0.2">
      <c r="B247" s="1890">
        <v>3702</v>
      </c>
      <c r="C247" s="1283" t="s">
        <v>301</v>
      </c>
      <c r="D247" s="1284"/>
      <c r="E247" s="166"/>
      <c r="F247" s="168"/>
      <c r="G247" s="1283" t="s">
        <v>301</v>
      </c>
      <c r="H247" s="1284"/>
      <c r="I247" s="166"/>
      <c r="J247" s="168"/>
      <c r="K247" s="1283" t="s">
        <v>301</v>
      </c>
      <c r="L247" s="1284"/>
      <c r="M247" s="166"/>
      <c r="N247" s="168"/>
      <c r="O247" s="1283" t="s">
        <v>301</v>
      </c>
      <c r="P247" s="1284"/>
      <c r="Q247" s="166"/>
      <c r="R247" s="168"/>
      <c r="S247" s="1283" t="s">
        <v>302</v>
      </c>
      <c r="T247" s="1284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B248" s="1890"/>
      <c r="C248" s="1391"/>
      <c r="D248" s="1284"/>
      <c r="E248" s="166"/>
      <c r="F248" s="168"/>
      <c r="G248" s="117"/>
      <c r="H248" s="117"/>
      <c r="I248" s="166"/>
      <c r="J248" s="168"/>
      <c r="K248" s="117"/>
      <c r="L248" s="117"/>
      <c r="M248" s="166"/>
      <c r="N248" s="168"/>
      <c r="O248" s="117"/>
      <c r="P248" s="117"/>
      <c r="Q248" s="166"/>
      <c r="R248" s="168"/>
      <c r="S248" s="117"/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1890" t="s">
        <v>139</v>
      </c>
      <c r="C249" s="1391" t="s">
        <v>303</v>
      </c>
      <c r="D249" s="1284"/>
      <c r="E249" s="166"/>
      <c r="F249" s="168"/>
      <c r="G249" s="1391" t="s">
        <v>303</v>
      </c>
      <c r="H249" s="1284"/>
      <c r="I249" s="166"/>
      <c r="J249" s="168"/>
      <c r="K249" s="1391" t="s">
        <v>303</v>
      </c>
      <c r="L249" s="1284"/>
      <c r="M249" s="166"/>
      <c r="N249" s="168"/>
      <c r="O249" s="1391" t="s">
        <v>303</v>
      </c>
      <c r="P249" s="1284"/>
      <c r="Q249" s="166"/>
      <c r="R249" s="168"/>
      <c r="S249" s="117" t="s">
        <v>304</v>
      </c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x14ac:dyDescent="0.2">
      <c r="B250" s="1890" t="s">
        <v>143</v>
      </c>
      <c r="C250" s="1391" t="s">
        <v>305</v>
      </c>
      <c r="D250" s="1284"/>
      <c r="E250" s="166"/>
      <c r="F250" s="168"/>
      <c r="G250" s="1391" t="s">
        <v>305</v>
      </c>
      <c r="H250" s="1284"/>
      <c r="I250" s="166"/>
      <c r="J250" s="168"/>
      <c r="K250" s="1391" t="s">
        <v>305</v>
      </c>
      <c r="L250" s="1284"/>
      <c r="M250" s="166"/>
      <c r="N250" s="168"/>
      <c r="O250" s="1391" t="s">
        <v>305</v>
      </c>
      <c r="P250" s="1284"/>
      <c r="Q250" s="166"/>
      <c r="R250" s="168"/>
      <c r="S250" s="117" t="s">
        <v>306</v>
      </c>
      <c r="T250" s="117"/>
      <c r="U250" s="166"/>
      <c r="V250" s="168"/>
      <c r="W250" s="156"/>
      <c r="X250" s="117"/>
      <c r="Y250" s="166"/>
      <c r="Z250" s="168"/>
      <c r="AA250" s="156"/>
      <c r="AB250" s="117"/>
      <c r="AC250" s="166"/>
      <c r="AD250" s="166"/>
      <c r="AE250" s="118"/>
      <c r="AF250" s="166"/>
      <c r="AG250" s="14"/>
      <c r="AH250" s="14"/>
      <c r="AI250" s="119"/>
    </row>
    <row r="251" spans="1:35" ht="21" customHeight="1" thickBot="1" x14ac:dyDescent="0.25">
      <c r="B251" s="1089" t="s">
        <v>153</v>
      </c>
      <c r="C251" s="1404" t="s">
        <v>307</v>
      </c>
      <c r="D251" s="1892"/>
      <c r="E251" s="2207"/>
      <c r="F251" s="2208"/>
      <c r="G251" s="1404" t="s">
        <v>307</v>
      </c>
      <c r="H251" s="1892"/>
      <c r="I251" s="2207"/>
      <c r="J251" s="2208"/>
      <c r="K251" s="1404" t="s">
        <v>307</v>
      </c>
      <c r="L251" s="1892"/>
      <c r="M251" s="2207"/>
      <c r="N251" s="2208"/>
      <c r="O251" s="1404" t="s">
        <v>307</v>
      </c>
      <c r="P251" s="1892"/>
      <c r="Q251" s="2207"/>
      <c r="R251" s="2208"/>
      <c r="S251" s="2209" t="s">
        <v>308</v>
      </c>
      <c r="T251" s="2209"/>
      <c r="U251" s="2207"/>
      <c r="V251" s="2208"/>
      <c r="W251" s="2210"/>
      <c r="X251" s="2209"/>
      <c r="Y251" s="2211"/>
      <c r="Z251" s="2212"/>
      <c r="AA251" s="2213"/>
      <c r="AB251" s="2209"/>
      <c r="AC251" s="2211"/>
      <c r="AD251" s="2211"/>
      <c r="AE251" s="2214"/>
      <c r="AF251" s="2211"/>
      <c r="AG251" s="2207"/>
      <c r="AH251" s="2207"/>
      <c r="AI251" s="2215"/>
    </row>
    <row r="252" spans="1:35" ht="21" customHeight="1" x14ac:dyDescent="0.2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 x14ac:dyDescent="0.2">
      <c r="A253" s="123" t="s">
        <v>309</v>
      </c>
    </row>
    <row r="254" spans="1:35" ht="21" customHeight="1" thickBot="1" x14ac:dyDescent="0.25">
      <c r="A254" s="1343"/>
      <c r="B254" s="1247" t="s">
        <v>29</v>
      </c>
      <c r="C254" s="1254">
        <v>1</v>
      </c>
      <c r="D254" s="1254">
        <v>2</v>
      </c>
      <c r="E254" s="1254">
        <v>3</v>
      </c>
      <c r="F254" s="1254">
        <v>4</v>
      </c>
      <c r="G254" s="1185">
        <v>5</v>
      </c>
      <c r="H254" s="1185">
        <v>6</v>
      </c>
      <c r="I254" s="1254">
        <v>7</v>
      </c>
      <c r="J254" s="1254">
        <v>8</v>
      </c>
      <c r="K254" s="1254">
        <v>9</v>
      </c>
      <c r="L254" s="1254">
        <v>10</v>
      </c>
      <c r="M254" s="1254">
        <v>11</v>
      </c>
      <c r="N254" s="1185">
        <v>12</v>
      </c>
      <c r="O254" s="1185">
        <v>13</v>
      </c>
      <c r="P254" s="1254">
        <v>14</v>
      </c>
      <c r="Q254" s="1254">
        <v>15</v>
      </c>
      <c r="R254" s="1254">
        <v>16</v>
      </c>
      <c r="S254" s="1254">
        <v>17</v>
      </c>
      <c r="T254" s="1254">
        <v>18</v>
      </c>
      <c r="U254" s="1185">
        <v>19</v>
      </c>
      <c r="V254" s="1185">
        <v>20</v>
      </c>
      <c r="W254" s="1254">
        <v>21</v>
      </c>
      <c r="X254" s="1254">
        <v>22</v>
      </c>
      <c r="Y254" s="1254">
        <v>23</v>
      </c>
      <c r="Z254" s="1185">
        <v>24</v>
      </c>
      <c r="AA254" s="1185">
        <v>25</v>
      </c>
      <c r="AB254" s="1185">
        <v>26</v>
      </c>
      <c r="AC254" s="1185">
        <v>27</v>
      </c>
      <c r="AD254" s="1254">
        <v>28</v>
      </c>
      <c r="AE254" s="1254">
        <v>29</v>
      </c>
      <c r="AF254" s="1254">
        <v>30</v>
      </c>
      <c r="AG254" s="2064">
        <v>31</v>
      </c>
      <c r="AH254" s="184"/>
      <c r="AI254" s="185"/>
    </row>
    <row r="255" spans="1:35" ht="21" customHeight="1" x14ac:dyDescent="0.2">
      <c r="A255" s="531">
        <v>3701</v>
      </c>
      <c r="B255" s="476"/>
      <c r="C255" s="1612" t="s">
        <v>31</v>
      </c>
      <c r="D255" s="1612" t="s">
        <v>31</v>
      </c>
      <c r="E255" s="1612" t="s">
        <v>31</v>
      </c>
      <c r="F255" s="1629" t="s">
        <v>31</v>
      </c>
      <c r="G255" s="1612"/>
      <c r="H255" s="1612"/>
      <c r="I255" s="1612" t="s">
        <v>31</v>
      </c>
      <c r="J255" s="1612" t="s">
        <v>31</v>
      </c>
      <c r="K255" s="1612" t="s">
        <v>31</v>
      </c>
      <c r="L255" s="1612" t="s">
        <v>31</v>
      </c>
      <c r="M255" s="1612" t="s">
        <v>31</v>
      </c>
      <c r="N255" s="1633"/>
      <c r="O255" s="1633"/>
      <c r="P255" s="1633" t="s">
        <v>31</v>
      </c>
      <c r="Q255" s="1628" t="s">
        <v>31</v>
      </c>
      <c r="R255" s="1633" t="s">
        <v>31</v>
      </c>
      <c r="S255" s="1612" t="s">
        <v>31</v>
      </c>
      <c r="T255" s="1612" t="s">
        <v>31</v>
      </c>
      <c r="U255" s="1633"/>
      <c r="V255" s="1633"/>
      <c r="W255" s="1633" t="s">
        <v>31</v>
      </c>
      <c r="X255" s="1612" t="s">
        <v>31</v>
      </c>
      <c r="Y255" s="1633" t="s">
        <v>31</v>
      </c>
      <c r="Z255" s="1612"/>
      <c r="AA255" s="1612"/>
      <c r="AB255" s="1612"/>
      <c r="AC255" s="1612"/>
      <c r="AD255" s="1629" t="s">
        <v>31</v>
      </c>
      <c r="AE255" s="1612" t="s">
        <v>31</v>
      </c>
      <c r="AF255" s="1629" t="s">
        <v>31</v>
      </c>
      <c r="AG255" s="478"/>
      <c r="AH255" s="189"/>
      <c r="AI255" s="190"/>
    </row>
    <row r="256" spans="1:35" ht="21" customHeight="1" x14ac:dyDescent="0.2">
      <c r="A256" s="1893">
        <v>3702</v>
      </c>
      <c r="B256" s="1202" t="s">
        <v>310</v>
      </c>
      <c r="C256" s="1612" t="s">
        <v>31</v>
      </c>
      <c r="D256" s="1612" t="s">
        <v>31</v>
      </c>
      <c r="E256" s="1612" t="s">
        <v>31</v>
      </c>
      <c r="F256" s="1629" t="s">
        <v>31</v>
      </c>
      <c r="G256" s="1612"/>
      <c r="H256" s="1612"/>
      <c r="I256" s="1612" t="s">
        <v>31</v>
      </c>
      <c r="J256" s="1612" t="s">
        <v>31</v>
      </c>
      <c r="K256" s="1612" t="s">
        <v>31</v>
      </c>
      <c r="L256" s="1612" t="s">
        <v>31</v>
      </c>
      <c r="M256" s="1612" t="s">
        <v>31</v>
      </c>
      <c r="N256" s="1633"/>
      <c r="O256" s="1633"/>
      <c r="P256" s="1633" t="s">
        <v>31</v>
      </c>
      <c r="Q256" s="1628" t="s">
        <v>31</v>
      </c>
      <c r="R256" s="1633" t="s">
        <v>31</v>
      </c>
      <c r="S256" s="1612" t="s">
        <v>31</v>
      </c>
      <c r="T256" s="1612" t="s">
        <v>31</v>
      </c>
      <c r="U256" s="1633"/>
      <c r="V256" s="1633"/>
      <c r="W256" s="1633" t="s">
        <v>31</v>
      </c>
      <c r="X256" s="1612" t="s">
        <v>31</v>
      </c>
      <c r="Y256" s="1633" t="s">
        <v>31</v>
      </c>
      <c r="Z256" s="1612"/>
      <c r="AA256" s="1612"/>
      <c r="AB256" s="1612"/>
      <c r="AC256" s="1612"/>
      <c r="AD256" s="2196" t="s">
        <v>31</v>
      </c>
      <c r="AE256" s="2196" t="s">
        <v>31</v>
      </c>
      <c r="AF256" s="1712" t="s">
        <v>31</v>
      </c>
      <c r="AG256" s="1261"/>
      <c r="AH256" s="189"/>
      <c r="AI256" s="190"/>
    </row>
    <row r="257" spans="1:35" ht="21" customHeight="1" x14ac:dyDescent="0.2">
      <c r="A257" s="1893"/>
      <c r="B257" s="1202"/>
      <c r="C257" s="1259"/>
      <c r="D257" s="1259"/>
      <c r="E257" s="1259"/>
      <c r="F257" s="1259"/>
      <c r="G257" s="1259"/>
      <c r="H257" s="1259"/>
      <c r="I257" s="1259"/>
      <c r="J257" s="1259"/>
      <c r="K257" s="1259"/>
      <c r="L257" s="1259"/>
      <c r="M257" s="1894"/>
      <c r="N257" s="1259"/>
      <c r="O257" s="1259"/>
      <c r="P257" s="1259"/>
      <c r="Q257" s="1259"/>
      <c r="R257" s="1259"/>
      <c r="S257" s="1259"/>
      <c r="T257" s="1259"/>
      <c r="U257" s="1259"/>
      <c r="V257" s="1259"/>
      <c r="W257" s="1259"/>
      <c r="X257" s="1259"/>
      <c r="Y257" s="1259"/>
      <c r="Z257" s="1259"/>
      <c r="AA257" s="1259"/>
      <c r="AB257" s="1259"/>
      <c r="AC257" s="1259"/>
      <c r="AD257" s="1259"/>
      <c r="AE257" s="1259"/>
      <c r="AF257" s="1259"/>
      <c r="AG257" s="1261"/>
      <c r="AH257" s="189"/>
      <c r="AI257" s="190"/>
    </row>
    <row r="258" spans="1:35" ht="21" customHeight="1" thickBot="1" x14ac:dyDescent="0.25">
      <c r="A258" s="1895"/>
      <c r="B258" s="1896"/>
      <c r="C258" s="1254"/>
      <c r="D258" s="1254"/>
      <c r="E258" s="1254"/>
      <c r="F258" s="1254"/>
      <c r="G258" s="1254"/>
      <c r="H258" s="1254"/>
      <c r="I258" s="1254"/>
      <c r="J258" s="1254"/>
      <c r="K258" s="1254"/>
      <c r="L258" s="1254"/>
      <c r="M258" s="1254"/>
      <c r="N258" s="1254"/>
      <c r="O258" s="1254"/>
      <c r="P258" s="1254"/>
      <c r="Q258" s="1254"/>
      <c r="R258" s="1254"/>
      <c r="S258" s="1254"/>
      <c r="T258" s="1254"/>
      <c r="U258" s="1254"/>
      <c r="V258" s="1254"/>
      <c r="W258" s="1254"/>
      <c r="X258" s="1254"/>
      <c r="Y258" s="1254"/>
      <c r="Z258" s="1254"/>
      <c r="AA258" s="1254"/>
      <c r="AB258" s="1254"/>
      <c r="AC258" s="1254"/>
      <c r="AD258" s="1254"/>
      <c r="AE258" s="1254"/>
      <c r="AF258" s="1254"/>
      <c r="AG258" s="1945"/>
      <c r="AH258" s="189"/>
      <c r="AI258" s="190"/>
    </row>
    <row r="259" spans="1:35" ht="21" customHeight="1" x14ac:dyDescent="0.2">
      <c r="A259" s="251"/>
      <c r="B259" s="2059" t="s">
        <v>311</v>
      </c>
      <c r="C259" s="2060"/>
      <c r="D259" s="2060"/>
      <c r="E259" s="2060"/>
      <c r="F259" s="2060"/>
      <c r="G259" s="2060"/>
      <c r="H259" s="2060"/>
      <c r="I259" s="2060"/>
      <c r="J259" s="2060"/>
      <c r="K259" s="2060"/>
      <c r="L259" s="2060"/>
      <c r="M259" s="2060"/>
      <c r="N259" s="2060"/>
      <c r="O259" s="2060"/>
      <c r="P259" s="2060"/>
      <c r="Q259" s="2060"/>
      <c r="R259" s="2060"/>
      <c r="S259" s="2060"/>
      <c r="T259" s="2060"/>
      <c r="U259" s="2060"/>
      <c r="V259" s="2060"/>
      <c r="W259" s="2060"/>
      <c r="X259" s="2060"/>
      <c r="Y259" s="2060"/>
      <c r="Z259" s="2060"/>
      <c r="AA259" s="2060"/>
      <c r="AB259" s="2060"/>
      <c r="AC259" s="2060"/>
      <c r="AD259" s="2060"/>
      <c r="AE259" s="2060"/>
      <c r="AF259" s="2060"/>
      <c r="AG259" s="2061"/>
      <c r="AH259" s="187"/>
      <c r="AI259" s="188"/>
    </row>
    <row r="260" spans="1:35" ht="21" customHeight="1" x14ac:dyDescent="0.2">
      <c r="A260" s="1893">
        <v>3702</v>
      </c>
      <c r="B260" s="2011" t="s">
        <v>312</v>
      </c>
      <c r="C260" s="1259" t="s">
        <v>313</v>
      </c>
      <c r="D260" s="1259" t="s">
        <v>313</v>
      </c>
      <c r="E260" s="1259" t="s">
        <v>313</v>
      </c>
      <c r="F260" s="1259" t="s">
        <v>313</v>
      </c>
      <c r="G260" s="1259"/>
      <c r="H260" s="1259"/>
      <c r="I260" s="1259" t="s">
        <v>313</v>
      </c>
      <c r="J260" s="1259" t="s">
        <v>313</v>
      </c>
      <c r="K260" s="1259" t="s">
        <v>313</v>
      </c>
      <c r="L260" s="1259" t="s">
        <v>313</v>
      </c>
      <c r="M260" s="1259" t="s">
        <v>313</v>
      </c>
      <c r="N260" s="1259"/>
      <c r="O260" s="1259"/>
      <c r="P260" s="1259" t="s">
        <v>313</v>
      </c>
      <c r="Q260" s="1259" t="s">
        <v>313</v>
      </c>
      <c r="R260" s="1259" t="s">
        <v>313</v>
      </c>
      <c r="S260" s="1259" t="s">
        <v>313</v>
      </c>
      <c r="T260" s="1259" t="s">
        <v>313</v>
      </c>
      <c r="U260" s="1259"/>
      <c r="V260" s="1259"/>
      <c r="W260" s="1259" t="s">
        <v>313</v>
      </c>
      <c r="X260" s="1259" t="s">
        <v>313</v>
      </c>
      <c r="Y260" s="1259" t="s">
        <v>313</v>
      </c>
      <c r="Z260" s="1259"/>
      <c r="AA260" s="1259"/>
      <c r="AB260" s="1259"/>
      <c r="AC260" s="1259"/>
      <c r="AD260" s="1259" t="s">
        <v>313</v>
      </c>
      <c r="AE260" s="1259" t="s">
        <v>313</v>
      </c>
      <c r="AF260" s="1259" t="s">
        <v>313</v>
      </c>
      <c r="AG260" s="2062"/>
      <c r="AH260" s="189"/>
      <c r="AI260" s="190"/>
    </row>
    <row r="261" spans="1:35" ht="21" customHeight="1" x14ac:dyDescent="0.2">
      <c r="A261" s="1893"/>
      <c r="B261" s="1865" t="s">
        <v>314</v>
      </c>
      <c r="C261" s="1259" t="s">
        <v>315</v>
      </c>
      <c r="D261" s="1259" t="s">
        <v>315</v>
      </c>
      <c r="E261" s="1259" t="s">
        <v>315</v>
      </c>
      <c r="F261" s="1259" t="s">
        <v>315</v>
      </c>
      <c r="G261" s="1259"/>
      <c r="H261" s="1259"/>
      <c r="I261" s="1204" t="s">
        <v>315</v>
      </c>
      <c r="J261" s="1204" t="s">
        <v>315</v>
      </c>
      <c r="K261" s="1204" t="s">
        <v>424</v>
      </c>
      <c r="L261" s="1275" t="s">
        <v>315</v>
      </c>
      <c r="M261" s="1275" t="s">
        <v>315</v>
      </c>
      <c r="N261" s="1259"/>
      <c r="O261" s="1259"/>
      <c r="P261" s="1259" t="s">
        <v>315</v>
      </c>
      <c r="Q261" s="1259" t="s">
        <v>315</v>
      </c>
      <c r="R261" s="1259" t="s">
        <v>315</v>
      </c>
      <c r="S261" s="1259" t="s">
        <v>315</v>
      </c>
      <c r="T261" s="1259" t="s">
        <v>315</v>
      </c>
      <c r="U261" s="1259"/>
      <c r="V261" s="1259"/>
      <c r="W261" s="1270" t="s">
        <v>315</v>
      </c>
      <c r="X261" s="1270" t="s">
        <v>315</v>
      </c>
      <c r="Y261" s="1270" t="s">
        <v>315</v>
      </c>
      <c r="Z261" s="1259"/>
      <c r="AA261" s="1259"/>
      <c r="AB261" s="1259"/>
      <c r="AC261" s="1259"/>
      <c r="AD261" s="1270" t="s">
        <v>315</v>
      </c>
      <c r="AE261" s="1270" t="s">
        <v>315</v>
      </c>
      <c r="AF261" s="1270" t="s">
        <v>315</v>
      </c>
      <c r="AG261" s="2062"/>
      <c r="AH261" s="189"/>
      <c r="AI261" s="190"/>
    </row>
    <row r="262" spans="1:35" ht="21" customHeight="1" thickBot="1" x14ac:dyDescent="0.25">
      <c r="A262" s="1112"/>
      <c r="B262" s="1872" t="s">
        <v>316</v>
      </c>
      <c r="C262" s="1255" t="s">
        <v>317</v>
      </c>
      <c r="D262" s="1255" t="s">
        <v>317</v>
      </c>
      <c r="E262" s="1255" t="s">
        <v>317</v>
      </c>
      <c r="F262" s="1255" t="s">
        <v>317</v>
      </c>
      <c r="G262" s="1255"/>
      <c r="H262" s="1255"/>
      <c r="I262" s="1255" t="s">
        <v>317</v>
      </c>
      <c r="J262" s="1321" t="s">
        <v>317</v>
      </c>
      <c r="K262" s="1321" t="s">
        <v>317</v>
      </c>
      <c r="L262" s="1321" t="s">
        <v>317</v>
      </c>
      <c r="M262" s="1321" t="s">
        <v>317</v>
      </c>
      <c r="N262" s="1321"/>
      <c r="O262" s="1321"/>
      <c r="P262" s="1321" t="s">
        <v>380</v>
      </c>
      <c r="Q262" s="1255" t="s">
        <v>317</v>
      </c>
      <c r="R262" s="1255" t="s">
        <v>317</v>
      </c>
      <c r="S262" s="1255" t="s">
        <v>317</v>
      </c>
      <c r="T262" s="1255" t="s">
        <v>317</v>
      </c>
      <c r="U262" s="1255"/>
      <c r="V262" s="1255"/>
      <c r="W262" s="1255" t="s">
        <v>317</v>
      </c>
      <c r="X262" s="1255" t="s">
        <v>317</v>
      </c>
      <c r="Y262" s="1255" t="s">
        <v>317</v>
      </c>
      <c r="Z262" s="1255"/>
      <c r="AA262" s="1255"/>
      <c r="AB262" s="1255"/>
      <c r="AC262" s="1255"/>
      <c r="AD262" s="1265" t="s">
        <v>317</v>
      </c>
      <c r="AE262" s="1265" t="s">
        <v>317</v>
      </c>
      <c r="AF262" s="1265" t="s">
        <v>317</v>
      </c>
      <c r="AG262" s="2063"/>
      <c r="AH262" s="189"/>
      <c r="AI262" s="190"/>
    </row>
    <row r="263" spans="1:35" ht="21" customHeight="1" x14ac:dyDescent="0.2"/>
    <row r="264" spans="1:35" ht="21" customHeight="1" x14ac:dyDescent="0.2"/>
    <row r="265" spans="1:35" ht="21" customHeight="1" thickBot="1" x14ac:dyDescent="0.25">
      <c r="A265" s="162" t="s">
        <v>318</v>
      </c>
    </row>
    <row r="266" spans="1:35" ht="21" customHeight="1" x14ac:dyDescent="0.2">
      <c r="B266" s="530" t="s">
        <v>267</v>
      </c>
      <c r="C266" s="500"/>
      <c r="D266" s="516" t="s">
        <v>90</v>
      </c>
      <c r="E266" s="473"/>
      <c r="F266" s="504"/>
      <c r="G266" s="500"/>
      <c r="H266" s="516" t="s">
        <v>91</v>
      </c>
      <c r="I266" s="473"/>
      <c r="J266" s="504"/>
      <c r="K266" s="500"/>
      <c r="L266" s="516" t="s">
        <v>92</v>
      </c>
      <c r="M266" s="473"/>
      <c r="N266" s="504"/>
      <c r="O266" s="500"/>
      <c r="P266" s="516" t="s">
        <v>93</v>
      </c>
      <c r="Q266" s="473"/>
      <c r="R266" s="504"/>
      <c r="S266" s="500"/>
      <c r="T266" s="516" t="s">
        <v>94</v>
      </c>
      <c r="U266" s="473"/>
      <c r="V266" s="504"/>
      <c r="W266" s="500"/>
      <c r="X266" s="516" t="s">
        <v>95</v>
      </c>
      <c r="Y266" s="473"/>
      <c r="Z266" s="504"/>
      <c r="AA266" s="500"/>
      <c r="AB266" s="516" t="s">
        <v>96</v>
      </c>
      <c r="AC266" s="473"/>
      <c r="AD266" s="473"/>
      <c r="AE266" s="519" t="s">
        <v>97</v>
      </c>
      <c r="AF266" s="473"/>
      <c r="AG266" s="473"/>
      <c r="AH266" s="473"/>
      <c r="AI266" s="474"/>
    </row>
    <row r="267" spans="1:35" ht="21" customHeight="1" x14ac:dyDescent="0.2">
      <c r="B267" s="3">
        <v>8500</v>
      </c>
      <c r="C267" s="1283" t="s">
        <v>319</v>
      </c>
      <c r="D267" s="117"/>
      <c r="E267" s="14"/>
      <c r="F267" s="116"/>
      <c r="G267" s="1283" t="s">
        <v>319</v>
      </c>
      <c r="H267" s="117"/>
      <c r="I267" s="14"/>
      <c r="J267" s="116"/>
      <c r="K267" s="1283" t="s">
        <v>319</v>
      </c>
      <c r="L267" s="117"/>
      <c r="M267" s="14"/>
      <c r="N267" s="116"/>
      <c r="O267" s="1283" t="s">
        <v>319</v>
      </c>
      <c r="P267" s="117"/>
      <c r="Q267" s="14"/>
      <c r="R267" s="116"/>
      <c r="S267" s="1283" t="s">
        <v>320</v>
      </c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 thickBot="1" x14ac:dyDescent="0.25">
      <c r="A268" s="110"/>
      <c r="B268" s="1115"/>
      <c r="C268" s="2216"/>
      <c r="D268" s="2217"/>
      <c r="E268" s="2207"/>
      <c r="F268" s="2208"/>
      <c r="G268" s="2216"/>
      <c r="H268" s="2209"/>
      <c r="I268" s="2207"/>
      <c r="J268" s="2208"/>
      <c r="K268" s="2216"/>
      <c r="L268" s="2209"/>
      <c r="M268" s="2207"/>
      <c r="N268" s="2208"/>
      <c r="O268" s="2216"/>
      <c r="P268" s="2209"/>
      <c r="Q268" s="2207"/>
      <c r="R268" s="2208"/>
      <c r="S268" s="2216"/>
      <c r="T268" s="2209"/>
      <c r="U268" s="2207"/>
      <c r="V268" s="2208"/>
      <c r="W268" s="2210"/>
      <c r="X268" s="2209"/>
      <c r="Y268" s="2207"/>
      <c r="Z268" s="2208"/>
      <c r="AA268" s="2210"/>
      <c r="AB268" s="2209"/>
      <c r="AC268" s="2207"/>
      <c r="AD268" s="2207"/>
      <c r="AE268" s="2214"/>
      <c r="AF268" s="2207"/>
      <c r="AG268" s="2207"/>
      <c r="AH268" s="2207"/>
      <c r="AI268" s="2215"/>
    </row>
    <row r="269" spans="1:35" ht="21" customHeight="1" x14ac:dyDescent="0.2">
      <c r="A269" s="16" t="s">
        <v>321</v>
      </c>
    </row>
    <row r="270" spans="1:35" ht="21" customHeight="1" thickBot="1" x14ac:dyDescent="0.25">
      <c r="A270" s="1118"/>
      <c r="B270" s="1119" t="s">
        <v>29</v>
      </c>
      <c r="C270" s="1254">
        <v>1</v>
      </c>
      <c r="D270" s="1254">
        <v>2</v>
      </c>
      <c r="E270" s="1254">
        <v>3</v>
      </c>
      <c r="F270" s="1254">
        <v>4</v>
      </c>
      <c r="G270" s="1185">
        <v>5</v>
      </c>
      <c r="H270" s="1185">
        <v>6</v>
      </c>
      <c r="I270" s="1254">
        <v>7</v>
      </c>
      <c r="J270" s="1254">
        <v>8</v>
      </c>
      <c r="K270" s="1254">
        <v>9</v>
      </c>
      <c r="L270" s="1254">
        <v>10</v>
      </c>
      <c r="M270" s="1254">
        <v>11</v>
      </c>
      <c r="N270" s="1185">
        <v>12</v>
      </c>
      <c r="O270" s="1185">
        <v>13</v>
      </c>
      <c r="P270" s="1254">
        <v>14</v>
      </c>
      <c r="Q270" s="1254">
        <v>15</v>
      </c>
      <c r="R270" s="1254">
        <v>16</v>
      </c>
      <c r="S270" s="1254">
        <v>17</v>
      </c>
      <c r="T270" s="1254">
        <v>18</v>
      </c>
      <c r="U270" s="1185">
        <v>19</v>
      </c>
      <c r="V270" s="1185">
        <v>20</v>
      </c>
      <c r="W270" s="1254">
        <v>21</v>
      </c>
      <c r="X270" s="1254">
        <v>22</v>
      </c>
      <c r="Y270" s="1254">
        <v>23</v>
      </c>
      <c r="Z270" s="1185">
        <v>24</v>
      </c>
      <c r="AA270" s="1185">
        <v>25</v>
      </c>
      <c r="AB270" s="1185">
        <v>26</v>
      </c>
      <c r="AC270" s="1185">
        <v>27</v>
      </c>
      <c r="AD270" s="1254">
        <v>28</v>
      </c>
      <c r="AE270" s="1254">
        <v>29</v>
      </c>
      <c r="AF270" s="1254">
        <v>30</v>
      </c>
      <c r="AG270" s="2064">
        <v>31</v>
      </c>
      <c r="AH270" s="184"/>
      <c r="AI270" s="185"/>
    </row>
    <row r="271" spans="1:35" ht="21" customHeight="1" x14ac:dyDescent="0.2">
      <c r="A271" s="8">
        <v>8500</v>
      </c>
      <c r="B271" s="157"/>
      <c r="C271" s="1612" t="s">
        <v>31</v>
      </c>
      <c r="D271" s="1612" t="s">
        <v>31</v>
      </c>
      <c r="E271" s="1612" t="s">
        <v>31</v>
      </c>
      <c r="F271" s="1629" t="s">
        <v>31</v>
      </c>
      <c r="G271" s="1612"/>
      <c r="H271" s="1612"/>
      <c r="I271" s="1612" t="s">
        <v>31</v>
      </c>
      <c r="J271" s="1612" t="s">
        <v>31</v>
      </c>
      <c r="K271" s="1612" t="s">
        <v>31</v>
      </c>
      <c r="L271" s="1612" t="s">
        <v>31</v>
      </c>
      <c r="M271" s="1612" t="s">
        <v>31</v>
      </c>
      <c r="N271" s="1633"/>
      <c r="O271" s="1633"/>
      <c r="P271" s="1633" t="s">
        <v>31</v>
      </c>
      <c r="Q271" s="1628" t="s">
        <v>31</v>
      </c>
      <c r="R271" s="1633" t="s">
        <v>31</v>
      </c>
      <c r="S271" s="1612" t="s">
        <v>31</v>
      </c>
      <c r="T271" s="1612" t="s">
        <v>31</v>
      </c>
      <c r="U271" s="1633"/>
      <c r="V271" s="1633"/>
      <c r="W271" s="1633" t="s">
        <v>31</v>
      </c>
      <c r="X271" s="1612" t="s">
        <v>31</v>
      </c>
      <c r="Y271" s="1633" t="s">
        <v>31</v>
      </c>
      <c r="Z271" s="1612"/>
      <c r="AA271" s="1612"/>
      <c r="AB271" s="1612"/>
      <c r="AC271" s="1612"/>
      <c r="AD271" s="1629" t="s">
        <v>31</v>
      </c>
      <c r="AE271" s="1612" t="s">
        <v>31</v>
      </c>
      <c r="AF271" s="1629" t="s">
        <v>31</v>
      </c>
      <c r="AG271" s="1629"/>
      <c r="AH271" s="196"/>
      <c r="AI271" s="197"/>
    </row>
    <row r="272" spans="1:35" ht="21" customHeight="1" x14ac:dyDescent="0.2">
      <c r="A272" s="1191"/>
      <c r="B272" s="1901" t="s">
        <v>323</v>
      </c>
      <c r="C272" s="1612" t="s">
        <v>31</v>
      </c>
      <c r="D272" s="1612" t="s">
        <v>31</v>
      </c>
      <c r="E272" s="1612" t="s">
        <v>31</v>
      </c>
      <c r="F272" s="1629" t="s">
        <v>31</v>
      </c>
      <c r="G272" s="1612"/>
      <c r="H272" s="1612"/>
      <c r="I272" s="1612" t="s">
        <v>31</v>
      </c>
      <c r="J272" s="1612" t="s">
        <v>31</v>
      </c>
      <c r="K272" s="1612" t="s">
        <v>31</v>
      </c>
      <c r="L272" s="1612" t="s">
        <v>31</v>
      </c>
      <c r="M272" s="1612" t="s">
        <v>31</v>
      </c>
      <c r="N272" s="1633"/>
      <c r="O272" s="1633"/>
      <c r="P272" s="1633" t="s">
        <v>31</v>
      </c>
      <c r="Q272" s="1628" t="s">
        <v>31</v>
      </c>
      <c r="R272" s="1633" t="s">
        <v>31</v>
      </c>
      <c r="S272" s="1612" t="s">
        <v>31</v>
      </c>
      <c r="T272" s="1612" t="s">
        <v>31</v>
      </c>
      <c r="U272" s="1633"/>
      <c r="V272" s="1633"/>
      <c r="W272" s="1633" t="s">
        <v>31</v>
      </c>
      <c r="X272" s="1612" t="s">
        <v>31</v>
      </c>
      <c r="Y272" s="1633" t="s">
        <v>31</v>
      </c>
      <c r="Z272" s="1612"/>
      <c r="AA272" s="1612"/>
      <c r="AB272" s="1612"/>
      <c r="AC272" s="1612"/>
      <c r="AD272" s="1629" t="s">
        <v>31</v>
      </c>
      <c r="AE272" s="1712" t="s">
        <v>31</v>
      </c>
      <c r="AF272" s="1712" t="s">
        <v>31</v>
      </c>
      <c r="AG272" s="1629"/>
      <c r="AH272" s="196"/>
      <c r="AI272" s="197"/>
    </row>
    <row r="273" spans="1:35" ht="22.15" customHeight="1" x14ac:dyDescent="0.2">
      <c r="A273" s="1902"/>
      <c r="B273" s="1901" t="s">
        <v>324</v>
      </c>
      <c r="C273" s="1612" t="s">
        <v>31</v>
      </c>
      <c r="D273" s="1612" t="s">
        <v>31</v>
      </c>
      <c r="E273" s="1612" t="s">
        <v>31</v>
      </c>
      <c r="F273" s="1629" t="s">
        <v>31</v>
      </c>
      <c r="G273" s="1612"/>
      <c r="H273" s="1612"/>
      <c r="I273" s="1612" t="s">
        <v>31</v>
      </c>
      <c r="J273" s="1612" t="s">
        <v>31</v>
      </c>
      <c r="K273" s="1612" t="s">
        <v>31</v>
      </c>
      <c r="L273" s="1612" t="s">
        <v>31</v>
      </c>
      <c r="M273" s="1612" t="s">
        <v>31</v>
      </c>
      <c r="N273" s="1633"/>
      <c r="O273" s="1633"/>
      <c r="P273" s="1633" t="s">
        <v>31</v>
      </c>
      <c r="Q273" s="1628" t="s">
        <v>31</v>
      </c>
      <c r="R273" s="1633" t="s">
        <v>31</v>
      </c>
      <c r="S273" s="1612" t="s">
        <v>31</v>
      </c>
      <c r="T273" s="1612" t="s">
        <v>31</v>
      </c>
      <c r="U273" s="1633"/>
      <c r="V273" s="1633"/>
      <c r="W273" s="1633" t="s">
        <v>31</v>
      </c>
      <c r="X273" s="1612" t="s">
        <v>31</v>
      </c>
      <c r="Y273" s="1633" t="s">
        <v>31</v>
      </c>
      <c r="Z273" s="1612"/>
      <c r="AA273" s="1612"/>
      <c r="AB273" s="1612"/>
      <c r="AC273" s="1612"/>
      <c r="AD273" s="1958" t="s">
        <v>31</v>
      </c>
      <c r="AE273" s="1958" t="s">
        <v>31</v>
      </c>
      <c r="AF273" s="1712" t="s">
        <v>31</v>
      </c>
      <c r="AG273" s="1629"/>
      <c r="AH273" s="196"/>
      <c r="AI273" s="197"/>
    </row>
    <row r="274" spans="1:35" ht="22.15" customHeight="1" x14ac:dyDescent="0.2">
      <c r="A274" s="102"/>
      <c r="B274" s="1904"/>
      <c r="C274" s="1629"/>
      <c r="D274" s="1629"/>
      <c r="E274" s="1629"/>
      <c r="F274" s="1629"/>
      <c r="G274" s="1629"/>
      <c r="H274" s="1629"/>
      <c r="I274" s="1629"/>
      <c r="J274" s="1629"/>
      <c r="K274" s="1629"/>
      <c r="L274" s="1629"/>
      <c r="M274" s="1629"/>
      <c r="N274" s="1629"/>
      <c r="O274" s="1629"/>
      <c r="P274" s="1629"/>
      <c r="Q274" s="1629"/>
      <c r="R274" s="1629"/>
      <c r="S274" s="1629"/>
      <c r="T274" s="1629"/>
      <c r="U274" s="1629"/>
      <c r="V274" s="1629"/>
      <c r="W274" s="1629"/>
      <c r="X274" s="1629"/>
      <c r="Y274" s="1629"/>
      <c r="Z274" s="1629"/>
      <c r="AA274" s="1629"/>
      <c r="AB274" s="1629"/>
      <c r="AC274" s="1629"/>
      <c r="AD274" s="1629"/>
      <c r="AE274" s="1629"/>
      <c r="AF274" s="1629"/>
      <c r="AG274" s="2140"/>
      <c r="AH274" s="196"/>
      <c r="AI274" s="197"/>
    </row>
    <row r="275" spans="1:35" ht="21" customHeight="1" x14ac:dyDescent="0.2">
      <c r="A275" s="1851"/>
      <c r="B275" s="1904"/>
      <c r="C275" s="1259"/>
      <c r="D275" s="1259"/>
      <c r="E275" s="1259"/>
      <c r="F275" s="1259"/>
      <c r="G275" s="1259"/>
      <c r="H275" s="1259"/>
      <c r="I275" s="1259"/>
      <c r="J275" s="1259"/>
      <c r="K275" s="1259"/>
      <c r="L275" s="1259"/>
      <c r="M275" s="1259"/>
      <c r="N275" s="1258"/>
      <c r="O275" s="1258"/>
      <c r="P275" s="1259"/>
      <c r="Q275" s="1259"/>
      <c r="R275" s="1259"/>
      <c r="S275" s="1259"/>
      <c r="T275" s="1259"/>
      <c r="U275" s="1259"/>
      <c r="V275" s="1259"/>
      <c r="W275" s="1259"/>
      <c r="X275" s="1259"/>
      <c r="Y275" s="1259"/>
      <c r="Z275" s="1259"/>
      <c r="AA275" s="1259"/>
      <c r="AB275" s="1258"/>
      <c r="AC275" s="1258"/>
      <c r="AD275" s="1259"/>
      <c r="AE275" s="1259"/>
      <c r="AF275" s="1259"/>
      <c r="AG275" s="1259"/>
      <c r="AH275" s="198"/>
      <c r="AI275" s="199"/>
    </row>
    <row r="276" spans="1:35" ht="22.15" customHeight="1" x14ac:dyDescent="0.2">
      <c r="A276" s="1534"/>
      <c r="B276" s="1905"/>
      <c r="C276" s="1259"/>
      <c r="D276" s="1259"/>
      <c r="E276" s="1259"/>
      <c r="F276" s="1259"/>
      <c r="G276" s="1259"/>
      <c r="H276" s="1259"/>
      <c r="I276" s="1259"/>
      <c r="J276" s="1259"/>
      <c r="K276" s="1259"/>
      <c r="L276" s="1259"/>
      <c r="M276" s="1259"/>
      <c r="N276" s="1258"/>
      <c r="O276" s="1258"/>
      <c r="P276" s="1259"/>
      <c r="Q276" s="1259"/>
      <c r="R276" s="1259"/>
      <c r="S276" s="1259"/>
      <c r="T276" s="1259"/>
      <c r="U276" s="1259"/>
      <c r="V276" s="1259"/>
      <c r="W276" s="1259"/>
      <c r="X276" s="1259"/>
      <c r="Y276" s="1259"/>
      <c r="Z276" s="1259"/>
      <c r="AA276" s="1259"/>
      <c r="AB276" s="1258"/>
      <c r="AC276" s="1258"/>
      <c r="AD276" s="1259"/>
      <c r="AE276" s="1259"/>
      <c r="AF276" s="1259"/>
      <c r="AG276" s="1259"/>
      <c r="AH276" s="198"/>
      <c r="AI276" s="199"/>
    </row>
    <row r="277" spans="1:35" ht="22.15" customHeight="1" thickBot="1" x14ac:dyDescent="0.25">
      <c r="A277" s="688"/>
      <c r="B277" s="2133"/>
      <c r="C277" s="1126"/>
      <c r="D277" s="1127"/>
      <c r="E277" s="1127"/>
      <c r="F277" s="1127"/>
      <c r="G277" s="1127"/>
      <c r="H277" s="1127"/>
      <c r="I277" s="1127"/>
      <c r="J277" s="1127"/>
      <c r="K277" s="1127"/>
      <c r="L277" s="1127"/>
      <c r="M277" s="1127"/>
      <c r="N277" s="1128"/>
      <c r="O277" s="1128"/>
      <c r="P277" s="1127"/>
      <c r="Q277" s="1127"/>
      <c r="R277" s="1127"/>
      <c r="S277" s="1127"/>
      <c r="T277" s="1127"/>
      <c r="U277" s="1127"/>
      <c r="V277" s="1127"/>
      <c r="W277" s="1127"/>
      <c r="X277" s="1127"/>
      <c r="Y277" s="1127"/>
      <c r="Z277" s="1127"/>
      <c r="AA277" s="1127"/>
      <c r="AB277" s="1128"/>
      <c r="AC277" s="1128"/>
      <c r="AD277" s="1127"/>
      <c r="AE277" s="1127"/>
      <c r="AF277" s="1127"/>
      <c r="AG277" s="1129"/>
      <c r="AH277" s="198"/>
      <c r="AI277" s="199"/>
    </row>
    <row r="278" spans="1:35" ht="22.15" customHeight="1" x14ac:dyDescent="0.2">
      <c r="A278" s="262"/>
      <c r="B278" s="263"/>
      <c r="C278" s="255"/>
      <c r="D278" s="255"/>
      <c r="E278" s="255"/>
      <c r="F278" s="255"/>
      <c r="G278" s="255"/>
      <c r="H278" s="255"/>
      <c r="I278" s="255"/>
      <c r="J278" s="255"/>
      <c r="K278" s="255"/>
      <c r="L278" s="255"/>
      <c r="M278" s="255"/>
      <c r="N278" s="229"/>
      <c r="O278" s="229"/>
      <c r="P278" s="255"/>
      <c r="Q278" s="255"/>
      <c r="R278" s="255"/>
      <c r="S278" s="255"/>
      <c r="T278" s="255"/>
      <c r="U278" s="255"/>
      <c r="V278" s="255"/>
      <c r="W278" s="255"/>
      <c r="X278" s="255"/>
      <c r="Y278" s="255"/>
      <c r="Z278" s="255"/>
      <c r="AA278" s="255"/>
      <c r="AB278" s="229"/>
      <c r="AC278" s="229"/>
      <c r="AD278" s="255"/>
      <c r="AE278" s="255"/>
      <c r="AF278" s="255"/>
      <c r="AG278" s="255"/>
      <c r="AH278" s="264"/>
      <c r="AI278" s="199"/>
    </row>
    <row r="279" spans="1:35" ht="24" customHeight="1" x14ac:dyDescent="0.2"/>
    <row r="280" spans="1:35" ht="25.5" customHeight="1" thickBot="1" x14ac:dyDescent="0.25">
      <c r="A280" s="162" t="s">
        <v>325</v>
      </c>
    </row>
    <row r="281" spans="1:35" ht="21" customHeight="1" x14ac:dyDescent="0.2">
      <c r="A281" s="1"/>
      <c r="B281" s="530" t="s">
        <v>267</v>
      </c>
      <c r="C281" s="500"/>
      <c r="D281" s="516" t="s">
        <v>90</v>
      </c>
      <c r="E281" s="473"/>
      <c r="F281" s="504"/>
      <c r="G281" s="500"/>
      <c r="H281" s="516" t="s">
        <v>91</v>
      </c>
      <c r="I281" s="473"/>
      <c r="J281" s="504"/>
      <c r="K281" s="500"/>
      <c r="L281" s="516" t="s">
        <v>92</v>
      </c>
      <c r="M281" s="473"/>
      <c r="N281" s="504"/>
      <c r="O281" s="500"/>
      <c r="P281" s="516" t="s">
        <v>93</v>
      </c>
      <c r="Q281" s="473"/>
      <c r="R281" s="504"/>
      <c r="S281" s="500"/>
      <c r="T281" s="516" t="s">
        <v>94</v>
      </c>
      <c r="U281" s="473"/>
      <c r="V281" s="504"/>
      <c r="W281" s="500"/>
      <c r="X281" s="516" t="s">
        <v>95</v>
      </c>
      <c r="Y281" s="473"/>
      <c r="Z281" s="504"/>
      <c r="AA281" s="500"/>
      <c r="AB281" s="516" t="s">
        <v>96</v>
      </c>
      <c r="AC281" s="473"/>
      <c r="AD281" s="473"/>
      <c r="AE281" s="519" t="s">
        <v>97</v>
      </c>
      <c r="AF281" s="473"/>
      <c r="AG281" s="473"/>
      <c r="AH281" s="473"/>
      <c r="AI281" s="474"/>
    </row>
    <row r="282" spans="1:35" ht="21" customHeight="1" x14ac:dyDescent="0.2">
      <c r="A282" s="1"/>
      <c r="B282" s="3"/>
      <c r="C282" s="8"/>
      <c r="D282" s="117"/>
      <c r="E282" s="14"/>
      <c r="F282" s="116"/>
      <c r="G282" s="8"/>
      <c r="H282" s="117"/>
      <c r="I282" s="14"/>
      <c r="J282" s="116"/>
      <c r="K282" s="8"/>
      <c r="L282" s="117"/>
      <c r="M282" s="14"/>
      <c r="N282" s="116"/>
      <c r="O282" s="8"/>
      <c r="P282" s="117"/>
      <c r="Q282" s="14"/>
      <c r="R282" s="116"/>
      <c r="S282" s="8"/>
      <c r="T282" s="117"/>
      <c r="U282" s="14"/>
      <c r="V282" s="116"/>
      <c r="W282" s="8"/>
      <c r="X282" s="117"/>
      <c r="Y282" s="14"/>
      <c r="Z282" s="116"/>
      <c r="AA282" s="8"/>
      <c r="AB282" s="117"/>
      <c r="AC282" s="14"/>
      <c r="AD282" s="14"/>
      <c r="AE282" s="118"/>
      <c r="AF282" s="14"/>
      <c r="AG282" s="14"/>
      <c r="AH282" s="14"/>
      <c r="AI282" s="119"/>
    </row>
    <row r="283" spans="1:35" ht="21" customHeight="1" x14ac:dyDescent="0.2">
      <c r="A283" s="110"/>
      <c r="B283" s="1890"/>
      <c r="C283" s="1283"/>
      <c r="D283" s="1167"/>
      <c r="E283" s="1167"/>
      <c r="F283" s="1393"/>
      <c r="G283" s="1283"/>
      <c r="H283" s="1167"/>
      <c r="I283" s="1167"/>
      <c r="J283" s="1393"/>
      <c r="K283" s="1283"/>
      <c r="L283" s="1167"/>
      <c r="M283" s="1167"/>
      <c r="N283" s="1393"/>
      <c r="O283" s="1283"/>
      <c r="P283" s="1167"/>
      <c r="Q283" s="1167"/>
      <c r="R283" s="1393"/>
      <c r="S283" s="1283"/>
      <c r="T283" s="1167"/>
      <c r="U283" s="1167"/>
      <c r="V283" s="1393"/>
      <c r="W283" s="1283"/>
      <c r="X283" s="1167"/>
      <c r="Y283" s="1167"/>
      <c r="Z283" s="1393"/>
      <c r="AA283" s="1391"/>
      <c r="AB283" s="1167"/>
      <c r="AC283" s="1167"/>
      <c r="AD283" s="1284"/>
      <c r="AE283" s="1906"/>
      <c r="AF283" s="1167"/>
      <c r="AG283" s="1167"/>
      <c r="AH283" s="1284"/>
      <c r="AI283" s="1176"/>
    </row>
    <row r="284" spans="1:35" ht="21" customHeight="1" thickBot="1" x14ac:dyDescent="0.25">
      <c r="A284" s="1"/>
      <c r="B284" s="1989"/>
      <c r="C284" s="1404"/>
      <c r="D284" s="1238"/>
      <c r="E284" s="1238"/>
      <c r="F284" s="1425"/>
      <c r="G284" s="1404"/>
      <c r="H284" s="1238"/>
      <c r="I284" s="1238"/>
      <c r="J284" s="1425"/>
      <c r="K284" s="1404"/>
      <c r="L284" s="1238"/>
      <c r="M284" s="1238"/>
      <c r="N284" s="1425"/>
      <c r="O284" s="1404"/>
      <c r="P284" s="1238"/>
      <c r="Q284" s="1238"/>
      <c r="R284" s="1425"/>
      <c r="S284" s="1404"/>
      <c r="T284" s="1238"/>
      <c r="U284" s="1238"/>
      <c r="V284" s="1425"/>
      <c r="W284" s="1423"/>
      <c r="X284" s="1238"/>
      <c r="Y284" s="1238"/>
      <c r="Z284" s="1425"/>
      <c r="AA284" s="1423"/>
      <c r="AB284" s="1238"/>
      <c r="AC284" s="1238"/>
      <c r="AD284" s="1411"/>
      <c r="AE284" s="1423"/>
      <c r="AF284" s="1238"/>
      <c r="AG284" s="1238"/>
      <c r="AH284" s="1411"/>
      <c r="AI284" s="1245"/>
    </row>
    <row r="285" spans="1:35" ht="21" customHeight="1" x14ac:dyDescent="0.2">
      <c r="A285" s="1"/>
      <c r="B285" s="18"/>
      <c r="C285" s="64"/>
      <c r="F285" s="69"/>
      <c r="G285" s="64"/>
      <c r="J285" s="69"/>
      <c r="K285" s="64"/>
      <c r="N285" s="69"/>
      <c r="O285" s="64"/>
      <c r="R285" s="69"/>
      <c r="S285" s="64"/>
      <c r="V285" s="69"/>
      <c r="W285" s="69"/>
      <c r="Z285" s="69"/>
      <c r="AA285" s="69"/>
      <c r="AD285" s="69"/>
      <c r="AE285" s="69"/>
      <c r="AH285" s="69"/>
    </row>
    <row r="286" spans="1:35" ht="33" customHeight="1" x14ac:dyDescent="0.2">
      <c r="A286" s="162" t="s">
        <v>326</v>
      </c>
      <c r="B286" s="18"/>
      <c r="C286" s="64"/>
      <c r="F286" s="69"/>
      <c r="G286" s="64"/>
      <c r="J286" s="69"/>
      <c r="K286" s="64"/>
      <c r="N286" s="69"/>
      <c r="O286" s="64"/>
      <c r="R286" s="69"/>
      <c r="S286" s="64"/>
      <c r="V286" s="69"/>
      <c r="W286" s="69"/>
      <c r="Z286" s="69"/>
      <c r="AA286" s="69"/>
      <c r="AD286" s="69"/>
      <c r="AE286" s="69"/>
      <c r="AH286" s="69"/>
    </row>
    <row r="287" spans="1:35" ht="21" customHeight="1" thickBot="1" x14ac:dyDescent="0.25">
      <c r="A287" s="1131" t="s">
        <v>28</v>
      </c>
      <c r="B287" s="1119" t="s">
        <v>29</v>
      </c>
      <c r="C287" s="1254">
        <v>1</v>
      </c>
      <c r="D287" s="1254">
        <v>2</v>
      </c>
      <c r="E287" s="1254">
        <v>3</v>
      </c>
      <c r="F287" s="1254">
        <v>4</v>
      </c>
      <c r="G287" s="1185">
        <v>5</v>
      </c>
      <c r="H287" s="1185">
        <v>6</v>
      </c>
      <c r="I287" s="1254">
        <v>7</v>
      </c>
      <c r="J287" s="1254">
        <v>8</v>
      </c>
      <c r="K287" s="1254">
        <v>9</v>
      </c>
      <c r="L287" s="1254">
        <v>10</v>
      </c>
      <c r="M287" s="1254">
        <v>11</v>
      </c>
      <c r="N287" s="1185">
        <v>12</v>
      </c>
      <c r="O287" s="1185">
        <v>13</v>
      </c>
      <c r="P287" s="1254">
        <v>14</v>
      </c>
      <c r="Q287" s="1254">
        <v>15</v>
      </c>
      <c r="R287" s="1254">
        <v>16</v>
      </c>
      <c r="S287" s="1254">
        <v>17</v>
      </c>
      <c r="T287" s="1254">
        <v>18</v>
      </c>
      <c r="U287" s="1185">
        <v>19</v>
      </c>
      <c r="V287" s="1185">
        <v>20</v>
      </c>
      <c r="W287" s="1254">
        <v>21</v>
      </c>
      <c r="X287" s="1254">
        <v>22</v>
      </c>
      <c r="Y287" s="1254">
        <v>23</v>
      </c>
      <c r="Z287" s="1185">
        <v>24</v>
      </c>
      <c r="AA287" s="1185">
        <v>25</v>
      </c>
      <c r="AB287" s="1185">
        <v>26</v>
      </c>
      <c r="AC287" s="1185">
        <v>27</v>
      </c>
      <c r="AD287" s="1254">
        <v>28</v>
      </c>
      <c r="AE287" s="1254">
        <v>29</v>
      </c>
      <c r="AF287" s="1254">
        <v>30</v>
      </c>
      <c r="AG287" s="2064">
        <v>31</v>
      </c>
      <c r="AH287" s="200"/>
      <c r="AI287" s="185"/>
    </row>
    <row r="288" spans="1:35" ht="21" customHeight="1" x14ac:dyDescent="0.2">
      <c r="A288" s="88"/>
      <c r="B288" s="158" t="s">
        <v>327</v>
      </c>
      <c r="C288" s="2204" t="s">
        <v>31</v>
      </c>
      <c r="D288" s="2204" t="s">
        <v>31</v>
      </c>
      <c r="E288" s="2204" t="s">
        <v>31</v>
      </c>
      <c r="F288" s="2204" t="s">
        <v>31</v>
      </c>
      <c r="G288" s="1612"/>
      <c r="H288" s="1612"/>
      <c r="I288" s="1612" t="s">
        <v>31</v>
      </c>
      <c r="J288" s="1612" t="s">
        <v>31</v>
      </c>
      <c r="K288" s="1612" t="s">
        <v>31</v>
      </c>
      <c r="L288" s="1612" t="s">
        <v>31</v>
      </c>
      <c r="M288" s="1612" t="s">
        <v>31</v>
      </c>
      <c r="N288" s="1633"/>
      <c r="O288" s="1633"/>
      <c r="P288" s="1633" t="s">
        <v>31</v>
      </c>
      <c r="Q288" s="1623" t="s">
        <v>31</v>
      </c>
      <c r="R288" s="1623" t="s">
        <v>31</v>
      </c>
      <c r="S288" s="1623" t="s">
        <v>31</v>
      </c>
      <c r="T288" s="1623" t="s">
        <v>31</v>
      </c>
      <c r="U288" s="1623"/>
      <c r="V288" s="1623"/>
      <c r="W288" s="1623" t="s">
        <v>31</v>
      </c>
      <c r="X288" s="1623" t="s">
        <v>31</v>
      </c>
      <c r="Y288" s="1623" t="s">
        <v>32</v>
      </c>
      <c r="Z288" s="1623"/>
      <c r="AA288" s="1623"/>
      <c r="AB288" s="1623"/>
      <c r="AC288" s="1623"/>
      <c r="AD288" s="1623" t="s">
        <v>31</v>
      </c>
      <c r="AE288" s="1623" t="s">
        <v>31</v>
      </c>
      <c r="AF288" s="1623" t="s">
        <v>31</v>
      </c>
      <c r="AG288" s="1623"/>
      <c r="AH288" s="201"/>
      <c r="AI288" s="197"/>
    </row>
    <row r="289" spans="1:35" ht="21" customHeight="1" x14ac:dyDescent="0.2">
      <c r="A289" s="1907"/>
      <c r="B289" s="1908" t="s">
        <v>328</v>
      </c>
      <c r="C289" s="1612" t="s">
        <v>31</v>
      </c>
      <c r="D289" s="1612" t="s">
        <v>31</v>
      </c>
      <c r="E289" s="1612" t="s">
        <v>31</v>
      </c>
      <c r="F289" s="1629" t="s">
        <v>31</v>
      </c>
      <c r="G289" s="1612"/>
      <c r="H289" s="1612"/>
      <c r="I289" s="1612" t="s">
        <v>31</v>
      </c>
      <c r="J289" s="1612" t="s">
        <v>31</v>
      </c>
      <c r="K289" s="1612" t="s">
        <v>31</v>
      </c>
      <c r="L289" s="1612" t="s">
        <v>31</v>
      </c>
      <c r="M289" s="1612" t="s">
        <v>31</v>
      </c>
      <c r="N289" s="1633"/>
      <c r="O289" s="1633"/>
      <c r="P289" s="1633" t="s">
        <v>31</v>
      </c>
      <c r="Q289" s="1628" t="s">
        <v>31</v>
      </c>
      <c r="R289" s="1633" t="s">
        <v>31</v>
      </c>
      <c r="S289" s="1612" t="s">
        <v>31</v>
      </c>
      <c r="T289" s="1612" t="s">
        <v>31</v>
      </c>
      <c r="U289" s="1633"/>
      <c r="V289" s="1633"/>
      <c r="W289" s="1633" t="s">
        <v>31</v>
      </c>
      <c r="X289" s="1612" t="s">
        <v>31</v>
      </c>
      <c r="Y289" s="1633" t="s">
        <v>31</v>
      </c>
      <c r="Z289" s="1612"/>
      <c r="AA289" s="1612"/>
      <c r="AB289" s="1612"/>
      <c r="AC289" s="1612"/>
      <c r="AD289" s="1629" t="s">
        <v>31</v>
      </c>
      <c r="AE289" s="1958" t="s">
        <v>31</v>
      </c>
      <c r="AF289" s="1958" t="s">
        <v>31</v>
      </c>
      <c r="AG289" s="1629"/>
      <c r="AH289" s="201"/>
      <c r="AI289" s="197"/>
    </row>
    <row r="290" spans="1:35" ht="21" customHeight="1" x14ac:dyDescent="0.2">
      <c r="A290" s="1893"/>
      <c r="B290" s="1908" t="s">
        <v>329</v>
      </c>
      <c r="C290" s="1612" t="s">
        <v>31</v>
      </c>
      <c r="D290" s="1612" t="s">
        <v>31</v>
      </c>
      <c r="E290" s="1612" t="s">
        <v>31</v>
      </c>
      <c r="F290" s="1629" t="s">
        <v>31</v>
      </c>
      <c r="G290" s="1612"/>
      <c r="H290" s="1612"/>
      <c r="I290" s="2195" t="s">
        <v>31</v>
      </c>
      <c r="J290" s="2195" t="s">
        <v>31</v>
      </c>
      <c r="K290" s="2195" t="s">
        <v>31</v>
      </c>
      <c r="L290" s="1612" t="s">
        <v>31</v>
      </c>
      <c r="M290" s="1623" t="s">
        <v>31</v>
      </c>
      <c r="N290" s="1623"/>
      <c r="O290" s="1623"/>
      <c r="P290" s="1623" t="s">
        <v>31</v>
      </c>
      <c r="Q290" s="1623" t="s">
        <v>31</v>
      </c>
      <c r="R290" s="1623" t="s">
        <v>31</v>
      </c>
      <c r="S290" s="1623" t="s">
        <v>31</v>
      </c>
      <c r="T290" s="1623" t="s">
        <v>31</v>
      </c>
      <c r="U290" s="1623"/>
      <c r="V290" s="1623"/>
      <c r="W290" s="1623" t="s">
        <v>31</v>
      </c>
      <c r="X290" s="1623" t="s">
        <v>31</v>
      </c>
      <c r="Y290" s="1623" t="s">
        <v>31</v>
      </c>
      <c r="Z290" s="1623"/>
      <c r="AA290" s="1623"/>
      <c r="AB290" s="1623"/>
      <c r="AC290" s="1623"/>
      <c r="AD290" s="1623" t="s">
        <v>31</v>
      </c>
      <c r="AE290" s="1623" t="s">
        <v>31</v>
      </c>
      <c r="AF290" s="1623" t="s">
        <v>31</v>
      </c>
      <c r="AG290" s="1629"/>
      <c r="AH290" s="201"/>
      <c r="AI290" s="197"/>
    </row>
    <row r="291" spans="1:35" ht="21" customHeight="1" x14ac:dyDescent="0.2">
      <c r="A291" s="1893"/>
      <c r="B291" s="1908" t="s">
        <v>330</v>
      </c>
      <c r="C291" s="1612" t="s">
        <v>31</v>
      </c>
      <c r="D291" s="1612" t="s">
        <v>31</v>
      </c>
      <c r="E291" s="1612" t="s">
        <v>31</v>
      </c>
      <c r="F291" s="1629" t="s">
        <v>31</v>
      </c>
      <c r="G291" s="1612"/>
      <c r="H291" s="1612"/>
      <c r="I291" s="1612" t="s">
        <v>31</v>
      </c>
      <c r="J291" s="1612" t="s">
        <v>31</v>
      </c>
      <c r="K291" s="1612" t="s">
        <v>31</v>
      </c>
      <c r="L291" s="1612" t="s">
        <v>31</v>
      </c>
      <c r="M291" s="1612" t="s">
        <v>31</v>
      </c>
      <c r="N291" s="1633"/>
      <c r="O291" s="1633"/>
      <c r="P291" s="1633" t="s">
        <v>31</v>
      </c>
      <c r="Q291" s="1628" t="s">
        <v>31</v>
      </c>
      <c r="R291" s="1633" t="s">
        <v>31</v>
      </c>
      <c r="S291" s="1612" t="s">
        <v>31</v>
      </c>
      <c r="T291" s="1612" t="s">
        <v>31</v>
      </c>
      <c r="U291" s="1633"/>
      <c r="V291" s="1633"/>
      <c r="W291" s="1633" t="s">
        <v>31</v>
      </c>
      <c r="X291" s="1612" t="s">
        <v>31</v>
      </c>
      <c r="Y291" s="1633" t="s">
        <v>31</v>
      </c>
      <c r="Z291" s="1612"/>
      <c r="AA291" s="1612"/>
      <c r="AB291" s="1612"/>
      <c r="AC291" s="1612"/>
      <c r="AD291" s="1629" t="s">
        <v>31</v>
      </c>
      <c r="AE291" s="1712" t="s">
        <v>31</v>
      </c>
      <c r="AF291" s="1712" t="s">
        <v>31</v>
      </c>
      <c r="AG291" s="1629"/>
      <c r="AH291" s="201"/>
      <c r="AI291" s="197"/>
    </row>
    <row r="292" spans="1:35" ht="21" customHeight="1" x14ac:dyDescent="0.2">
      <c r="A292" s="1893"/>
      <c r="B292" s="1908" t="s">
        <v>331</v>
      </c>
      <c r="C292" s="1612" t="s">
        <v>31</v>
      </c>
      <c r="D292" s="1612" t="s">
        <v>31</v>
      </c>
      <c r="E292" s="1612" t="s">
        <v>31</v>
      </c>
      <c r="F292" s="1629" t="s">
        <v>31</v>
      </c>
      <c r="G292" s="1612"/>
      <c r="H292" s="1612"/>
      <c r="I292" s="1612" t="s">
        <v>31</v>
      </c>
      <c r="J292" s="1958" t="s">
        <v>31</v>
      </c>
      <c r="K292" s="1612" t="s">
        <v>31</v>
      </c>
      <c r="L292" s="1612" t="s">
        <v>31</v>
      </c>
      <c r="M292" s="1612" t="s">
        <v>31</v>
      </c>
      <c r="N292" s="1633"/>
      <c r="O292" s="1633"/>
      <c r="P292" s="1633" t="s">
        <v>31</v>
      </c>
      <c r="Q292" s="1628" t="s">
        <v>31</v>
      </c>
      <c r="R292" s="1633" t="s">
        <v>31</v>
      </c>
      <c r="S292" s="1612" t="s">
        <v>31</v>
      </c>
      <c r="T292" s="1612" t="s">
        <v>31</v>
      </c>
      <c r="U292" s="1633"/>
      <c r="V292" s="1633"/>
      <c r="W292" s="1712" t="s">
        <v>31</v>
      </c>
      <c r="X292" s="1712" t="s">
        <v>31</v>
      </c>
      <c r="Y292" s="1712" t="s">
        <v>31</v>
      </c>
      <c r="Z292" s="1612"/>
      <c r="AA292" s="1612"/>
      <c r="AB292" s="1612"/>
      <c r="AC292" s="1612"/>
      <c r="AD292" s="1712" t="s">
        <v>31</v>
      </c>
      <c r="AE292" s="1712" t="s">
        <v>31</v>
      </c>
      <c r="AF292" s="1712" t="s">
        <v>31</v>
      </c>
      <c r="AG292" s="1259"/>
      <c r="AH292" s="201"/>
      <c r="AI292" s="197"/>
    </row>
    <row r="293" spans="1:35" ht="21" customHeight="1" x14ac:dyDescent="0.2">
      <c r="A293" s="1893"/>
      <c r="B293" s="1908" t="s">
        <v>332</v>
      </c>
      <c r="C293" s="1612" t="s">
        <v>31</v>
      </c>
      <c r="D293" s="1612" t="s">
        <v>31</v>
      </c>
      <c r="E293" s="1612" t="s">
        <v>31</v>
      </c>
      <c r="F293" s="1629" t="s">
        <v>31</v>
      </c>
      <c r="G293" s="1612"/>
      <c r="H293" s="1612"/>
      <c r="I293" s="1612" t="s">
        <v>31</v>
      </c>
      <c r="J293" s="1612" t="s">
        <v>31</v>
      </c>
      <c r="K293" s="1612" t="s">
        <v>31</v>
      </c>
      <c r="L293" s="1612" t="s">
        <v>31</v>
      </c>
      <c r="M293" s="1612" t="s">
        <v>31</v>
      </c>
      <c r="N293" s="1633"/>
      <c r="O293" s="1633"/>
      <c r="P293" s="1633" t="s">
        <v>31</v>
      </c>
      <c r="Q293" s="1628" t="s">
        <v>31</v>
      </c>
      <c r="R293" s="1633" t="s">
        <v>31</v>
      </c>
      <c r="S293" s="1612" t="s">
        <v>31</v>
      </c>
      <c r="T293" s="1958" t="s">
        <v>31</v>
      </c>
      <c r="U293" s="1633"/>
      <c r="V293" s="1633"/>
      <c r="W293" s="1958" t="s">
        <v>31</v>
      </c>
      <c r="X293" s="1958" t="s">
        <v>31</v>
      </c>
      <c r="Y293" s="1712" t="s">
        <v>31</v>
      </c>
      <c r="Z293" s="1612"/>
      <c r="AA293" s="1612"/>
      <c r="AB293" s="1612"/>
      <c r="AC293" s="1612"/>
      <c r="AD293" s="1629" t="s">
        <v>31</v>
      </c>
      <c r="AE293" s="1712" t="s">
        <v>31</v>
      </c>
      <c r="AF293" s="1712" t="s">
        <v>31</v>
      </c>
      <c r="AG293" s="1259"/>
      <c r="AH293" s="201"/>
      <c r="AI293" s="197"/>
    </row>
    <row r="294" spans="1:35" ht="21" customHeight="1" x14ac:dyDescent="0.2">
      <c r="A294" s="1893"/>
      <c r="B294" s="1908" t="s">
        <v>333</v>
      </c>
      <c r="C294" s="1612" t="s">
        <v>31</v>
      </c>
      <c r="D294" s="1612" t="s">
        <v>31</v>
      </c>
      <c r="E294" s="1612" t="s">
        <v>31</v>
      </c>
      <c r="F294" s="1629" t="s">
        <v>31</v>
      </c>
      <c r="G294" s="1612"/>
      <c r="H294" s="1612"/>
      <c r="I294" s="1612" t="s">
        <v>31</v>
      </c>
      <c r="J294" s="1612" t="s">
        <v>31</v>
      </c>
      <c r="K294" s="1612" t="s">
        <v>31</v>
      </c>
      <c r="L294" s="1612" t="s">
        <v>31</v>
      </c>
      <c r="M294" s="1612" t="s">
        <v>31</v>
      </c>
      <c r="N294" s="1633"/>
      <c r="O294" s="1633"/>
      <c r="P294" s="1633" t="s">
        <v>31</v>
      </c>
      <c r="Q294" s="1623" t="s">
        <v>31</v>
      </c>
      <c r="R294" s="1623" t="s">
        <v>31</v>
      </c>
      <c r="S294" s="1623" t="s">
        <v>31</v>
      </c>
      <c r="T294" s="1623" t="s">
        <v>31</v>
      </c>
      <c r="U294" s="1623"/>
      <c r="V294" s="1623"/>
      <c r="W294" s="1623" t="s">
        <v>31</v>
      </c>
      <c r="X294" s="1623" t="s">
        <v>31</v>
      </c>
      <c r="Y294" s="1623" t="s">
        <v>289</v>
      </c>
      <c r="Z294" s="2204"/>
      <c r="AA294" s="2204"/>
      <c r="AB294" s="2204"/>
      <c r="AC294" s="2204"/>
      <c r="AD294" s="2204" t="s">
        <v>31</v>
      </c>
      <c r="AE294" s="2204" t="s">
        <v>31</v>
      </c>
      <c r="AF294" s="2204" t="s">
        <v>31</v>
      </c>
      <c r="AG294" s="1275"/>
      <c r="AH294" s="201"/>
      <c r="AI294" s="197"/>
    </row>
    <row r="295" spans="1:35" ht="21" customHeight="1" x14ac:dyDescent="0.2">
      <c r="A295" s="1893"/>
      <c r="B295" s="1908" t="s">
        <v>334</v>
      </c>
      <c r="C295" s="1623" t="s">
        <v>289</v>
      </c>
      <c r="D295" s="2204" t="s">
        <v>31</v>
      </c>
      <c r="E295" s="2204" t="s">
        <v>31</v>
      </c>
      <c r="F295" s="2204" t="s">
        <v>31</v>
      </c>
      <c r="G295" s="1612"/>
      <c r="H295" s="1612"/>
      <c r="I295" s="1612" t="s">
        <v>31</v>
      </c>
      <c r="J295" s="1612" t="s">
        <v>31</v>
      </c>
      <c r="K295" s="1612" t="s">
        <v>31</v>
      </c>
      <c r="L295" s="1612" t="s">
        <v>31</v>
      </c>
      <c r="M295" s="1612" t="s">
        <v>31</v>
      </c>
      <c r="N295" s="1633"/>
      <c r="O295" s="1633"/>
      <c r="P295" s="1633" t="s">
        <v>31</v>
      </c>
      <c r="Q295" s="1628" t="s">
        <v>31</v>
      </c>
      <c r="R295" s="1633" t="s">
        <v>31</v>
      </c>
      <c r="S295" s="1612" t="s">
        <v>31</v>
      </c>
      <c r="T295" s="1612" t="s">
        <v>31</v>
      </c>
      <c r="U295" s="1633"/>
      <c r="V295" s="1633"/>
      <c r="W295" s="1633" t="s">
        <v>31</v>
      </c>
      <c r="X295" s="1612" t="s">
        <v>31</v>
      </c>
      <c r="Y295" s="1633" t="s">
        <v>31</v>
      </c>
      <c r="Z295" s="1612"/>
      <c r="AA295" s="1612"/>
      <c r="AB295" s="1612"/>
      <c r="AC295" s="1612"/>
      <c r="AD295" s="1629" t="s">
        <v>31</v>
      </c>
      <c r="AE295" s="2195" t="s">
        <v>31</v>
      </c>
      <c r="AF295" s="2195" t="s">
        <v>31</v>
      </c>
      <c r="AG295" s="1259"/>
      <c r="AH295" s="201"/>
      <c r="AI295" s="197"/>
    </row>
    <row r="296" spans="1:35" ht="21" customHeight="1" x14ac:dyDescent="0.2">
      <c r="A296" s="1893"/>
      <c r="B296" s="2135" t="s">
        <v>413</v>
      </c>
      <c r="C296" s="1612" t="s">
        <v>31</v>
      </c>
      <c r="D296" s="1612" t="s">
        <v>31</v>
      </c>
      <c r="E296" s="1612" t="s">
        <v>31</v>
      </c>
      <c r="F296" s="1629" t="s">
        <v>31</v>
      </c>
      <c r="G296" s="1612"/>
      <c r="H296" s="1612"/>
      <c r="I296" s="1612" t="s">
        <v>31</v>
      </c>
      <c r="J296" s="1612" t="s">
        <v>31</v>
      </c>
      <c r="K296" s="1612" t="s">
        <v>31</v>
      </c>
      <c r="L296" s="1612" t="s">
        <v>31</v>
      </c>
      <c r="M296" s="1612" t="s">
        <v>31</v>
      </c>
      <c r="N296" s="1633"/>
      <c r="O296" s="1633"/>
      <c r="P296" s="1633" t="s">
        <v>31</v>
      </c>
      <c r="Q296" s="1628" t="s">
        <v>31</v>
      </c>
      <c r="R296" s="1633" t="s">
        <v>31</v>
      </c>
      <c r="S296" s="1612" t="s">
        <v>31</v>
      </c>
      <c r="T296" s="1612" t="s">
        <v>31</v>
      </c>
      <c r="U296" s="1633"/>
      <c r="V296" s="1633"/>
      <c r="W296" s="1633" t="s">
        <v>31</v>
      </c>
      <c r="X296" s="1612" t="s">
        <v>31</v>
      </c>
      <c r="Y296" s="1633" t="s">
        <v>31</v>
      </c>
      <c r="Z296" s="1612"/>
      <c r="AA296" s="1612"/>
      <c r="AB296" s="1612"/>
      <c r="AC296" s="1612"/>
      <c r="AD296" s="1629" t="s">
        <v>31</v>
      </c>
      <c r="AE296" s="1712" t="s">
        <v>31</v>
      </c>
      <c r="AF296" s="1712" t="s">
        <v>31</v>
      </c>
      <c r="AG296" s="1259"/>
      <c r="AH296" s="201"/>
      <c r="AI296" s="197"/>
    </row>
    <row r="297" spans="1:35" ht="21" customHeight="1" x14ac:dyDescent="0.2">
      <c r="A297" s="1893"/>
      <c r="B297" s="1910" t="s">
        <v>335</v>
      </c>
      <c r="C297" s="1612" t="s">
        <v>31</v>
      </c>
      <c r="D297" s="1612" t="s">
        <v>31</v>
      </c>
      <c r="E297" s="1612" t="s">
        <v>31</v>
      </c>
      <c r="F297" s="1629" t="s">
        <v>31</v>
      </c>
      <c r="G297" s="1612"/>
      <c r="H297" s="1612"/>
      <c r="I297" s="1612" t="s">
        <v>31</v>
      </c>
      <c r="J297" s="1612" t="s">
        <v>31</v>
      </c>
      <c r="K297" s="1612" t="s">
        <v>31</v>
      </c>
      <c r="L297" s="1612" t="s">
        <v>31</v>
      </c>
      <c r="M297" s="1612" t="s">
        <v>31</v>
      </c>
      <c r="N297" s="1633"/>
      <c r="O297" s="1633"/>
      <c r="P297" s="1633" t="s">
        <v>31</v>
      </c>
      <c r="Q297" s="1628" t="s">
        <v>31</v>
      </c>
      <c r="R297" s="1633" t="s">
        <v>31</v>
      </c>
      <c r="S297" s="1612" t="s">
        <v>31</v>
      </c>
      <c r="T297" s="1612" t="s">
        <v>31</v>
      </c>
      <c r="U297" s="1633"/>
      <c r="V297" s="1633"/>
      <c r="W297" s="1633" t="s">
        <v>31</v>
      </c>
      <c r="X297" s="1612" t="s">
        <v>31</v>
      </c>
      <c r="Y297" s="2195" t="s">
        <v>31</v>
      </c>
      <c r="Z297" s="1612"/>
      <c r="AA297" s="1612"/>
      <c r="AB297" s="1612"/>
      <c r="AC297" s="1612"/>
      <c r="AD297" s="1629" t="s">
        <v>31</v>
      </c>
      <c r="AE297" s="1712" t="s">
        <v>31</v>
      </c>
      <c r="AF297" s="1712" t="s">
        <v>31</v>
      </c>
      <c r="AG297" s="1259"/>
      <c r="AH297" s="201"/>
      <c r="AI297" s="197"/>
    </row>
    <row r="298" spans="1:35" ht="21" customHeight="1" x14ac:dyDescent="0.2">
      <c r="A298" s="1893"/>
      <c r="B298" s="2142" t="s">
        <v>336</v>
      </c>
      <c r="C298" s="1612" t="s">
        <v>31</v>
      </c>
      <c r="D298" s="1612" t="s">
        <v>31</v>
      </c>
      <c r="E298" s="1612" t="s">
        <v>31</v>
      </c>
      <c r="F298" s="1629" t="s">
        <v>31</v>
      </c>
      <c r="G298" s="1612"/>
      <c r="H298" s="1612"/>
      <c r="I298" s="1612" t="s">
        <v>31</v>
      </c>
      <c r="J298" s="1612" t="s">
        <v>31</v>
      </c>
      <c r="K298" s="1612" t="s">
        <v>31</v>
      </c>
      <c r="L298" s="1612" t="s">
        <v>31</v>
      </c>
      <c r="M298" s="1612" t="s">
        <v>31</v>
      </c>
      <c r="N298" s="1633"/>
      <c r="O298" s="1633"/>
      <c r="P298" s="1633" t="s">
        <v>31</v>
      </c>
      <c r="Q298" s="1628" t="s">
        <v>31</v>
      </c>
      <c r="R298" s="1633" t="s">
        <v>31</v>
      </c>
      <c r="S298" s="1612" t="s">
        <v>31</v>
      </c>
      <c r="T298" s="1612" t="s">
        <v>31</v>
      </c>
      <c r="U298" s="1633"/>
      <c r="V298" s="1633"/>
      <c r="W298" s="1633" t="s">
        <v>31</v>
      </c>
      <c r="X298" s="1612" t="s">
        <v>31</v>
      </c>
      <c r="Y298" s="1712" t="s">
        <v>31</v>
      </c>
      <c r="Z298" s="1612"/>
      <c r="AA298" s="1612"/>
      <c r="AB298" s="1612"/>
      <c r="AC298" s="1612"/>
      <c r="AD298" s="1712" t="s">
        <v>31</v>
      </c>
      <c r="AE298" s="1712" t="s">
        <v>31</v>
      </c>
      <c r="AF298" s="1712" t="s">
        <v>31</v>
      </c>
      <c r="AG298" s="1259"/>
      <c r="AH298" s="201"/>
      <c r="AI298" s="197"/>
    </row>
    <row r="299" spans="1:35" ht="21" customHeight="1" x14ac:dyDescent="0.2">
      <c r="A299" s="1893"/>
      <c r="B299" s="1910"/>
      <c r="C299" s="1629"/>
      <c r="D299" s="2218"/>
      <c r="E299" s="1629"/>
      <c r="F299" s="1629"/>
      <c r="G299" s="1629"/>
      <c r="H299" s="1629"/>
      <c r="I299" s="1629"/>
      <c r="J299" s="1629"/>
      <c r="K299" s="1629"/>
      <c r="L299" s="1629"/>
      <c r="M299" s="1629"/>
      <c r="N299" s="1629"/>
      <c r="O299" s="1629"/>
      <c r="P299" s="1629"/>
      <c r="Q299" s="1629"/>
      <c r="R299" s="1629"/>
      <c r="S299" s="1629"/>
      <c r="T299" s="1629"/>
      <c r="U299" s="1629"/>
      <c r="V299" s="1629"/>
      <c r="W299" s="1629"/>
      <c r="X299" s="1629"/>
      <c r="Y299" s="1629"/>
      <c r="Z299" s="1629"/>
      <c r="AA299" s="1629"/>
      <c r="AB299" s="1629"/>
      <c r="AC299" s="1629"/>
      <c r="AD299" s="1629"/>
      <c r="AE299" s="1629"/>
      <c r="AF299" s="1629"/>
      <c r="AG299" s="1259"/>
      <c r="AH299" s="201"/>
      <c r="AI299" s="197"/>
    </row>
    <row r="300" spans="1:35" ht="21" customHeight="1" x14ac:dyDescent="0.2">
      <c r="A300" s="1277"/>
      <c r="B300" s="1910"/>
      <c r="C300" s="1259"/>
      <c r="D300" s="1259"/>
      <c r="E300" s="1259"/>
      <c r="F300" s="1259"/>
      <c r="G300" s="1259"/>
      <c r="H300" s="1259"/>
      <c r="I300" s="1259"/>
      <c r="J300" s="1259"/>
      <c r="K300" s="1259"/>
      <c r="L300" s="1259"/>
      <c r="M300" s="1259"/>
      <c r="N300" s="1258"/>
      <c r="O300" s="1258"/>
      <c r="P300" s="1259"/>
      <c r="Q300" s="1259"/>
      <c r="R300" s="1259"/>
      <c r="S300" s="1259"/>
      <c r="T300" s="1259"/>
      <c r="U300" s="1259"/>
      <c r="V300" s="1259"/>
      <c r="W300" s="1259"/>
      <c r="X300" s="1259"/>
      <c r="Y300" s="1259"/>
      <c r="Z300" s="1259"/>
      <c r="AA300" s="1259"/>
      <c r="AB300" s="1258"/>
      <c r="AC300" s="1258"/>
      <c r="AD300" s="1259"/>
      <c r="AE300" s="1259"/>
      <c r="AF300" s="1259"/>
      <c r="AG300" s="1259"/>
      <c r="AH300" s="201"/>
      <c r="AI300" s="199"/>
    </row>
    <row r="301" spans="1:35" ht="21" customHeight="1" thickBot="1" x14ac:dyDescent="0.25">
      <c r="A301" s="686"/>
      <c r="B301" s="687"/>
      <c r="C301" s="1126"/>
      <c r="D301" s="1127"/>
      <c r="E301" s="1127"/>
      <c r="F301" s="1127"/>
      <c r="G301" s="1127"/>
      <c r="H301" s="1127"/>
      <c r="I301" s="1127"/>
      <c r="J301" s="1127"/>
      <c r="K301" s="1127"/>
      <c r="L301" s="1127"/>
      <c r="M301" s="1127"/>
      <c r="N301" s="1128"/>
      <c r="O301" s="1128"/>
      <c r="P301" s="1127"/>
      <c r="Q301" s="1127"/>
      <c r="R301" s="1127"/>
      <c r="S301" s="1127"/>
      <c r="T301" s="1127"/>
      <c r="U301" s="1127"/>
      <c r="V301" s="1127"/>
      <c r="W301" s="1127"/>
      <c r="X301" s="1127"/>
      <c r="Y301" s="1127"/>
      <c r="Z301" s="1127"/>
      <c r="AA301" s="1127"/>
      <c r="AB301" s="1128"/>
      <c r="AC301" s="1128"/>
      <c r="AD301" s="1127"/>
      <c r="AE301" s="1127"/>
      <c r="AF301" s="1127"/>
      <c r="AG301" s="1127"/>
      <c r="AH301" s="201"/>
      <c r="AI301" s="199"/>
    </row>
  </sheetData>
  <protectedRanges>
    <protectedRange sqref="B226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:B125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464B8-2CEB-4C04-BDCA-F27F0359B222}">
  <sheetPr codeName="Ark71"/>
  <dimension ref="A1:AL301"/>
  <sheetViews>
    <sheetView zoomScaleNormal="100" workbookViewId="0">
      <pane xSplit="2" ySplit="3" topLeftCell="C136" activePane="bottomRight" state="frozen"/>
      <selection pane="topRight" activeCell="AM167" sqref="AM167"/>
      <selection pane="bottomLeft" activeCell="AM167" sqref="AM167"/>
      <selection pane="bottomRight" activeCell="AK58" sqref="AK58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1911" t="s">
        <v>2</v>
      </c>
      <c r="C2" s="1912" t="s">
        <v>3</v>
      </c>
      <c r="D2" s="1913"/>
      <c r="E2" s="1914" t="s">
        <v>4</v>
      </c>
      <c r="F2" s="1915"/>
      <c r="G2" s="1916"/>
      <c r="H2" s="1916"/>
      <c r="I2" s="1916"/>
      <c r="J2" s="1916"/>
      <c r="K2" s="1917"/>
      <c r="L2" s="1918" t="s">
        <v>5</v>
      </c>
      <c r="M2" s="1919"/>
      <c r="N2" s="1920"/>
      <c r="O2" s="1921" t="s">
        <v>6</v>
      </c>
      <c r="P2" s="1922"/>
      <c r="Q2" s="1923"/>
      <c r="R2" s="1924"/>
      <c r="S2" s="1925" t="s">
        <v>7</v>
      </c>
      <c r="T2" s="1926"/>
      <c r="U2" s="1927"/>
      <c r="V2" s="1926"/>
      <c r="W2" s="1928" t="s">
        <v>8</v>
      </c>
      <c r="X2" s="1929"/>
      <c r="Y2" s="1930"/>
      <c r="Z2" s="164" t="s">
        <v>9</v>
      </c>
      <c r="AA2" s="1157"/>
      <c r="AB2" s="1158"/>
      <c r="AC2" s="1159"/>
      <c r="AD2" s="1160" t="s">
        <v>10</v>
      </c>
      <c r="AE2" s="1161"/>
      <c r="AF2" s="1161"/>
      <c r="AG2" s="1162"/>
    </row>
    <row r="3" spans="1:35" ht="13.35" customHeight="1" x14ac:dyDescent="0.2">
      <c r="A3" s="1"/>
      <c r="B3" s="1163" t="s">
        <v>11</v>
      </c>
      <c r="C3" s="1164" t="s">
        <v>12</v>
      </c>
      <c r="D3" s="1165"/>
      <c r="E3" s="91"/>
      <c r="F3" s="92"/>
      <c r="G3" s="92"/>
      <c r="H3" s="165" t="s">
        <v>13</v>
      </c>
      <c r="I3" s="93"/>
      <c r="J3" s="93"/>
      <c r="K3" s="94"/>
      <c r="L3" s="1166" t="s">
        <v>14</v>
      </c>
      <c r="M3" s="1167"/>
      <c r="N3" s="1168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1167"/>
      <c r="AA3" s="1167"/>
      <c r="AB3" s="1169"/>
      <c r="AC3" s="1170"/>
      <c r="AD3" s="1171" t="s">
        <v>17</v>
      </c>
      <c r="AE3" s="1172"/>
      <c r="AF3" s="1172"/>
      <c r="AG3" s="1173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1174" t="s">
        <v>20</v>
      </c>
      <c r="B6" s="1167"/>
      <c r="C6" s="1175"/>
      <c r="D6" s="1174" t="s">
        <v>21</v>
      </c>
      <c r="E6" s="1167"/>
      <c r="F6" s="1167"/>
      <c r="G6" s="1167"/>
      <c r="H6" s="1176"/>
      <c r="I6" s="1167"/>
      <c r="J6" s="1167"/>
      <c r="K6" s="1167"/>
      <c r="L6" s="1177" t="s">
        <v>22</v>
      </c>
      <c r="M6" s="1167"/>
      <c r="N6" s="1167"/>
      <c r="O6" s="1167"/>
      <c r="P6" s="1167"/>
      <c r="Q6" s="1167"/>
      <c r="R6" s="1167"/>
      <c r="S6" s="1175"/>
      <c r="T6" s="1178"/>
      <c r="U6" s="1167"/>
      <c r="V6" s="1167"/>
      <c r="W6" s="1167"/>
      <c r="X6" s="1167"/>
      <c r="Y6" s="1167"/>
      <c r="Z6" s="1167"/>
      <c r="AA6" s="1175"/>
      <c r="AB6" s="1179"/>
      <c r="AC6" s="1180"/>
      <c r="AD6" s="1180"/>
      <c r="AE6" s="1180"/>
      <c r="AF6" s="1180"/>
      <c r="AG6" s="1181"/>
    </row>
    <row r="7" spans="1:35" ht="22.15" customHeight="1" x14ac:dyDescent="0.2">
      <c r="A7" s="1174" t="s">
        <v>23</v>
      </c>
      <c r="B7" s="1167"/>
      <c r="C7" s="1167"/>
      <c r="D7" s="1167"/>
      <c r="E7" s="1167"/>
      <c r="F7" s="1167"/>
      <c r="G7" s="1167"/>
      <c r="H7" s="1167"/>
      <c r="I7" s="1167"/>
      <c r="J7" s="1167"/>
      <c r="K7" s="1175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167"/>
      <c r="V7" s="1167"/>
      <c r="W7" s="1167"/>
      <c r="X7" s="1167"/>
      <c r="Y7" s="1167"/>
      <c r="Z7" s="1167"/>
      <c r="AA7" s="1167"/>
      <c r="AB7" s="1182"/>
      <c r="AC7" s="1167"/>
      <c r="AD7" s="1167"/>
      <c r="AE7" s="1167"/>
      <c r="AF7" s="1167"/>
      <c r="AG7" s="1175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5" ht="22.15" customHeight="1" thickBot="1" x14ac:dyDescent="0.25">
      <c r="A11" s="1183" t="s">
        <v>28</v>
      </c>
      <c r="B11" s="1184" t="s">
        <v>29</v>
      </c>
      <c r="C11" s="1185">
        <v>1</v>
      </c>
      <c r="D11" s="1185">
        <v>2</v>
      </c>
      <c r="E11" s="1185">
        <v>3</v>
      </c>
      <c r="F11" s="1254">
        <v>4</v>
      </c>
      <c r="G11" s="1254">
        <v>5</v>
      </c>
      <c r="H11" s="1254">
        <v>6</v>
      </c>
      <c r="I11" s="1254">
        <v>7</v>
      </c>
      <c r="J11" s="1254">
        <v>8</v>
      </c>
      <c r="K11" s="1185">
        <v>9</v>
      </c>
      <c r="L11" s="1185">
        <v>10</v>
      </c>
      <c r="M11" s="1254">
        <v>11</v>
      </c>
      <c r="N11" s="1254">
        <v>12</v>
      </c>
      <c r="O11" s="1254">
        <v>13</v>
      </c>
      <c r="P11" s="1254">
        <v>14</v>
      </c>
      <c r="Q11" s="1254">
        <v>15</v>
      </c>
      <c r="R11" s="1185">
        <v>16</v>
      </c>
      <c r="S11" s="1185">
        <v>17</v>
      </c>
      <c r="T11" s="1254">
        <v>18</v>
      </c>
      <c r="U11" s="1254">
        <v>19</v>
      </c>
      <c r="V11" s="1254">
        <v>20</v>
      </c>
      <c r="W11" s="1254">
        <v>21</v>
      </c>
      <c r="X11" s="1254">
        <v>22</v>
      </c>
      <c r="Y11" s="1185">
        <v>23</v>
      </c>
      <c r="Z11" s="1185">
        <v>24</v>
      </c>
      <c r="AA11" s="1254">
        <v>25</v>
      </c>
      <c r="AB11" s="1254">
        <v>26</v>
      </c>
      <c r="AC11" s="1254">
        <v>27</v>
      </c>
      <c r="AD11" s="1254">
        <v>28</v>
      </c>
      <c r="AE11" s="1254">
        <v>29</v>
      </c>
      <c r="AF11" s="1185">
        <v>30</v>
      </c>
      <c r="AG11" s="2064">
        <v>31</v>
      </c>
      <c r="AH11" s="184"/>
      <c r="AI11" s="185"/>
    </row>
    <row r="12" spans="1:35" ht="22.15" customHeight="1" x14ac:dyDescent="0.2">
      <c r="A12" s="456">
        <v>8500</v>
      </c>
      <c r="B12" s="457" t="s">
        <v>30</v>
      </c>
      <c r="C12" s="458"/>
      <c r="D12" s="458"/>
      <c r="E12" s="458"/>
      <c r="F12" s="458" t="s">
        <v>31</v>
      </c>
      <c r="G12" s="458" t="s">
        <v>31</v>
      </c>
      <c r="H12" s="458" t="s">
        <v>31</v>
      </c>
      <c r="I12" s="1375" t="s">
        <v>31</v>
      </c>
      <c r="J12" s="458" t="s">
        <v>31</v>
      </c>
      <c r="K12" s="458"/>
      <c r="L12" s="458"/>
      <c r="M12" s="458" t="s">
        <v>31</v>
      </c>
      <c r="N12" s="458" t="s">
        <v>31</v>
      </c>
      <c r="O12" s="458" t="s">
        <v>31</v>
      </c>
      <c r="P12" s="458" t="s">
        <v>31</v>
      </c>
      <c r="Q12" s="463" t="s">
        <v>31</v>
      </c>
      <c r="R12" s="458"/>
      <c r="S12" s="458"/>
      <c r="T12" s="646" t="s">
        <v>31</v>
      </c>
      <c r="U12" s="458" t="s">
        <v>31</v>
      </c>
      <c r="V12" s="458" t="s">
        <v>31</v>
      </c>
      <c r="W12" s="458" t="s">
        <v>31</v>
      </c>
      <c r="X12" s="458" t="s">
        <v>31</v>
      </c>
      <c r="Y12" s="458"/>
      <c r="Z12" s="458"/>
      <c r="AA12" s="458" t="s">
        <v>31</v>
      </c>
      <c r="AB12" s="458" t="s">
        <v>31</v>
      </c>
      <c r="AC12" s="458" t="s">
        <v>31</v>
      </c>
      <c r="AD12" s="458" t="s">
        <v>31</v>
      </c>
      <c r="AE12" s="458" t="s">
        <v>31</v>
      </c>
      <c r="AF12" s="458"/>
      <c r="AG12" s="464"/>
      <c r="AH12" s="190"/>
      <c r="AI12" s="190"/>
    </row>
    <row r="13" spans="1:35" ht="22.15" customHeight="1" x14ac:dyDescent="0.2">
      <c r="A13" s="1188" t="s">
        <v>33</v>
      </c>
      <c r="B13" s="1189"/>
      <c r="C13" s="1189"/>
      <c r="D13" s="1189"/>
      <c r="E13" s="1189"/>
      <c r="F13" s="1189"/>
      <c r="G13" s="1189"/>
      <c r="H13" s="1189"/>
      <c r="I13" s="1189"/>
      <c r="J13" s="1189"/>
      <c r="K13" s="1189"/>
      <c r="L13" s="1189"/>
      <c r="M13" s="1189"/>
      <c r="N13" s="1189"/>
      <c r="O13" s="1189"/>
      <c r="P13" s="1189"/>
      <c r="Q13" s="1189"/>
      <c r="R13" s="1189"/>
      <c r="S13" s="1189"/>
      <c r="T13" s="1189"/>
      <c r="U13" s="1189"/>
      <c r="V13" s="1189"/>
      <c r="W13" s="1189"/>
      <c r="X13" s="1189"/>
      <c r="Y13" s="1189"/>
      <c r="Z13" s="1189"/>
      <c r="AA13" s="1189"/>
      <c r="AB13" s="1189"/>
      <c r="AC13" s="1189"/>
      <c r="AD13" s="1189"/>
      <c r="AE13" s="1189"/>
      <c r="AF13" s="1189"/>
      <c r="AG13" s="1190"/>
      <c r="AH13" s="188"/>
      <c r="AI13" s="188"/>
    </row>
    <row r="14" spans="1:35" ht="22.15" customHeight="1" x14ac:dyDescent="0.2">
      <c r="A14" s="1191">
        <v>8546</v>
      </c>
      <c r="B14" s="1192" t="s">
        <v>34</v>
      </c>
      <c r="C14" s="1193" t="s">
        <v>35</v>
      </c>
      <c r="D14" s="1193"/>
      <c r="E14" s="1193"/>
      <c r="F14" s="1193">
        <v>1</v>
      </c>
      <c r="G14" s="1193">
        <v>1</v>
      </c>
      <c r="H14" s="1194">
        <v>1</v>
      </c>
      <c r="I14" s="1194">
        <v>1</v>
      </c>
      <c r="J14" s="1194">
        <v>1</v>
      </c>
      <c r="K14" s="1203"/>
      <c r="L14" s="1194"/>
      <c r="M14" s="1258">
        <v>2</v>
      </c>
      <c r="N14" s="1193">
        <v>2</v>
      </c>
      <c r="O14" s="1193">
        <v>2</v>
      </c>
      <c r="P14" s="1199">
        <v>2</v>
      </c>
      <c r="Q14" s="1199">
        <v>2</v>
      </c>
      <c r="R14" s="1194" t="s">
        <v>36</v>
      </c>
      <c r="S14" s="1267" t="s">
        <v>36</v>
      </c>
      <c r="T14" s="1199" t="s">
        <v>35</v>
      </c>
      <c r="U14" s="1199" t="s">
        <v>35</v>
      </c>
      <c r="V14" s="1194" t="s">
        <v>35</v>
      </c>
      <c r="W14" s="1194" t="s">
        <v>35</v>
      </c>
      <c r="X14" s="1194" t="s">
        <v>35</v>
      </c>
      <c r="Y14" s="1194"/>
      <c r="Z14" s="1194"/>
      <c r="AA14" s="1194">
        <v>4</v>
      </c>
      <c r="AB14" s="1194">
        <v>4</v>
      </c>
      <c r="AC14" s="1194">
        <v>4</v>
      </c>
      <c r="AD14" s="1199">
        <v>4</v>
      </c>
      <c r="AE14" s="1194">
        <v>4</v>
      </c>
      <c r="AF14" s="1194" t="s">
        <v>37</v>
      </c>
      <c r="AG14" s="1201" t="s">
        <v>37</v>
      </c>
      <c r="AH14" s="190"/>
      <c r="AI14" s="190"/>
    </row>
    <row r="15" spans="1:35" ht="22.15" customHeight="1" x14ac:dyDescent="0.2">
      <c r="A15" s="1191">
        <v>8546</v>
      </c>
      <c r="B15" s="1202" t="s">
        <v>38</v>
      </c>
      <c r="C15" s="1203">
        <v>4</v>
      </c>
      <c r="D15" s="1194" t="s">
        <v>37</v>
      </c>
      <c r="E15" s="1194" t="s">
        <v>37</v>
      </c>
      <c r="F15" s="1199" t="s">
        <v>35</v>
      </c>
      <c r="G15" s="1199" t="s">
        <v>35</v>
      </c>
      <c r="H15" s="1199" t="s">
        <v>35</v>
      </c>
      <c r="I15" s="1194" t="s">
        <v>35</v>
      </c>
      <c r="J15" s="1203" t="s">
        <v>35</v>
      </c>
      <c r="K15" s="1199"/>
      <c r="L15" s="1194"/>
      <c r="M15" s="1194">
        <v>1</v>
      </c>
      <c r="N15" s="1194">
        <v>1</v>
      </c>
      <c r="O15" s="1194">
        <v>1</v>
      </c>
      <c r="P15" s="1194">
        <v>1</v>
      </c>
      <c r="Q15" s="1194">
        <v>1</v>
      </c>
      <c r="R15" s="1194"/>
      <c r="S15" s="1194"/>
      <c r="T15" s="1194">
        <v>2</v>
      </c>
      <c r="U15" s="1194">
        <v>2</v>
      </c>
      <c r="V15" s="1194">
        <v>2</v>
      </c>
      <c r="W15" s="1194">
        <v>2</v>
      </c>
      <c r="X15" s="1194">
        <v>2</v>
      </c>
      <c r="Y15" s="1194" t="s">
        <v>36</v>
      </c>
      <c r="Z15" s="1194" t="s">
        <v>36</v>
      </c>
      <c r="AA15" s="1194" t="s">
        <v>35</v>
      </c>
      <c r="AB15" s="1194" t="s">
        <v>35</v>
      </c>
      <c r="AC15" s="1194" t="s">
        <v>35</v>
      </c>
      <c r="AD15" s="1194" t="s">
        <v>35</v>
      </c>
      <c r="AE15" s="1194" t="s">
        <v>35</v>
      </c>
      <c r="AF15" s="1194"/>
      <c r="AG15" s="1201"/>
      <c r="AH15" s="190"/>
      <c r="AI15" s="190"/>
    </row>
    <row r="16" spans="1:35" ht="22.15" customHeight="1" x14ac:dyDescent="0.2">
      <c r="A16" s="1191">
        <v>8546</v>
      </c>
      <c r="B16" s="1192" t="s">
        <v>39</v>
      </c>
      <c r="C16" s="1199">
        <v>2</v>
      </c>
      <c r="D16" s="1194" t="s">
        <v>36</v>
      </c>
      <c r="E16" s="1194" t="s">
        <v>36</v>
      </c>
      <c r="F16" s="1194" t="s">
        <v>35</v>
      </c>
      <c r="G16" s="1194" t="s">
        <v>35</v>
      </c>
      <c r="H16" s="1194" t="s">
        <v>35</v>
      </c>
      <c r="I16" s="1194" t="s">
        <v>35</v>
      </c>
      <c r="J16" s="1194" t="s">
        <v>35</v>
      </c>
      <c r="K16" s="1194"/>
      <c r="L16" s="1194"/>
      <c r="M16" s="1205">
        <v>4</v>
      </c>
      <c r="N16" s="2219">
        <v>4</v>
      </c>
      <c r="O16" s="2219">
        <v>4</v>
      </c>
      <c r="P16" s="2219">
        <v>4</v>
      </c>
      <c r="Q16" s="2219">
        <v>4</v>
      </c>
      <c r="R16" s="2219" t="s">
        <v>37</v>
      </c>
      <c r="S16" s="1205" t="s">
        <v>37</v>
      </c>
      <c r="T16" s="1194" t="s">
        <v>35</v>
      </c>
      <c r="U16" s="1194" t="s">
        <v>35</v>
      </c>
      <c r="V16" s="1194" t="s">
        <v>35</v>
      </c>
      <c r="W16" s="1203" t="s">
        <v>35</v>
      </c>
      <c r="X16" s="1194" t="s">
        <v>35</v>
      </c>
      <c r="Y16" s="1199"/>
      <c r="Z16" s="1199"/>
      <c r="AA16" s="2065">
        <v>1</v>
      </c>
      <c r="AB16" s="2065">
        <v>1</v>
      </c>
      <c r="AC16" s="2065">
        <v>1</v>
      </c>
      <c r="AD16" s="1195">
        <v>1</v>
      </c>
      <c r="AE16" s="1195">
        <v>1</v>
      </c>
      <c r="AF16" s="1194"/>
      <c r="AG16" s="1201"/>
      <c r="AH16" s="190"/>
      <c r="AI16" s="190"/>
    </row>
    <row r="17" spans="1:37" ht="22.15" customHeight="1" x14ac:dyDescent="0.2">
      <c r="A17" s="1191">
        <v>8546</v>
      </c>
      <c r="B17" s="1202" t="s">
        <v>40</v>
      </c>
      <c r="C17" s="1194">
        <v>1</v>
      </c>
      <c r="D17" s="1203"/>
      <c r="E17" s="1194"/>
      <c r="F17" s="1199">
        <v>2</v>
      </c>
      <c r="G17" s="1205">
        <v>2</v>
      </c>
      <c r="H17" s="1205">
        <v>2</v>
      </c>
      <c r="I17" s="1205">
        <v>2</v>
      </c>
      <c r="J17" s="1205">
        <v>2</v>
      </c>
      <c r="K17" s="1205" t="s">
        <v>36</v>
      </c>
      <c r="L17" s="1205" t="s">
        <v>356</v>
      </c>
      <c r="M17" s="1193" t="s">
        <v>35</v>
      </c>
      <c r="N17" s="1193" t="s">
        <v>35</v>
      </c>
      <c r="O17" s="1193" t="s">
        <v>35</v>
      </c>
      <c r="P17" s="1193" t="s">
        <v>35</v>
      </c>
      <c r="Q17" s="1193" t="s">
        <v>35</v>
      </c>
      <c r="R17" s="1193"/>
      <c r="S17" s="1193"/>
      <c r="T17" s="1194">
        <v>4</v>
      </c>
      <c r="U17" s="1194">
        <v>4</v>
      </c>
      <c r="V17" s="1194">
        <v>4</v>
      </c>
      <c r="W17" s="1194">
        <v>4</v>
      </c>
      <c r="X17" s="1203">
        <v>4</v>
      </c>
      <c r="Y17" s="1194" t="s">
        <v>37</v>
      </c>
      <c r="Z17" s="1194" t="s">
        <v>37</v>
      </c>
      <c r="AA17" s="1206" t="s">
        <v>35</v>
      </c>
      <c r="AB17" s="1206" t="s">
        <v>35</v>
      </c>
      <c r="AC17" s="1206" t="s">
        <v>35</v>
      </c>
      <c r="AD17" s="1206" t="s">
        <v>35</v>
      </c>
      <c r="AE17" s="1206" t="s">
        <v>35</v>
      </c>
      <c r="AF17" s="1206"/>
      <c r="AG17" s="1201"/>
      <c r="AH17" s="190"/>
      <c r="AI17" s="190"/>
    </row>
    <row r="18" spans="1:37" ht="22.15" customHeight="1" x14ac:dyDescent="0.2">
      <c r="A18" s="1191">
        <v>8546</v>
      </c>
      <c r="B18" s="1192" t="s">
        <v>41</v>
      </c>
      <c r="C18" s="1194" t="s">
        <v>35</v>
      </c>
      <c r="D18" s="1203"/>
      <c r="E18" s="1194"/>
      <c r="F18" s="1194">
        <v>4</v>
      </c>
      <c r="G18" s="1194">
        <v>4</v>
      </c>
      <c r="H18" s="1194">
        <v>4</v>
      </c>
      <c r="I18" s="1194">
        <v>4</v>
      </c>
      <c r="J18" s="1199">
        <v>4</v>
      </c>
      <c r="K18" s="1199" t="s">
        <v>37</v>
      </c>
      <c r="L18" s="1194" t="s">
        <v>37</v>
      </c>
      <c r="M18" s="1199" t="s">
        <v>35</v>
      </c>
      <c r="N18" s="1199" t="s">
        <v>35</v>
      </c>
      <c r="O18" s="1194" t="s">
        <v>35</v>
      </c>
      <c r="P18" s="1194" t="s">
        <v>35</v>
      </c>
      <c r="Q18" s="1194" t="s">
        <v>35</v>
      </c>
      <c r="R18" s="1194"/>
      <c r="S18" s="1194"/>
      <c r="T18" s="1200">
        <v>1</v>
      </c>
      <c r="U18" s="1270">
        <v>1</v>
      </c>
      <c r="V18" s="1270">
        <v>1</v>
      </c>
      <c r="W18" s="1270">
        <v>1</v>
      </c>
      <c r="X18" s="1270">
        <v>1</v>
      </c>
      <c r="Y18" s="1194"/>
      <c r="Z18" s="1194"/>
      <c r="AA18" s="1194">
        <v>2</v>
      </c>
      <c r="AB18" s="1194">
        <v>2</v>
      </c>
      <c r="AC18" s="1207">
        <v>2</v>
      </c>
      <c r="AD18" s="1194">
        <v>2</v>
      </c>
      <c r="AE18" s="1194">
        <v>2</v>
      </c>
      <c r="AF18" s="1194" t="s">
        <v>36</v>
      </c>
      <c r="AG18" s="1201" t="s">
        <v>36</v>
      </c>
      <c r="AH18" s="190"/>
      <c r="AI18" s="190"/>
    </row>
    <row r="19" spans="1:37" ht="22.15" customHeight="1" thickBot="1" x14ac:dyDescent="0.25">
      <c r="A19" s="1208" t="s">
        <v>42</v>
      </c>
      <c r="B19" s="1209"/>
      <c r="C19" s="1210"/>
      <c r="D19" s="1210"/>
      <c r="E19" s="1210"/>
      <c r="F19" s="1210"/>
      <c r="G19" s="1210"/>
      <c r="H19" s="1210"/>
      <c r="I19" s="1210"/>
      <c r="J19" s="1210"/>
      <c r="K19" s="1210"/>
      <c r="L19" s="1210"/>
      <c r="M19" s="1210"/>
      <c r="N19" s="1210"/>
      <c r="O19" s="1210"/>
      <c r="P19" s="1210"/>
      <c r="Q19" s="1210"/>
      <c r="R19" s="1210"/>
      <c r="S19" s="1210"/>
      <c r="T19" s="1210"/>
      <c r="U19" s="1210"/>
      <c r="V19" s="1210"/>
      <c r="W19" s="1210"/>
      <c r="X19" s="1210"/>
      <c r="Y19" s="1210"/>
      <c r="Z19" s="1210"/>
      <c r="AA19" s="1210"/>
      <c r="AB19" s="1210"/>
      <c r="AC19" s="1210"/>
      <c r="AD19" s="1210"/>
      <c r="AE19" s="1210"/>
      <c r="AF19" s="1210"/>
      <c r="AG19" s="1932"/>
      <c r="AH19" s="188"/>
      <c r="AI19" s="188"/>
    </row>
    <row r="20" spans="1:37" ht="22.15" customHeight="1" x14ac:dyDescent="0.2">
      <c r="A20" s="465">
        <v>8500</v>
      </c>
      <c r="B20" s="466" t="s">
        <v>43</v>
      </c>
      <c r="C20" s="458"/>
      <c r="D20" s="458"/>
      <c r="E20" s="458"/>
      <c r="F20" s="458" t="s">
        <v>31</v>
      </c>
      <c r="G20" s="532" t="s">
        <v>31</v>
      </c>
      <c r="H20" s="458" t="s">
        <v>31</v>
      </c>
      <c r="I20" s="458" t="s">
        <v>31</v>
      </c>
      <c r="J20" s="458" t="s">
        <v>31</v>
      </c>
      <c r="K20" s="458"/>
      <c r="L20" s="458"/>
      <c r="M20" s="458" t="s">
        <v>31</v>
      </c>
      <c r="N20" s="458" t="s">
        <v>31</v>
      </c>
      <c r="O20" s="458" t="s">
        <v>31</v>
      </c>
      <c r="P20" s="458" t="s">
        <v>31</v>
      </c>
      <c r="Q20" s="458" t="s">
        <v>31</v>
      </c>
      <c r="R20" s="458"/>
      <c r="S20" s="458"/>
      <c r="T20" s="458" t="s">
        <v>31</v>
      </c>
      <c r="U20" s="458" t="s">
        <v>31</v>
      </c>
      <c r="V20" s="458" t="s">
        <v>31</v>
      </c>
      <c r="W20" s="458" t="s">
        <v>31</v>
      </c>
      <c r="X20" s="458" t="s">
        <v>31</v>
      </c>
      <c r="Y20" s="458"/>
      <c r="Z20" s="458"/>
      <c r="AA20" s="458" t="s">
        <v>31</v>
      </c>
      <c r="AB20" s="458" t="s">
        <v>31</v>
      </c>
      <c r="AC20" s="458" t="s">
        <v>31</v>
      </c>
      <c r="AD20" s="458" t="s">
        <v>31</v>
      </c>
      <c r="AE20" s="458" t="s">
        <v>31</v>
      </c>
      <c r="AF20" s="458"/>
      <c r="AG20" s="537"/>
      <c r="AH20" s="190"/>
      <c r="AI20" s="190"/>
    </row>
    <row r="21" spans="1:37" ht="22.15" customHeight="1" x14ac:dyDescent="0.2">
      <c r="A21" s="2220">
        <v>8500</v>
      </c>
      <c r="B21" s="2221" t="s">
        <v>44</v>
      </c>
      <c r="C21" s="2222"/>
      <c r="D21" s="2222"/>
      <c r="E21" s="2222"/>
      <c r="F21" s="2222">
        <v>1</v>
      </c>
      <c r="G21" s="2223">
        <v>1</v>
      </c>
      <c r="H21" s="2224" t="s">
        <v>223</v>
      </c>
      <c r="I21" s="2224" t="s">
        <v>223</v>
      </c>
      <c r="J21" s="2222" t="s">
        <v>223</v>
      </c>
      <c r="K21" s="2223" t="s">
        <v>36</v>
      </c>
      <c r="L21" s="2225" t="s">
        <v>36</v>
      </c>
      <c r="M21" s="2222" t="s">
        <v>223</v>
      </c>
      <c r="N21" s="2224" t="s">
        <v>223</v>
      </c>
      <c r="O21" s="2222" t="s">
        <v>223</v>
      </c>
      <c r="P21" s="2222" t="s">
        <v>223</v>
      </c>
      <c r="Q21" s="2222" t="s">
        <v>223</v>
      </c>
      <c r="R21" s="2223" t="s">
        <v>37</v>
      </c>
      <c r="S21" s="2222"/>
      <c r="T21" s="2222" t="s">
        <v>223</v>
      </c>
      <c r="U21" s="2222">
        <v>1</v>
      </c>
      <c r="V21" s="2222">
        <v>1</v>
      </c>
      <c r="W21" s="2222">
        <v>1</v>
      </c>
      <c r="X21" s="2222">
        <v>1</v>
      </c>
      <c r="Y21" s="2226" t="s">
        <v>31</v>
      </c>
      <c r="Z21" s="2226" t="s">
        <v>31</v>
      </c>
      <c r="AA21" s="2222" t="s">
        <v>31</v>
      </c>
      <c r="AB21" s="2222" t="s">
        <v>31</v>
      </c>
      <c r="AC21" s="2222" t="s">
        <v>31</v>
      </c>
      <c r="AD21" s="2222" t="s">
        <v>31</v>
      </c>
      <c r="AE21" s="2224" t="s">
        <v>31</v>
      </c>
      <c r="AF21" s="2224"/>
      <c r="AG21" s="2138"/>
      <c r="AH21" s="190"/>
      <c r="AI21" s="190"/>
    </row>
    <row r="22" spans="1:37" ht="22.15" customHeight="1" x14ac:dyDescent="0.2">
      <c r="A22" s="2220">
        <v>8500</v>
      </c>
      <c r="B22" s="2227" t="s">
        <v>45</v>
      </c>
      <c r="C22" s="2222"/>
      <c r="D22" s="2222"/>
      <c r="E22" s="2222"/>
      <c r="F22" s="2228" t="s">
        <v>31</v>
      </c>
      <c r="G22" s="2228" t="s">
        <v>31</v>
      </c>
      <c r="H22" s="2228" t="s">
        <v>31</v>
      </c>
      <c r="I22" s="2228" t="s">
        <v>31</v>
      </c>
      <c r="J22" s="2228" t="s">
        <v>31</v>
      </c>
      <c r="K22" s="2228"/>
      <c r="L22" s="2228"/>
      <c r="M22" s="2046">
        <v>4</v>
      </c>
      <c r="N22" s="2229">
        <v>4</v>
      </c>
      <c r="O22" s="2229">
        <v>4</v>
      </c>
      <c r="P22" s="2229">
        <v>4</v>
      </c>
      <c r="Q22" s="2230">
        <v>4</v>
      </c>
      <c r="R22" s="2229"/>
      <c r="S22" s="2222"/>
      <c r="T22" s="2222">
        <v>1</v>
      </c>
      <c r="U22" s="2229" t="s">
        <v>31</v>
      </c>
      <c r="V22" s="2229" t="s">
        <v>31</v>
      </c>
      <c r="W22" s="2229" t="s">
        <v>31</v>
      </c>
      <c r="X22" s="2222" t="s">
        <v>31</v>
      </c>
      <c r="Y22" s="2229"/>
      <c r="Z22" s="2222"/>
      <c r="AA22" s="2222">
        <v>1</v>
      </c>
      <c r="AB22" s="2222">
        <v>1</v>
      </c>
      <c r="AC22" s="2222">
        <v>1</v>
      </c>
      <c r="AD22" s="2224">
        <v>1</v>
      </c>
      <c r="AE22" s="2222">
        <v>1</v>
      </c>
      <c r="AF22" s="2224"/>
      <c r="AG22" s="2138"/>
      <c r="AH22" s="190"/>
      <c r="AI22" s="190"/>
    </row>
    <row r="23" spans="1:37" ht="22.15" customHeight="1" thickBot="1" x14ac:dyDescent="0.25">
      <c r="A23" s="2220"/>
      <c r="B23" s="2139"/>
      <c r="C23" s="2224"/>
      <c r="D23" s="2230"/>
      <c r="E23" s="2222"/>
      <c r="F23" s="2222"/>
      <c r="G23" s="2222"/>
      <c r="H23" s="2222"/>
      <c r="I23" s="2224"/>
      <c r="J23" s="2224"/>
      <c r="K23" s="2224"/>
      <c r="L23" s="2224"/>
      <c r="M23" s="2224"/>
      <c r="N23" s="2224"/>
      <c r="O23" s="2140"/>
      <c r="P23" s="2224"/>
      <c r="Q23" s="2224"/>
      <c r="R23" s="2141"/>
      <c r="S23" s="2141"/>
      <c r="T23" s="2224"/>
      <c r="U23" s="2224"/>
      <c r="V23" s="2224"/>
      <c r="W23" s="2224"/>
      <c r="X23" s="2224"/>
      <c r="Y23" s="2224"/>
      <c r="Z23" s="2224"/>
      <c r="AA23" s="2224"/>
      <c r="AB23" s="2224"/>
      <c r="AC23" s="2229"/>
      <c r="AD23" s="2229"/>
      <c r="AE23" s="2229"/>
      <c r="AF23" s="2229"/>
      <c r="AG23" s="2138"/>
    </row>
    <row r="24" spans="1:37" ht="22.15" customHeight="1" thickBot="1" x14ac:dyDescent="0.25">
      <c r="A24" s="688"/>
      <c r="B24" s="689" t="s">
        <v>425</v>
      </c>
      <c r="C24" s="458"/>
      <c r="D24" s="458"/>
      <c r="E24" s="458"/>
      <c r="F24" s="458" t="s">
        <v>31</v>
      </c>
      <c r="G24" s="458" t="s">
        <v>31</v>
      </c>
      <c r="H24" s="458" t="s">
        <v>31</v>
      </c>
      <c r="I24" s="458" t="s">
        <v>31</v>
      </c>
      <c r="J24" s="458" t="s">
        <v>31</v>
      </c>
      <c r="K24" s="458"/>
      <c r="L24" s="458"/>
      <c r="M24" s="458" t="s">
        <v>31</v>
      </c>
      <c r="N24" s="458" t="s">
        <v>31</v>
      </c>
      <c r="O24" s="458" t="s">
        <v>31</v>
      </c>
      <c r="P24" s="458" t="s">
        <v>31</v>
      </c>
      <c r="Q24" s="458" t="s">
        <v>31</v>
      </c>
      <c r="R24" s="458"/>
      <c r="S24" s="458"/>
      <c r="T24" s="458" t="s">
        <v>31</v>
      </c>
      <c r="U24" s="458" t="s">
        <v>31</v>
      </c>
      <c r="V24" s="458" t="s">
        <v>31</v>
      </c>
      <c r="W24" s="458" t="s">
        <v>31</v>
      </c>
      <c r="X24" s="458" t="s">
        <v>31</v>
      </c>
      <c r="Y24" s="458"/>
      <c r="Z24" s="458"/>
      <c r="AA24" s="458" t="s">
        <v>31</v>
      </c>
      <c r="AB24" s="458" t="s">
        <v>31</v>
      </c>
      <c r="AC24" s="458" t="s">
        <v>31</v>
      </c>
      <c r="AD24" s="458" t="s">
        <v>31</v>
      </c>
      <c r="AE24" s="458" t="s">
        <v>31</v>
      </c>
      <c r="AF24" s="458"/>
      <c r="AG24" s="537"/>
    </row>
    <row r="25" spans="1:37" ht="22.15" customHeight="1" x14ac:dyDescent="0.2">
      <c r="A25" s="102"/>
      <c r="N25" s="229" t="s">
        <v>0</v>
      </c>
    </row>
    <row r="26" spans="1:37" ht="22.15" customHeight="1" x14ac:dyDescent="0.2">
      <c r="A26" s="102"/>
    </row>
    <row r="27" spans="1:37" ht="22.15" customHeight="1" x14ac:dyDescent="0.2">
      <c r="A27" s="102"/>
    </row>
    <row r="28" spans="1:37" ht="22.15" customHeight="1" x14ac:dyDescent="0.2">
      <c r="A28" s="102"/>
    </row>
    <row r="29" spans="1:37" ht="22.15" customHeight="1" x14ac:dyDescent="0.2">
      <c r="A29" s="102"/>
    </row>
    <row r="30" spans="1:37" ht="12.75" customHeight="1" thickBot="1" x14ac:dyDescent="0.25">
      <c r="A30" s="162" t="s">
        <v>48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665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37" ht="28.5" customHeight="1" x14ac:dyDescent="0.2">
      <c r="A31" s="302" t="s">
        <v>49</v>
      </c>
      <c r="B31" s="404"/>
      <c r="C31" s="404"/>
      <c r="D31" s="471" t="s">
        <v>50</v>
      </c>
      <c r="E31" s="405"/>
      <c r="F31" s="405"/>
      <c r="G31" s="405"/>
      <c r="H31" s="405"/>
      <c r="I31" s="405"/>
      <c r="J31" s="405"/>
      <c r="K31" s="405"/>
      <c r="L31" s="405"/>
      <c r="M31" s="406" t="s">
        <v>51</v>
      </c>
      <c r="N31" s="405"/>
      <c r="O31" s="405"/>
      <c r="P31" s="405"/>
      <c r="Q31" s="405"/>
      <c r="R31" s="405"/>
      <c r="S31" s="407"/>
      <c r="T31" s="3653" t="s">
        <v>52</v>
      </c>
      <c r="U31" s="3654"/>
      <c r="V31" s="3654"/>
      <c r="W31" s="3654"/>
      <c r="X31" s="3654"/>
      <c r="Y31" s="3654"/>
      <c r="Z31" s="3655"/>
      <c r="AA31" s="472" t="s">
        <v>53</v>
      </c>
      <c r="AB31" s="473"/>
      <c r="AC31" s="473"/>
      <c r="AD31" s="473"/>
      <c r="AE31" s="473"/>
      <c r="AF31" s="473"/>
      <c r="AG31" s="474"/>
      <c r="AK31" s="1"/>
    </row>
    <row r="32" spans="1:37" ht="22.15" customHeight="1" x14ac:dyDescent="0.2">
      <c r="A32" s="1227" t="s">
        <v>54</v>
      </c>
      <c r="B32" s="1180"/>
      <c r="C32" s="1180"/>
      <c r="D32" s="1228" t="s">
        <v>55</v>
      </c>
      <c r="E32" s="1229"/>
      <c r="F32" s="1167"/>
      <c r="G32" s="1167"/>
      <c r="H32" s="1167"/>
      <c r="I32" s="1167"/>
      <c r="J32" s="1167"/>
      <c r="K32" s="1167"/>
      <c r="L32" s="1175"/>
      <c r="M32" s="1230" t="s">
        <v>56</v>
      </c>
      <c r="N32" s="1180"/>
      <c r="O32" s="1231"/>
      <c r="P32" s="1180"/>
      <c r="Q32" s="1180"/>
      <c r="R32" s="1180"/>
      <c r="S32" s="1232"/>
      <c r="T32" s="1228" t="s">
        <v>57</v>
      </c>
      <c r="U32" s="1167"/>
      <c r="V32" s="1229"/>
      <c r="W32" s="1167"/>
      <c r="X32" s="1167"/>
      <c r="Y32" s="1167"/>
      <c r="Z32" s="1175"/>
      <c r="AA32" s="163" t="s">
        <v>58</v>
      </c>
      <c r="AD32" s="100"/>
      <c r="AG32" s="103"/>
      <c r="AK32" s="1"/>
    </row>
    <row r="33" spans="1:38" ht="22.15" customHeight="1" x14ac:dyDescent="0.2">
      <c r="A33" s="1233" t="s">
        <v>59</v>
      </c>
      <c r="B33" s="1167"/>
      <c r="C33" s="1167"/>
      <c r="D33" s="1234"/>
      <c r="E33" s="1167"/>
      <c r="F33" s="1167"/>
      <c r="G33" s="1175"/>
      <c r="H33" s="1182" t="s">
        <v>60</v>
      </c>
      <c r="I33" s="1167"/>
      <c r="J33" s="1167"/>
      <c r="K33" s="1167"/>
      <c r="L33" s="1167"/>
      <c r="M33" s="1235"/>
      <c r="N33" s="1167"/>
      <c r="O33" s="1167"/>
      <c r="P33" s="1167"/>
      <c r="Q33" s="1167"/>
      <c r="R33" s="1167"/>
      <c r="S33" s="1167"/>
      <c r="T33" s="1234"/>
      <c r="U33" s="162" t="s">
        <v>61</v>
      </c>
      <c r="AA33" s="1231"/>
      <c r="AB33" s="1180"/>
      <c r="AC33" s="1180"/>
      <c r="AD33" s="1180"/>
      <c r="AE33" s="1180"/>
      <c r="AF33" s="1180"/>
      <c r="AG33" s="1236"/>
      <c r="AK33" s="64"/>
    </row>
    <row r="34" spans="1:38" ht="22.15" customHeight="1" thickBot="1" x14ac:dyDescent="0.25">
      <c r="A34" s="1935" t="s">
        <v>62</v>
      </c>
      <c r="B34" s="1238"/>
      <c r="C34" s="1238"/>
      <c r="D34" s="1239"/>
      <c r="E34" s="1238"/>
      <c r="F34" s="1238"/>
      <c r="G34" s="1240"/>
      <c r="H34" s="1241" t="s">
        <v>63</v>
      </c>
      <c r="I34" s="1240"/>
      <c r="J34" s="1238"/>
      <c r="K34" s="1238"/>
      <c r="L34" s="1238"/>
      <c r="M34" s="1242"/>
      <c r="N34" s="1238"/>
      <c r="O34" s="1238"/>
      <c r="P34" s="1238"/>
      <c r="Q34" s="1243"/>
      <c r="R34" s="1243"/>
      <c r="S34" s="1243"/>
      <c r="T34" s="1239"/>
      <c r="U34" s="1244" t="s">
        <v>64</v>
      </c>
      <c r="V34" s="1238"/>
      <c r="W34" s="1238"/>
      <c r="X34" s="1238"/>
      <c r="Y34" s="1238"/>
      <c r="Z34" s="1238"/>
      <c r="AA34" s="1238"/>
      <c r="AB34" s="1238"/>
      <c r="AC34" s="1238"/>
      <c r="AD34" s="1238"/>
      <c r="AE34" s="1238"/>
      <c r="AF34" s="1238"/>
      <c r="AG34" s="1245"/>
      <c r="AK34" s="1"/>
    </row>
    <row r="35" spans="1:38" ht="22.1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  <c r="AJ35" s="177"/>
    </row>
    <row r="36" spans="1:38" ht="22.15" customHeight="1" thickBot="1" x14ac:dyDescent="0.25">
      <c r="A36" s="1246" t="s">
        <v>28</v>
      </c>
      <c r="B36" s="1247" t="s">
        <v>29</v>
      </c>
      <c r="C36" s="1185">
        <v>1</v>
      </c>
      <c r="D36" s="1185">
        <v>2</v>
      </c>
      <c r="E36" s="1185">
        <v>3</v>
      </c>
      <c r="F36" s="1254">
        <v>4</v>
      </c>
      <c r="G36" s="1254">
        <v>5</v>
      </c>
      <c r="H36" s="1254">
        <v>6</v>
      </c>
      <c r="I36" s="1254">
        <v>7</v>
      </c>
      <c r="J36" s="1254">
        <v>8</v>
      </c>
      <c r="K36" s="1185">
        <v>9</v>
      </c>
      <c r="L36" s="1185">
        <v>10</v>
      </c>
      <c r="M36" s="1254">
        <v>11</v>
      </c>
      <c r="N36" s="1254">
        <v>12</v>
      </c>
      <c r="O36" s="1254">
        <v>13</v>
      </c>
      <c r="P36" s="1254">
        <v>14</v>
      </c>
      <c r="Q36" s="1254">
        <v>15</v>
      </c>
      <c r="R36" s="1185">
        <v>16</v>
      </c>
      <c r="S36" s="1185">
        <v>17</v>
      </c>
      <c r="T36" s="1254">
        <v>18</v>
      </c>
      <c r="U36" s="1254">
        <v>19</v>
      </c>
      <c r="V36" s="1254">
        <v>20</v>
      </c>
      <c r="W36" s="1254">
        <v>21</v>
      </c>
      <c r="X36" s="1254">
        <v>22</v>
      </c>
      <c r="Y36" s="1185">
        <v>23</v>
      </c>
      <c r="Z36" s="1185">
        <v>24</v>
      </c>
      <c r="AA36" s="1254">
        <v>25</v>
      </c>
      <c r="AB36" s="1254">
        <v>26</v>
      </c>
      <c r="AC36" s="1254">
        <v>27</v>
      </c>
      <c r="AD36" s="1254">
        <v>28</v>
      </c>
      <c r="AE36" s="1254">
        <v>29</v>
      </c>
      <c r="AF36" s="1185">
        <v>30</v>
      </c>
      <c r="AG36" s="2064">
        <v>31</v>
      </c>
      <c r="AH36" s="184"/>
      <c r="AI36" s="185"/>
      <c r="AL36" t="s">
        <v>0</v>
      </c>
    </row>
    <row r="37" spans="1:38" ht="22.15" customHeight="1" x14ac:dyDescent="0.2">
      <c r="A37" s="475">
        <v>1</v>
      </c>
      <c r="B37" s="476" t="s">
        <v>65</v>
      </c>
      <c r="C37" s="483">
        <v>10</v>
      </c>
      <c r="D37" s="564" t="s">
        <v>67</v>
      </c>
      <c r="E37" s="483" t="s">
        <v>426</v>
      </c>
      <c r="F37" s="477" t="s">
        <v>35</v>
      </c>
      <c r="G37" s="477" t="s">
        <v>35</v>
      </c>
      <c r="H37" s="477" t="s">
        <v>35</v>
      </c>
      <c r="I37" s="477" t="s">
        <v>35</v>
      </c>
      <c r="J37" s="458" t="s">
        <v>35</v>
      </c>
      <c r="K37" s="477" t="s">
        <v>71</v>
      </c>
      <c r="L37" s="477" t="s">
        <v>71</v>
      </c>
      <c r="M37" s="477">
        <v>7</v>
      </c>
      <c r="N37" s="477">
        <v>7</v>
      </c>
      <c r="O37" s="458">
        <v>7</v>
      </c>
      <c r="P37" s="477">
        <v>7</v>
      </c>
      <c r="Q37" s="459">
        <v>7</v>
      </c>
      <c r="R37" s="458"/>
      <c r="S37" s="477"/>
      <c r="T37" s="477">
        <v>4</v>
      </c>
      <c r="U37" s="477">
        <v>4</v>
      </c>
      <c r="V37" s="477">
        <v>4</v>
      </c>
      <c r="W37" s="477">
        <v>4</v>
      </c>
      <c r="X37" s="477">
        <v>4</v>
      </c>
      <c r="Y37" s="459"/>
      <c r="Z37" s="477"/>
      <c r="AA37" s="1193">
        <v>3</v>
      </c>
      <c r="AB37" s="459">
        <v>3</v>
      </c>
      <c r="AC37" s="459">
        <v>3</v>
      </c>
      <c r="AD37" s="459">
        <v>3</v>
      </c>
      <c r="AE37" s="459">
        <v>3</v>
      </c>
      <c r="AF37" s="477"/>
      <c r="AG37" s="478"/>
      <c r="AH37" s="189"/>
      <c r="AI37" s="190"/>
    </row>
    <row r="38" spans="1:38" ht="22.15" customHeight="1" x14ac:dyDescent="0.2">
      <c r="A38" s="1249">
        <v>6</v>
      </c>
      <c r="B38" s="2142" t="s">
        <v>180</v>
      </c>
      <c r="C38" s="1193">
        <v>11</v>
      </c>
      <c r="D38" s="1193" t="s">
        <v>73</v>
      </c>
      <c r="E38" s="1193" t="s">
        <v>73</v>
      </c>
      <c r="F38" s="1193" t="s">
        <v>35</v>
      </c>
      <c r="G38" s="1193" t="s">
        <v>35</v>
      </c>
      <c r="H38" s="1193" t="s">
        <v>35</v>
      </c>
      <c r="I38" s="1193" t="s">
        <v>35</v>
      </c>
      <c r="J38" s="1193" t="s">
        <v>35</v>
      </c>
      <c r="K38" s="1193" t="s">
        <v>69</v>
      </c>
      <c r="L38" s="1193" t="s">
        <v>69</v>
      </c>
      <c r="M38" s="1193">
        <v>8</v>
      </c>
      <c r="N38" s="1193">
        <v>8</v>
      </c>
      <c r="O38" s="1193">
        <v>8</v>
      </c>
      <c r="P38" s="1193">
        <v>8</v>
      </c>
      <c r="Q38" s="1193">
        <v>8</v>
      </c>
      <c r="R38" s="1193"/>
      <c r="S38" s="2153" t="s">
        <v>37</v>
      </c>
      <c r="T38" s="1193" t="s">
        <v>35</v>
      </c>
      <c r="U38" s="1193" t="s">
        <v>35</v>
      </c>
      <c r="V38" s="1193" t="s">
        <v>35</v>
      </c>
      <c r="W38" s="1193" t="s">
        <v>35</v>
      </c>
      <c r="X38" s="1193" t="s">
        <v>35</v>
      </c>
      <c r="Y38" s="1193"/>
      <c r="Z38" s="1193"/>
      <c r="AA38" s="1193">
        <v>1</v>
      </c>
      <c r="AB38" s="1193">
        <v>1</v>
      </c>
      <c r="AC38" s="1193">
        <v>1</v>
      </c>
      <c r="AD38" s="1193">
        <v>1</v>
      </c>
      <c r="AE38" s="1193">
        <v>1</v>
      </c>
      <c r="AF38" s="1193"/>
      <c r="AG38" s="1251"/>
      <c r="AH38" s="189"/>
      <c r="AI38" s="190"/>
    </row>
    <row r="39" spans="1:38" ht="22.15" customHeight="1" thickBot="1" x14ac:dyDescent="0.25">
      <c r="A39" s="1936">
        <v>11</v>
      </c>
      <c r="B39" s="1253" t="s">
        <v>72</v>
      </c>
      <c r="C39" s="1254">
        <v>9</v>
      </c>
      <c r="D39" s="1255" t="s">
        <v>66</v>
      </c>
      <c r="E39" s="1255" t="s">
        <v>67</v>
      </c>
      <c r="F39" s="1255" t="s">
        <v>35</v>
      </c>
      <c r="G39" s="1255" t="s">
        <v>35</v>
      </c>
      <c r="H39" s="1255" t="s">
        <v>35</v>
      </c>
      <c r="I39" s="1255" t="s">
        <v>35</v>
      </c>
      <c r="J39" s="1255" t="s">
        <v>35</v>
      </c>
      <c r="K39" s="1255" t="s">
        <v>68</v>
      </c>
      <c r="L39" s="1255" t="s">
        <v>69</v>
      </c>
      <c r="M39" s="1255">
        <v>6</v>
      </c>
      <c r="N39" s="1255">
        <v>6</v>
      </c>
      <c r="O39" s="1254">
        <v>6</v>
      </c>
      <c r="P39" s="1255">
        <v>6</v>
      </c>
      <c r="Q39" s="1254">
        <v>6</v>
      </c>
      <c r="R39" s="1254"/>
      <c r="S39" s="1255"/>
      <c r="T39" s="1938" t="s">
        <v>35</v>
      </c>
      <c r="U39" s="1938" t="s">
        <v>35</v>
      </c>
      <c r="V39" s="1938" t="s">
        <v>35</v>
      </c>
      <c r="W39" s="1938" t="s">
        <v>35</v>
      </c>
      <c r="X39" s="1938" t="s">
        <v>35</v>
      </c>
      <c r="Y39" s="1255"/>
      <c r="Z39" s="1255"/>
      <c r="AA39" s="1256">
        <v>5</v>
      </c>
      <c r="AB39" s="1256">
        <v>5</v>
      </c>
      <c r="AC39" s="1256">
        <v>5</v>
      </c>
      <c r="AD39" s="1256">
        <v>5</v>
      </c>
      <c r="AE39" s="1256">
        <v>5</v>
      </c>
      <c r="AF39" s="1256"/>
      <c r="AG39" s="1944"/>
      <c r="AH39" s="189"/>
      <c r="AI39" s="190"/>
    </row>
    <row r="40" spans="1:38" ht="22.15" customHeight="1" x14ac:dyDescent="0.2">
      <c r="A40" s="475">
        <v>2</v>
      </c>
      <c r="B40" s="183" t="s">
        <v>74</v>
      </c>
      <c r="C40" s="458" t="s">
        <v>35</v>
      </c>
      <c r="D40" s="458" t="s">
        <v>71</v>
      </c>
      <c r="E40" s="458" t="s">
        <v>71</v>
      </c>
      <c r="F40" s="458">
        <v>7</v>
      </c>
      <c r="G40" s="458">
        <v>7</v>
      </c>
      <c r="H40" s="477">
        <v>7</v>
      </c>
      <c r="I40" s="477">
        <v>7</v>
      </c>
      <c r="J40" s="458">
        <v>7</v>
      </c>
      <c r="K40" s="458"/>
      <c r="L40" s="477"/>
      <c r="M40" s="485">
        <v>4</v>
      </c>
      <c r="N40" s="485">
        <v>4</v>
      </c>
      <c r="O40" s="481">
        <v>4</v>
      </c>
      <c r="P40" s="485">
        <v>4</v>
      </c>
      <c r="Q40" s="481">
        <v>4</v>
      </c>
      <c r="R40" s="459"/>
      <c r="S40" s="458"/>
      <c r="T40" s="532">
        <v>3</v>
      </c>
      <c r="U40" s="532">
        <v>3</v>
      </c>
      <c r="V40" s="532">
        <v>3</v>
      </c>
      <c r="W40" s="532">
        <v>3</v>
      </c>
      <c r="X40" s="532">
        <v>3</v>
      </c>
      <c r="Y40" s="532"/>
      <c r="Z40" s="532"/>
      <c r="AA40" s="477">
        <v>11</v>
      </c>
      <c r="AB40" s="477">
        <v>11</v>
      </c>
      <c r="AC40" s="459">
        <v>11</v>
      </c>
      <c r="AD40" s="459">
        <v>11</v>
      </c>
      <c r="AE40" s="477">
        <v>11</v>
      </c>
      <c r="AF40" s="477" t="s">
        <v>73</v>
      </c>
      <c r="AG40" s="478" t="s">
        <v>73</v>
      </c>
      <c r="AH40" s="189"/>
      <c r="AI40" s="190"/>
    </row>
    <row r="41" spans="1:38" ht="22.15" customHeight="1" x14ac:dyDescent="0.2">
      <c r="A41" s="1249">
        <v>7</v>
      </c>
      <c r="B41" s="1202" t="s">
        <v>75</v>
      </c>
      <c r="C41" s="1258" t="s">
        <v>35</v>
      </c>
      <c r="D41" s="1258" t="s">
        <v>69</v>
      </c>
      <c r="E41" s="1259" t="s">
        <v>69</v>
      </c>
      <c r="F41" s="1259">
        <v>8</v>
      </c>
      <c r="G41" s="1259">
        <v>8</v>
      </c>
      <c r="H41" s="1259" t="s">
        <v>427</v>
      </c>
      <c r="I41" s="1259" t="s">
        <v>427</v>
      </c>
      <c r="J41" s="1259" t="s">
        <v>427</v>
      </c>
      <c r="K41" s="1260"/>
      <c r="L41" s="1260"/>
      <c r="M41" s="1260" t="s">
        <v>35</v>
      </c>
      <c r="N41" s="1259" t="s">
        <v>35</v>
      </c>
      <c r="O41" s="1259" t="s">
        <v>35</v>
      </c>
      <c r="P41" s="1259" t="s">
        <v>35</v>
      </c>
      <c r="Q41" s="1258" t="s">
        <v>35</v>
      </c>
      <c r="R41" s="1259"/>
      <c r="S41" s="1259"/>
      <c r="T41" s="1270">
        <v>1</v>
      </c>
      <c r="U41" s="1270">
        <v>1</v>
      </c>
      <c r="V41" s="1270">
        <v>1</v>
      </c>
      <c r="W41" s="1270">
        <v>1</v>
      </c>
      <c r="X41" s="1270">
        <v>1</v>
      </c>
      <c r="Y41" s="1259"/>
      <c r="Z41" s="1259"/>
      <c r="AA41" s="1259">
        <v>9</v>
      </c>
      <c r="AB41" s="1259">
        <v>9</v>
      </c>
      <c r="AC41" s="1259">
        <v>9</v>
      </c>
      <c r="AD41" s="1259">
        <v>9</v>
      </c>
      <c r="AE41" s="1259">
        <v>9</v>
      </c>
      <c r="AF41" s="1259" t="s">
        <v>66</v>
      </c>
      <c r="AG41" s="1261" t="s">
        <v>67</v>
      </c>
      <c r="AH41" s="189"/>
      <c r="AI41" s="190"/>
    </row>
    <row r="42" spans="1:38" ht="22.15" customHeight="1" thickBot="1" x14ac:dyDescent="0.25">
      <c r="A42" s="1936">
        <v>12</v>
      </c>
      <c r="B42" s="1262" t="s">
        <v>76</v>
      </c>
      <c r="C42" s="1255" t="s">
        <v>35</v>
      </c>
      <c r="D42" s="1263" t="s">
        <v>68</v>
      </c>
      <c r="E42" s="1255" t="s">
        <v>69</v>
      </c>
      <c r="F42" s="1271">
        <v>6</v>
      </c>
      <c r="G42" s="1271">
        <v>6</v>
      </c>
      <c r="H42" s="1271">
        <v>6</v>
      </c>
      <c r="I42" s="1271">
        <v>6</v>
      </c>
      <c r="J42" s="1271">
        <v>6</v>
      </c>
      <c r="K42" s="1254"/>
      <c r="L42" s="1255"/>
      <c r="M42" s="1255" t="s">
        <v>35</v>
      </c>
      <c r="N42" s="1255" t="s">
        <v>35</v>
      </c>
      <c r="O42" s="1255" t="s">
        <v>35</v>
      </c>
      <c r="P42" s="1255" t="s">
        <v>35</v>
      </c>
      <c r="Q42" s="1254" t="s">
        <v>35</v>
      </c>
      <c r="R42" s="1255"/>
      <c r="S42" s="1255"/>
      <c r="T42" s="1255">
        <v>5</v>
      </c>
      <c r="U42" s="1263">
        <v>5</v>
      </c>
      <c r="V42" s="1263">
        <v>5</v>
      </c>
      <c r="W42" s="1263">
        <v>5</v>
      </c>
      <c r="X42" s="1255">
        <v>5</v>
      </c>
      <c r="Y42" s="1255"/>
      <c r="Z42" s="1255"/>
      <c r="AA42" s="1255">
        <v>10</v>
      </c>
      <c r="AB42" s="1255">
        <v>10</v>
      </c>
      <c r="AC42" s="1254">
        <v>10</v>
      </c>
      <c r="AD42" s="1254">
        <v>10</v>
      </c>
      <c r="AE42" s="1254">
        <v>10</v>
      </c>
      <c r="AF42" s="1254" t="s">
        <v>67</v>
      </c>
      <c r="AG42" s="1945" t="s">
        <v>67</v>
      </c>
      <c r="AH42" s="189"/>
      <c r="AI42" s="190"/>
    </row>
    <row r="43" spans="1:38" ht="22.15" customHeight="1" x14ac:dyDescent="0.2">
      <c r="A43" s="475">
        <v>3</v>
      </c>
      <c r="B43" s="479" t="s">
        <v>77</v>
      </c>
      <c r="C43" s="480">
        <v>7</v>
      </c>
      <c r="D43" s="459"/>
      <c r="E43" s="477"/>
      <c r="F43" s="477">
        <v>4</v>
      </c>
      <c r="G43" s="477">
        <v>4</v>
      </c>
      <c r="H43" s="477">
        <v>4</v>
      </c>
      <c r="I43" s="477">
        <v>4</v>
      </c>
      <c r="J43" s="477">
        <v>4</v>
      </c>
      <c r="K43" s="459"/>
      <c r="L43" s="459"/>
      <c r="M43" s="459">
        <v>3</v>
      </c>
      <c r="N43" s="459">
        <v>3</v>
      </c>
      <c r="O43" s="459">
        <v>3</v>
      </c>
      <c r="P43" s="459">
        <v>3</v>
      </c>
      <c r="Q43" s="459">
        <v>3</v>
      </c>
      <c r="R43" s="477"/>
      <c r="S43" s="477"/>
      <c r="T43" s="477">
        <v>11</v>
      </c>
      <c r="U43" s="477">
        <v>11</v>
      </c>
      <c r="V43" s="459">
        <v>11</v>
      </c>
      <c r="W43" s="459">
        <v>11</v>
      </c>
      <c r="X43" s="458">
        <v>11</v>
      </c>
      <c r="Y43" s="477" t="s">
        <v>73</v>
      </c>
      <c r="Z43" s="477" t="s">
        <v>73</v>
      </c>
      <c r="AA43" s="477" t="s">
        <v>35</v>
      </c>
      <c r="AB43" s="477" t="s">
        <v>35</v>
      </c>
      <c r="AC43" s="482" t="s">
        <v>35</v>
      </c>
      <c r="AD43" s="477" t="s">
        <v>35</v>
      </c>
      <c r="AE43" s="477" t="s">
        <v>35</v>
      </c>
      <c r="AF43" s="477" t="s">
        <v>69</v>
      </c>
      <c r="AG43" s="478" t="s">
        <v>69</v>
      </c>
      <c r="AH43" s="189"/>
      <c r="AI43" s="190"/>
    </row>
    <row r="44" spans="1:38" ht="22.15" customHeight="1" x14ac:dyDescent="0.2">
      <c r="A44" s="1249">
        <v>8</v>
      </c>
      <c r="B44" s="1202" t="s">
        <v>111</v>
      </c>
      <c r="C44" s="1199">
        <v>8</v>
      </c>
      <c r="D44" s="1199"/>
      <c r="E44" s="1199"/>
      <c r="F44" s="1199" t="s">
        <v>35</v>
      </c>
      <c r="G44" s="1199" t="s">
        <v>35</v>
      </c>
      <c r="H44" s="1199" t="s">
        <v>35</v>
      </c>
      <c r="I44" s="1259" t="s">
        <v>35</v>
      </c>
      <c r="J44" s="1258" t="s">
        <v>35</v>
      </c>
      <c r="K44" s="1193"/>
      <c r="L44" s="1193"/>
      <c r="M44" s="1198">
        <v>1</v>
      </c>
      <c r="N44" s="2065">
        <v>1</v>
      </c>
      <c r="O44" s="1269">
        <v>1</v>
      </c>
      <c r="P44" s="1269">
        <v>1</v>
      </c>
      <c r="Q44" s="1269">
        <v>1</v>
      </c>
      <c r="R44" s="1259"/>
      <c r="S44" s="1259"/>
      <c r="T44" s="1259">
        <v>9</v>
      </c>
      <c r="U44" s="1259">
        <v>9</v>
      </c>
      <c r="V44" s="1259">
        <v>9</v>
      </c>
      <c r="W44" s="1259">
        <v>9</v>
      </c>
      <c r="X44" s="1258">
        <v>9</v>
      </c>
      <c r="Y44" s="1259" t="s">
        <v>66</v>
      </c>
      <c r="Z44" s="1259" t="s">
        <v>67</v>
      </c>
      <c r="AA44" s="1259" t="s">
        <v>35</v>
      </c>
      <c r="AB44" s="1259" t="s">
        <v>35</v>
      </c>
      <c r="AC44" s="1259" t="s">
        <v>35</v>
      </c>
      <c r="AD44" s="1199" t="s">
        <v>35</v>
      </c>
      <c r="AE44" s="1199" t="s">
        <v>35</v>
      </c>
      <c r="AF44" s="1267" t="s">
        <v>68</v>
      </c>
      <c r="AG44" s="1261" t="s">
        <v>69</v>
      </c>
      <c r="AH44" s="189"/>
      <c r="AI44" s="190"/>
    </row>
    <row r="45" spans="1:38" ht="22.15" customHeight="1" thickBot="1" x14ac:dyDescent="0.25">
      <c r="A45" s="1936">
        <v>13</v>
      </c>
      <c r="B45" s="1253" t="s">
        <v>79</v>
      </c>
      <c r="C45" s="1254">
        <v>6</v>
      </c>
      <c r="D45" s="1254"/>
      <c r="E45" s="1255"/>
      <c r="F45" s="1255" t="s">
        <v>35</v>
      </c>
      <c r="G45" s="1255" t="s">
        <v>35</v>
      </c>
      <c r="H45" s="1255" t="s">
        <v>35</v>
      </c>
      <c r="I45" s="1255" t="s">
        <v>35</v>
      </c>
      <c r="J45" s="1254" t="s">
        <v>35</v>
      </c>
      <c r="K45" s="1255"/>
      <c r="L45" s="1263"/>
      <c r="M45" s="1256">
        <v>5</v>
      </c>
      <c r="N45" s="1256">
        <v>5</v>
      </c>
      <c r="O45" s="1256">
        <v>5</v>
      </c>
      <c r="P45" s="1256">
        <v>5</v>
      </c>
      <c r="Q45" s="1256">
        <v>5</v>
      </c>
      <c r="R45" s="1256"/>
      <c r="S45" s="1256"/>
      <c r="T45" s="1255">
        <v>10</v>
      </c>
      <c r="U45" s="1255">
        <v>10</v>
      </c>
      <c r="V45" s="1255">
        <v>10</v>
      </c>
      <c r="W45" s="1255">
        <v>10</v>
      </c>
      <c r="X45" s="1255">
        <v>10</v>
      </c>
      <c r="Y45" s="1254" t="s">
        <v>67</v>
      </c>
      <c r="Z45" s="1255" t="s">
        <v>67</v>
      </c>
      <c r="AA45" s="1255" t="s">
        <v>35</v>
      </c>
      <c r="AB45" s="1255" t="s">
        <v>35</v>
      </c>
      <c r="AC45" s="1255" t="s">
        <v>35</v>
      </c>
      <c r="AD45" s="1255" t="s">
        <v>35</v>
      </c>
      <c r="AE45" s="1254" t="s">
        <v>35</v>
      </c>
      <c r="AF45" s="1255" t="s">
        <v>71</v>
      </c>
      <c r="AG45" s="2021" t="s">
        <v>71</v>
      </c>
      <c r="AH45" s="189"/>
      <c r="AI45" s="190"/>
    </row>
    <row r="46" spans="1:38" ht="22.15" customHeight="1" x14ac:dyDescent="0.2">
      <c r="A46" s="475">
        <v>4</v>
      </c>
      <c r="B46" s="476" t="s">
        <v>403</v>
      </c>
      <c r="C46" s="459">
        <v>4</v>
      </c>
      <c r="D46" s="459"/>
      <c r="E46" s="477"/>
      <c r="F46" s="463">
        <v>3</v>
      </c>
      <c r="G46" s="463">
        <v>3</v>
      </c>
      <c r="H46" s="463">
        <v>3</v>
      </c>
      <c r="I46" s="463">
        <v>3</v>
      </c>
      <c r="J46" s="463">
        <v>3</v>
      </c>
      <c r="K46" s="458"/>
      <c r="L46" s="458"/>
      <c r="M46" s="1380" t="s">
        <v>31</v>
      </c>
      <c r="N46" s="1380" t="s">
        <v>31</v>
      </c>
      <c r="O46" s="1380" t="s">
        <v>31</v>
      </c>
      <c r="P46" s="1380" t="s">
        <v>31</v>
      </c>
      <c r="Q46" s="1380" t="s">
        <v>31</v>
      </c>
      <c r="R46" s="458" t="s">
        <v>0</v>
      </c>
      <c r="S46" s="458" t="s">
        <v>0</v>
      </c>
      <c r="T46" s="2231" t="s">
        <v>31</v>
      </c>
      <c r="U46" s="2231" t="s">
        <v>31</v>
      </c>
      <c r="V46" s="2231" t="s">
        <v>31</v>
      </c>
      <c r="W46" s="2231" t="s">
        <v>31</v>
      </c>
      <c r="X46" s="2231" t="s">
        <v>31</v>
      </c>
      <c r="Y46" s="458" t="s">
        <v>0</v>
      </c>
      <c r="Z46" s="477" t="s">
        <v>0</v>
      </c>
      <c r="AA46" s="2231" t="s">
        <v>31</v>
      </c>
      <c r="AB46" s="2231" t="s">
        <v>31</v>
      </c>
      <c r="AC46" s="2231" t="s">
        <v>31</v>
      </c>
      <c r="AD46" s="2231" t="s">
        <v>31</v>
      </c>
      <c r="AE46" s="2231" t="s">
        <v>31</v>
      </c>
      <c r="AF46" s="477"/>
      <c r="AG46" s="478"/>
      <c r="AH46" s="189"/>
      <c r="AI46" s="190"/>
    </row>
    <row r="47" spans="1:38" ht="22.15" customHeight="1" x14ac:dyDescent="0.2">
      <c r="A47" s="1249">
        <v>9</v>
      </c>
      <c r="B47" s="1202" t="s">
        <v>84</v>
      </c>
      <c r="C47" s="1258" t="s">
        <v>35</v>
      </c>
      <c r="D47" s="1259"/>
      <c r="E47" s="1259"/>
      <c r="F47" s="1200">
        <v>1</v>
      </c>
      <c r="G47" s="1200">
        <v>1</v>
      </c>
      <c r="H47" s="1200">
        <v>1</v>
      </c>
      <c r="I47" s="1200">
        <v>1</v>
      </c>
      <c r="J47" s="1200">
        <v>1</v>
      </c>
      <c r="K47" s="1200"/>
      <c r="L47" s="1200"/>
      <c r="M47" s="1259">
        <v>9</v>
      </c>
      <c r="N47" s="1259">
        <v>9</v>
      </c>
      <c r="O47" s="1259">
        <v>9</v>
      </c>
      <c r="P47" s="1259">
        <v>9</v>
      </c>
      <c r="Q47" s="1258">
        <v>9</v>
      </c>
      <c r="R47" s="1259" t="s">
        <v>66</v>
      </c>
      <c r="S47" s="1259" t="s">
        <v>67</v>
      </c>
      <c r="T47" s="1259" t="s">
        <v>35</v>
      </c>
      <c r="U47" s="1259" t="s">
        <v>35</v>
      </c>
      <c r="V47" s="1259" t="s">
        <v>35</v>
      </c>
      <c r="W47" s="1259" t="s">
        <v>35</v>
      </c>
      <c r="X47" s="1259" t="s">
        <v>35</v>
      </c>
      <c r="Y47" s="1259" t="s">
        <v>68</v>
      </c>
      <c r="Z47" s="1259" t="s">
        <v>69</v>
      </c>
      <c r="AA47" s="1259">
        <v>6</v>
      </c>
      <c r="AB47" s="1259">
        <v>6</v>
      </c>
      <c r="AC47" s="1259">
        <v>6</v>
      </c>
      <c r="AD47" s="1259">
        <v>6</v>
      </c>
      <c r="AE47" s="1259">
        <v>6</v>
      </c>
      <c r="AF47" s="1259"/>
      <c r="AG47" s="1261"/>
      <c r="AH47" s="189"/>
      <c r="AI47" s="190"/>
    </row>
    <row r="48" spans="1:38" ht="22.15" customHeight="1" thickBot="1" x14ac:dyDescent="0.25">
      <c r="A48" s="1936">
        <v>14</v>
      </c>
      <c r="B48" s="1253" t="s">
        <v>85</v>
      </c>
      <c r="C48" s="1254" t="s">
        <v>35</v>
      </c>
      <c r="D48" s="1255"/>
      <c r="E48" s="1255"/>
      <c r="F48" s="1255">
        <v>5</v>
      </c>
      <c r="G48" s="1263">
        <v>5</v>
      </c>
      <c r="H48" s="1263">
        <v>8</v>
      </c>
      <c r="I48" s="1263">
        <v>8</v>
      </c>
      <c r="J48" s="1255" t="s">
        <v>350</v>
      </c>
      <c r="K48" s="1255"/>
      <c r="L48" s="1255"/>
      <c r="M48" s="1255">
        <v>10</v>
      </c>
      <c r="N48" s="1255">
        <v>10</v>
      </c>
      <c r="O48" s="1254">
        <v>10</v>
      </c>
      <c r="P48" s="1255">
        <v>10</v>
      </c>
      <c r="Q48" s="1255">
        <v>10</v>
      </c>
      <c r="R48" s="1254" t="s">
        <v>67</v>
      </c>
      <c r="S48" s="1255" t="s">
        <v>67</v>
      </c>
      <c r="T48" s="1255" t="s">
        <v>35</v>
      </c>
      <c r="U48" s="1255" t="s">
        <v>35</v>
      </c>
      <c r="V48" s="1255" t="s">
        <v>35</v>
      </c>
      <c r="W48" s="1255" t="s">
        <v>35</v>
      </c>
      <c r="X48" s="1254" t="s">
        <v>35</v>
      </c>
      <c r="Y48" s="1255" t="s">
        <v>71</v>
      </c>
      <c r="Z48" s="1255" t="s">
        <v>71</v>
      </c>
      <c r="AA48" s="1255">
        <v>7</v>
      </c>
      <c r="AB48" s="1255">
        <v>7</v>
      </c>
      <c r="AC48" s="1254">
        <v>7</v>
      </c>
      <c r="AD48" s="1255">
        <v>7</v>
      </c>
      <c r="AE48" s="1255">
        <v>7</v>
      </c>
      <c r="AF48" s="1254"/>
      <c r="AG48" s="1945"/>
      <c r="AH48" s="189"/>
      <c r="AI48" s="190"/>
    </row>
    <row r="49" spans="1:35" ht="22.15" customHeight="1" x14ac:dyDescent="0.2">
      <c r="A49" s="475">
        <v>5</v>
      </c>
      <c r="B49" s="1202" t="s">
        <v>86</v>
      </c>
      <c r="C49" s="459">
        <v>3</v>
      </c>
      <c r="D49" s="477"/>
      <c r="E49" s="477"/>
      <c r="F49" s="459">
        <v>11</v>
      </c>
      <c r="G49" s="459">
        <v>11</v>
      </c>
      <c r="H49" s="459">
        <v>11</v>
      </c>
      <c r="I49" s="459">
        <v>11</v>
      </c>
      <c r="J49" s="459">
        <v>11</v>
      </c>
      <c r="K49" s="477" t="s">
        <v>73</v>
      </c>
      <c r="L49" s="477" t="s">
        <v>73</v>
      </c>
      <c r="M49" s="477" t="s">
        <v>35</v>
      </c>
      <c r="N49" s="477" t="s">
        <v>35</v>
      </c>
      <c r="O49" s="458" t="s">
        <v>35</v>
      </c>
      <c r="P49" s="477" t="s">
        <v>35</v>
      </c>
      <c r="Q49" s="477" t="s">
        <v>35</v>
      </c>
      <c r="R49" s="458" t="s">
        <v>69</v>
      </c>
      <c r="S49" s="477" t="s">
        <v>69</v>
      </c>
      <c r="T49" s="477">
        <v>8</v>
      </c>
      <c r="U49" s="459">
        <v>8</v>
      </c>
      <c r="V49" s="459">
        <v>8</v>
      </c>
      <c r="W49" s="459">
        <v>8</v>
      </c>
      <c r="X49" s="459">
        <v>8</v>
      </c>
      <c r="Y49" s="460"/>
      <c r="Z49" s="459"/>
      <c r="AA49" s="459" t="s">
        <v>35</v>
      </c>
      <c r="AB49" s="459" t="s">
        <v>35</v>
      </c>
      <c r="AC49" s="459" t="s">
        <v>35</v>
      </c>
      <c r="AD49" s="477" t="s">
        <v>35</v>
      </c>
      <c r="AE49" s="477" t="s">
        <v>35</v>
      </c>
      <c r="AF49" s="480"/>
      <c r="AG49" s="486"/>
      <c r="AH49" s="189"/>
      <c r="AI49" s="190"/>
    </row>
    <row r="50" spans="1:35" ht="22.15" customHeight="1" x14ac:dyDescent="0.2">
      <c r="A50" s="1249">
        <v>10</v>
      </c>
      <c r="B50" s="1202" t="s">
        <v>87</v>
      </c>
      <c r="C50" s="1993">
        <v>1</v>
      </c>
      <c r="D50" s="1993"/>
      <c r="E50" s="1993"/>
      <c r="F50" s="2219">
        <v>9</v>
      </c>
      <c r="G50" s="2232">
        <v>9</v>
      </c>
      <c r="H50" s="2232">
        <v>9</v>
      </c>
      <c r="I50" s="2232" t="s">
        <v>428</v>
      </c>
      <c r="J50" s="1275">
        <v>9</v>
      </c>
      <c r="K50" s="1275" t="s">
        <v>66</v>
      </c>
      <c r="L50" s="1275" t="s">
        <v>67</v>
      </c>
      <c r="M50" s="1193" t="s">
        <v>35</v>
      </c>
      <c r="N50" s="1193" t="s">
        <v>35</v>
      </c>
      <c r="O50" s="1193" t="s">
        <v>35</v>
      </c>
      <c r="P50" s="1193" t="s">
        <v>35</v>
      </c>
      <c r="Q50" s="1193" t="s">
        <v>35</v>
      </c>
      <c r="R50" s="1193" t="s">
        <v>68</v>
      </c>
      <c r="S50" s="1193" t="s">
        <v>69</v>
      </c>
      <c r="T50" s="1193">
        <v>6</v>
      </c>
      <c r="U50" s="1193">
        <v>6</v>
      </c>
      <c r="V50" s="1193">
        <v>6</v>
      </c>
      <c r="W50" s="1199">
        <v>6</v>
      </c>
      <c r="X50" s="1259">
        <v>6</v>
      </c>
      <c r="Y50" s="1258"/>
      <c r="Z50" s="1259"/>
      <c r="AA50" s="1259" t="s">
        <v>35</v>
      </c>
      <c r="AB50" s="1259" t="s">
        <v>35</v>
      </c>
      <c r="AC50" s="1259" t="s">
        <v>35</v>
      </c>
      <c r="AD50" s="1259" t="s">
        <v>35</v>
      </c>
      <c r="AE50" s="1259" t="s">
        <v>35</v>
      </c>
      <c r="AF50" s="1259"/>
      <c r="AG50" s="1261"/>
      <c r="AH50" s="189"/>
      <c r="AI50" s="190"/>
    </row>
    <row r="51" spans="1:35" ht="22.15" customHeight="1" thickBot="1" x14ac:dyDescent="0.25">
      <c r="A51" s="1936">
        <v>15</v>
      </c>
      <c r="B51" s="1253" t="s">
        <v>88</v>
      </c>
      <c r="C51" s="1254">
        <v>5</v>
      </c>
      <c r="D51" s="1255"/>
      <c r="E51" s="1255"/>
      <c r="F51" s="1263">
        <v>10</v>
      </c>
      <c r="G51" s="1263">
        <v>10</v>
      </c>
      <c r="H51" s="1263">
        <v>10</v>
      </c>
      <c r="I51" s="1263">
        <v>10</v>
      </c>
      <c r="J51" s="1263">
        <v>10</v>
      </c>
      <c r="K51" s="1254" t="s">
        <v>67</v>
      </c>
      <c r="L51" s="1255" t="s">
        <v>67</v>
      </c>
      <c r="M51" s="1255" t="s">
        <v>35</v>
      </c>
      <c r="N51" s="1255" t="s">
        <v>35</v>
      </c>
      <c r="O51" s="1255" t="s">
        <v>35</v>
      </c>
      <c r="P51" s="1255" t="s">
        <v>35</v>
      </c>
      <c r="Q51" s="1254" t="s">
        <v>35</v>
      </c>
      <c r="R51" s="2233" t="s">
        <v>71</v>
      </c>
      <c r="S51" s="1255" t="s">
        <v>71</v>
      </c>
      <c r="T51" s="1255">
        <v>7</v>
      </c>
      <c r="U51" s="1255">
        <v>7</v>
      </c>
      <c r="V51" s="1255">
        <v>7</v>
      </c>
      <c r="W51" s="1255">
        <v>7</v>
      </c>
      <c r="X51" s="1255">
        <v>7</v>
      </c>
      <c r="Y51" s="1254"/>
      <c r="Z51" s="1255"/>
      <c r="AA51" s="1255">
        <v>4</v>
      </c>
      <c r="AB51" s="1255">
        <v>4</v>
      </c>
      <c r="AC51" s="1255">
        <v>4</v>
      </c>
      <c r="AD51" s="1255">
        <v>4</v>
      </c>
      <c r="AE51" s="1255">
        <v>4</v>
      </c>
      <c r="AF51" s="1263"/>
      <c r="AG51" s="2026"/>
      <c r="AH51" s="189"/>
      <c r="AI51" s="190"/>
    </row>
    <row r="52" spans="1:35" ht="22.1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35" ht="22.15" customHeight="1" x14ac:dyDescent="0.2">
      <c r="A53" s="109"/>
      <c r="B53" s="64" t="s">
        <v>89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35" ht="22.15" customHeight="1" x14ac:dyDescent="0.2">
      <c r="A54" s="1274" t="s">
        <v>28</v>
      </c>
      <c r="B54" s="1274"/>
      <c r="C54" s="1275"/>
      <c r="D54" s="1274" t="s">
        <v>90</v>
      </c>
      <c r="E54" s="1276"/>
      <c r="F54" s="1275"/>
      <c r="G54" s="1274" t="s">
        <v>91</v>
      </c>
      <c r="H54" s="1276"/>
      <c r="I54" s="1275"/>
      <c r="J54" s="1274" t="s">
        <v>92</v>
      </c>
      <c r="K54" s="1276"/>
      <c r="L54" s="1275"/>
      <c r="M54" s="1274" t="s">
        <v>93</v>
      </c>
      <c r="N54" s="1276"/>
      <c r="O54" s="1275"/>
      <c r="P54" s="1274" t="s">
        <v>94</v>
      </c>
      <c r="Q54" s="1276"/>
      <c r="R54" s="1277"/>
      <c r="S54" s="1278" t="s">
        <v>95</v>
      </c>
      <c r="T54" s="1276"/>
      <c r="U54" s="1275"/>
      <c r="V54" s="1274" t="s">
        <v>96</v>
      </c>
      <c r="W54" s="1276"/>
      <c r="X54" s="1279" t="s">
        <v>97</v>
      </c>
      <c r="Y54" s="1276"/>
      <c r="Z54" s="1276"/>
      <c r="AA54" s="1280"/>
      <c r="AB54" s="1169"/>
      <c r="AC54" s="1169"/>
      <c r="AD54" s="1169"/>
      <c r="AE54" s="1169"/>
      <c r="AF54" s="1169"/>
      <c r="AG54" s="1170"/>
      <c r="AH54" s="1"/>
    </row>
    <row r="55" spans="1:35" ht="22.15" customHeight="1" x14ac:dyDescent="0.2">
      <c r="A55" s="1281">
        <v>8517</v>
      </c>
      <c r="B55" s="1282" t="s">
        <v>98</v>
      </c>
      <c r="C55" s="1283" t="s">
        <v>99</v>
      </c>
      <c r="D55" s="1284"/>
      <c r="E55" s="1168"/>
      <c r="F55" s="1283" t="s">
        <v>99</v>
      </c>
      <c r="G55" s="1284"/>
      <c r="H55" s="1168"/>
      <c r="I55" s="1283" t="s">
        <v>99</v>
      </c>
      <c r="J55" s="1284"/>
      <c r="K55" s="1168"/>
      <c r="L55" s="1283" t="s">
        <v>99</v>
      </c>
      <c r="M55" s="1284"/>
      <c r="N55" s="1168"/>
      <c r="O55" s="1283" t="s">
        <v>100</v>
      </c>
      <c r="P55" s="1284"/>
      <c r="Q55" s="1168"/>
      <c r="R55" s="1283" t="s">
        <v>99</v>
      </c>
      <c r="S55" s="1284"/>
      <c r="T55" s="1168"/>
      <c r="U55" s="1283" t="s">
        <v>99</v>
      </c>
      <c r="V55" s="1284"/>
      <c r="W55" s="1168"/>
      <c r="X55" s="1166"/>
      <c r="Y55" s="1169"/>
      <c r="Z55" s="1169"/>
      <c r="AA55" s="1169"/>
      <c r="AB55" s="1169"/>
      <c r="AC55" s="1169"/>
      <c r="AD55" s="1169"/>
      <c r="AE55" s="1169"/>
      <c r="AF55" s="1169"/>
      <c r="AG55" s="1170"/>
      <c r="AH55" s="1"/>
    </row>
    <row r="56" spans="1:35" ht="22.15" customHeight="1" x14ac:dyDescent="0.2">
      <c r="B56" s="1191" t="s">
        <v>101</v>
      </c>
      <c r="C56" s="1285" t="s">
        <v>102</v>
      </c>
      <c r="D56" s="1286"/>
      <c r="E56" s="1287"/>
      <c r="F56" s="1285" t="s">
        <v>102</v>
      </c>
      <c r="G56" s="1288"/>
      <c r="H56" s="1287"/>
      <c r="I56" s="1283" t="s">
        <v>102</v>
      </c>
      <c r="J56" s="1284"/>
      <c r="K56" s="1289"/>
      <c r="L56" s="1283" t="s">
        <v>102</v>
      </c>
      <c r="M56" s="1284"/>
      <c r="N56" s="1289"/>
      <c r="O56" s="1283" t="s">
        <v>103</v>
      </c>
      <c r="P56" s="1284"/>
      <c r="Q56" s="1168"/>
      <c r="R56" s="1290" t="s">
        <v>0</v>
      </c>
      <c r="S56" s="1284"/>
      <c r="T56" s="1289"/>
      <c r="U56" s="1284" t="s">
        <v>0</v>
      </c>
      <c r="V56" s="1284"/>
      <c r="W56" s="1168"/>
      <c r="X56" s="2069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35" ht="22.15" customHeight="1" x14ac:dyDescent="0.2">
      <c r="A57" s="1292"/>
      <c r="B57" s="1282" t="s">
        <v>104</v>
      </c>
      <c r="C57" s="1283" t="s">
        <v>105</v>
      </c>
      <c r="D57" s="1284"/>
      <c r="E57" s="1168"/>
      <c r="F57" s="1283" t="s">
        <v>105</v>
      </c>
      <c r="G57" s="1284"/>
      <c r="H57" s="1289"/>
      <c r="I57" s="1283" t="s">
        <v>105</v>
      </c>
      <c r="J57" s="1284"/>
      <c r="K57" s="1289"/>
      <c r="L57" s="1283" t="s">
        <v>105</v>
      </c>
      <c r="M57" s="1284"/>
      <c r="N57" s="1289"/>
      <c r="O57" s="1283" t="s">
        <v>106</v>
      </c>
      <c r="P57" s="1284"/>
      <c r="Q57" s="1168"/>
      <c r="R57" s="112"/>
      <c r="S57" s="113"/>
      <c r="T57" s="1289"/>
      <c r="U57" s="1284"/>
      <c r="V57" s="1284"/>
      <c r="W57" s="1168"/>
      <c r="X57" s="1166"/>
      <c r="Y57" s="1169"/>
      <c r="Z57" s="1169"/>
      <c r="AA57" s="1169"/>
      <c r="AB57" s="1169"/>
      <c r="AC57" s="1169"/>
      <c r="AD57" s="1169"/>
      <c r="AE57" s="1169"/>
      <c r="AF57" s="1169"/>
      <c r="AG57" s="1170"/>
      <c r="AH57" s="1"/>
    </row>
    <row r="58" spans="1:35" ht="22.15" customHeight="1" x14ac:dyDescent="0.2">
      <c r="A58" s="1274"/>
      <c r="B58" s="1191" t="s">
        <v>107</v>
      </c>
      <c r="C58" s="1293" t="s">
        <v>108</v>
      </c>
      <c r="D58" s="1293"/>
      <c r="E58" s="1294"/>
      <c r="F58" s="1293" t="s">
        <v>108</v>
      </c>
      <c r="G58" s="1293"/>
      <c r="H58" s="1294"/>
      <c r="I58" s="1293" t="s">
        <v>108</v>
      </c>
      <c r="J58" s="1293"/>
      <c r="K58" s="1294"/>
      <c r="L58" s="1293" t="s">
        <v>108</v>
      </c>
      <c r="M58" s="1293"/>
      <c r="N58" s="1294"/>
      <c r="O58" s="1293" t="s">
        <v>108</v>
      </c>
      <c r="P58" s="1293"/>
      <c r="Q58" s="1294"/>
      <c r="R58" s="1293" t="s">
        <v>108</v>
      </c>
      <c r="S58" s="1293"/>
      <c r="T58" s="1294"/>
      <c r="U58" s="1293" t="s">
        <v>108</v>
      </c>
      <c r="V58" s="1293"/>
      <c r="W58" s="1294"/>
      <c r="X58" s="1166"/>
      <c r="Y58" s="1169"/>
      <c r="Z58" s="1169"/>
      <c r="AA58" s="1169"/>
      <c r="AB58" s="1169"/>
      <c r="AC58" s="1169"/>
      <c r="AD58" s="1169"/>
      <c r="AE58" s="1169"/>
      <c r="AF58" s="1169"/>
      <c r="AG58" s="1170"/>
      <c r="AH58" s="1"/>
    </row>
    <row r="59" spans="1:35" ht="22.1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35" ht="22.15" customHeight="1" thickBot="1" x14ac:dyDescent="0.25">
      <c r="A60" s="1295"/>
      <c r="B60" s="1184" t="s">
        <v>29</v>
      </c>
      <c r="C60" s="1185">
        <v>1</v>
      </c>
      <c r="D60" s="1185">
        <v>2</v>
      </c>
      <c r="E60" s="1185">
        <v>3</v>
      </c>
      <c r="F60" s="1254">
        <v>4</v>
      </c>
      <c r="G60" s="1254">
        <v>5</v>
      </c>
      <c r="H60" s="1254">
        <v>6</v>
      </c>
      <c r="I60" s="1254">
        <v>7</v>
      </c>
      <c r="J60" s="1254">
        <v>8</v>
      </c>
      <c r="K60" s="1185">
        <v>9</v>
      </c>
      <c r="L60" s="1185">
        <v>10</v>
      </c>
      <c r="M60" s="1254">
        <v>11</v>
      </c>
      <c r="N60" s="1254">
        <v>12</v>
      </c>
      <c r="O60" s="1254">
        <v>13</v>
      </c>
      <c r="P60" s="1254">
        <v>14</v>
      </c>
      <c r="Q60" s="1254">
        <v>15</v>
      </c>
      <c r="R60" s="1185">
        <v>16</v>
      </c>
      <c r="S60" s="1185">
        <v>17</v>
      </c>
      <c r="T60" s="1254">
        <v>18</v>
      </c>
      <c r="U60" s="1254">
        <v>19</v>
      </c>
      <c r="V60" s="1254">
        <v>20</v>
      </c>
      <c r="W60" s="1254">
        <v>21</v>
      </c>
      <c r="X60" s="1254">
        <v>22</v>
      </c>
      <c r="Y60" s="1185">
        <v>23</v>
      </c>
      <c r="Z60" s="1185">
        <v>24</v>
      </c>
      <c r="AA60" s="1254">
        <v>25</v>
      </c>
      <c r="AB60" s="1254">
        <v>26</v>
      </c>
      <c r="AC60" s="1254">
        <v>27</v>
      </c>
      <c r="AD60" s="1254">
        <v>28</v>
      </c>
      <c r="AE60" s="1254">
        <v>29</v>
      </c>
      <c r="AF60" s="1185">
        <v>30</v>
      </c>
      <c r="AG60" s="2064">
        <v>31</v>
      </c>
      <c r="AH60" s="1"/>
    </row>
    <row r="61" spans="1:35" ht="22.15" customHeight="1" thickBot="1" x14ac:dyDescent="0.25">
      <c r="A61" s="252"/>
      <c r="B61" s="265" t="s">
        <v>109</v>
      </c>
      <c r="C61" s="266"/>
      <c r="D61" s="266"/>
      <c r="E61" s="266"/>
      <c r="F61" s="266" t="s">
        <v>31</v>
      </c>
      <c r="G61" s="266" t="s">
        <v>31</v>
      </c>
      <c r="H61" s="266" t="s">
        <v>31</v>
      </c>
      <c r="I61" s="266" t="s">
        <v>31</v>
      </c>
      <c r="J61" s="666" t="s">
        <v>31</v>
      </c>
      <c r="K61" s="266"/>
      <c r="L61" s="266"/>
      <c r="M61" s="2224" t="s">
        <v>31</v>
      </c>
      <c r="N61" s="2224" t="s">
        <v>31</v>
      </c>
      <c r="O61" s="2224" t="s">
        <v>31</v>
      </c>
      <c r="P61" s="2224" t="s">
        <v>31</v>
      </c>
      <c r="Q61" s="2224" t="s">
        <v>31</v>
      </c>
      <c r="R61" s="266"/>
      <c r="S61" s="266"/>
      <c r="T61" s="266" t="s">
        <v>35</v>
      </c>
      <c r="U61" s="266" t="s">
        <v>35</v>
      </c>
      <c r="V61" s="266" t="s">
        <v>35</v>
      </c>
      <c r="W61" s="266" t="s">
        <v>35</v>
      </c>
      <c r="X61" s="267" t="s">
        <v>35</v>
      </c>
      <c r="Y61" s="268" t="s">
        <v>46</v>
      </c>
      <c r="Z61" s="267" t="s">
        <v>46</v>
      </c>
      <c r="AA61" s="267">
        <v>25</v>
      </c>
      <c r="AB61" s="269">
        <v>25</v>
      </c>
      <c r="AC61" s="269">
        <v>25</v>
      </c>
      <c r="AD61" s="269">
        <v>25</v>
      </c>
      <c r="AE61" s="269">
        <v>25</v>
      </c>
      <c r="AF61" s="269"/>
      <c r="AG61" s="270"/>
      <c r="AH61" s="1"/>
    </row>
    <row r="62" spans="1:35" ht="22.15" customHeight="1" thickBot="1" x14ac:dyDescent="0.25">
      <c r="A62" s="2234"/>
      <c r="B62" s="2142" t="s">
        <v>113</v>
      </c>
      <c r="C62" s="459">
        <v>4</v>
      </c>
      <c r="D62" s="459"/>
      <c r="E62" s="477"/>
      <c r="F62" s="461">
        <v>3</v>
      </c>
      <c r="G62" s="461">
        <v>3</v>
      </c>
      <c r="H62" s="461">
        <v>3</v>
      </c>
      <c r="I62" s="461">
        <v>3</v>
      </c>
      <c r="J62" s="461">
        <v>3</v>
      </c>
      <c r="K62" s="458"/>
      <c r="L62" s="458"/>
      <c r="M62" s="458">
        <v>11</v>
      </c>
      <c r="N62" s="458">
        <v>11</v>
      </c>
      <c r="O62" s="458">
        <v>11</v>
      </c>
      <c r="P62" s="458">
        <v>11</v>
      </c>
      <c r="Q62" s="458">
        <v>11</v>
      </c>
      <c r="R62" s="458" t="s">
        <v>73</v>
      </c>
      <c r="S62" s="458" t="s">
        <v>73</v>
      </c>
      <c r="T62" s="477" t="s">
        <v>35</v>
      </c>
      <c r="U62" s="477" t="s">
        <v>35</v>
      </c>
      <c r="V62" s="482" t="s">
        <v>35</v>
      </c>
      <c r="W62" s="477" t="s">
        <v>35</v>
      </c>
      <c r="X62" s="477" t="s">
        <v>35</v>
      </c>
      <c r="Y62" s="458" t="s">
        <v>69</v>
      </c>
      <c r="Z62" s="477" t="s">
        <v>69</v>
      </c>
      <c r="AA62" s="477">
        <v>8</v>
      </c>
      <c r="AB62" s="477">
        <v>8</v>
      </c>
      <c r="AC62" s="477">
        <v>8</v>
      </c>
      <c r="AD62" s="477">
        <v>8</v>
      </c>
      <c r="AE62" s="459">
        <v>8</v>
      </c>
      <c r="AF62" s="2222"/>
      <c r="AG62" s="2138"/>
      <c r="AH62" s="1"/>
    </row>
    <row r="63" spans="1:35" ht="22.15" customHeight="1" x14ac:dyDescent="0.2">
      <c r="A63" s="2227"/>
      <c r="B63" s="2235" t="s">
        <v>114</v>
      </c>
      <c r="C63" s="2222"/>
      <c r="D63" s="2236"/>
      <c r="E63" s="2236"/>
      <c r="F63" s="2222" t="s">
        <v>31</v>
      </c>
      <c r="G63" s="2222" t="s">
        <v>31</v>
      </c>
      <c r="H63" s="2222" t="s">
        <v>31</v>
      </c>
      <c r="I63" s="2222" t="s">
        <v>31</v>
      </c>
      <c r="J63" s="2222" t="s">
        <v>31</v>
      </c>
      <c r="K63" s="2236"/>
      <c r="L63" s="2236"/>
      <c r="M63" s="2236">
        <v>4</v>
      </c>
      <c r="N63" s="2236">
        <v>4</v>
      </c>
      <c r="O63" s="2237">
        <v>4</v>
      </c>
      <c r="P63" s="2236">
        <v>4</v>
      </c>
      <c r="Q63" s="2236">
        <v>4</v>
      </c>
      <c r="R63" s="2224"/>
      <c r="S63" s="2224"/>
      <c r="T63" s="2224" t="s">
        <v>132</v>
      </c>
      <c r="U63" s="2224" t="s">
        <v>132</v>
      </c>
      <c r="V63" s="2231" t="s">
        <v>31</v>
      </c>
      <c r="W63" s="2224" t="s">
        <v>31</v>
      </c>
      <c r="X63" s="2224" t="s">
        <v>31</v>
      </c>
      <c r="Y63" s="2224"/>
      <c r="Z63" s="2222"/>
      <c r="AA63" s="2224" t="s">
        <v>31</v>
      </c>
      <c r="AB63" s="2224" t="s">
        <v>31</v>
      </c>
      <c r="AC63" s="2224" t="s">
        <v>31</v>
      </c>
      <c r="AD63" s="2224" t="s">
        <v>31</v>
      </c>
      <c r="AE63" s="2224" t="s">
        <v>31</v>
      </c>
      <c r="AF63" s="477"/>
      <c r="AG63" s="478"/>
      <c r="AH63" s="1"/>
    </row>
    <row r="64" spans="1:35" ht="22.15" customHeight="1" x14ac:dyDescent="0.2">
      <c r="A64" s="2142"/>
      <c r="B64" s="2142" t="s">
        <v>117</v>
      </c>
      <c r="C64" s="2224"/>
      <c r="D64" s="2224"/>
      <c r="E64" s="2238" t="s">
        <v>46</v>
      </c>
      <c r="F64" s="2239" t="s">
        <v>31</v>
      </c>
      <c r="G64" s="2239" t="s">
        <v>31</v>
      </c>
      <c r="H64" s="2239" t="s">
        <v>31</v>
      </c>
      <c r="I64" s="2239" t="s">
        <v>31</v>
      </c>
      <c r="J64" s="2239" t="s">
        <v>31</v>
      </c>
      <c r="K64" s="2239"/>
      <c r="L64" s="2239"/>
      <c r="M64" s="2239" t="s">
        <v>31</v>
      </c>
      <c r="N64" s="2239" t="s">
        <v>31</v>
      </c>
      <c r="O64" s="2239" t="s">
        <v>31</v>
      </c>
      <c r="P64" s="2239" t="s">
        <v>31</v>
      </c>
      <c r="Q64" s="2239" t="s">
        <v>31</v>
      </c>
      <c r="R64" s="2239"/>
      <c r="S64" s="2239"/>
      <c r="T64" s="2231" t="s">
        <v>31</v>
      </c>
      <c r="U64" s="2231" t="s">
        <v>31</v>
      </c>
      <c r="V64" s="2231" t="s">
        <v>31</v>
      </c>
      <c r="W64" s="2231" t="s">
        <v>31</v>
      </c>
      <c r="X64" s="2231" t="s">
        <v>31</v>
      </c>
      <c r="Y64" s="2236"/>
      <c r="Z64" s="2236"/>
      <c r="AA64" s="2222">
        <v>5</v>
      </c>
      <c r="AB64" s="2222">
        <v>5</v>
      </c>
      <c r="AC64" s="2222">
        <v>5</v>
      </c>
      <c r="AD64" s="2222">
        <v>5</v>
      </c>
      <c r="AE64" s="2222">
        <v>5</v>
      </c>
      <c r="AF64" s="2224"/>
      <c r="AG64" s="2138"/>
      <c r="AH64" s="1"/>
    </row>
    <row r="65" spans="1:34" ht="22.15" customHeight="1" x14ac:dyDescent="0.2">
      <c r="A65" s="2142"/>
      <c r="B65" s="2240" t="s">
        <v>404</v>
      </c>
      <c r="C65" s="2224"/>
      <c r="D65" s="2224"/>
      <c r="E65" s="2224"/>
      <c r="F65" s="2146">
        <v>25</v>
      </c>
      <c r="G65" s="2146">
        <v>25</v>
      </c>
      <c r="H65" s="2146">
        <v>25</v>
      </c>
      <c r="I65" s="2146">
        <v>25</v>
      </c>
      <c r="J65" s="2146">
        <v>25</v>
      </c>
      <c r="K65" s="2146"/>
      <c r="L65" s="2146"/>
      <c r="M65" s="2241" t="s">
        <v>31</v>
      </c>
      <c r="N65" s="2241" t="s">
        <v>31</v>
      </c>
      <c r="O65" s="2241" t="s">
        <v>31</v>
      </c>
      <c r="P65" s="2242" t="s">
        <v>31</v>
      </c>
      <c r="Q65" s="2242" t="s">
        <v>31</v>
      </c>
      <c r="R65" s="2146" t="s">
        <v>71</v>
      </c>
      <c r="S65" s="2146"/>
      <c r="T65" s="2236" t="s">
        <v>35</v>
      </c>
      <c r="U65" s="2236" t="s">
        <v>35</v>
      </c>
      <c r="V65" s="2236" t="s">
        <v>31</v>
      </c>
      <c r="W65" s="2224" t="s">
        <v>31</v>
      </c>
      <c r="X65" s="2236" t="s">
        <v>35</v>
      </c>
      <c r="Y65" s="2236"/>
      <c r="Z65" s="2236"/>
      <c r="AA65" s="2222" t="s">
        <v>419</v>
      </c>
      <c r="AB65" s="2222" t="s">
        <v>419</v>
      </c>
      <c r="AC65" s="2222" t="s">
        <v>419</v>
      </c>
      <c r="AD65" s="2222" t="s">
        <v>419</v>
      </c>
      <c r="AE65" s="2222" t="s">
        <v>419</v>
      </c>
      <c r="AF65" s="2224" t="s">
        <v>46</v>
      </c>
      <c r="AG65" s="2138" t="s">
        <v>46</v>
      </c>
      <c r="AH65" s="1"/>
    </row>
    <row r="66" spans="1:34" ht="22.15" customHeight="1" x14ac:dyDescent="0.2">
      <c r="A66" s="2142"/>
      <c r="B66" s="2235" t="s">
        <v>119</v>
      </c>
      <c r="C66" s="2236"/>
      <c r="D66" s="2243"/>
      <c r="E66" s="2224"/>
      <c r="F66" s="2205">
        <v>99</v>
      </c>
      <c r="G66" s="2205">
        <v>99</v>
      </c>
      <c r="H66" s="2205">
        <v>5</v>
      </c>
      <c r="I66" s="2205">
        <v>5</v>
      </c>
      <c r="J66" s="2205">
        <v>5</v>
      </c>
      <c r="K66" s="2243"/>
      <c r="L66" s="2224"/>
      <c r="M66" s="2222">
        <v>5</v>
      </c>
      <c r="N66" s="2222">
        <v>5</v>
      </c>
      <c r="O66" s="2222">
        <v>5</v>
      </c>
      <c r="P66" s="2224">
        <v>5</v>
      </c>
      <c r="Q66" s="2224">
        <v>5</v>
      </c>
      <c r="R66" s="2224"/>
      <c r="S66" s="2224"/>
      <c r="T66" s="2244" t="s">
        <v>223</v>
      </c>
      <c r="U66" s="2231" t="s">
        <v>223</v>
      </c>
      <c r="V66" s="2224" t="s">
        <v>223</v>
      </c>
      <c r="W66" s="2224" t="s">
        <v>223</v>
      </c>
      <c r="X66" s="2222" t="s">
        <v>223</v>
      </c>
      <c r="Y66" s="2224" t="s">
        <v>0</v>
      </c>
      <c r="Z66" s="2224" t="s">
        <v>0</v>
      </c>
      <c r="AA66" s="2224" t="s">
        <v>31</v>
      </c>
      <c r="AB66" s="2224" t="s">
        <v>31</v>
      </c>
      <c r="AC66" s="2222" t="s">
        <v>31</v>
      </c>
      <c r="AD66" s="2224" t="s">
        <v>31</v>
      </c>
      <c r="AE66" s="2224" t="s">
        <v>31</v>
      </c>
      <c r="AF66" s="2224"/>
      <c r="AG66" s="2138"/>
      <c r="AH66" s="1"/>
    </row>
    <row r="67" spans="1:34" ht="22.15" customHeight="1" x14ac:dyDescent="0.2">
      <c r="A67" s="2142"/>
      <c r="B67" s="2235" t="s">
        <v>120</v>
      </c>
      <c r="C67" s="2245"/>
      <c r="D67" s="2246"/>
      <c r="E67" s="2246"/>
      <c r="F67" s="2247" t="s">
        <v>31</v>
      </c>
      <c r="G67" s="2247" t="s">
        <v>31</v>
      </c>
      <c r="H67" s="2247" t="s">
        <v>31</v>
      </c>
      <c r="I67" s="2247" t="s">
        <v>31</v>
      </c>
      <c r="J67" s="2247" t="s">
        <v>31</v>
      </c>
      <c r="K67" s="2247"/>
      <c r="L67" s="2246"/>
      <c r="M67" s="2246" t="s">
        <v>31</v>
      </c>
      <c r="N67" s="2246" t="s">
        <v>31</v>
      </c>
      <c r="O67" s="2246" t="s">
        <v>31</v>
      </c>
      <c r="P67" s="2246" t="s">
        <v>31</v>
      </c>
      <c r="Q67" s="2246" t="s">
        <v>31</v>
      </c>
      <c r="R67" s="2246"/>
      <c r="S67" s="2246"/>
      <c r="T67" s="2248" t="s">
        <v>31</v>
      </c>
      <c r="U67" s="2249" t="s">
        <v>31</v>
      </c>
      <c r="V67" s="2249" t="s">
        <v>31</v>
      </c>
      <c r="W67" s="2245" t="s">
        <v>31</v>
      </c>
      <c r="X67" s="2245" t="s">
        <v>31</v>
      </c>
      <c r="Y67" s="2245"/>
      <c r="Z67" s="2245"/>
      <c r="AA67" s="2250" t="s">
        <v>31</v>
      </c>
      <c r="AB67" s="2245" t="s">
        <v>31</v>
      </c>
      <c r="AC67" s="2245" t="s">
        <v>31</v>
      </c>
      <c r="AD67" s="2245" t="s">
        <v>31</v>
      </c>
      <c r="AE67" s="2245" t="s">
        <v>31</v>
      </c>
      <c r="AF67" s="2247"/>
      <c r="AG67" s="2251"/>
      <c r="AH67" s="1"/>
    </row>
    <row r="68" spans="1:34" ht="22.15" customHeight="1" x14ac:dyDescent="0.2">
      <c r="A68" s="2142"/>
      <c r="B68" s="2252" t="s">
        <v>372</v>
      </c>
      <c r="C68" s="2222"/>
      <c r="D68" s="2245" t="s">
        <v>46</v>
      </c>
      <c r="E68" s="2245" t="s">
        <v>46</v>
      </c>
      <c r="F68" s="2245" t="s">
        <v>81</v>
      </c>
      <c r="G68" s="2224" t="s">
        <v>35</v>
      </c>
      <c r="H68" s="2224" t="s">
        <v>35</v>
      </c>
      <c r="I68" s="2224" t="s">
        <v>35</v>
      </c>
      <c r="J68" s="2224" t="s">
        <v>35</v>
      </c>
      <c r="K68" s="2140"/>
      <c r="L68" s="2140"/>
      <c r="M68" s="2222">
        <v>25</v>
      </c>
      <c r="N68" s="2222">
        <v>25</v>
      </c>
      <c r="O68" s="2222">
        <v>25</v>
      </c>
      <c r="P68" s="2222">
        <v>25</v>
      </c>
      <c r="Q68" s="2222">
        <v>25</v>
      </c>
      <c r="R68" s="2140"/>
      <c r="S68" s="2224"/>
      <c r="T68" s="2231">
        <v>22</v>
      </c>
      <c r="U68" s="2231">
        <v>22</v>
      </c>
      <c r="V68" s="2224">
        <v>22</v>
      </c>
      <c r="W68" s="2224">
        <v>22</v>
      </c>
      <c r="X68" s="2224">
        <v>22</v>
      </c>
      <c r="Y68" s="2224">
        <v>22</v>
      </c>
      <c r="Z68" s="2222">
        <v>22</v>
      </c>
      <c r="AA68" s="2224" t="s">
        <v>35</v>
      </c>
      <c r="AB68" s="2224" t="s">
        <v>35</v>
      </c>
      <c r="AC68" s="2224" t="s">
        <v>35</v>
      </c>
      <c r="AD68" s="2224" t="s">
        <v>35</v>
      </c>
      <c r="AE68" s="2224" t="s">
        <v>35</v>
      </c>
      <c r="AF68" s="2224"/>
      <c r="AG68" s="2156"/>
      <c r="AH68" s="1"/>
    </row>
    <row r="69" spans="1:34" ht="22.15" customHeight="1" x14ac:dyDescent="0.2">
      <c r="A69" s="2235"/>
      <c r="B69" s="2221" t="s">
        <v>124</v>
      </c>
      <c r="C69" s="2238">
        <v>10</v>
      </c>
      <c r="D69" s="2238" t="s">
        <v>67</v>
      </c>
      <c r="E69" s="2224"/>
      <c r="F69" s="2224" t="s">
        <v>110</v>
      </c>
      <c r="G69" s="2224" t="s">
        <v>110</v>
      </c>
      <c r="H69" s="2224" t="s">
        <v>110</v>
      </c>
      <c r="I69" s="2224" t="s">
        <v>110</v>
      </c>
      <c r="J69" s="2253" t="s">
        <v>110</v>
      </c>
      <c r="K69" s="2140" t="s">
        <v>46</v>
      </c>
      <c r="L69" s="2140" t="s">
        <v>46</v>
      </c>
      <c r="M69" s="2140" t="s">
        <v>35</v>
      </c>
      <c r="N69" s="2140" t="s">
        <v>35</v>
      </c>
      <c r="O69" s="2140" t="s">
        <v>35</v>
      </c>
      <c r="P69" s="2140" t="s">
        <v>35</v>
      </c>
      <c r="Q69" s="2140" t="s">
        <v>35</v>
      </c>
      <c r="R69" s="2140"/>
      <c r="S69" s="2224"/>
      <c r="T69" s="2224" t="s">
        <v>31</v>
      </c>
      <c r="U69" s="2224" t="s">
        <v>31</v>
      </c>
      <c r="V69" s="2224" t="s">
        <v>31</v>
      </c>
      <c r="W69" s="2224" t="s">
        <v>31</v>
      </c>
      <c r="X69" s="2224" t="s">
        <v>31</v>
      </c>
      <c r="Y69" s="2224"/>
      <c r="Z69" s="2224"/>
      <c r="AA69" s="2231" t="s">
        <v>31</v>
      </c>
      <c r="AB69" s="2231" t="s">
        <v>31</v>
      </c>
      <c r="AC69" s="2231" t="s">
        <v>31</v>
      </c>
      <c r="AD69" s="2231" t="s">
        <v>31</v>
      </c>
      <c r="AE69" s="2231" t="s">
        <v>31</v>
      </c>
      <c r="AF69" s="2222"/>
      <c r="AG69" s="2138"/>
      <c r="AH69" s="1"/>
    </row>
    <row r="70" spans="1:34" ht="22.15" customHeight="1" thickBot="1" x14ac:dyDescent="0.25">
      <c r="A70" s="2235"/>
      <c r="B70" s="2221" t="s">
        <v>122</v>
      </c>
      <c r="C70" s="2254" t="s">
        <v>118</v>
      </c>
      <c r="D70" s="2222"/>
      <c r="E70" s="2222"/>
      <c r="F70" s="2222" t="s">
        <v>228</v>
      </c>
      <c r="G70" s="2222" t="s">
        <v>228</v>
      </c>
      <c r="H70" s="2222" t="s">
        <v>228</v>
      </c>
      <c r="I70" s="2222" t="s">
        <v>228</v>
      </c>
      <c r="J70" s="2222" t="s">
        <v>228</v>
      </c>
      <c r="K70" s="2222"/>
      <c r="L70" s="2222"/>
      <c r="M70" s="2222" t="s">
        <v>228</v>
      </c>
      <c r="N70" s="2222" t="s">
        <v>228</v>
      </c>
      <c r="O70" s="2222" t="s">
        <v>228</v>
      </c>
      <c r="P70" s="2222" t="s">
        <v>228</v>
      </c>
      <c r="Q70" s="2222" t="s">
        <v>228</v>
      </c>
      <c r="R70" s="2222"/>
      <c r="S70" s="2222"/>
      <c r="T70" s="2222" t="s">
        <v>228</v>
      </c>
      <c r="U70" s="2222" t="s">
        <v>228</v>
      </c>
      <c r="V70" s="2222" t="s">
        <v>228</v>
      </c>
      <c r="W70" s="2222" t="s">
        <v>228</v>
      </c>
      <c r="X70" s="2222" t="s">
        <v>228</v>
      </c>
      <c r="Y70" s="2222"/>
      <c r="Z70" s="2222"/>
      <c r="AA70" s="2222" t="s">
        <v>228</v>
      </c>
      <c r="AB70" s="2222" t="s">
        <v>228</v>
      </c>
      <c r="AC70" s="2222" t="s">
        <v>228</v>
      </c>
      <c r="AD70" s="2222" t="s">
        <v>228</v>
      </c>
      <c r="AE70" s="2222" t="s">
        <v>228</v>
      </c>
      <c r="AF70" s="2222"/>
      <c r="AG70" s="2159"/>
      <c r="AH70" s="1"/>
    </row>
    <row r="71" spans="1:34" ht="22.15" customHeight="1" x14ac:dyDescent="0.2">
      <c r="A71" s="2255"/>
      <c r="B71" s="379" t="s">
        <v>123</v>
      </c>
      <c r="C71" s="2222" t="s">
        <v>46</v>
      </c>
      <c r="D71" s="2223" t="s">
        <v>46</v>
      </c>
      <c r="E71" s="2256" t="s">
        <v>67</v>
      </c>
      <c r="F71" s="2231">
        <v>9</v>
      </c>
      <c r="G71" s="2222">
        <v>9</v>
      </c>
      <c r="H71" s="2222">
        <v>9</v>
      </c>
      <c r="I71" s="2222">
        <v>9</v>
      </c>
      <c r="J71" s="2222" t="s">
        <v>35</v>
      </c>
      <c r="K71" s="2222"/>
      <c r="L71" s="2222"/>
      <c r="M71" s="1380" t="s">
        <v>35</v>
      </c>
      <c r="N71" s="1380" t="s">
        <v>35</v>
      </c>
      <c r="O71" s="1380" t="s">
        <v>35</v>
      </c>
      <c r="P71" s="1380" t="s">
        <v>35</v>
      </c>
      <c r="Q71" s="2222" t="s">
        <v>35</v>
      </c>
      <c r="R71" s="2222"/>
      <c r="S71" s="2222"/>
      <c r="T71" s="2222">
        <v>25</v>
      </c>
      <c r="U71" s="2222">
        <v>25</v>
      </c>
      <c r="V71" s="2222">
        <v>25</v>
      </c>
      <c r="W71" s="2222">
        <v>25</v>
      </c>
      <c r="X71" s="2222">
        <v>25</v>
      </c>
      <c r="Y71" s="2222"/>
      <c r="Z71" s="2222"/>
      <c r="AA71" s="2222" t="s">
        <v>31</v>
      </c>
      <c r="AB71" s="2222" t="s">
        <v>31</v>
      </c>
      <c r="AC71" s="2222" t="s">
        <v>31</v>
      </c>
      <c r="AD71" s="2222" t="s">
        <v>31</v>
      </c>
      <c r="AE71" s="2222" t="s">
        <v>31</v>
      </c>
      <c r="AF71" s="2222"/>
      <c r="AG71" s="2159"/>
      <c r="AH71" s="1"/>
    </row>
    <row r="72" spans="1:34" ht="22.15" customHeight="1" x14ac:dyDescent="0.2">
      <c r="A72" s="2255"/>
      <c r="B72" s="2252" t="s">
        <v>127</v>
      </c>
      <c r="C72" s="275"/>
      <c r="D72" s="2222"/>
      <c r="E72" s="2222"/>
      <c r="F72" s="2231">
        <v>6</v>
      </c>
      <c r="G72" s="2222">
        <v>6</v>
      </c>
      <c r="H72" s="2222">
        <v>6</v>
      </c>
      <c r="I72" s="2222">
        <v>6</v>
      </c>
      <c r="J72" s="2222">
        <v>6</v>
      </c>
      <c r="K72" s="2222"/>
      <c r="L72" s="2222"/>
      <c r="M72" s="1380" t="s">
        <v>31</v>
      </c>
      <c r="N72" s="1380" t="s">
        <v>31</v>
      </c>
      <c r="O72" s="1380" t="s">
        <v>31</v>
      </c>
      <c r="P72" s="1380" t="s">
        <v>31</v>
      </c>
      <c r="Q72" s="1380" t="s">
        <v>31</v>
      </c>
      <c r="R72" s="2222"/>
      <c r="S72" s="2222"/>
      <c r="T72" s="2222" t="s">
        <v>165</v>
      </c>
      <c r="U72" s="2222" t="s">
        <v>165</v>
      </c>
      <c r="V72" s="2222" t="s">
        <v>165</v>
      </c>
      <c r="W72" s="2222" t="s">
        <v>165</v>
      </c>
      <c r="X72" s="2222" t="s">
        <v>165</v>
      </c>
      <c r="Y72" s="2222"/>
      <c r="Z72" s="2222"/>
      <c r="AA72" s="2222" t="s">
        <v>31</v>
      </c>
      <c r="AB72" s="2222" t="s">
        <v>31</v>
      </c>
      <c r="AC72" s="2222" t="s">
        <v>31</v>
      </c>
      <c r="AD72" s="2222" t="s">
        <v>31</v>
      </c>
      <c r="AE72" s="2222" t="s">
        <v>31</v>
      </c>
      <c r="AF72" s="2222"/>
      <c r="AG72" s="2159"/>
      <c r="AH72" s="1"/>
    </row>
    <row r="73" spans="1:34" ht="22.15" customHeight="1" thickBot="1" x14ac:dyDescent="0.25">
      <c r="A73" s="2255"/>
      <c r="B73" s="2107" t="s">
        <v>348</v>
      </c>
      <c r="C73" s="718"/>
      <c r="D73" s="718"/>
      <c r="E73" s="718"/>
      <c r="F73" s="2231" t="s">
        <v>223</v>
      </c>
      <c r="G73" s="2222" t="s">
        <v>223</v>
      </c>
      <c r="H73" s="2222" t="s">
        <v>235</v>
      </c>
      <c r="I73" s="2257" t="s">
        <v>223</v>
      </c>
      <c r="J73" s="2257" t="s">
        <v>223</v>
      </c>
      <c r="K73" s="2222"/>
      <c r="L73" s="2222"/>
      <c r="M73" s="1380" t="s">
        <v>132</v>
      </c>
      <c r="N73" s="1380" t="s">
        <v>132</v>
      </c>
      <c r="O73" s="2236">
        <v>4</v>
      </c>
      <c r="P73" s="1311" t="s">
        <v>31</v>
      </c>
      <c r="Q73" s="1311" t="s">
        <v>31</v>
      </c>
      <c r="R73" s="2222"/>
      <c r="S73" s="2222"/>
      <c r="T73" s="2229" t="s">
        <v>228</v>
      </c>
      <c r="U73" s="2257">
        <v>25</v>
      </c>
      <c r="V73" s="2257">
        <v>25</v>
      </c>
      <c r="W73" s="2257">
        <v>25</v>
      </c>
      <c r="X73" s="2257">
        <v>25</v>
      </c>
      <c r="Y73" s="2222"/>
      <c r="Z73" s="2222"/>
      <c r="AA73" s="2222" t="s">
        <v>223</v>
      </c>
      <c r="AB73" s="2222" t="s">
        <v>223</v>
      </c>
      <c r="AC73" s="2222" t="s">
        <v>223</v>
      </c>
      <c r="AD73" s="2222" t="s">
        <v>223</v>
      </c>
      <c r="AE73" s="2222" t="s">
        <v>223</v>
      </c>
      <c r="AF73" s="718"/>
      <c r="AG73" s="625"/>
      <c r="AH73" s="1"/>
    </row>
    <row r="74" spans="1:34" ht="22.15" customHeight="1" thickBot="1" x14ac:dyDescent="0.25">
      <c r="A74" s="669"/>
      <c r="B74" s="1330" t="s">
        <v>254</v>
      </c>
      <c r="C74" s="669"/>
      <c r="D74" s="669"/>
      <c r="E74" s="669"/>
      <c r="F74" s="2258"/>
      <c r="G74" s="2259"/>
      <c r="H74" s="2259"/>
      <c r="I74" s="2259"/>
      <c r="J74" s="2259"/>
      <c r="K74" s="2146"/>
      <c r="L74" s="2146"/>
      <c r="M74" s="1982"/>
      <c r="N74" s="1982"/>
      <c r="O74" s="1982"/>
      <c r="P74" s="1200"/>
      <c r="Q74" s="2228"/>
      <c r="R74" s="2146"/>
      <c r="S74" s="2146"/>
      <c r="T74" s="2241" t="s">
        <v>31</v>
      </c>
      <c r="U74" s="2241" t="s">
        <v>31</v>
      </c>
      <c r="V74" s="2241" t="s">
        <v>31</v>
      </c>
      <c r="W74" s="2242" t="s">
        <v>31</v>
      </c>
      <c r="X74" s="2242" t="s">
        <v>31</v>
      </c>
      <c r="Y74" s="2146"/>
      <c r="Z74" s="2146"/>
      <c r="AA74" s="2241" t="s">
        <v>31</v>
      </c>
      <c r="AB74" s="2241" t="s">
        <v>31</v>
      </c>
      <c r="AC74" s="2241" t="s">
        <v>31</v>
      </c>
      <c r="AD74" s="2242" t="s">
        <v>31</v>
      </c>
      <c r="AE74" s="2242" t="s">
        <v>31</v>
      </c>
      <c r="AF74" s="669"/>
      <c r="AG74" s="237"/>
      <c r="AH74" s="1"/>
    </row>
    <row r="75" spans="1:34" ht="22.15" customHeight="1" thickBot="1" x14ac:dyDescent="0.25">
      <c r="A75" s="2074"/>
      <c r="B75" s="2260" t="s">
        <v>129</v>
      </c>
      <c r="C75" s="2222"/>
      <c r="D75" s="2222"/>
      <c r="E75" s="2222"/>
      <c r="F75" s="2222" t="s">
        <v>243</v>
      </c>
      <c r="G75" s="2222" t="s">
        <v>243</v>
      </c>
      <c r="H75" s="2222" t="s">
        <v>243</v>
      </c>
      <c r="I75" s="2222" t="s">
        <v>243</v>
      </c>
      <c r="J75" s="2222" t="s">
        <v>243</v>
      </c>
      <c r="K75" s="2222"/>
      <c r="L75" s="2236"/>
      <c r="M75" s="2247" t="s">
        <v>243</v>
      </c>
      <c r="N75" s="2247" t="s">
        <v>243</v>
      </c>
      <c r="O75" s="2247" t="s">
        <v>379</v>
      </c>
      <c r="P75" s="2222" t="s">
        <v>243</v>
      </c>
      <c r="Q75" s="2222" t="s">
        <v>243</v>
      </c>
      <c r="R75" s="2236"/>
      <c r="S75" s="2236"/>
      <c r="T75" s="2222" t="s">
        <v>243</v>
      </c>
      <c r="U75" s="2222" t="s">
        <v>243</v>
      </c>
      <c r="V75" s="2222" t="s">
        <v>243</v>
      </c>
      <c r="W75" s="2222" t="s">
        <v>243</v>
      </c>
      <c r="X75" s="2222" t="s">
        <v>243</v>
      </c>
      <c r="Y75" s="2224"/>
      <c r="Z75" s="2224"/>
      <c r="AA75" s="2222" t="s">
        <v>243</v>
      </c>
      <c r="AB75" s="2222" t="s">
        <v>243</v>
      </c>
      <c r="AC75" s="2222" t="s">
        <v>243</v>
      </c>
      <c r="AD75" s="2222" t="s">
        <v>243</v>
      </c>
      <c r="AE75" s="2222" t="s">
        <v>243</v>
      </c>
      <c r="AF75" s="2222"/>
      <c r="AG75" s="2159"/>
      <c r="AH75" s="1"/>
    </row>
    <row r="76" spans="1:34" ht="22.15" customHeight="1" thickBot="1" x14ac:dyDescent="0.25">
      <c r="A76" s="377"/>
      <c r="B76" s="378" t="s">
        <v>125</v>
      </c>
      <c r="C76" s="1185">
        <v>1</v>
      </c>
      <c r="D76" s="1185">
        <v>2</v>
      </c>
      <c r="E76" s="1185">
        <v>3</v>
      </c>
      <c r="F76" s="1254">
        <v>4</v>
      </c>
      <c r="G76" s="1254">
        <v>5</v>
      </c>
      <c r="H76" s="1254">
        <v>6</v>
      </c>
      <c r="I76" s="1254">
        <v>7</v>
      </c>
      <c r="J76" s="1254">
        <v>8</v>
      </c>
      <c r="K76" s="1185">
        <v>9</v>
      </c>
      <c r="L76" s="1185">
        <v>10</v>
      </c>
      <c r="M76" s="1254">
        <v>11</v>
      </c>
      <c r="N76" s="1254">
        <v>12</v>
      </c>
      <c r="O76" s="1254">
        <v>13</v>
      </c>
      <c r="P76" s="1254">
        <v>14</v>
      </c>
      <c r="Q76" s="1254">
        <v>15</v>
      </c>
      <c r="R76" s="1185">
        <v>16</v>
      </c>
      <c r="S76" s="1185">
        <v>17</v>
      </c>
      <c r="T76" s="1254">
        <v>18</v>
      </c>
      <c r="U76" s="1254">
        <v>19</v>
      </c>
      <c r="V76" s="1254">
        <v>20</v>
      </c>
      <c r="W76" s="1254">
        <v>21</v>
      </c>
      <c r="X76" s="1254">
        <v>22</v>
      </c>
      <c r="Y76" s="1185">
        <v>23</v>
      </c>
      <c r="Z76" s="1185">
        <v>24</v>
      </c>
      <c r="AA76" s="1254">
        <v>25</v>
      </c>
      <c r="AB76" s="1254">
        <v>26</v>
      </c>
      <c r="AC76" s="1254">
        <v>27</v>
      </c>
      <c r="AD76" s="1254">
        <v>28</v>
      </c>
      <c r="AE76" s="1254">
        <v>29</v>
      </c>
      <c r="AF76" s="1185">
        <v>30</v>
      </c>
      <c r="AG76" s="2064">
        <v>31</v>
      </c>
      <c r="AH76" s="1"/>
    </row>
    <row r="77" spans="1:34" ht="22.15" customHeight="1" x14ac:dyDescent="0.2">
      <c r="A77" s="379"/>
      <c r="B77" s="379"/>
      <c r="C77" s="2222"/>
      <c r="D77" s="2222"/>
      <c r="E77" s="2222"/>
      <c r="F77" s="2231" t="s">
        <v>31</v>
      </c>
      <c r="G77" s="2222" t="s">
        <v>31</v>
      </c>
      <c r="H77" s="2222" t="s">
        <v>31</v>
      </c>
      <c r="I77" s="2222" t="s">
        <v>31</v>
      </c>
      <c r="J77" s="2222" t="s">
        <v>31</v>
      </c>
      <c r="K77" s="2222"/>
      <c r="L77" s="2222"/>
      <c r="M77" s="1380" t="s">
        <v>31</v>
      </c>
      <c r="N77" s="1380" t="s">
        <v>31</v>
      </c>
      <c r="O77" s="1380" t="s">
        <v>31</v>
      </c>
      <c r="P77" s="1380" t="s">
        <v>31</v>
      </c>
      <c r="Q77" s="2222" t="s">
        <v>31</v>
      </c>
      <c r="R77" s="2222"/>
      <c r="S77" s="2222"/>
      <c r="T77" s="2222" t="s">
        <v>31</v>
      </c>
      <c r="U77" s="2222" t="s">
        <v>31</v>
      </c>
      <c r="V77" s="2222" t="s">
        <v>31</v>
      </c>
      <c r="W77" s="2222" t="s">
        <v>31</v>
      </c>
      <c r="X77" s="2222" t="s">
        <v>31</v>
      </c>
      <c r="Y77" s="2222"/>
      <c r="Z77" s="2222"/>
      <c r="AA77" s="2222" t="s">
        <v>31</v>
      </c>
      <c r="AB77" s="2222" t="s">
        <v>31</v>
      </c>
      <c r="AC77" s="2222" t="s">
        <v>31</v>
      </c>
      <c r="AD77" s="2222" t="s">
        <v>31</v>
      </c>
      <c r="AE77" s="2222" t="s">
        <v>31</v>
      </c>
      <c r="AF77" s="2222"/>
      <c r="AG77" s="387"/>
      <c r="AH77" s="1"/>
    </row>
    <row r="78" spans="1:34" ht="22.15" customHeight="1" x14ac:dyDescent="0.2">
      <c r="A78" s="2235"/>
      <c r="B78" s="2235"/>
      <c r="C78" s="2224"/>
      <c r="D78" s="2224"/>
      <c r="E78" s="2224"/>
      <c r="F78" s="2224"/>
      <c r="G78" s="2224"/>
      <c r="H78" s="2224"/>
      <c r="I78" s="2224"/>
      <c r="J78" s="2224"/>
      <c r="K78" s="2140"/>
      <c r="L78" s="2140"/>
      <c r="M78" s="2140"/>
      <c r="N78" s="2140"/>
      <c r="O78" s="2140"/>
      <c r="P78" s="2140"/>
      <c r="Q78" s="2140"/>
      <c r="R78" s="2140"/>
      <c r="S78" s="2224"/>
      <c r="T78" s="2224"/>
      <c r="U78" s="2261"/>
      <c r="V78" s="2261"/>
      <c r="W78" s="2261"/>
      <c r="X78" s="2224"/>
      <c r="Y78" s="2261"/>
      <c r="Z78" s="2261"/>
      <c r="AA78" s="2261"/>
      <c r="AB78" s="2224"/>
      <c r="AC78" s="2224"/>
      <c r="AD78" s="2224"/>
      <c r="AE78" s="2224"/>
      <c r="AF78" s="2224"/>
      <c r="AG78" s="2159"/>
      <c r="AH78" s="1"/>
    </row>
    <row r="79" spans="1:34" ht="22.15" customHeight="1" x14ac:dyDescent="0.2">
      <c r="A79" s="2262"/>
      <c r="B79" s="2235"/>
      <c r="C79" s="2224"/>
      <c r="D79" s="2224"/>
      <c r="E79" s="2224"/>
      <c r="F79" s="2224"/>
      <c r="G79" s="2224"/>
      <c r="H79" s="2224"/>
      <c r="I79" s="2224"/>
      <c r="J79" s="2224"/>
      <c r="K79" s="2224"/>
      <c r="L79" s="2224"/>
      <c r="M79" s="2224"/>
      <c r="N79" s="2224"/>
      <c r="O79" s="2224"/>
      <c r="P79" s="2224"/>
      <c r="Q79" s="2224"/>
      <c r="R79" s="2224"/>
      <c r="S79" s="2224"/>
      <c r="T79" s="2224"/>
      <c r="U79" s="2224"/>
      <c r="V79" s="2224"/>
      <c r="W79" s="2224"/>
      <c r="X79" s="2224"/>
      <c r="Y79" s="2224"/>
      <c r="Z79" s="2224"/>
      <c r="AA79" s="2224"/>
      <c r="AB79" s="2224"/>
      <c r="AC79" s="2224"/>
      <c r="AD79" s="2224"/>
      <c r="AE79" s="2224"/>
      <c r="AF79" s="2224"/>
      <c r="AG79" s="2156"/>
      <c r="AH79" s="1"/>
    </row>
    <row r="80" spans="1:34" ht="22.15" customHeight="1" thickBot="1" x14ac:dyDescent="0.25">
      <c r="A80" s="691"/>
      <c r="B80" s="692"/>
      <c r="C80" s="690"/>
      <c r="D80" s="693"/>
      <c r="E80" s="693"/>
      <c r="F80" s="693"/>
      <c r="G80" s="693"/>
      <c r="H80" s="693"/>
      <c r="I80" s="690"/>
      <c r="J80" s="690"/>
      <c r="K80" s="693"/>
      <c r="L80" s="693"/>
      <c r="M80" s="693"/>
      <c r="N80" s="693"/>
      <c r="O80" s="693"/>
      <c r="P80" s="696"/>
      <c r="Q80" s="696"/>
      <c r="R80" s="690"/>
      <c r="S80" s="696"/>
      <c r="T80" s="696"/>
      <c r="U80" s="696"/>
      <c r="V80" s="696"/>
      <c r="W80" s="696"/>
      <c r="X80" s="690"/>
      <c r="Y80" s="696"/>
      <c r="Z80" s="696"/>
      <c r="AA80" s="696"/>
      <c r="AB80" s="696"/>
      <c r="AC80" s="690"/>
      <c r="AD80" s="696"/>
      <c r="AE80" s="696"/>
      <c r="AF80" s="690"/>
      <c r="AG80" s="218"/>
      <c r="AH80" s="1"/>
    </row>
    <row r="81" spans="1:35" ht="22.15" customHeight="1" thickBot="1" x14ac:dyDescent="0.25">
      <c r="A81" s="223"/>
      <c r="B81" s="224" t="s">
        <v>387</v>
      </c>
      <c r="C81" s="219"/>
      <c r="D81" s="225"/>
      <c r="E81" s="225"/>
      <c r="F81" s="225"/>
      <c r="G81" s="225"/>
      <c r="H81" s="225"/>
      <c r="I81" s="219"/>
      <c r="J81" s="219"/>
      <c r="K81" s="225"/>
      <c r="L81" s="225"/>
      <c r="M81" s="225"/>
      <c r="N81" s="225"/>
      <c r="O81" s="225"/>
      <c r="P81" s="219"/>
      <c r="Q81" s="219"/>
      <c r="R81" s="219"/>
      <c r="S81" s="226"/>
      <c r="T81" s="226"/>
      <c r="U81" s="226"/>
      <c r="V81" s="220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48"/>
      <c r="AH81" s="1"/>
    </row>
    <row r="82" spans="1:35" ht="22.15" customHeight="1" thickBot="1" x14ac:dyDescent="0.25">
      <c r="A82" s="221"/>
      <c r="B82" s="222" t="s">
        <v>375</v>
      </c>
      <c r="C82" s="2222"/>
      <c r="D82" s="2222"/>
      <c r="E82" s="2222"/>
      <c r="F82" s="2231" t="s">
        <v>31</v>
      </c>
      <c r="G82" s="2222" t="s">
        <v>31</v>
      </c>
      <c r="H82" s="2222" t="s">
        <v>31</v>
      </c>
      <c r="I82" s="2222" t="s">
        <v>31</v>
      </c>
      <c r="J82" s="2222" t="s">
        <v>31</v>
      </c>
      <c r="K82" s="2222"/>
      <c r="L82" s="2222"/>
      <c r="M82" s="1380" t="s">
        <v>31</v>
      </c>
      <c r="N82" s="1380" t="s">
        <v>31</v>
      </c>
      <c r="O82" s="1380" t="s">
        <v>31</v>
      </c>
      <c r="P82" s="1380" t="s">
        <v>31</v>
      </c>
      <c r="Q82" s="2222" t="s">
        <v>31</v>
      </c>
      <c r="R82" s="2222"/>
      <c r="S82" s="2222"/>
      <c r="T82" s="2222" t="s">
        <v>31</v>
      </c>
      <c r="U82" s="2222" t="s">
        <v>31</v>
      </c>
      <c r="V82" s="2222" t="s">
        <v>31</v>
      </c>
      <c r="W82" s="2222" t="s">
        <v>31</v>
      </c>
      <c r="X82" s="2222" t="s">
        <v>31</v>
      </c>
      <c r="Y82" s="2222"/>
      <c r="Z82" s="2222"/>
      <c r="AA82" s="2222" t="s">
        <v>31</v>
      </c>
      <c r="AB82" s="2222" t="s">
        <v>31</v>
      </c>
      <c r="AC82" s="2222" t="s">
        <v>31</v>
      </c>
      <c r="AD82" s="2222" t="s">
        <v>31</v>
      </c>
      <c r="AE82" s="2222" t="s">
        <v>31</v>
      </c>
      <c r="AF82" s="2222"/>
      <c r="AG82" s="2168"/>
      <c r="AH82" s="1"/>
    </row>
    <row r="83" spans="1:35" ht="22.15" customHeight="1" x14ac:dyDescent="0.2">
      <c r="A83" s="64" t="s">
        <v>134</v>
      </c>
      <c r="AH83" s="1"/>
    </row>
    <row r="84" spans="1:35" ht="22.15" customHeight="1" thickBot="1" x14ac:dyDescent="0.25">
      <c r="A84" s="1343"/>
      <c r="B84" s="1247" t="s">
        <v>29</v>
      </c>
      <c r="C84" s="1185">
        <v>1</v>
      </c>
      <c r="D84" s="1185">
        <v>2</v>
      </c>
      <c r="E84" s="1185">
        <v>3</v>
      </c>
      <c r="F84" s="1254">
        <v>4</v>
      </c>
      <c r="G84" s="1254">
        <v>5</v>
      </c>
      <c r="H84" s="1254">
        <v>6</v>
      </c>
      <c r="I84" s="1254">
        <v>7</v>
      </c>
      <c r="J84" s="1254">
        <v>8</v>
      </c>
      <c r="K84" s="1185">
        <v>9</v>
      </c>
      <c r="L84" s="1185">
        <v>10</v>
      </c>
      <c r="M84" s="1254">
        <v>11</v>
      </c>
      <c r="N84" s="1254">
        <v>12</v>
      </c>
      <c r="O84" s="1254">
        <v>13</v>
      </c>
      <c r="P84" s="1254">
        <v>14</v>
      </c>
      <c r="Q84" s="1254">
        <v>15</v>
      </c>
      <c r="R84" s="1185">
        <v>16</v>
      </c>
      <c r="S84" s="1185">
        <v>17</v>
      </c>
      <c r="T84" s="1254">
        <v>18</v>
      </c>
      <c r="U84" s="1254">
        <v>19</v>
      </c>
      <c r="V84" s="1254">
        <v>20</v>
      </c>
      <c r="W84" s="1254">
        <v>21</v>
      </c>
      <c r="X84" s="1254">
        <v>22</v>
      </c>
      <c r="Y84" s="1185">
        <v>23</v>
      </c>
      <c r="Z84" s="1185">
        <v>24</v>
      </c>
      <c r="AA84" s="1254">
        <v>25</v>
      </c>
      <c r="AB84" s="1254">
        <v>26</v>
      </c>
      <c r="AC84" s="1254">
        <v>27</v>
      </c>
      <c r="AD84" s="1254">
        <v>28</v>
      </c>
      <c r="AE84" s="1254">
        <v>29</v>
      </c>
      <c r="AF84" s="1185">
        <v>30</v>
      </c>
      <c r="AG84" s="2064">
        <v>31</v>
      </c>
      <c r="AH84" s="1"/>
    </row>
    <row r="85" spans="1:35" ht="22.15" customHeight="1" x14ac:dyDescent="0.2">
      <c r="A85" s="487"/>
      <c r="B85" s="488" t="s">
        <v>135</v>
      </c>
      <c r="C85" s="458"/>
      <c r="D85" s="482"/>
      <c r="E85" s="458"/>
      <c r="F85" s="458"/>
      <c r="G85" s="458"/>
      <c r="H85" s="458"/>
      <c r="I85" s="458"/>
      <c r="J85" s="458"/>
      <c r="K85" s="458"/>
      <c r="L85" s="458"/>
      <c r="M85" s="458"/>
      <c r="N85" s="458"/>
      <c r="O85" s="458"/>
      <c r="P85" s="458"/>
      <c r="Q85" s="458"/>
      <c r="R85" s="458"/>
      <c r="S85" s="458"/>
      <c r="T85" s="458"/>
      <c r="U85" s="458"/>
      <c r="V85" s="458"/>
      <c r="W85" s="458"/>
      <c r="X85" s="458"/>
      <c r="Y85" s="458"/>
      <c r="Z85" s="458"/>
      <c r="AA85" s="458"/>
      <c r="AB85" s="458"/>
      <c r="AC85" s="458"/>
      <c r="AD85" s="458"/>
      <c r="AE85" s="458"/>
      <c r="AF85" s="458"/>
      <c r="AG85" s="464"/>
      <c r="AH85" s="1"/>
    </row>
    <row r="86" spans="1:35" ht="22.15" customHeight="1" x14ac:dyDescent="0.2">
      <c r="A86" s="1336">
        <v>2</v>
      </c>
      <c r="B86" s="2227" t="s">
        <v>405</v>
      </c>
      <c r="C86" s="1337"/>
      <c r="D86" s="1337"/>
      <c r="E86" s="1337"/>
      <c r="F86" s="2170" t="s">
        <v>31</v>
      </c>
      <c r="G86" s="2170" t="s">
        <v>31</v>
      </c>
      <c r="H86" s="2170" t="s">
        <v>31</v>
      </c>
      <c r="I86" s="2170" t="s">
        <v>31</v>
      </c>
      <c r="J86" s="2170" t="s">
        <v>31</v>
      </c>
      <c r="K86" s="2170"/>
      <c r="L86" s="2170"/>
      <c r="M86" s="2170" t="s">
        <v>31</v>
      </c>
      <c r="N86" s="2170" t="s">
        <v>31</v>
      </c>
      <c r="O86" s="2170" t="s">
        <v>31</v>
      </c>
      <c r="P86" s="2170" t="s">
        <v>31</v>
      </c>
      <c r="Q86" s="2170" t="s">
        <v>31</v>
      </c>
      <c r="R86" s="2171"/>
      <c r="S86" s="2171"/>
      <c r="T86" s="2171" t="s">
        <v>31</v>
      </c>
      <c r="U86" s="2171" t="s">
        <v>31</v>
      </c>
      <c r="V86" s="2171" t="s">
        <v>31</v>
      </c>
      <c r="W86" s="2169" t="s">
        <v>31</v>
      </c>
      <c r="X86" s="2169" t="s">
        <v>31</v>
      </c>
      <c r="Y86" s="1341"/>
      <c r="Z86" s="1341"/>
      <c r="AA86" s="1341"/>
      <c r="AB86" s="1341"/>
      <c r="AC86" s="1341"/>
      <c r="AD86" s="1337"/>
      <c r="AE86" s="1337"/>
      <c r="AF86" s="1344"/>
      <c r="AG86" s="1340"/>
      <c r="AH86" s="1"/>
    </row>
    <row r="87" spans="1:35" ht="22.15" customHeight="1" thickBot="1" x14ac:dyDescent="0.25">
      <c r="A87" s="1336">
        <v>3</v>
      </c>
      <c r="B87" s="2227" t="s">
        <v>406</v>
      </c>
      <c r="C87" s="2263"/>
      <c r="D87" s="2263"/>
      <c r="E87" s="2263"/>
      <c r="F87" s="2264" t="s">
        <v>31</v>
      </c>
      <c r="G87" s="2264" t="s">
        <v>31</v>
      </c>
      <c r="H87" s="2264" t="s">
        <v>31</v>
      </c>
      <c r="I87" s="2264" t="s">
        <v>31</v>
      </c>
      <c r="J87" s="2264" t="s">
        <v>31</v>
      </c>
      <c r="K87" s="2264"/>
      <c r="L87" s="2264"/>
      <c r="M87" s="2264" t="s">
        <v>31</v>
      </c>
      <c r="N87" s="2264" t="s">
        <v>31</v>
      </c>
      <c r="O87" s="2264" t="s">
        <v>31</v>
      </c>
      <c r="P87" s="2264" t="s">
        <v>31</v>
      </c>
      <c r="Q87" s="2264" t="s">
        <v>31</v>
      </c>
      <c r="R87" s="2264"/>
      <c r="S87" s="2264"/>
      <c r="T87" s="2264" t="s">
        <v>31</v>
      </c>
      <c r="U87" s="2264" t="s">
        <v>31</v>
      </c>
      <c r="V87" s="2264" t="s">
        <v>31</v>
      </c>
      <c r="W87" s="2264" t="s">
        <v>31</v>
      </c>
      <c r="X87" s="2264" t="s">
        <v>31</v>
      </c>
      <c r="Y87" s="2263"/>
      <c r="Z87" s="2263"/>
      <c r="AA87" s="2263"/>
      <c r="AB87" s="2263"/>
      <c r="AC87" s="2263"/>
      <c r="AD87" s="2263"/>
      <c r="AE87" s="2263"/>
      <c r="AF87" s="1347"/>
      <c r="AG87" s="1251"/>
      <c r="AH87" s="1"/>
    </row>
    <row r="88" spans="1:35" ht="22.15" customHeight="1" thickBot="1" x14ac:dyDescent="0.25">
      <c r="A88" s="1336">
        <v>4</v>
      </c>
      <c r="B88" s="1253" t="s">
        <v>397</v>
      </c>
      <c r="C88" s="2265"/>
      <c r="D88" s="2265"/>
      <c r="E88" s="2265"/>
      <c r="F88" s="2266" t="s">
        <v>35</v>
      </c>
      <c r="G88" s="2266" t="s">
        <v>35</v>
      </c>
      <c r="H88" s="2266" t="s">
        <v>35</v>
      </c>
      <c r="I88" s="2266" t="s">
        <v>35</v>
      </c>
      <c r="J88" s="2266" t="s">
        <v>35</v>
      </c>
      <c r="K88" s="662" t="s">
        <v>71</v>
      </c>
      <c r="L88" s="662" t="s">
        <v>71</v>
      </c>
      <c r="M88" s="662">
        <v>7</v>
      </c>
      <c r="N88" s="662">
        <v>7</v>
      </c>
      <c r="O88" s="663">
        <v>7</v>
      </c>
      <c r="P88" s="662">
        <v>7</v>
      </c>
      <c r="Q88" s="542">
        <v>7</v>
      </c>
      <c r="R88" s="2267"/>
      <c r="S88" s="2267"/>
      <c r="T88" s="662">
        <v>4</v>
      </c>
      <c r="U88" s="662">
        <v>4</v>
      </c>
      <c r="V88" s="662">
        <v>4</v>
      </c>
      <c r="W88" s="662">
        <v>4</v>
      </c>
      <c r="X88" s="662">
        <v>4</v>
      </c>
      <c r="Y88" s="542"/>
      <c r="Z88" s="662"/>
      <c r="AA88" s="2268">
        <v>3</v>
      </c>
      <c r="AB88" s="542">
        <v>3</v>
      </c>
      <c r="AC88" s="542">
        <v>3</v>
      </c>
      <c r="AD88" s="542">
        <v>3</v>
      </c>
      <c r="AE88" s="542">
        <v>3</v>
      </c>
      <c r="AF88" s="662"/>
      <c r="AG88" s="664"/>
      <c r="AH88" s="1"/>
    </row>
    <row r="89" spans="1:35" ht="22.15" customHeight="1" x14ac:dyDescent="0.2">
      <c r="A89" s="227"/>
      <c r="B89" s="228"/>
      <c r="C89" s="229"/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30"/>
      <c r="S89" s="230"/>
      <c r="T89" s="230"/>
      <c r="U89" s="229"/>
      <c r="V89" s="229"/>
      <c r="W89" s="229"/>
      <c r="X89" s="229"/>
      <c r="Y89" s="229"/>
      <c r="Z89" s="229"/>
      <c r="AA89" s="229"/>
      <c r="AB89" s="229"/>
      <c r="AC89" s="229"/>
      <c r="AD89" s="229"/>
      <c r="AE89" s="229"/>
      <c r="AF89" s="229"/>
      <c r="AG89" s="229"/>
      <c r="AH89" s="1"/>
    </row>
    <row r="90" spans="1:35" ht="22.15" customHeight="1" x14ac:dyDescent="0.2">
      <c r="A90" s="227"/>
      <c r="B90" s="228"/>
      <c r="C90" s="229"/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30"/>
      <c r="S90" s="230"/>
      <c r="T90" s="230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29"/>
      <c r="AG90" s="229"/>
      <c r="AH90" s="1"/>
    </row>
    <row r="91" spans="1:35" ht="22.15" customHeight="1" thickBot="1" x14ac:dyDescent="0.25">
      <c r="A91" s="176" t="s">
        <v>136</v>
      </c>
      <c r="B91" s="177"/>
      <c r="C91" s="177"/>
      <c r="D91" s="177"/>
      <c r="E91" s="177"/>
      <c r="F91" s="177"/>
      <c r="G91" s="178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</row>
    <row r="92" spans="1:35" ht="22.15" customHeight="1" thickBot="1" x14ac:dyDescent="0.25">
      <c r="A92" s="179"/>
      <c r="B92" s="303" t="s">
        <v>137</v>
      </c>
      <c r="C92" s="281"/>
      <c r="D92" s="282" t="s">
        <v>90</v>
      </c>
      <c r="E92" s="283"/>
      <c r="F92" s="284"/>
      <c r="G92" s="281"/>
      <c r="H92" s="282" t="s">
        <v>91</v>
      </c>
      <c r="I92" s="283"/>
      <c r="J92" s="284"/>
      <c r="K92" s="281"/>
      <c r="L92" s="282" t="s">
        <v>92</v>
      </c>
      <c r="M92" s="283"/>
      <c r="N92" s="284"/>
      <c r="O92" s="281"/>
      <c r="P92" s="282" t="s">
        <v>93</v>
      </c>
      <c r="Q92" s="283"/>
      <c r="R92" s="284"/>
      <c r="S92" s="285"/>
      <c r="T92" s="282" t="s">
        <v>94</v>
      </c>
      <c r="U92" s="283"/>
      <c r="V92" s="284"/>
      <c r="W92" s="281"/>
      <c r="X92" s="282" t="s">
        <v>95</v>
      </c>
      <c r="Y92" s="283"/>
      <c r="Z92" s="284"/>
      <c r="AA92" s="281"/>
      <c r="AB92" s="282" t="s">
        <v>96</v>
      </c>
      <c r="AC92" s="283"/>
      <c r="AD92" s="283"/>
      <c r="AE92" s="286" t="s">
        <v>138</v>
      </c>
      <c r="AF92" s="283"/>
      <c r="AG92" s="283"/>
      <c r="AH92" s="283"/>
      <c r="AI92" s="287"/>
    </row>
    <row r="93" spans="1:35" ht="22.15" customHeight="1" x14ac:dyDescent="0.2">
      <c r="A93" s="179"/>
      <c r="B93" s="489" t="s">
        <v>139</v>
      </c>
      <c r="C93" s="490" t="s">
        <v>140</v>
      </c>
      <c r="D93" s="283"/>
      <c r="E93" s="491"/>
      <c r="F93" s="492"/>
      <c r="G93" s="490" t="s">
        <v>140</v>
      </c>
      <c r="H93" s="491"/>
      <c r="I93" s="491"/>
      <c r="J93" s="492"/>
      <c r="K93" s="288" t="s">
        <v>140</v>
      </c>
      <c r="L93" s="283"/>
      <c r="M93" s="283"/>
      <c r="N93" s="289"/>
      <c r="O93" s="288" t="s">
        <v>141</v>
      </c>
      <c r="P93" s="283"/>
      <c r="Q93" s="491"/>
      <c r="R93" s="492"/>
      <c r="S93" s="490" t="s">
        <v>142</v>
      </c>
      <c r="T93" s="491"/>
      <c r="U93" s="491"/>
      <c r="V93" s="493"/>
      <c r="W93" s="494"/>
      <c r="X93" s="495"/>
      <c r="Y93" s="495"/>
      <c r="Z93" s="496"/>
      <c r="AA93" s="493"/>
      <c r="AB93" s="491"/>
      <c r="AC93" s="491"/>
      <c r="AD93" s="493"/>
      <c r="AE93" s="497">
        <v>37</v>
      </c>
      <c r="AF93" s="283"/>
      <c r="AG93" s="491"/>
      <c r="AH93" s="493"/>
      <c r="AI93" s="498"/>
    </row>
    <row r="94" spans="1:35" ht="22.15" customHeight="1" x14ac:dyDescent="0.2">
      <c r="A94" s="179"/>
      <c r="B94" s="1350" t="s">
        <v>143</v>
      </c>
      <c r="C94" s="1351" t="s">
        <v>144</v>
      </c>
      <c r="D94" s="1352"/>
      <c r="E94" s="1352"/>
      <c r="F94" s="1353"/>
      <c r="G94" s="1351" t="s">
        <v>145</v>
      </c>
      <c r="H94" s="1352"/>
      <c r="I94" s="1352"/>
      <c r="J94" s="1353"/>
      <c r="K94" s="1351" t="s">
        <v>146</v>
      </c>
      <c r="L94" s="1354" t="s">
        <v>147</v>
      </c>
      <c r="M94" s="1352"/>
      <c r="N94" s="1353"/>
      <c r="O94" s="1351" t="s">
        <v>146</v>
      </c>
      <c r="P94" s="1354" t="s">
        <v>147</v>
      </c>
      <c r="Q94" s="1352"/>
      <c r="R94" s="1353"/>
      <c r="S94" s="1351" t="s">
        <v>145</v>
      </c>
      <c r="T94" s="1354" t="s">
        <v>148</v>
      </c>
      <c r="U94" s="1352"/>
      <c r="V94" s="1353"/>
      <c r="W94" s="180" t="s">
        <v>46</v>
      </c>
      <c r="X94" s="254" t="s">
        <v>152</v>
      </c>
      <c r="Y94" s="181"/>
      <c r="Z94" s="181"/>
      <c r="AA94" s="1351" t="s">
        <v>46</v>
      </c>
      <c r="AB94" s="1354" t="s">
        <v>152</v>
      </c>
      <c r="AC94" s="1351"/>
      <c r="AD94" s="1351"/>
      <c r="AE94" s="1356">
        <v>68</v>
      </c>
      <c r="AF94" s="1352"/>
      <c r="AG94" s="1357"/>
      <c r="AH94" s="1358"/>
      <c r="AI94" s="1359"/>
    </row>
    <row r="95" spans="1:35" ht="22.15" customHeight="1" x14ac:dyDescent="0.2">
      <c r="A95" s="179"/>
      <c r="B95" s="1350" t="s">
        <v>153</v>
      </c>
      <c r="C95" s="1360" t="s">
        <v>154</v>
      </c>
      <c r="D95" s="1352"/>
      <c r="E95" s="1352"/>
      <c r="F95" s="1353"/>
      <c r="G95" s="1352" t="s">
        <v>154</v>
      </c>
      <c r="H95" s="1352"/>
      <c r="I95" s="1352"/>
      <c r="J95" s="1353"/>
      <c r="K95" s="1352" t="s">
        <v>154</v>
      </c>
      <c r="L95" s="1352"/>
      <c r="M95" s="1352"/>
      <c r="N95" s="1353"/>
      <c r="O95" s="1352" t="s">
        <v>154</v>
      </c>
      <c r="P95" s="1352"/>
      <c r="Q95" s="1352"/>
      <c r="R95" s="1353"/>
      <c r="S95" s="1352" t="s">
        <v>154</v>
      </c>
      <c r="T95" s="1352"/>
      <c r="U95" s="1352"/>
      <c r="V95" s="1353"/>
      <c r="W95" s="1351"/>
      <c r="X95" s="1352"/>
      <c r="Y95" s="1352"/>
      <c r="Z95" s="1353"/>
      <c r="AA95" s="1351"/>
      <c r="AB95" s="1352"/>
      <c r="AC95" s="1352"/>
      <c r="AD95" s="1354"/>
      <c r="AE95" s="1356">
        <v>0</v>
      </c>
      <c r="AF95" s="1357"/>
      <c r="AG95" s="1352"/>
      <c r="AH95" s="1354"/>
      <c r="AI95" s="1361"/>
    </row>
    <row r="96" spans="1:35" ht="22.15" customHeight="1" thickBot="1" x14ac:dyDescent="0.25">
      <c r="A96" s="179"/>
      <c r="B96" s="1979" t="s">
        <v>155</v>
      </c>
      <c r="C96" s="1363" t="s">
        <v>140</v>
      </c>
      <c r="D96" s="2175"/>
      <c r="E96" s="1365"/>
      <c r="F96" s="1366"/>
      <c r="G96" s="1363" t="s">
        <v>140</v>
      </c>
      <c r="H96" s="2175"/>
      <c r="I96" s="1365"/>
      <c r="J96" s="1366"/>
      <c r="K96" s="1363" t="s">
        <v>140</v>
      </c>
      <c r="L96" s="2175"/>
      <c r="M96" s="1365"/>
      <c r="N96" s="1366"/>
      <c r="O96" s="1363" t="s">
        <v>141</v>
      </c>
      <c r="P96" s="1365"/>
      <c r="Q96" s="1365"/>
      <c r="R96" s="1366"/>
      <c r="S96" s="1363" t="s">
        <v>142</v>
      </c>
      <c r="T96" s="1365"/>
      <c r="U96" s="1365"/>
      <c r="V96" s="1367"/>
      <c r="W96" s="1980"/>
      <c r="X96" s="1365"/>
      <c r="Y96" s="1365"/>
      <c r="Z96" s="1369"/>
      <c r="AA96" s="1367"/>
      <c r="AB96" s="1365"/>
      <c r="AC96" s="1365"/>
      <c r="AD96" s="1367"/>
      <c r="AE96" s="1370">
        <v>37</v>
      </c>
      <c r="AF96" s="1365"/>
      <c r="AG96" s="1365"/>
      <c r="AH96" s="1367"/>
      <c r="AI96" s="1371"/>
    </row>
    <row r="97" spans="1:35" ht="22.15" customHeight="1" x14ac:dyDescent="0.2">
      <c r="A97" s="182"/>
      <c r="B97" s="179"/>
      <c r="C97" s="177"/>
      <c r="D97" s="181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</row>
    <row r="98" spans="1:35" ht="22.15" customHeight="1" thickBot="1" x14ac:dyDescent="0.25">
      <c r="A98" s="1372"/>
      <c r="B98" s="1373" t="s">
        <v>29</v>
      </c>
      <c r="C98" s="1185">
        <v>1</v>
      </c>
      <c r="D98" s="1185">
        <v>2</v>
      </c>
      <c r="E98" s="1185">
        <v>3</v>
      </c>
      <c r="F98" s="1254">
        <v>4</v>
      </c>
      <c r="G98" s="1254">
        <v>5</v>
      </c>
      <c r="H98" s="1254">
        <v>6</v>
      </c>
      <c r="I98" s="1254">
        <v>7</v>
      </c>
      <c r="J98" s="1254">
        <v>8</v>
      </c>
      <c r="K98" s="1185">
        <v>9</v>
      </c>
      <c r="L98" s="1185">
        <v>10</v>
      </c>
      <c r="M98" s="1254">
        <v>11</v>
      </c>
      <c r="N98" s="1254">
        <v>12</v>
      </c>
      <c r="O98" s="1254">
        <v>13</v>
      </c>
      <c r="P98" s="1254">
        <v>14</v>
      </c>
      <c r="Q98" s="1254">
        <v>15</v>
      </c>
      <c r="R98" s="1185">
        <v>16</v>
      </c>
      <c r="S98" s="1185">
        <v>17</v>
      </c>
      <c r="T98" s="1254">
        <v>18</v>
      </c>
      <c r="U98" s="1254">
        <v>19</v>
      </c>
      <c r="V98" s="1254">
        <v>20</v>
      </c>
      <c r="W98" s="1254">
        <v>21</v>
      </c>
      <c r="X98" s="1254">
        <v>22</v>
      </c>
      <c r="Y98" s="1185">
        <v>23</v>
      </c>
      <c r="Z98" s="1185">
        <v>24</v>
      </c>
      <c r="AA98" s="1254">
        <v>25</v>
      </c>
      <c r="AB98" s="1254">
        <v>26</v>
      </c>
      <c r="AC98" s="1254">
        <v>27</v>
      </c>
      <c r="AD98" s="1254">
        <v>28</v>
      </c>
      <c r="AE98" s="1254">
        <v>29</v>
      </c>
      <c r="AF98" s="1185">
        <v>30</v>
      </c>
      <c r="AG98" s="2064">
        <v>31</v>
      </c>
      <c r="AH98" s="191"/>
      <c r="AI98" s="192"/>
    </row>
    <row r="99" spans="1:35" ht="22.15" customHeight="1" x14ac:dyDescent="0.2">
      <c r="A99" s="499">
        <v>1</v>
      </c>
      <c r="B99" s="476"/>
      <c r="C99" s="541"/>
      <c r="D99" s="541"/>
      <c r="E99" s="541"/>
      <c r="F99" s="541" t="s">
        <v>110</v>
      </c>
      <c r="G99" s="541" t="s">
        <v>110</v>
      </c>
      <c r="H99" s="541" t="s">
        <v>110</v>
      </c>
      <c r="I99" s="541" t="s">
        <v>110</v>
      </c>
      <c r="J99" s="541" t="s">
        <v>110</v>
      </c>
      <c r="K99" s="541" t="s">
        <v>46</v>
      </c>
      <c r="L99" s="541" t="s">
        <v>46</v>
      </c>
      <c r="M99" s="541" t="s">
        <v>35</v>
      </c>
      <c r="N99" s="541" t="s">
        <v>35</v>
      </c>
      <c r="O99" s="541" t="s">
        <v>35</v>
      </c>
      <c r="P99" s="544" t="s">
        <v>35</v>
      </c>
      <c r="Q99" s="541" t="s">
        <v>35</v>
      </c>
      <c r="R99" s="541"/>
      <c r="S99" s="541"/>
      <c r="T99" s="541" t="s">
        <v>156</v>
      </c>
      <c r="U99" s="541" t="s">
        <v>156</v>
      </c>
      <c r="V99" s="541" t="s">
        <v>156</v>
      </c>
      <c r="W99" s="541" t="s">
        <v>156</v>
      </c>
      <c r="X99" s="540" t="s">
        <v>156</v>
      </c>
      <c r="Y99" s="540"/>
      <c r="Z99" s="540"/>
      <c r="AA99" s="540" t="s">
        <v>156</v>
      </c>
      <c r="AB99" s="541" t="s">
        <v>156</v>
      </c>
      <c r="AC99" s="541" t="s">
        <v>156</v>
      </c>
      <c r="AD99" s="541" t="s">
        <v>156</v>
      </c>
      <c r="AE99" s="541" t="s">
        <v>156</v>
      </c>
      <c r="AF99" s="541"/>
      <c r="AG99" s="545"/>
      <c r="AH99" s="193"/>
      <c r="AI99" s="194"/>
    </row>
    <row r="100" spans="1:35" ht="22.15" customHeight="1" x14ac:dyDescent="0.2">
      <c r="A100" s="1374">
        <v>2</v>
      </c>
      <c r="B100" s="1202" t="s">
        <v>157</v>
      </c>
      <c r="C100" s="1375"/>
      <c r="D100" s="1375"/>
      <c r="E100" s="1375"/>
      <c r="F100" s="1375" t="s">
        <v>156</v>
      </c>
      <c r="G100" s="1375" t="s">
        <v>156</v>
      </c>
      <c r="H100" s="1375" t="s">
        <v>228</v>
      </c>
      <c r="I100" s="1375" t="s">
        <v>80</v>
      </c>
      <c r="J100" s="1375" t="s">
        <v>80</v>
      </c>
      <c r="K100" s="1199"/>
      <c r="L100" s="1215"/>
      <c r="M100" s="1215" t="s">
        <v>110</v>
      </c>
      <c r="N100" s="1215" t="s">
        <v>110</v>
      </c>
      <c r="O100" s="1215" t="s">
        <v>110</v>
      </c>
      <c r="P100" s="1215" t="s">
        <v>110</v>
      </c>
      <c r="Q100" s="1215" t="s">
        <v>110</v>
      </c>
      <c r="R100" s="1215" t="s">
        <v>46</v>
      </c>
      <c r="S100" s="1215" t="s">
        <v>46</v>
      </c>
      <c r="T100" s="1215" t="s">
        <v>35</v>
      </c>
      <c r="U100" s="1380" t="s">
        <v>35</v>
      </c>
      <c r="V100" s="1215" t="s">
        <v>35</v>
      </c>
      <c r="W100" s="1311" t="s">
        <v>35</v>
      </c>
      <c r="X100" s="1215" t="s">
        <v>35</v>
      </c>
      <c r="Y100" s="1215"/>
      <c r="Z100" s="1215"/>
      <c r="AA100" s="1380" t="s">
        <v>156</v>
      </c>
      <c r="AB100" s="1380" t="s">
        <v>156</v>
      </c>
      <c r="AC100" s="1380" t="s">
        <v>156</v>
      </c>
      <c r="AD100" s="1380" t="s">
        <v>156</v>
      </c>
      <c r="AE100" s="1380" t="s">
        <v>156</v>
      </c>
      <c r="AF100" s="1380"/>
      <c r="AG100" s="1378"/>
      <c r="AH100" s="193"/>
      <c r="AI100" s="194"/>
    </row>
    <row r="101" spans="1:35" ht="22.15" customHeight="1" x14ac:dyDescent="0.2">
      <c r="A101" s="1374">
        <v>3</v>
      </c>
      <c r="B101" s="1379" t="s">
        <v>159</v>
      </c>
      <c r="C101" s="1215" t="s">
        <v>35</v>
      </c>
      <c r="D101" s="1984"/>
      <c r="E101" s="1267"/>
      <c r="F101" s="2269" t="s">
        <v>156</v>
      </c>
      <c r="G101" s="2269" t="s">
        <v>156</v>
      </c>
      <c r="H101" s="2269" t="s">
        <v>156</v>
      </c>
      <c r="I101" s="2269" t="s">
        <v>156</v>
      </c>
      <c r="J101" s="2269" t="s">
        <v>156</v>
      </c>
      <c r="K101" s="2270"/>
      <c r="L101" s="2270"/>
      <c r="M101" s="2270" t="s">
        <v>132</v>
      </c>
      <c r="N101" s="1993" t="s">
        <v>132</v>
      </c>
      <c r="O101" s="1993" t="s">
        <v>429</v>
      </c>
      <c r="P101" s="1259" t="s">
        <v>156</v>
      </c>
      <c r="Q101" s="1259" t="s">
        <v>156</v>
      </c>
      <c r="R101" s="1259"/>
      <c r="S101" s="1380"/>
      <c r="T101" s="1380" t="s">
        <v>110</v>
      </c>
      <c r="U101" s="1215" t="s">
        <v>110</v>
      </c>
      <c r="V101" s="1215" t="s">
        <v>110</v>
      </c>
      <c r="W101" s="1215" t="s">
        <v>110</v>
      </c>
      <c r="X101" s="1215" t="s">
        <v>110</v>
      </c>
      <c r="Y101" s="1986" t="s">
        <v>46</v>
      </c>
      <c r="Z101" s="1982" t="s">
        <v>46</v>
      </c>
      <c r="AA101" s="1380" t="s">
        <v>35</v>
      </c>
      <c r="AB101" s="1380" t="s">
        <v>35</v>
      </c>
      <c r="AC101" s="1380" t="s">
        <v>35</v>
      </c>
      <c r="AD101" s="1311" t="s">
        <v>35</v>
      </c>
      <c r="AE101" s="1215" t="s">
        <v>35</v>
      </c>
      <c r="AF101" s="1215"/>
      <c r="AG101" s="1328"/>
      <c r="AH101" s="193"/>
      <c r="AI101" s="194"/>
    </row>
    <row r="102" spans="1:35" ht="22.15" customHeight="1" thickBot="1" x14ac:dyDescent="0.25">
      <c r="A102" s="1382">
        <v>4</v>
      </c>
      <c r="B102" s="1383"/>
      <c r="C102" s="1384" t="s">
        <v>110</v>
      </c>
      <c r="D102" s="1384" t="s">
        <v>46</v>
      </c>
      <c r="E102" s="1384" t="s">
        <v>46</v>
      </c>
      <c r="F102" s="1384" t="s">
        <v>35</v>
      </c>
      <c r="G102" s="1384" t="s">
        <v>35</v>
      </c>
      <c r="H102" s="1384" t="s">
        <v>35</v>
      </c>
      <c r="I102" s="1384" t="s">
        <v>35</v>
      </c>
      <c r="J102" s="1384" t="s">
        <v>35</v>
      </c>
      <c r="K102" s="1384"/>
      <c r="L102" s="1384"/>
      <c r="M102" s="1384" t="s">
        <v>156</v>
      </c>
      <c r="N102" s="1384" t="s">
        <v>156</v>
      </c>
      <c r="O102" s="1384" t="s">
        <v>156</v>
      </c>
      <c r="P102" s="1384" t="s">
        <v>156</v>
      </c>
      <c r="Q102" s="1384" t="s">
        <v>156</v>
      </c>
      <c r="R102" s="1384"/>
      <c r="S102" s="1384"/>
      <c r="T102" s="1384" t="s">
        <v>156</v>
      </c>
      <c r="U102" s="1384" t="s">
        <v>156</v>
      </c>
      <c r="V102" s="1384" t="s">
        <v>156</v>
      </c>
      <c r="W102" s="1384" t="s">
        <v>156</v>
      </c>
      <c r="X102" s="1384" t="s">
        <v>156</v>
      </c>
      <c r="Y102" s="1384" t="s">
        <v>0</v>
      </c>
      <c r="Z102" s="1384" t="s">
        <v>0</v>
      </c>
      <c r="AA102" s="1381" t="s">
        <v>110</v>
      </c>
      <c r="AB102" s="1381" t="s">
        <v>110</v>
      </c>
      <c r="AC102" s="1381" t="s">
        <v>110</v>
      </c>
      <c r="AD102" s="1381" t="s">
        <v>110</v>
      </c>
      <c r="AE102" s="1381" t="s">
        <v>110</v>
      </c>
      <c r="AF102" s="1384" t="s">
        <v>46</v>
      </c>
      <c r="AG102" s="1988" t="s">
        <v>46</v>
      </c>
      <c r="AH102" s="193"/>
      <c r="AI102" s="194"/>
    </row>
    <row r="103" spans="1:35" ht="22.15" customHeight="1" thickBot="1" x14ac:dyDescent="0.25">
      <c r="A103" s="231"/>
      <c r="B103" s="232"/>
      <c r="C103" s="233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3"/>
      <c r="U103" s="233"/>
      <c r="V103" s="233"/>
      <c r="W103" s="233"/>
      <c r="X103" s="233"/>
      <c r="Y103" s="233"/>
      <c r="Z103" s="233"/>
      <c r="AA103" s="233"/>
      <c r="AB103" s="233"/>
      <c r="AC103" s="233"/>
      <c r="AD103" s="233"/>
      <c r="AE103" s="233"/>
      <c r="AF103" s="233"/>
      <c r="AG103" s="234"/>
      <c r="AH103" s="235"/>
      <c r="AI103" s="194"/>
    </row>
    <row r="104" spans="1:35" ht="22.15" customHeight="1" x14ac:dyDescent="0.2">
      <c r="A104" s="72"/>
      <c r="B104" s="304" t="s">
        <v>160</v>
      </c>
      <c r="C104" s="500"/>
      <c r="D104" s="501" t="s">
        <v>90</v>
      </c>
      <c r="E104" s="502"/>
      <c r="F104" s="500"/>
      <c r="G104" s="503" t="s">
        <v>91</v>
      </c>
      <c r="H104" s="504"/>
      <c r="I104" s="505"/>
      <c r="J104" s="503" t="s">
        <v>92</v>
      </c>
      <c r="K104" s="506"/>
      <c r="L104" s="505"/>
      <c r="M104" s="507" t="s">
        <v>93</v>
      </c>
      <c r="N104" s="506"/>
      <c r="O104" s="505"/>
      <c r="P104" s="503" t="s">
        <v>94</v>
      </c>
      <c r="Q104" s="508"/>
      <c r="R104" s="505"/>
      <c r="S104" s="503" t="s">
        <v>95</v>
      </c>
      <c r="T104" s="509"/>
      <c r="U104" s="505"/>
      <c r="V104" s="503" t="s">
        <v>96</v>
      </c>
      <c r="W104" s="508"/>
      <c r="X104" s="510" t="s">
        <v>138</v>
      </c>
      <c r="Y104" s="511"/>
      <c r="Z104" s="511"/>
      <c r="AA104" s="512"/>
      <c r="AB104" s="290" t="s">
        <v>97</v>
      </c>
      <c r="AC104" s="291"/>
      <c r="AD104" s="291"/>
      <c r="AE104" s="292"/>
      <c r="AF104" s="292"/>
      <c r="AG104" s="293"/>
      <c r="AH104" s="235"/>
      <c r="AI104" s="194"/>
    </row>
    <row r="105" spans="1:35" ht="22.15" customHeight="1" x14ac:dyDescent="0.2">
      <c r="A105" s="72"/>
      <c r="B105" s="1386" t="s">
        <v>161</v>
      </c>
      <c r="C105" s="1387" t="s">
        <v>162</v>
      </c>
      <c r="D105" s="1169"/>
      <c r="E105" s="1170"/>
      <c r="F105" s="1387" t="s">
        <v>162</v>
      </c>
      <c r="G105" s="1169"/>
      <c r="H105" s="1170"/>
      <c r="I105" s="1387" t="s">
        <v>162</v>
      </c>
      <c r="J105" s="1169"/>
      <c r="K105" s="1170"/>
      <c r="L105" s="1387" t="s">
        <v>162</v>
      </c>
      <c r="M105" s="1169"/>
      <c r="N105" s="1170"/>
      <c r="O105" s="1387" t="s">
        <v>163</v>
      </c>
      <c r="P105" s="1169"/>
      <c r="Q105" s="1170"/>
      <c r="R105" s="1387"/>
      <c r="S105" s="1169"/>
      <c r="T105" s="1170"/>
      <c r="U105" s="1387"/>
      <c r="V105" s="1169"/>
      <c r="W105" s="1170"/>
      <c r="X105" s="1387"/>
      <c r="Y105" s="1388"/>
      <c r="Z105" s="1388"/>
      <c r="AA105" s="1388"/>
      <c r="AB105" s="1166"/>
      <c r="AC105" s="1388"/>
      <c r="AD105" s="1388"/>
      <c r="AE105" s="1388"/>
      <c r="AF105" s="1388"/>
      <c r="AG105" s="1389"/>
      <c r="AH105" s="235"/>
      <c r="AI105" s="194"/>
    </row>
    <row r="106" spans="1:35" ht="22.15" customHeight="1" x14ac:dyDescent="0.2">
      <c r="A106" s="72"/>
      <c r="B106" s="17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235"/>
      <c r="AI106" s="194"/>
    </row>
    <row r="107" spans="1:35" ht="22.15" customHeight="1" thickBot="1" x14ac:dyDescent="0.25">
      <c r="A107" s="1343" t="s">
        <v>28</v>
      </c>
      <c r="B107" s="1247" t="s">
        <v>29</v>
      </c>
      <c r="C107" s="1185">
        <v>1</v>
      </c>
      <c r="D107" s="1185">
        <v>2</v>
      </c>
      <c r="E107" s="1185">
        <v>3</v>
      </c>
      <c r="F107" s="1254">
        <v>4</v>
      </c>
      <c r="G107" s="1254">
        <v>5</v>
      </c>
      <c r="H107" s="1254">
        <v>6</v>
      </c>
      <c r="I107" s="1254">
        <v>7</v>
      </c>
      <c r="J107" s="1254">
        <v>8</v>
      </c>
      <c r="K107" s="1185">
        <v>9</v>
      </c>
      <c r="L107" s="1185">
        <v>10</v>
      </c>
      <c r="M107" s="1254">
        <v>11</v>
      </c>
      <c r="N107" s="1254">
        <v>12</v>
      </c>
      <c r="O107" s="1254">
        <v>13</v>
      </c>
      <c r="P107" s="1254">
        <v>14</v>
      </c>
      <c r="Q107" s="1254">
        <v>15</v>
      </c>
      <c r="R107" s="1185">
        <v>16</v>
      </c>
      <c r="S107" s="1185">
        <v>17</v>
      </c>
      <c r="T107" s="1254">
        <v>18</v>
      </c>
      <c r="U107" s="1254">
        <v>19</v>
      </c>
      <c r="V107" s="1254">
        <v>20</v>
      </c>
      <c r="W107" s="1254">
        <v>21</v>
      </c>
      <c r="X107" s="1254">
        <v>22</v>
      </c>
      <c r="Y107" s="1185">
        <v>23</v>
      </c>
      <c r="Z107" s="1185">
        <v>24</v>
      </c>
      <c r="AA107" s="1254">
        <v>25</v>
      </c>
      <c r="AB107" s="1254">
        <v>26</v>
      </c>
      <c r="AC107" s="1254">
        <v>27</v>
      </c>
      <c r="AD107" s="1254">
        <v>28</v>
      </c>
      <c r="AE107" s="1254">
        <v>29</v>
      </c>
      <c r="AF107" s="1185">
        <v>30</v>
      </c>
      <c r="AG107" s="2064">
        <v>31</v>
      </c>
      <c r="AH107" s="235"/>
      <c r="AI107" s="194"/>
    </row>
    <row r="108" spans="1:35" ht="22.15" customHeight="1" x14ac:dyDescent="0.2">
      <c r="A108" s="513">
        <v>8520</v>
      </c>
      <c r="B108" s="514" t="s">
        <v>164</v>
      </c>
      <c r="C108" s="458"/>
      <c r="D108" s="458"/>
      <c r="E108" s="458"/>
      <c r="F108" s="458" t="s">
        <v>165</v>
      </c>
      <c r="G108" s="458" t="s">
        <v>165</v>
      </c>
      <c r="H108" s="458" t="s">
        <v>165</v>
      </c>
      <c r="I108" s="458" t="s">
        <v>165</v>
      </c>
      <c r="J108" s="458" t="s">
        <v>165</v>
      </c>
      <c r="K108" s="458"/>
      <c r="L108" s="458"/>
      <c r="M108" s="458" t="s">
        <v>165</v>
      </c>
      <c r="N108" s="458" t="s">
        <v>165</v>
      </c>
      <c r="O108" s="458" t="s">
        <v>165</v>
      </c>
      <c r="P108" s="458" t="s">
        <v>165</v>
      </c>
      <c r="Q108" s="458" t="s">
        <v>165</v>
      </c>
      <c r="R108" s="458"/>
      <c r="S108" s="458"/>
      <c r="T108" s="458" t="s">
        <v>165</v>
      </c>
      <c r="U108" s="458" t="s">
        <v>165</v>
      </c>
      <c r="V108" s="458" t="s">
        <v>165</v>
      </c>
      <c r="W108" s="458" t="s">
        <v>165</v>
      </c>
      <c r="X108" s="458" t="s">
        <v>165</v>
      </c>
      <c r="Y108" s="458"/>
      <c r="Z108" s="458"/>
      <c r="AA108" s="458" t="s">
        <v>165</v>
      </c>
      <c r="AB108" s="458" t="s">
        <v>165</v>
      </c>
      <c r="AC108" s="458" t="s">
        <v>165</v>
      </c>
      <c r="AD108" s="458" t="s">
        <v>165</v>
      </c>
      <c r="AE108" s="458" t="s">
        <v>165</v>
      </c>
      <c r="AF108" s="458"/>
      <c r="AG108" s="464"/>
      <c r="AH108" s="235"/>
      <c r="AI108" s="194"/>
    </row>
    <row r="109" spans="1:35" ht="22.15" customHeight="1" x14ac:dyDescent="0.2">
      <c r="A109" s="243"/>
      <c r="B109" s="242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35"/>
      <c r="AI109" s="194"/>
    </row>
    <row r="110" spans="1:35" ht="22.15" customHeight="1" x14ac:dyDescent="0.2">
      <c r="AH110" s="107"/>
      <c r="AI110" s="107"/>
    </row>
    <row r="111" spans="1:35" ht="22.15" customHeight="1" thickBot="1" x14ac:dyDescent="0.25">
      <c r="A111" s="173" t="s">
        <v>166</v>
      </c>
      <c r="B111" s="174"/>
      <c r="C111" s="174"/>
      <c r="D111" s="175"/>
      <c r="E111" s="175"/>
      <c r="F111" s="175"/>
      <c r="G111" s="10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4"/>
      <c r="AI111" s="174"/>
    </row>
    <row r="112" spans="1:35" ht="22.15" customHeight="1" x14ac:dyDescent="0.2">
      <c r="A112" s="173"/>
      <c r="B112" s="304" t="s">
        <v>167</v>
      </c>
      <c r="C112" s="515"/>
      <c r="D112" s="516" t="s">
        <v>90</v>
      </c>
      <c r="E112" s="517"/>
      <c r="F112" s="518"/>
      <c r="G112" s="515"/>
      <c r="H112" s="516" t="s">
        <v>91</v>
      </c>
      <c r="I112" s="517"/>
      <c r="J112" s="518"/>
      <c r="K112" s="515"/>
      <c r="L112" s="516" t="s">
        <v>92</v>
      </c>
      <c r="M112" s="517"/>
      <c r="N112" s="518"/>
      <c r="O112" s="515"/>
      <c r="P112" s="516" t="s">
        <v>93</v>
      </c>
      <c r="Q112" s="517"/>
      <c r="R112" s="518"/>
      <c r="S112" s="515"/>
      <c r="T112" s="516" t="s">
        <v>94</v>
      </c>
      <c r="U112" s="517"/>
      <c r="V112" s="518"/>
      <c r="W112" s="515"/>
      <c r="X112" s="516" t="s">
        <v>95</v>
      </c>
      <c r="Y112" s="517"/>
      <c r="Z112" s="518"/>
      <c r="AA112" s="515"/>
      <c r="AB112" s="516" t="s">
        <v>96</v>
      </c>
      <c r="AC112" s="517"/>
      <c r="AD112" s="517"/>
      <c r="AE112" s="519" t="s">
        <v>97</v>
      </c>
      <c r="AF112" s="517"/>
      <c r="AG112" s="517"/>
      <c r="AH112" s="517"/>
      <c r="AI112" s="520"/>
    </row>
    <row r="113" spans="1:35" ht="22.15" customHeight="1" x14ac:dyDescent="0.2">
      <c r="A113" s="173"/>
      <c r="B113" s="1390" t="s">
        <v>139</v>
      </c>
      <c r="C113" s="1391">
        <v>69</v>
      </c>
      <c r="D113" s="1392" t="s">
        <v>168</v>
      </c>
      <c r="E113" s="1392"/>
      <c r="F113" s="1393"/>
      <c r="G113" s="1391">
        <v>69</v>
      </c>
      <c r="H113" s="1392" t="s">
        <v>168</v>
      </c>
      <c r="I113" s="1392"/>
      <c r="J113" s="1393"/>
      <c r="K113" s="1391">
        <v>69</v>
      </c>
      <c r="L113" s="1392" t="s">
        <v>168</v>
      </c>
      <c r="M113" s="1392"/>
      <c r="N113" s="1393"/>
      <c r="O113" s="1391">
        <v>69</v>
      </c>
      <c r="P113" s="1392" t="s">
        <v>168</v>
      </c>
      <c r="Q113" s="1392"/>
      <c r="R113" s="1393"/>
      <c r="S113" s="1391">
        <v>69</v>
      </c>
      <c r="T113" s="1392" t="s">
        <v>168</v>
      </c>
      <c r="U113" s="1392"/>
      <c r="V113" s="1393"/>
      <c r="W113" s="1391"/>
      <c r="X113" s="1394"/>
      <c r="Y113" s="1394"/>
      <c r="Z113" s="1395"/>
      <c r="AA113" s="1391"/>
      <c r="AB113" s="1392"/>
      <c r="AC113" s="1392"/>
      <c r="AD113" s="1284"/>
      <c r="AE113" s="1396">
        <v>35</v>
      </c>
      <c r="AF113" s="1392"/>
      <c r="AG113" s="1392"/>
      <c r="AH113" s="1284"/>
      <c r="AI113" s="1397"/>
    </row>
    <row r="114" spans="1:35" ht="22.15" customHeight="1" x14ac:dyDescent="0.2">
      <c r="A114" s="173"/>
      <c r="B114" s="1390" t="s">
        <v>143</v>
      </c>
      <c r="C114" s="1391">
        <v>79</v>
      </c>
      <c r="D114" s="1392" t="s">
        <v>169</v>
      </c>
      <c r="E114" s="1392"/>
      <c r="F114" s="1393"/>
      <c r="G114" s="1391">
        <v>79</v>
      </c>
      <c r="H114" s="1392" t="s">
        <v>169</v>
      </c>
      <c r="I114" s="1392"/>
      <c r="J114" s="1393"/>
      <c r="K114" s="1391">
        <v>79</v>
      </c>
      <c r="L114" s="1392" t="s">
        <v>169</v>
      </c>
      <c r="M114" s="1392"/>
      <c r="N114" s="1393"/>
      <c r="O114" s="1391">
        <v>79</v>
      </c>
      <c r="P114" s="1392" t="s">
        <v>169</v>
      </c>
      <c r="Q114" s="1392"/>
      <c r="R114" s="1393"/>
      <c r="S114" s="1391">
        <v>79</v>
      </c>
      <c r="T114" s="1392" t="s">
        <v>169</v>
      </c>
      <c r="U114" s="1392"/>
      <c r="V114" s="1393"/>
      <c r="W114" s="1391"/>
      <c r="X114" s="1392"/>
      <c r="Y114" s="1392"/>
      <c r="Z114" s="1393"/>
      <c r="AA114" s="1392"/>
      <c r="AB114" s="1392"/>
      <c r="AC114" s="1392"/>
      <c r="AD114" s="1284"/>
      <c r="AE114" s="1396">
        <v>40</v>
      </c>
      <c r="AF114" s="1392"/>
      <c r="AG114" s="1392"/>
      <c r="AH114" s="1284"/>
      <c r="AI114" s="1397"/>
    </row>
    <row r="115" spans="1:35" ht="22.15" customHeight="1" x14ac:dyDescent="0.2">
      <c r="A115" s="173"/>
      <c r="B115" s="1390" t="s">
        <v>153</v>
      </c>
      <c r="C115" s="1391">
        <v>89</v>
      </c>
      <c r="D115" s="1392" t="s">
        <v>170</v>
      </c>
      <c r="E115" s="1392"/>
      <c r="F115" s="1393"/>
      <c r="G115" s="1391">
        <v>89</v>
      </c>
      <c r="H115" s="1392" t="s">
        <v>170</v>
      </c>
      <c r="I115" s="1392"/>
      <c r="J115" s="1393"/>
      <c r="K115" s="1391">
        <v>89</v>
      </c>
      <c r="L115" s="1392" t="s">
        <v>170</v>
      </c>
      <c r="M115" s="1392"/>
      <c r="N115" s="1393"/>
      <c r="O115" s="1391">
        <v>89</v>
      </c>
      <c r="P115" s="1392" t="s">
        <v>170</v>
      </c>
      <c r="Q115" s="1392"/>
      <c r="R115" s="1393"/>
      <c r="S115" s="1391">
        <v>89</v>
      </c>
      <c r="T115" s="1392" t="s">
        <v>171</v>
      </c>
      <c r="U115" s="1392"/>
      <c r="V115" s="1393"/>
      <c r="W115" s="1398"/>
      <c r="X115" s="1399" t="s">
        <v>172</v>
      </c>
      <c r="Y115" s="1399"/>
      <c r="Z115" s="1400"/>
      <c r="AA115" s="1398"/>
      <c r="AB115" s="1399"/>
      <c r="AC115" s="1399"/>
      <c r="AD115" s="1286"/>
      <c r="AE115" s="1396">
        <v>44</v>
      </c>
      <c r="AF115" s="1392"/>
      <c r="AG115" s="1392"/>
      <c r="AH115" s="1284"/>
      <c r="AI115" s="1397"/>
    </row>
    <row r="116" spans="1:35" ht="22.15" customHeight="1" x14ac:dyDescent="0.2">
      <c r="A116" s="173"/>
      <c r="B116" s="38" t="s">
        <v>155</v>
      </c>
      <c r="C116" s="1398">
        <v>99</v>
      </c>
      <c r="D116" s="1399" t="s">
        <v>173</v>
      </c>
      <c r="E116" s="1399"/>
      <c r="F116" s="1400"/>
      <c r="G116" s="1398">
        <v>99</v>
      </c>
      <c r="H116" s="1399" t="s">
        <v>173</v>
      </c>
      <c r="I116" s="1399"/>
      <c r="J116" s="1400"/>
      <c r="K116" s="1398">
        <v>99</v>
      </c>
      <c r="L116" s="1399" t="s">
        <v>173</v>
      </c>
      <c r="M116" s="1399"/>
      <c r="N116" s="1400"/>
      <c r="O116" s="1398">
        <v>99</v>
      </c>
      <c r="P116" s="1399" t="s">
        <v>173</v>
      </c>
      <c r="Q116" s="1399"/>
      <c r="R116" s="1400"/>
      <c r="S116" s="1398">
        <v>99</v>
      </c>
      <c r="T116" s="1399" t="s">
        <v>154</v>
      </c>
      <c r="U116" s="1399"/>
      <c r="V116" s="1286"/>
      <c r="W116" s="1285"/>
      <c r="X116" s="1286"/>
      <c r="Y116" s="1399"/>
      <c r="Z116" s="1400"/>
      <c r="AA116" s="1285"/>
      <c r="AB116" s="1286"/>
      <c r="AC116" s="1399"/>
      <c r="AD116" s="1400"/>
      <c r="AE116" s="1401">
        <v>28</v>
      </c>
      <c r="AF116" s="1399"/>
      <c r="AG116" s="1399"/>
      <c r="AH116" s="1286"/>
      <c r="AI116" s="1402"/>
    </row>
    <row r="117" spans="1:35" ht="22.15" customHeight="1" thickBot="1" x14ac:dyDescent="0.25">
      <c r="A117" s="173"/>
      <c r="B117" s="1989" t="s">
        <v>174</v>
      </c>
      <c r="C117" s="1404" t="s">
        <v>175</v>
      </c>
      <c r="D117" s="1405" t="s">
        <v>176</v>
      </c>
      <c r="E117" s="1406"/>
      <c r="F117" s="1240"/>
      <c r="G117" s="1404" t="s">
        <v>175</v>
      </c>
      <c r="H117" s="1405" t="s">
        <v>176</v>
      </c>
      <c r="I117" s="1238"/>
      <c r="J117" s="1406"/>
      <c r="K117" s="1404" t="s">
        <v>175</v>
      </c>
      <c r="L117" s="1405" t="s">
        <v>176</v>
      </c>
      <c r="M117" s="1406"/>
      <c r="N117" s="1407"/>
      <c r="O117" s="1404" t="s">
        <v>175</v>
      </c>
      <c r="P117" s="1405" t="s">
        <v>176</v>
      </c>
      <c r="Q117" s="1406"/>
      <c r="R117" s="1405"/>
      <c r="S117" s="1404" t="s">
        <v>175</v>
      </c>
      <c r="T117" s="1242" t="s">
        <v>177</v>
      </c>
      <c r="U117" s="1405"/>
      <c r="V117" s="1407"/>
      <c r="W117" s="1406"/>
      <c r="X117" s="1405"/>
      <c r="Y117" s="1405"/>
      <c r="Z117" s="1405"/>
      <c r="AA117" s="1408"/>
      <c r="AB117" s="1409"/>
      <c r="AC117" s="1405"/>
      <c r="AD117" s="1410"/>
      <c r="AE117" s="1405"/>
      <c r="AF117" s="1405"/>
      <c r="AG117" s="1405"/>
      <c r="AH117" s="1411"/>
      <c r="AI117" s="1412"/>
    </row>
    <row r="118" spans="1:35" ht="22.15" customHeight="1" x14ac:dyDescent="0.2">
      <c r="A118" s="108"/>
      <c r="B118" s="173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4"/>
      <c r="AI118" s="174"/>
    </row>
    <row r="119" spans="1:35" ht="22.15" customHeight="1" thickBot="1" x14ac:dyDescent="0.25">
      <c r="A119" s="1343"/>
      <c r="B119" s="1247" t="s">
        <v>29</v>
      </c>
      <c r="C119" s="1185">
        <v>1</v>
      </c>
      <c r="D119" s="1185">
        <v>2</v>
      </c>
      <c r="E119" s="1185">
        <v>3</v>
      </c>
      <c r="F119" s="1254">
        <v>4</v>
      </c>
      <c r="G119" s="1254">
        <v>5</v>
      </c>
      <c r="H119" s="1254">
        <v>6</v>
      </c>
      <c r="I119" s="1254">
        <v>7</v>
      </c>
      <c r="J119" s="1254">
        <v>8</v>
      </c>
      <c r="K119" s="1185">
        <v>9</v>
      </c>
      <c r="L119" s="1185">
        <v>10</v>
      </c>
      <c r="M119" s="1254">
        <v>11</v>
      </c>
      <c r="N119" s="1254">
        <v>12</v>
      </c>
      <c r="O119" s="1254">
        <v>13</v>
      </c>
      <c r="P119" s="1254">
        <v>14</v>
      </c>
      <c r="Q119" s="1254">
        <v>15</v>
      </c>
      <c r="R119" s="1185">
        <v>16</v>
      </c>
      <c r="S119" s="1185">
        <v>17</v>
      </c>
      <c r="T119" s="1254">
        <v>18</v>
      </c>
      <c r="U119" s="1254">
        <v>19</v>
      </c>
      <c r="V119" s="1254">
        <v>20</v>
      </c>
      <c r="W119" s="1254">
        <v>21</v>
      </c>
      <c r="X119" s="1254">
        <v>22</v>
      </c>
      <c r="Y119" s="1185">
        <v>23</v>
      </c>
      <c r="Z119" s="1185">
        <v>24</v>
      </c>
      <c r="AA119" s="1254">
        <v>25</v>
      </c>
      <c r="AB119" s="1254">
        <v>26</v>
      </c>
      <c r="AC119" s="1254">
        <v>27</v>
      </c>
      <c r="AD119" s="1254">
        <v>28</v>
      </c>
      <c r="AE119" s="1254">
        <v>29</v>
      </c>
      <c r="AF119" s="1185">
        <v>30</v>
      </c>
      <c r="AG119" s="2064">
        <v>31</v>
      </c>
      <c r="AH119" s="184"/>
      <c r="AI119" s="185"/>
    </row>
    <row r="120" spans="1:35" ht="22.15" customHeight="1" x14ac:dyDescent="0.2">
      <c r="A120" s="521">
        <v>1</v>
      </c>
      <c r="B120" s="522" t="s">
        <v>178</v>
      </c>
      <c r="C120" s="477"/>
      <c r="D120" s="477"/>
      <c r="E120" s="458"/>
      <c r="F120" s="458">
        <v>69</v>
      </c>
      <c r="G120" s="458">
        <v>69</v>
      </c>
      <c r="H120" s="458">
        <v>69</v>
      </c>
      <c r="I120" s="458">
        <v>69</v>
      </c>
      <c r="J120" s="458">
        <v>69</v>
      </c>
      <c r="K120" s="477"/>
      <c r="L120" s="459"/>
      <c r="M120" s="1258">
        <v>79</v>
      </c>
      <c r="N120" s="1258">
        <v>79</v>
      </c>
      <c r="O120" s="2179">
        <v>79</v>
      </c>
      <c r="P120" s="1258">
        <v>79</v>
      </c>
      <c r="Q120" s="1258">
        <v>79</v>
      </c>
      <c r="R120" s="477"/>
      <c r="S120" s="458"/>
      <c r="T120" s="1413">
        <v>89</v>
      </c>
      <c r="U120" s="1413">
        <v>89</v>
      </c>
      <c r="V120" s="1413">
        <v>89</v>
      </c>
      <c r="W120" s="1413">
        <v>89</v>
      </c>
      <c r="X120" s="1413">
        <v>89</v>
      </c>
      <c r="Y120" s="1413">
        <v>89</v>
      </c>
      <c r="Z120" s="477"/>
      <c r="AA120" s="459">
        <v>99</v>
      </c>
      <c r="AB120" s="459">
        <v>99</v>
      </c>
      <c r="AC120" s="459">
        <v>99</v>
      </c>
      <c r="AD120" s="459">
        <v>99</v>
      </c>
      <c r="AE120" s="459" t="s">
        <v>35</v>
      </c>
      <c r="AF120" s="459"/>
      <c r="AG120" s="478"/>
      <c r="AH120" s="215"/>
      <c r="AI120" s="107"/>
    </row>
    <row r="121" spans="1:35" ht="22.15" customHeight="1" x14ac:dyDescent="0.2">
      <c r="A121" s="1415">
        <v>2</v>
      </c>
      <c r="B121" s="1330" t="s">
        <v>179</v>
      </c>
      <c r="C121" s="1199"/>
      <c r="D121" s="1259"/>
      <c r="E121" s="1258"/>
      <c r="F121" s="1258">
        <v>79</v>
      </c>
      <c r="G121" s="1258">
        <v>79</v>
      </c>
      <c r="H121" s="1258">
        <v>79</v>
      </c>
      <c r="I121" s="1258">
        <v>79</v>
      </c>
      <c r="J121" s="1258">
        <v>79</v>
      </c>
      <c r="K121" s="1259"/>
      <c r="L121" s="1258"/>
      <c r="M121" s="1413">
        <v>89</v>
      </c>
      <c r="N121" s="1413">
        <v>89</v>
      </c>
      <c r="O121" s="1413">
        <v>89</v>
      </c>
      <c r="P121" s="1413">
        <v>89</v>
      </c>
      <c r="Q121" s="1413">
        <v>89</v>
      </c>
      <c r="R121" s="1413">
        <v>89</v>
      </c>
      <c r="S121" s="1259"/>
      <c r="T121" s="1258">
        <v>99</v>
      </c>
      <c r="U121" s="1258">
        <v>99</v>
      </c>
      <c r="V121" s="1258">
        <v>99</v>
      </c>
      <c r="W121" s="1258">
        <v>99</v>
      </c>
      <c r="X121" s="1259" t="s">
        <v>35</v>
      </c>
      <c r="Y121" s="1259"/>
      <c r="Z121" s="1258"/>
      <c r="AA121" s="1258" t="s">
        <v>175</v>
      </c>
      <c r="AB121" s="1258" t="s">
        <v>175</v>
      </c>
      <c r="AC121" s="1258" t="s">
        <v>175</v>
      </c>
      <c r="AD121" s="1258" t="s">
        <v>175</v>
      </c>
      <c r="AE121" s="1258" t="s">
        <v>175</v>
      </c>
      <c r="AF121" s="1259"/>
      <c r="AG121" s="1416"/>
      <c r="AH121" s="216"/>
      <c r="AI121" s="172"/>
    </row>
    <row r="122" spans="1:35" ht="22.15" customHeight="1" x14ac:dyDescent="0.2">
      <c r="A122" s="1415">
        <v>3</v>
      </c>
      <c r="B122" s="1330" t="s">
        <v>121</v>
      </c>
      <c r="C122" s="2052">
        <v>1</v>
      </c>
      <c r="D122" s="1413"/>
      <c r="E122" s="1413"/>
      <c r="F122" s="1413">
        <v>89</v>
      </c>
      <c r="G122" s="1413">
        <v>89</v>
      </c>
      <c r="H122" s="1413">
        <v>89</v>
      </c>
      <c r="I122" s="1413">
        <v>89</v>
      </c>
      <c r="J122" s="1413">
        <v>89</v>
      </c>
      <c r="K122" s="1413">
        <v>89</v>
      </c>
      <c r="L122" s="1413"/>
      <c r="M122" s="1413">
        <v>99</v>
      </c>
      <c r="N122" s="2236">
        <v>99</v>
      </c>
      <c r="O122" s="1413">
        <v>99</v>
      </c>
      <c r="P122" s="1413">
        <v>99</v>
      </c>
      <c r="Q122" s="1413" t="s">
        <v>35</v>
      </c>
      <c r="R122" s="1413"/>
      <c r="S122" s="1413"/>
      <c r="T122" s="1413" t="s">
        <v>175</v>
      </c>
      <c r="U122" s="1413" t="s">
        <v>175</v>
      </c>
      <c r="V122" s="1413" t="s">
        <v>175</v>
      </c>
      <c r="W122" s="1413" t="s">
        <v>175</v>
      </c>
      <c r="X122" s="1413" t="s">
        <v>175</v>
      </c>
      <c r="Y122" s="1413"/>
      <c r="Z122" s="1413"/>
      <c r="AA122" s="1413">
        <v>69</v>
      </c>
      <c r="AB122" s="1413">
        <v>69</v>
      </c>
      <c r="AC122" s="1413">
        <v>69</v>
      </c>
      <c r="AD122" s="1413">
        <v>69</v>
      </c>
      <c r="AE122" s="1413">
        <v>69</v>
      </c>
      <c r="AF122" s="1413"/>
      <c r="AG122" s="1417"/>
      <c r="AH122" s="215"/>
      <c r="AI122" s="107"/>
    </row>
    <row r="123" spans="1:35" ht="22.15" customHeight="1" thickBot="1" x14ac:dyDescent="0.25">
      <c r="A123" s="1415">
        <v>4</v>
      </c>
      <c r="B123" s="1330"/>
      <c r="C123" s="1344"/>
      <c r="D123" s="1344">
        <v>89</v>
      </c>
      <c r="E123" s="1344"/>
      <c r="F123" s="1200">
        <v>99</v>
      </c>
      <c r="G123" s="1200">
        <v>99</v>
      </c>
      <c r="H123" s="1200">
        <v>99</v>
      </c>
      <c r="I123" s="1200">
        <v>99</v>
      </c>
      <c r="J123" s="1200" t="s">
        <v>35</v>
      </c>
      <c r="K123" s="1200"/>
      <c r="L123" s="1200"/>
      <c r="M123" s="1200" t="s">
        <v>175</v>
      </c>
      <c r="N123" s="1200" t="s">
        <v>175</v>
      </c>
      <c r="O123" s="1200" t="s">
        <v>175</v>
      </c>
      <c r="P123" s="1200" t="s">
        <v>181</v>
      </c>
      <c r="Q123" s="1200" t="s">
        <v>181</v>
      </c>
      <c r="R123" s="1200"/>
      <c r="S123" s="1200"/>
      <c r="T123" s="1258">
        <v>69</v>
      </c>
      <c r="U123" s="1258">
        <v>69</v>
      </c>
      <c r="V123" s="1258">
        <v>69</v>
      </c>
      <c r="W123" s="1258">
        <v>69</v>
      </c>
      <c r="X123" s="1258">
        <v>69</v>
      </c>
      <c r="Y123" s="1344"/>
      <c r="Z123" s="1311"/>
      <c r="AA123" s="1258">
        <v>79</v>
      </c>
      <c r="AB123" s="1258">
        <v>79</v>
      </c>
      <c r="AC123" s="1258">
        <v>79</v>
      </c>
      <c r="AD123" s="1258">
        <v>79</v>
      </c>
      <c r="AE123" s="1258">
        <v>79</v>
      </c>
      <c r="AF123" s="1344"/>
      <c r="AG123" s="1418"/>
      <c r="AH123" s="215"/>
      <c r="AI123" s="107"/>
    </row>
    <row r="124" spans="1:35" ht="22.15" customHeight="1" thickBot="1" x14ac:dyDescent="0.25">
      <c r="A124" s="1419">
        <v>5</v>
      </c>
      <c r="B124" s="1420" t="s">
        <v>182</v>
      </c>
      <c r="C124" s="1421" t="s">
        <v>35</v>
      </c>
      <c r="D124" s="1421"/>
      <c r="E124" s="1421"/>
      <c r="F124" s="1254" t="s">
        <v>175</v>
      </c>
      <c r="G124" s="1254" t="s">
        <v>175</v>
      </c>
      <c r="H124" s="1254" t="s">
        <v>175</v>
      </c>
      <c r="I124" s="1254" t="s">
        <v>175</v>
      </c>
      <c r="J124" s="1254" t="s">
        <v>175</v>
      </c>
      <c r="K124" s="1255"/>
      <c r="L124" s="1254"/>
      <c r="M124" s="458">
        <v>69</v>
      </c>
      <c r="N124" s="458">
        <v>69</v>
      </c>
      <c r="O124" s="458">
        <v>69</v>
      </c>
      <c r="P124" s="458">
        <v>69</v>
      </c>
      <c r="Q124" s="458">
        <v>69</v>
      </c>
      <c r="R124" s="1421"/>
      <c r="S124" s="1254"/>
      <c r="T124" s="1997">
        <v>79</v>
      </c>
      <c r="U124" s="1997">
        <v>79</v>
      </c>
      <c r="V124" s="1997">
        <v>79</v>
      </c>
      <c r="W124" s="1997">
        <v>79</v>
      </c>
      <c r="X124" s="1997">
        <v>79</v>
      </c>
      <c r="Y124" s="1421"/>
      <c r="Z124" s="1998"/>
      <c r="AA124" s="1998">
        <v>89</v>
      </c>
      <c r="AB124" s="1998">
        <v>89</v>
      </c>
      <c r="AC124" s="1998">
        <v>89</v>
      </c>
      <c r="AD124" s="1998">
        <v>89</v>
      </c>
      <c r="AE124" s="1998">
        <v>89</v>
      </c>
      <c r="AF124" s="1413">
        <v>89</v>
      </c>
      <c r="AG124" s="1999"/>
      <c r="AH124" s="215"/>
      <c r="AI124" s="107"/>
    </row>
    <row r="125" spans="1:35" ht="22.15" customHeight="1" x14ac:dyDescent="0.2">
      <c r="A125" s="256"/>
      <c r="B125" s="257"/>
      <c r="C125" s="258"/>
      <c r="D125" s="258"/>
      <c r="E125" s="258"/>
      <c r="F125" s="229"/>
      <c r="G125" s="255"/>
      <c r="H125" s="255"/>
      <c r="I125" s="255"/>
      <c r="J125" s="255"/>
      <c r="K125" s="255"/>
      <c r="L125" s="229"/>
      <c r="M125" s="229"/>
      <c r="N125" s="258"/>
      <c r="O125" s="258"/>
      <c r="P125" s="258"/>
      <c r="Q125" s="258"/>
      <c r="R125" s="258"/>
      <c r="S125" s="229"/>
      <c r="T125" s="259"/>
      <c r="U125" s="258"/>
      <c r="V125" s="258"/>
      <c r="W125" s="258"/>
      <c r="X125" s="258"/>
      <c r="Y125" s="258"/>
      <c r="Z125" s="260"/>
      <c r="AA125" s="260"/>
      <c r="AB125" s="258"/>
      <c r="AC125" s="258"/>
      <c r="AD125" s="258"/>
      <c r="AE125" s="258"/>
      <c r="AF125" s="258"/>
      <c r="AG125" s="260"/>
      <c r="AH125" s="215"/>
      <c r="AI125" s="107"/>
    </row>
    <row r="126" spans="1:35" ht="22.15" customHeight="1" x14ac:dyDescent="0.2">
      <c r="A126" s="109"/>
      <c r="B126" s="110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7"/>
      <c r="AI126" s="107"/>
    </row>
    <row r="127" spans="1:35" ht="22.15" customHeight="1" thickBot="1" x14ac:dyDescent="0.25">
      <c r="A127" s="173" t="s">
        <v>183</v>
      </c>
      <c r="B127" s="174"/>
      <c r="C127" s="174"/>
      <c r="D127" s="175"/>
      <c r="E127" s="175"/>
      <c r="F127" s="175"/>
      <c r="G127" s="10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4"/>
      <c r="AI127" s="174"/>
    </row>
    <row r="128" spans="1:35" ht="22.15" customHeight="1" x14ac:dyDescent="0.2">
      <c r="A128" s="173"/>
      <c r="B128" s="304" t="s">
        <v>167</v>
      </c>
      <c r="C128" s="515"/>
      <c r="D128" s="516" t="s">
        <v>90</v>
      </c>
      <c r="E128" s="517"/>
      <c r="F128" s="518"/>
      <c r="G128" s="515"/>
      <c r="H128" s="516" t="s">
        <v>91</v>
      </c>
      <c r="I128" s="517"/>
      <c r="J128" s="518"/>
      <c r="K128" s="515"/>
      <c r="L128" s="516" t="s">
        <v>92</v>
      </c>
      <c r="M128" s="517"/>
      <c r="N128" s="518"/>
      <c r="O128" s="515"/>
      <c r="P128" s="516" t="s">
        <v>93</v>
      </c>
      <c r="Q128" s="517"/>
      <c r="R128" s="518"/>
      <c r="S128" s="515"/>
      <c r="T128" s="516" t="s">
        <v>94</v>
      </c>
      <c r="U128" s="517"/>
      <c r="V128" s="518"/>
      <c r="W128" s="515"/>
      <c r="X128" s="516" t="s">
        <v>95</v>
      </c>
      <c r="Y128" s="517"/>
      <c r="Z128" s="518"/>
      <c r="AA128" s="515"/>
      <c r="AB128" s="516" t="s">
        <v>96</v>
      </c>
      <c r="AC128" s="517"/>
      <c r="AD128" s="517"/>
      <c r="AE128" s="519" t="s">
        <v>97</v>
      </c>
      <c r="AF128" s="517"/>
      <c r="AG128" s="517"/>
      <c r="AH128" s="517"/>
      <c r="AI128" s="520"/>
    </row>
    <row r="129" spans="1:35" ht="22.15" customHeight="1" x14ac:dyDescent="0.2">
      <c r="A129" s="173"/>
      <c r="B129" s="1390" t="s">
        <v>184</v>
      </c>
      <c r="C129" s="1283" t="s">
        <v>185</v>
      </c>
      <c r="D129" s="1392"/>
      <c r="E129" s="1392"/>
      <c r="F129" s="1393"/>
      <c r="G129" s="1283" t="s">
        <v>185</v>
      </c>
      <c r="H129" s="1392"/>
      <c r="I129" s="1392"/>
      <c r="J129" s="1393"/>
      <c r="K129" s="1283" t="s">
        <v>185</v>
      </c>
      <c r="L129" s="1392"/>
      <c r="M129" s="1392"/>
      <c r="N129" s="1393"/>
      <c r="O129" s="1283" t="s">
        <v>185</v>
      </c>
      <c r="P129" s="1392"/>
      <c r="Q129" s="1392"/>
      <c r="R129" s="1393"/>
      <c r="S129" s="1283" t="s">
        <v>185</v>
      </c>
      <c r="T129" s="1392"/>
      <c r="U129" s="1392"/>
      <c r="V129" s="1393"/>
      <c r="W129" s="1283" t="s">
        <v>186</v>
      </c>
      <c r="X129" s="1394"/>
      <c r="Y129" s="1394"/>
      <c r="Z129" s="1395"/>
      <c r="AA129" s="1283" t="s">
        <v>186</v>
      </c>
      <c r="AB129" s="1392"/>
      <c r="AC129" s="1392"/>
      <c r="AD129" s="1284"/>
      <c r="AE129" s="1396">
        <v>68</v>
      </c>
      <c r="AF129" s="208"/>
      <c r="AG129" s="208"/>
      <c r="AH129" s="208"/>
      <c r="AI129" s="209"/>
    </row>
    <row r="130" spans="1:35" ht="22.15" customHeight="1" x14ac:dyDescent="0.2">
      <c r="A130" s="173"/>
      <c r="B130" s="1390" t="s">
        <v>143</v>
      </c>
      <c r="C130" s="1283" t="s">
        <v>154</v>
      </c>
      <c r="D130" s="1392"/>
      <c r="E130" s="1392"/>
      <c r="F130" s="1393"/>
      <c r="G130" s="1283" t="s">
        <v>154</v>
      </c>
      <c r="H130" s="1392"/>
      <c r="I130" s="1392"/>
      <c r="J130" s="1393"/>
      <c r="K130" s="1283" t="s">
        <v>154</v>
      </c>
      <c r="L130" s="1392"/>
      <c r="M130" s="1392"/>
      <c r="N130" s="1393"/>
      <c r="O130" s="1283" t="s">
        <v>154</v>
      </c>
      <c r="P130" s="1392"/>
      <c r="Q130" s="1392"/>
      <c r="R130" s="1393"/>
      <c r="S130" s="1283" t="s">
        <v>154</v>
      </c>
      <c r="T130" s="1392"/>
      <c r="U130" s="1392"/>
      <c r="V130" s="1393"/>
      <c r="W130" s="1283" t="s">
        <v>154</v>
      </c>
      <c r="X130" s="1392"/>
      <c r="Y130" s="1392"/>
      <c r="Z130" s="1393"/>
      <c r="AA130" s="1392" t="s">
        <v>154</v>
      </c>
      <c r="AB130" s="1392"/>
      <c r="AC130" s="1392"/>
      <c r="AD130" s="1284"/>
      <c r="AE130" s="1396">
        <v>0</v>
      </c>
      <c r="AF130" s="208"/>
      <c r="AG130" s="208"/>
      <c r="AH130" s="208"/>
      <c r="AI130" s="209"/>
    </row>
    <row r="131" spans="1:35" ht="22.15" customHeight="1" x14ac:dyDescent="0.2">
      <c r="A131" s="173"/>
      <c r="B131" s="1390" t="s">
        <v>187</v>
      </c>
      <c r="C131" s="1283" t="s">
        <v>185</v>
      </c>
      <c r="D131" s="1392"/>
      <c r="E131" s="1392"/>
      <c r="F131" s="1393"/>
      <c r="G131" s="1283" t="s">
        <v>185</v>
      </c>
      <c r="H131" s="1392"/>
      <c r="I131" s="1392"/>
      <c r="J131" s="1393"/>
      <c r="K131" s="1283" t="s">
        <v>185</v>
      </c>
      <c r="L131" s="1392"/>
      <c r="M131" s="1392"/>
      <c r="N131" s="1393"/>
      <c r="O131" s="1283" t="s">
        <v>185</v>
      </c>
      <c r="P131" s="1392"/>
      <c r="Q131" s="1392"/>
      <c r="R131" s="1393"/>
      <c r="S131" s="1283" t="s">
        <v>185</v>
      </c>
      <c r="T131" s="1392"/>
      <c r="U131" s="1392"/>
      <c r="V131" s="1393"/>
      <c r="W131" s="1283" t="s">
        <v>186</v>
      </c>
      <c r="X131" s="1394"/>
      <c r="Y131" s="1394"/>
      <c r="Z131" s="1395"/>
      <c r="AA131" s="1283" t="s">
        <v>186</v>
      </c>
      <c r="AB131" s="1392"/>
      <c r="AC131" s="1392"/>
      <c r="AD131" s="1284"/>
      <c r="AE131" s="1396">
        <v>68</v>
      </c>
      <c r="AF131" s="1392"/>
      <c r="AG131" s="1392" t="s">
        <v>0</v>
      </c>
      <c r="AH131" s="1284"/>
      <c r="AI131" s="1397"/>
    </row>
    <row r="132" spans="1:35" ht="22.15" customHeight="1" x14ac:dyDescent="0.2">
      <c r="A132" s="173"/>
      <c r="B132" s="1390" t="s">
        <v>155</v>
      </c>
      <c r="C132" s="1283" t="s">
        <v>154</v>
      </c>
      <c r="D132" s="1392"/>
      <c r="E132" s="1392"/>
      <c r="F132" s="1393"/>
      <c r="G132" s="1283" t="s">
        <v>154</v>
      </c>
      <c r="H132" s="1392"/>
      <c r="I132" s="1392"/>
      <c r="J132" s="1393"/>
      <c r="K132" s="1283" t="s">
        <v>154</v>
      </c>
      <c r="L132" s="1392"/>
      <c r="M132" s="1392"/>
      <c r="N132" s="1393"/>
      <c r="O132" s="1283" t="s">
        <v>154</v>
      </c>
      <c r="P132" s="1392"/>
      <c r="Q132" s="1392"/>
      <c r="R132" s="1393"/>
      <c r="S132" s="1283" t="s">
        <v>154</v>
      </c>
      <c r="T132" s="1392"/>
      <c r="U132" s="1392"/>
      <c r="V132" s="1393"/>
      <c r="W132" s="1283" t="s">
        <v>154</v>
      </c>
      <c r="X132" s="1392"/>
      <c r="Y132" s="1392"/>
      <c r="Z132" s="1393"/>
      <c r="AA132" s="1392" t="s">
        <v>154</v>
      </c>
      <c r="AB132" s="1392"/>
      <c r="AC132" s="1392"/>
      <c r="AD132" s="1284"/>
      <c r="AE132" s="1396">
        <v>0</v>
      </c>
      <c r="AF132" s="1392"/>
      <c r="AG132" s="1392"/>
      <c r="AH132" s="1284"/>
      <c r="AI132" s="1397"/>
    </row>
    <row r="133" spans="1:35" ht="22.15" customHeight="1" x14ac:dyDescent="0.2">
      <c r="A133" s="173"/>
      <c r="B133" s="1390" t="s">
        <v>188</v>
      </c>
      <c r="C133" s="1283" t="s">
        <v>185</v>
      </c>
      <c r="D133" s="1392"/>
      <c r="E133" s="1392"/>
      <c r="F133" s="1393"/>
      <c r="G133" s="1283" t="s">
        <v>185</v>
      </c>
      <c r="H133" s="1392"/>
      <c r="I133" s="1392"/>
      <c r="J133" s="1393"/>
      <c r="K133" s="1283" t="s">
        <v>185</v>
      </c>
      <c r="L133" s="1392"/>
      <c r="M133" s="1392"/>
      <c r="N133" s="1393"/>
      <c r="O133" s="1283" t="s">
        <v>185</v>
      </c>
      <c r="P133" s="1392"/>
      <c r="Q133" s="1392"/>
      <c r="R133" s="1393"/>
      <c r="S133" s="1283" t="s">
        <v>185</v>
      </c>
      <c r="T133" s="1392"/>
      <c r="U133" s="1392"/>
      <c r="V133" s="1393"/>
      <c r="W133" s="1283" t="s">
        <v>189</v>
      </c>
      <c r="X133" s="1399"/>
      <c r="Y133" s="1399"/>
      <c r="Z133" s="1400"/>
      <c r="AA133" s="1283" t="s">
        <v>189</v>
      </c>
      <c r="AB133" s="1399"/>
      <c r="AC133" s="1399"/>
      <c r="AD133" s="1286"/>
      <c r="AE133" s="1396">
        <v>68</v>
      </c>
      <c r="AF133" s="1392"/>
      <c r="AG133" s="1392"/>
      <c r="AH133" s="1284"/>
      <c r="AI133" s="1397"/>
    </row>
    <row r="134" spans="1:35" ht="22.15" customHeight="1" thickBot="1" x14ac:dyDescent="0.25">
      <c r="A134" s="173"/>
      <c r="B134" s="1390" t="s">
        <v>190</v>
      </c>
      <c r="C134" s="1423" t="s">
        <v>154</v>
      </c>
      <c r="D134" s="1424"/>
      <c r="E134" s="1424"/>
      <c r="F134" s="1425"/>
      <c r="G134" s="1423" t="s">
        <v>154</v>
      </c>
      <c r="H134" s="1424"/>
      <c r="I134" s="1424"/>
      <c r="J134" s="1425"/>
      <c r="K134" s="1423" t="s">
        <v>154</v>
      </c>
      <c r="L134" s="1424"/>
      <c r="M134" s="1424"/>
      <c r="N134" s="1425"/>
      <c r="O134" s="1423" t="s">
        <v>154</v>
      </c>
      <c r="P134" s="1424"/>
      <c r="Q134" s="1424"/>
      <c r="R134" s="1425"/>
      <c r="S134" s="1423" t="s">
        <v>154</v>
      </c>
      <c r="T134" s="1424"/>
      <c r="U134" s="1424"/>
      <c r="V134" s="1411"/>
      <c r="W134" s="1423" t="s">
        <v>154</v>
      </c>
      <c r="X134" s="1411"/>
      <c r="Y134" s="1424"/>
      <c r="Z134" s="1425"/>
      <c r="AA134" s="1423" t="s">
        <v>154</v>
      </c>
      <c r="AB134" s="1411"/>
      <c r="AC134" s="1424"/>
      <c r="AD134" s="1425"/>
      <c r="AE134" s="1426" t="s">
        <v>191</v>
      </c>
      <c r="AF134" s="1424"/>
      <c r="AG134" s="1424"/>
      <c r="AH134" s="1411"/>
      <c r="AI134" s="1412"/>
    </row>
    <row r="135" spans="1:35" ht="22.15" customHeight="1" x14ac:dyDescent="0.2">
      <c r="A135" s="108"/>
      <c r="B135" s="173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4"/>
      <c r="AI135" s="174"/>
    </row>
    <row r="136" spans="1:35" ht="22.15" customHeight="1" thickBot="1" x14ac:dyDescent="0.25">
      <c r="A136" s="1343"/>
      <c r="B136" s="1184" t="s">
        <v>29</v>
      </c>
      <c r="C136" s="1185">
        <v>1</v>
      </c>
      <c r="D136" s="1185">
        <v>2</v>
      </c>
      <c r="E136" s="1185">
        <v>3</v>
      </c>
      <c r="F136" s="1254">
        <v>4</v>
      </c>
      <c r="G136" s="1254">
        <v>5</v>
      </c>
      <c r="H136" s="1254">
        <v>6</v>
      </c>
      <c r="I136" s="1254">
        <v>7</v>
      </c>
      <c r="J136" s="1254">
        <v>8</v>
      </c>
      <c r="K136" s="1185">
        <v>9</v>
      </c>
      <c r="L136" s="1185">
        <v>10</v>
      </c>
      <c r="M136" s="1254">
        <v>11</v>
      </c>
      <c r="N136" s="1254">
        <v>12</v>
      </c>
      <c r="O136" s="1254">
        <v>13</v>
      </c>
      <c r="P136" s="1254">
        <v>14</v>
      </c>
      <c r="Q136" s="1254">
        <v>15</v>
      </c>
      <c r="R136" s="1185">
        <v>16</v>
      </c>
      <c r="S136" s="1185">
        <v>17</v>
      </c>
      <c r="T136" s="1254">
        <v>18</v>
      </c>
      <c r="U136" s="1254">
        <v>19</v>
      </c>
      <c r="V136" s="1254">
        <v>20</v>
      </c>
      <c r="W136" s="1254">
        <v>21</v>
      </c>
      <c r="X136" s="1254">
        <v>22</v>
      </c>
      <c r="Y136" s="1185">
        <v>23</v>
      </c>
      <c r="Z136" s="1185">
        <v>24</v>
      </c>
      <c r="AA136" s="1254">
        <v>25</v>
      </c>
      <c r="AB136" s="1254">
        <v>26</v>
      </c>
      <c r="AC136" s="1254">
        <v>27</v>
      </c>
      <c r="AD136" s="1254">
        <v>28</v>
      </c>
      <c r="AE136" s="1254">
        <v>29</v>
      </c>
      <c r="AF136" s="1185">
        <v>30</v>
      </c>
      <c r="AG136" s="2064">
        <v>31</v>
      </c>
      <c r="AH136" s="184"/>
      <c r="AI136" s="185"/>
    </row>
    <row r="137" spans="1:35" ht="22.15" customHeight="1" x14ac:dyDescent="0.2">
      <c r="A137" s="408">
        <v>1</v>
      </c>
      <c r="B137" s="252" t="s">
        <v>192</v>
      </c>
      <c r="C137" s="380" t="s">
        <v>35</v>
      </c>
      <c r="D137" s="380"/>
      <c r="E137" s="380"/>
      <c r="F137" s="380">
        <v>21</v>
      </c>
      <c r="G137" s="390">
        <v>21</v>
      </c>
      <c r="H137" s="380">
        <v>21</v>
      </c>
      <c r="I137" s="385">
        <v>21</v>
      </c>
      <c r="J137" s="390">
        <v>21</v>
      </c>
      <c r="K137" s="380">
        <v>21</v>
      </c>
      <c r="L137" s="385">
        <v>21</v>
      </c>
      <c r="M137" s="418" t="s">
        <v>35</v>
      </c>
      <c r="N137" s="418" t="s">
        <v>35</v>
      </c>
      <c r="O137" s="418" t="s">
        <v>35</v>
      </c>
      <c r="P137" s="418" t="s">
        <v>35</v>
      </c>
      <c r="Q137" s="418" t="s">
        <v>35</v>
      </c>
      <c r="R137" s="418"/>
      <c r="S137" s="418"/>
      <c r="T137" s="650">
        <v>22</v>
      </c>
      <c r="U137" s="650">
        <v>22</v>
      </c>
      <c r="V137" s="650">
        <v>22</v>
      </c>
      <c r="W137" s="422">
        <v>22</v>
      </c>
      <c r="X137" s="650">
        <v>22</v>
      </c>
      <c r="Y137" s="650">
        <v>22</v>
      </c>
      <c r="Z137" s="422">
        <v>22</v>
      </c>
      <c r="AA137" s="380" t="s">
        <v>35</v>
      </c>
      <c r="AB137" s="380" t="s">
        <v>35</v>
      </c>
      <c r="AC137" s="380" t="s">
        <v>35</v>
      </c>
      <c r="AD137" s="380" t="s">
        <v>35</v>
      </c>
      <c r="AE137" s="380" t="s">
        <v>35</v>
      </c>
      <c r="AF137" s="380"/>
      <c r="AG137" s="387"/>
      <c r="AH137" s="107"/>
      <c r="AI137" s="107"/>
    </row>
    <row r="138" spans="1:35" ht="22.15" customHeight="1" x14ac:dyDescent="0.2">
      <c r="A138" s="2271">
        <v>2</v>
      </c>
      <c r="B138" s="2227" t="s">
        <v>193</v>
      </c>
      <c r="C138" s="2224" t="s">
        <v>35</v>
      </c>
      <c r="D138" s="2224"/>
      <c r="E138" s="2224"/>
      <c r="F138" s="2224">
        <v>22</v>
      </c>
      <c r="G138" s="2224">
        <v>22</v>
      </c>
      <c r="H138" s="2224">
        <v>22</v>
      </c>
      <c r="I138" s="2261">
        <v>22</v>
      </c>
      <c r="J138" s="2224">
        <v>22</v>
      </c>
      <c r="K138" s="2224">
        <v>22</v>
      </c>
      <c r="L138" s="2261">
        <v>22</v>
      </c>
      <c r="M138" s="2230" t="s">
        <v>35</v>
      </c>
      <c r="N138" s="2230" t="s">
        <v>35</v>
      </c>
      <c r="O138" s="2230" t="s">
        <v>35</v>
      </c>
      <c r="P138" s="2230" t="s">
        <v>35</v>
      </c>
      <c r="Q138" s="2230" t="s">
        <v>35</v>
      </c>
      <c r="R138" s="2230"/>
      <c r="S138" s="2230"/>
      <c r="T138" s="2230">
        <v>23</v>
      </c>
      <c r="U138" s="2230">
        <v>23</v>
      </c>
      <c r="V138" s="2230">
        <v>23</v>
      </c>
      <c r="W138" s="2261">
        <v>23</v>
      </c>
      <c r="X138" s="2224">
        <v>23</v>
      </c>
      <c r="Y138" s="2224">
        <v>23</v>
      </c>
      <c r="Z138" s="2261">
        <v>23</v>
      </c>
      <c r="AA138" s="2230" t="s">
        <v>35</v>
      </c>
      <c r="AB138" s="2230" t="s">
        <v>35</v>
      </c>
      <c r="AC138" s="2230" t="s">
        <v>35</v>
      </c>
      <c r="AD138" s="2230" t="s">
        <v>35</v>
      </c>
      <c r="AE138" s="2230" t="s">
        <v>35</v>
      </c>
      <c r="AF138" s="2230"/>
      <c r="AG138" s="2138"/>
      <c r="AH138" s="107"/>
      <c r="AI138" s="107"/>
    </row>
    <row r="139" spans="1:35" ht="22.15" customHeight="1" x14ac:dyDescent="0.2">
      <c r="A139" s="2271">
        <v>3</v>
      </c>
      <c r="B139" s="2227" t="s">
        <v>194</v>
      </c>
      <c r="C139" s="2224" t="s">
        <v>35</v>
      </c>
      <c r="D139" s="2224"/>
      <c r="E139" s="2224"/>
      <c r="F139" s="2224">
        <v>23</v>
      </c>
      <c r="G139" s="2230">
        <v>23</v>
      </c>
      <c r="H139" s="2230">
        <v>23</v>
      </c>
      <c r="I139" s="2261">
        <v>23</v>
      </c>
      <c r="J139" s="2224">
        <v>23</v>
      </c>
      <c r="K139" s="2224">
        <v>23</v>
      </c>
      <c r="L139" s="2261">
        <v>23</v>
      </c>
      <c r="M139" s="2224" t="s">
        <v>35</v>
      </c>
      <c r="N139" s="2224" t="s">
        <v>35</v>
      </c>
      <c r="O139" s="2224" t="s">
        <v>35</v>
      </c>
      <c r="P139" s="2224" t="s">
        <v>35</v>
      </c>
      <c r="Q139" s="2224" t="s">
        <v>35</v>
      </c>
      <c r="R139" s="2141"/>
      <c r="S139" s="2141"/>
      <c r="T139" s="2224">
        <v>21</v>
      </c>
      <c r="U139" s="2230">
        <v>21</v>
      </c>
      <c r="V139" s="2230">
        <v>21</v>
      </c>
      <c r="W139" s="2261">
        <v>21</v>
      </c>
      <c r="X139" s="2224">
        <v>21</v>
      </c>
      <c r="Y139" s="2224">
        <v>21</v>
      </c>
      <c r="Z139" s="2261">
        <v>21</v>
      </c>
      <c r="AA139" s="2224" t="s">
        <v>35</v>
      </c>
      <c r="AB139" s="2224" t="s">
        <v>35</v>
      </c>
      <c r="AC139" s="2224" t="s">
        <v>35</v>
      </c>
      <c r="AD139" s="2224" t="s">
        <v>35</v>
      </c>
      <c r="AE139" s="2224" t="s">
        <v>35</v>
      </c>
      <c r="AF139" s="2224"/>
      <c r="AG139" s="2138"/>
      <c r="AH139" s="107"/>
      <c r="AI139" s="107"/>
    </row>
    <row r="140" spans="1:35" ht="22.15" customHeight="1" x14ac:dyDescent="0.2">
      <c r="A140" s="2271">
        <v>4</v>
      </c>
      <c r="B140" s="2227" t="s">
        <v>195</v>
      </c>
      <c r="C140" s="2224">
        <v>23</v>
      </c>
      <c r="D140" s="2224">
        <v>23</v>
      </c>
      <c r="E140" s="2261">
        <v>23</v>
      </c>
      <c r="F140" s="2224" t="s">
        <v>35</v>
      </c>
      <c r="G140" s="2224" t="s">
        <v>35</v>
      </c>
      <c r="H140" s="2224" t="s">
        <v>35</v>
      </c>
      <c r="I140" s="2224" t="s">
        <v>35</v>
      </c>
      <c r="J140" s="2224" t="s">
        <v>35</v>
      </c>
      <c r="K140" s="2224"/>
      <c r="L140" s="2224"/>
      <c r="M140" s="2224">
        <v>21</v>
      </c>
      <c r="N140" s="2224">
        <v>21</v>
      </c>
      <c r="O140" s="2231">
        <v>21</v>
      </c>
      <c r="P140" s="2261">
        <v>21</v>
      </c>
      <c r="Q140" s="2224">
        <v>21</v>
      </c>
      <c r="R140" s="2224">
        <v>21</v>
      </c>
      <c r="S140" s="2272">
        <v>21</v>
      </c>
      <c r="T140" s="2224" t="s">
        <v>35</v>
      </c>
      <c r="U140" s="2224" t="s">
        <v>35</v>
      </c>
      <c r="V140" s="2224" t="s">
        <v>35</v>
      </c>
      <c r="W140" s="2224" t="s">
        <v>35</v>
      </c>
      <c r="X140" s="2224" t="s">
        <v>35</v>
      </c>
      <c r="Y140" s="2224"/>
      <c r="Z140" s="2224"/>
      <c r="AA140" s="2224">
        <v>22</v>
      </c>
      <c r="AB140" s="2224">
        <v>22</v>
      </c>
      <c r="AC140" s="2224">
        <v>22</v>
      </c>
      <c r="AD140" s="2261">
        <v>22</v>
      </c>
      <c r="AE140" s="2224">
        <v>22</v>
      </c>
      <c r="AF140" s="2224">
        <v>22</v>
      </c>
      <c r="AG140" s="2156">
        <v>22</v>
      </c>
      <c r="AH140" s="107"/>
      <c r="AI140" s="107"/>
    </row>
    <row r="141" spans="1:35" ht="22.15" customHeight="1" x14ac:dyDescent="0.2">
      <c r="A141" s="2271">
        <v>5</v>
      </c>
      <c r="B141" s="2227" t="s">
        <v>115</v>
      </c>
      <c r="C141" s="2224">
        <v>21</v>
      </c>
      <c r="D141" s="2224">
        <v>21</v>
      </c>
      <c r="E141" s="2261">
        <v>21</v>
      </c>
      <c r="F141" s="2230" t="s">
        <v>35</v>
      </c>
      <c r="G141" s="2224" t="s">
        <v>35</v>
      </c>
      <c r="H141" s="2222" t="s">
        <v>35</v>
      </c>
      <c r="I141" s="2224" t="s">
        <v>35</v>
      </c>
      <c r="J141" s="2224" t="s">
        <v>35</v>
      </c>
      <c r="K141" s="2224"/>
      <c r="L141" s="2224"/>
      <c r="M141" s="2224">
        <v>22</v>
      </c>
      <c r="N141" s="2224">
        <v>22</v>
      </c>
      <c r="O141" s="2224">
        <v>22</v>
      </c>
      <c r="P141" s="2261">
        <v>22</v>
      </c>
      <c r="Q141" s="2224">
        <v>22</v>
      </c>
      <c r="R141" s="2224">
        <v>22</v>
      </c>
      <c r="S141" s="2261">
        <v>22</v>
      </c>
      <c r="T141" s="2224" t="s">
        <v>35</v>
      </c>
      <c r="U141" s="2224" t="s">
        <v>35</v>
      </c>
      <c r="V141" s="2224" t="s">
        <v>35</v>
      </c>
      <c r="W141" s="2224" t="s">
        <v>35</v>
      </c>
      <c r="X141" s="2224" t="s">
        <v>35</v>
      </c>
      <c r="Y141" s="2224"/>
      <c r="Z141" s="2224"/>
      <c r="AA141" s="2224">
        <v>23</v>
      </c>
      <c r="AB141" s="2224">
        <v>23</v>
      </c>
      <c r="AC141" s="2230">
        <v>23</v>
      </c>
      <c r="AD141" s="2230">
        <v>23</v>
      </c>
      <c r="AE141" s="2230">
        <v>23</v>
      </c>
      <c r="AF141" s="2224">
        <v>23</v>
      </c>
      <c r="AG141" s="2156">
        <v>23</v>
      </c>
      <c r="AH141" s="107"/>
      <c r="AI141" s="107"/>
    </row>
    <row r="142" spans="1:35" ht="22.15" customHeight="1" thickBot="1" x14ac:dyDescent="0.25">
      <c r="A142" s="670">
        <v>6</v>
      </c>
      <c r="B142" s="671" t="s">
        <v>197</v>
      </c>
      <c r="C142" s="690">
        <v>22</v>
      </c>
      <c r="D142" s="690">
        <v>22</v>
      </c>
      <c r="E142" s="696">
        <v>22</v>
      </c>
      <c r="F142" s="690" t="s">
        <v>35</v>
      </c>
      <c r="G142" s="690" t="s">
        <v>35</v>
      </c>
      <c r="H142" s="680" t="s">
        <v>35</v>
      </c>
      <c r="I142" s="680" t="s">
        <v>35</v>
      </c>
      <c r="J142" s="680" t="s">
        <v>35</v>
      </c>
      <c r="K142" s="680"/>
      <c r="L142" s="680"/>
      <c r="M142" s="680">
        <v>23</v>
      </c>
      <c r="N142" s="676">
        <v>23</v>
      </c>
      <c r="O142" s="676">
        <v>23</v>
      </c>
      <c r="P142" s="696">
        <v>23</v>
      </c>
      <c r="Q142" s="690">
        <v>23</v>
      </c>
      <c r="R142" s="690">
        <v>23</v>
      </c>
      <c r="S142" s="696">
        <v>23</v>
      </c>
      <c r="T142" s="690" t="s">
        <v>35</v>
      </c>
      <c r="U142" s="690" t="s">
        <v>35</v>
      </c>
      <c r="V142" s="690" t="s">
        <v>35</v>
      </c>
      <c r="W142" s="690" t="s">
        <v>35</v>
      </c>
      <c r="X142" s="690" t="s">
        <v>35</v>
      </c>
      <c r="Y142" s="690"/>
      <c r="Z142" s="690"/>
      <c r="AA142" s="690">
        <v>21</v>
      </c>
      <c r="AB142" s="676">
        <v>21</v>
      </c>
      <c r="AC142" s="676">
        <v>21</v>
      </c>
      <c r="AD142" s="696">
        <v>21</v>
      </c>
      <c r="AE142" s="690">
        <v>21</v>
      </c>
      <c r="AF142" s="690">
        <v>21</v>
      </c>
      <c r="AG142" s="217">
        <v>21</v>
      </c>
      <c r="AH142" s="107"/>
      <c r="AI142" s="107"/>
    </row>
    <row r="143" spans="1:35" ht="22.15" customHeight="1" x14ac:dyDescent="0.2">
      <c r="A143" s="256"/>
      <c r="B143" s="228"/>
      <c r="C143" s="229"/>
      <c r="D143" s="229"/>
      <c r="E143" s="255"/>
      <c r="F143" s="229"/>
      <c r="G143" s="229"/>
      <c r="H143" s="261"/>
      <c r="I143" s="261"/>
      <c r="J143" s="261"/>
      <c r="K143" s="261"/>
      <c r="L143" s="261"/>
      <c r="M143" s="261"/>
      <c r="N143" s="216"/>
      <c r="O143" s="216"/>
      <c r="P143" s="255"/>
      <c r="Q143" s="229"/>
      <c r="R143" s="229"/>
      <c r="S143" s="255"/>
      <c r="T143" s="229"/>
      <c r="U143" s="229"/>
      <c r="V143" s="229"/>
      <c r="W143" s="229"/>
      <c r="X143" s="229"/>
      <c r="Y143" s="229"/>
      <c r="Z143" s="229"/>
      <c r="AA143" s="229"/>
      <c r="AB143" s="216"/>
      <c r="AC143" s="216"/>
      <c r="AD143" s="255"/>
      <c r="AE143" s="229"/>
      <c r="AF143" s="229"/>
      <c r="AG143" s="255"/>
      <c r="AH143" s="107"/>
      <c r="AI143" s="107"/>
    </row>
    <row r="144" spans="1:35" ht="22.15" customHeight="1" x14ac:dyDescent="0.2">
      <c r="A144" s="109"/>
      <c r="B144" s="110"/>
      <c r="C144" s="206"/>
      <c r="D144" s="206"/>
      <c r="E144" s="172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172"/>
      <c r="Q144" s="206"/>
      <c r="R144" s="206"/>
      <c r="S144" s="172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7"/>
      <c r="AD144" s="207"/>
      <c r="AE144" s="207"/>
      <c r="AF144" s="206"/>
      <c r="AG144" s="172"/>
      <c r="AH144" s="107"/>
      <c r="AI144" s="107"/>
    </row>
    <row r="145" spans="1:35" ht="22.15" customHeight="1" thickBot="1" x14ac:dyDescent="0.25">
      <c r="A145" s="162" t="s">
        <v>198</v>
      </c>
      <c r="D145" s="72"/>
      <c r="E145" s="72"/>
      <c r="F145" s="72"/>
      <c r="G145" s="105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</row>
    <row r="146" spans="1:35" ht="22.15" customHeight="1" x14ac:dyDescent="0.2">
      <c r="A146" s="1"/>
      <c r="B146" s="304" t="s">
        <v>167</v>
      </c>
      <c r="C146" s="500"/>
      <c r="D146" s="516" t="s">
        <v>90</v>
      </c>
      <c r="E146" s="473"/>
      <c r="F146" s="504"/>
      <c r="G146" s="500"/>
      <c r="H146" s="516" t="s">
        <v>91</v>
      </c>
      <c r="I146" s="473"/>
      <c r="J146" s="504"/>
      <c r="K146" s="500"/>
      <c r="L146" s="516" t="s">
        <v>92</v>
      </c>
      <c r="M146" s="473"/>
      <c r="N146" s="504"/>
      <c r="O146" s="500"/>
      <c r="P146" s="516" t="s">
        <v>93</v>
      </c>
      <c r="Q146" s="473"/>
      <c r="R146" s="504"/>
      <c r="S146" s="500"/>
      <c r="T146" s="516" t="s">
        <v>94</v>
      </c>
      <c r="U146" s="473"/>
      <c r="V146" s="504"/>
      <c r="W146" s="500"/>
      <c r="X146" s="516" t="s">
        <v>95</v>
      </c>
      <c r="Y146" s="473"/>
      <c r="Z146" s="504"/>
      <c r="AA146" s="500"/>
      <c r="AB146" s="516" t="s">
        <v>96</v>
      </c>
      <c r="AC146" s="473"/>
      <c r="AD146" s="473"/>
      <c r="AE146" s="519" t="s">
        <v>97</v>
      </c>
      <c r="AF146" s="473"/>
      <c r="AG146" s="473"/>
      <c r="AH146" s="473"/>
      <c r="AI146" s="474"/>
    </row>
    <row r="147" spans="1:35" ht="22.15" customHeight="1" x14ac:dyDescent="0.2">
      <c r="A147" s="1"/>
      <c r="B147" s="1390" t="s">
        <v>139</v>
      </c>
      <c r="C147" s="1283" t="s">
        <v>168</v>
      </c>
      <c r="D147" s="1167"/>
      <c r="E147" s="1167"/>
      <c r="F147" s="1393"/>
      <c r="G147" s="1283" t="s">
        <v>168</v>
      </c>
      <c r="H147" s="1167"/>
      <c r="I147" s="1167"/>
      <c r="J147" s="1393"/>
      <c r="K147" s="1283" t="s">
        <v>168</v>
      </c>
      <c r="L147" s="1167"/>
      <c r="M147" s="1167"/>
      <c r="N147" s="1393"/>
      <c r="O147" s="1283" t="s">
        <v>199</v>
      </c>
      <c r="P147" s="1167"/>
      <c r="Q147" s="1167"/>
      <c r="R147" s="1393"/>
      <c r="S147" s="1283" t="s">
        <v>154</v>
      </c>
      <c r="T147" s="1167"/>
      <c r="U147" s="1167"/>
      <c r="V147" s="1393"/>
      <c r="W147" s="1431"/>
      <c r="X147" s="1432"/>
      <c r="Y147" s="1432"/>
      <c r="Z147" s="1395"/>
      <c r="AA147" s="1391"/>
      <c r="AB147" s="1167"/>
      <c r="AC147" s="1167"/>
      <c r="AD147" s="1284"/>
      <c r="AE147" s="1396">
        <v>27</v>
      </c>
      <c r="AF147" s="1167"/>
      <c r="AG147" s="1167"/>
      <c r="AH147" s="1284"/>
      <c r="AI147" s="1176"/>
    </row>
    <row r="148" spans="1:35" ht="22.15" customHeight="1" x14ac:dyDescent="0.2">
      <c r="A148" s="1"/>
      <c r="B148" s="1390" t="s">
        <v>143</v>
      </c>
      <c r="C148" s="1283" t="s">
        <v>200</v>
      </c>
      <c r="D148" s="1167"/>
      <c r="E148" s="1167"/>
      <c r="F148" s="1393"/>
      <c r="G148" s="1283" t="s">
        <v>200</v>
      </c>
      <c r="H148" s="1167"/>
      <c r="I148" s="1167"/>
      <c r="J148" s="1393"/>
      <c r="K148" s="1283" t="s">
        <v>200</v>
      </c>
      <c r="L148" s="1167"/>
      <c r="M148" s="1167"/>
      <c r="N148" s="1393"/>
      <c r="O148" s="1283" t="s">
        <v>200</v>
      </c>
      <c r="P148" s="1167"/>
      <c r="Q148" s="1167"/>
      <c r="R148" s="1393"/>
      <c r="S148" s="1283" t="s">
        <v>430</v>
      </c>
      <c r="T148" s="1167"/>
      <c r="U148" s="1167"/>
      <c r="V148" s="1393"/>
      <c r="W148" s="1283"/>
      <c r="X148" s="1167"/>
      <c r="Y148" s="1167"/>
      <c r="Z148" s="1393"/>
      <c r="AA148" s="1167"/>
      <c r="AB148" s="1167"/>
      <c r="AC148" s="1167"/>
      <c r="AD148" s="1284"/>
      <c r="AE148" s="1396">
        <v>39</v>
      </c>
      <c r="AF148" s="1167"/>
      <c r="AG148" s="1167"/>
      <c r="AH148" s="1284"/>
      <c r="AI148" s="1176"/>
    </row>
    <row r="149" spans="1:35" ht="22.15" customHeight="1" x14ac:dyDescent="0.2">
      <c r="A149" s="1"/>
      <c r="B149" s="1390" t="s">
        <v>153</v>
      </c>
      <c r="C149" s="1283" t="s">
        <v>200</v>
      </c>
      <c r="D149" s="1167"/>
      <c r="E149" s="1167"/>
      <c r="F149" s="1393"/>
      <c r="G149" s="1283" t="s">
        <v>200</v>
      </c>
      <c r="H149" s="1167"/>
      <c r="I149" s="1167"/>
      <c r="J149" s="1393"/>
      <c r="K149" s="1283" t="s">
        <v>200</v>
      </c>
      <c r="L149" s="1167"/>
      <c r="M149" s="1167"/>
      <c r="N149" s="1393"/>
      <c r="O149" s="1283" t="s">
        <v>200</v>
      </c>
      <c r="P149" s="1167"/>
      <c r="Q149" s="1167"/>
      <c r="R149" s="1393"/>
      <c r="S149" s="1283" t="s">
        <v>200</v>
      </c>
      <c r="T149" s="1167"/>
      <c r="U149" s="1167"/>
      <c r="V149" s="1393"/>
      <c r="W149" s="1285" t="s">
        <v>201</v>
      </c>
      <c r="X149" s="1180"/>
      <c r="Y149" s="1180"/>
      <c r="Z149" s="1400"/>
      <c r="AA149" s="1398"/>
      <c r="AB149" s="1180"/>
      <c r="AC149" s="1180"/>
      <c r="AD149" s="1286"/>
      <c r="AE149" s="1396">
        <v>45</v>
      </c>
      <c r="AF149" s="1167"/>
      <c r="AG149" s="1167"/>
      <c r="AH149" s="1284"/>
      <c r="AI149" s="1176"/>
    </row>
    <row r="150" spans="1:35" ht="22.15" customHeight="1" thickBot="1" x14ac:dyDescent="0.25">
      <c r="A150" s="1"/>
      <c r="B150" s="2184" t="s">
        <v>155</v>
      </c>
      <c r="C150" s="1423"/>
      <c r="D150" s="1238"/>
      <c r="E150" s="1238"/>
      <c r="F150" s="1425"/>
      <c r="G150" s="1423"/>
      <c r="H150" s="1238"/>
      <c r="I150" s="1238"/>
      <c r="J150" s="1425"/>
      <c r="K150" s="1423"/>
      <c r="L150" s="1238"/>
      <c r="M150" s="1238"/>
      <c r="N150" s="1425"/>
      <c r="O150" s="1423"/>
      <c r="P150" s="1238"/>
      <c r="Q150" s="1238"/>
      <c r="R150" s="1425"/>
      <c r="S150" s="1423"/>
      <c r="T150" s="1238"/>
      <c r="U150" s="1238"/>
      <c r="V150" s="1411"/>
      <c r="W150" s="1423"/>
      <c r="X150" s="1411"/>
      <c r="Y150" s="1238"/>
      <c r="Z150" s="1425"/>
      <c r="AA150" s="1423"/>
      <c r="AB150" s="1411"/>
      <c r="AC150" s="1238"/>
      <c r="AD150" s="1425"/>
      <c r="AE150" s="1433"/>
      <c r="AF150" s="1238"/>
      <c r="AG150" s="1238"/>
      <c r="AH150" s="1411"/>
      <c r="AI150" s="1245"/>
    </row>
    <row r="151" spans="1:35" ht="22.15" customHeight="1" x14ac:dyDescent="0.2">
      <c r="A151" s="108"/>
      <c r="B151" s="1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</row>
    <row r="152" spans="1:35" ht="22.15" customHeight="1" thickBot="1" x14ac:dyDescent="0.25">
      <c r="A152" s="1343"/>
      <c r="B152" s="1247" t="s">
        <v>29</v>
      </c>
      <c r="C152" s="1185">
        <v>1</v>
      </c>
      <c r="D152" s="1185">
        <v>2</v>
      </c>
      <c r="E152" s="1185">
        <v>3</v>
      </c>
      <c r="F152" s="1254">
        <v>4</v>
      </c>
      <c r="G152" s="1254">
        <v>5</v>
      </c>
      <c r="H152" s="1254">
        <v>6</v>
      </c>
      <c r="I152" s="1254">
        <v>7</v>
      </c>
      <c r="J152" s="1254">
        <v>8</v>
      </c>
      <c r="K152" s="1185">
        <v>9</v>
      </c>
      <c r="L152" s="1185">
        <v>10</v>
      </c>
      <c r="M152" s="1254">
        <v>11</v>
      </c>
      <c r="N152" s="1254">
        <v>12</v>
      </c>
      <c r="O152" s="1254">
        <v>13</v>
      </c>
      <c r="P152" s="1254">
        <v>14</v>
      </c>
      <c r="Q152" s="1254">
        <v>15</v>
      </c>
      <c r="R152" s="1185">
        <v>16</v>
      </c>
      <c r="S152" s="1185">
        <v>17</v>
      </c>
      <c r="T152" s="1254">
        <v>18</v>
      </c>
      <c r="U152" s="1254">
        <v>19</v>
      </c>
      <c r="V152" s="1254">
        <v>20</v>
      </c>
      <c r="W152" s="1254">
        <v>21</v>
      </c>
      <c r="X152" s="1254">
        <v>22</v>
      </c>
      <c r="Y152" s="1185">
        <v>23</v>
      </c>
      <c r="Z152" s="1185">
        <v>24</v>
      </c>
      <c r="AA152" s="1254">
        <v>25</v>
      </c>
      <c r="AB152" s="1254">
        <v>26</v>
      </c>
      <c r="AC152" s="1254">
        <v>27</v>
      </c>
      <c r="AD152" s="1254">
        <v>28</v>
      </c>
      <c r="AE152" s="1254">
        <v>29</v>
      </c>
      <c r="AF152" s="1185">
        <v>30</v>
      </c>
      <c r="AG152" s="2064">
        <v>31</v>
      </c>
      <c r="AH152" s="184"/>
      <c r="AI152" s="185"/>
    </row>
    <row r="153" spans="1:35" ht="22.15" customHeight="1" x14ac:dyDescent="0.2">
      <c r="A153" s="521">
        <v>1</v>
      </c>
      <c r="B153" s="523" t="s">
        <v>202</v>
      </c>
      <c r="C153" s="459"/>
      <c r="D153" s="458"/>
      <c r="E153" s="458"/>
      <c r="F153" s="463" t="s">
        <v>31</v>
      </c>
      <c r="G153" s="463" t="s">
        <v>31</v>
      </c>
      <c r="H153" s="463" t="s">
        <v>31</v>
      </c>
      <c r="I153" s="463" t="s">
        <v>31</v>
      </c>
      <c r="J153" s="463" t="s">
        <v>31</v>
      </c>
      <c r="K153" s="458"/>
      <c r="L153" s="458"/>
      <c r="M153" s="458" t="s">
        <v>31</v>
      </c>
      <c r="N153" s="458" t="s">
        <v>31</v>
      </c>
      <c r="O153" s="458" t="s">
        <v>31</v>
      </c>
      <c r="P153" s="458" t="s">
        <v>31</v>
      </c>
      <c r="Q153" s="458" t="s">
        <v>31</v>
      </c>
      <c r="R153" s="458"/>
      <c r="S153" s="458"/>
      <c r="T153" s="458" t="s">
        <v>31</v>
      </c>
      <c r="U153" s="458" t="s">
        <v>31</v>
      </c>
      <c r="V153" s="458" t="s">
        <v>31</v>
      </c>
      <c r="W153" s="458" t="s">
        <v>31</v>
      </c>
      <c r="X153" s="458" t="s">
        <v>31</v>
      </c>
      <c r="Y153" s="458"/>
      <c r="Z153" s="458"/>
      <c r="AA153" s="458" t="s">
        <v>31</v>
      </c>
      <c r="AB153" s="458" t="s">
        <v>31</v>
      </c>
      <c r="AC153" s="458" t="s">
        <v>31</v>
      </c>
      <c r="AD153" s="458" t="s">
        <v>31</v>
      </c>
      <c r="AE153" s="458" t="s">
        <v>31</v>
      </c>
      <c r="AF153" s="458"/>
      <c r="AG153" s="464"/>
      <c r="AH153" s="250"/>
      <c r="AI153" s="190"/>
    </row>
    <row r="154" spans="1:35" ht="22.15" customHeight="1" x14ac:dyDescent="0.2">
      <c r="A154" s="1415">
        <v>2</v>
      </c>
      <c r="B154" s="1434" t="s">
        <v>203</v>
      </c>
      <c r="C154" s="1258" t="s">
        <v>35</v>
      </c>
      <c r="D154" s="1259"/>
      <c r="E154" s="1258"/>
      <c r="F154" s="1258" t="s">
        <v>207</v>
      </c>
      <c r="G154" s="1258" t="s">
        <v>207</v>
      </c>
      <c r="H154" s="1258" t="s">
        <v>207</v>
      </c>
      <c r="I154" s="1258" t="s">
        <v>207</v>
      </c>
      <c r="J154" s="1258" t="s">
        <v>207</v>
      </c>
      <c r="K154" s="1258"/>
      <c r="L154" s="1258"/>
      <c r="M154" s="1380" t="s">
        <v>204</v>
      </c>
      <c r="N154" s="1380" t="s">
        <v>204</v>
      </c>
      <c r="O154" s="1380" t="s">
        <v>204</v>
      </c>
      <c r="P154" s="1380" t="s">
        <v>204</v>
      </c>
      <c r="Q154" s="1380" t="s">
        <v>204</v>
      </c>
      <c r="R154" s="1258" t="s">
        <v>204</v>
      </c>
      <c r="S154" s="1258"/>
      <c r="T154" s="2231" t="s">
        <v>31</v>
      </c>
      <c r="U154" s="2231" t="s">
        <v>31</v>
      </c>
      <c r="V154" s="2231" t="s">
        <v>205</v>
      </c>
      <c r="W154" s="2231" t="s">
        <v>31</v>
      </c>
      <c r="X154" s="2231" t="s">
        <v>31</v>
      </c>
      <c r="Y154" s="1259"/>
      <c r="Z154" s="1258"/>
      <c r="AA154" s="2231" t="s">
        <v>31</v>
      </c>
      <c r="AB154" s="2231" t="s">
        <v>31</v>
      </c>
      <c r="AC154" s="2231" t="s">
        <v>31</v>
      </c>
      <c r="AD154" s="2231" t="s">
        <v>31</v>
      </c>
      <c r="AE154" s="2231" t="s">
        <v>31</v>
      </c>
      <c r="AF154" s="1258"/>
      <c r="AG154" s="1251"/>
      <c r="AH154" s="250"/>
      <c r="AI154" s="190"/>
    </row>
    <row r="155" spans="1:35" ht="22.15" customHeight="1" x14ac:dyDescent="0.2">
      <c r="A155" s="1415">
        <v>3</v>
      </c>
      <c r="B155" s="1435" t="s">
        <v>208</v>
      </c>
      <c r="C155" s="1258"/>
      <c r="D155" s="1258"/>
      <c r="E155" s="1258"/>
      <c r="F155" s="1380" t="s">
        <v>204</v>
      </c>
      <c r="G155" s="1380" t="s">
        <v>204</v>
      </c>
      <c r="H155" s="1380" t="s">
        <v>204</v>
      </c>
      <c r="I155" s="1380" t="s">
        <v>204</v>
      </c>
      <c r="J155" s="1380" t="s">
        <v>204</v>
      </c>
      <c r="K155" s="1380" t="s">
        <v>204</v>
      </c>
      <c r="L155" s="1380"/>
      <c r="M155" s="1380" t="s">
        <v>205</v>
      </c>
      <c r="N155" s="1380" t="s">
        <v>205</v>
      </c>
      <c r="O155" s="1380" t="s">
        <v>205</v>
      </c>
      <c r="P155" s="1380" t="s">
        <v>205</v>
      </c>
      <c r="Q155" s="1380" t="s">
        <v>35</v>
      </c>
      <c r="R155" s="1380"/>
      <c r="S155" s="1380"/>
      <c r="T155" s="1380" t="s">
        <v>207</v>
      </c>
      <c r="U155" s="1258" t="s">
        <v>207</v>
      </c>
      <c r="V155" s="1258" t="s">
        <v>207</v>
      </c>
      <c r="W155" s="1258" t="s">
        <v>207</v>
      </c>
      <c r="X155" s="1258" t="s">
        <v>207</v>
      </c>
      <c r="Y155" s="1258"/>
      <c r="Z155" s="1258"/>
      <c r="AA155" s="1311" t="s">
        <v>204</v>
      </c>
      <c r="AB155" s="1311" t="s">
        <v>204</v>
      </c>
      <c r="AC155" s="1311" t="s">
        <v>204</v>
      </c>
      <c r="AD155" s="1311" t="s">
        <v>204</v>
      </c>
      <c r="AE155" s="1311" t="s">
        <v>204</v>
      </c>
      <c r="AF155" s="1311" t="s">
        <v>204</v>
      </c>
      <c r="AG155" s="1251"/>
      <c r="AH155" s="250"/>
      <c r="AI155" s="190"/>
    </row>
    <row r="156" spans="1:35" ht="22.15" customHeight="1" x14ac:dyDescent="0.2">
      <c r="A156" s="1415">
        <v>4</v>
      </c>
      <c r="B156" s="1435" t="s">
        <v>209</v>
      </c>
      <c r="C156" s="1258"/>
      <c r="D156" s="1258" t="s">
        <v>204</v>
      </c>
      <c r="E156" s="1258"/>
      <c r="F156" s="1258"/>
      <c r="G156" s="1258" t="s">
        <v>32</v>
      </c>
      <c r="H156" s="1258" t="s">
        <v>32</v>
      </c>
      <c r="I156" s="1258"/>
      <c r="J156" s="1258" t="s">
        <v>32</v>
      </c>
      <c r="K156" s="1258"/>
      <c r="L156" s="1258"/>
      <c r="M156" s="1258"/>
      <c r="N156" s="1200" t="s">
        <v>32</v>
      </c>
      <c r="O156" s="1200" t="s">
        <v>32</v>
      </c>
      <c r="P156" s="1258"/>
      <c r="Q156" s="1200" t="s">
        <v>32</v>
      </c>
      <c r="R156" s="1193"/>
      <c r="S156" s="1193"/>
      <c r="T156" s="1193"/>
      <c r="U156" s="1193" t="s">
        <v>32</v>
      </c>
      <c r="V156" s="1258"/>
      <c r="W156" s="1258"/>
      <c r="X156" s="1258" t="s">
        <v>32</v>
      </c>
      <c r="Y156" s="1258" t="s">
        <v>204</v>
      </c>
      <c r="Z156" s="1258"/>
      <c r="AA156" s="1258"/>
      <c r="AB156" s="1258" t="s">
        <v>32</v>
      </c>
      <c r="AC156" s="1258" t="s">
        <v>32</v>
      </c>
      <c r="AD156" s="1258"/>
      <c r="AE156" s="1258" t="s">
        <v>32</v>
      </c>
      <c r="AF156" s="1258"/>
      <c r="AG156" s="1251"/>
      <c r="AH156" s="250"/>
      <c r="AI156" s="190"/>
    </row>
    <row r="157" spans="1:35" ht="22.15" customHeight="1" x14ac:dyDescent="0.2">
      <c r="A157" s="1415">
        <v>5</v>
      </c>
      <c r="B157" s="1435" t="s">
        <v>210</v>
      </c>
      <c r="C157" s="1258"/>
      <c r="D157" s="1258"/>
      <c r="E157" s="1258"/>
      <c r="F157" s="1258" t="s">
        <v>32</v>
      </c>
      <c r="G157" s="1258"/>
      <c r="H157" s="1258"/>
      <c r="I157" s="1258" t="s">
        <v>31</v>
      </c>
      <c r="J157" s="1258"/>
      <c r="K157" s="1258"/>
      <c r="L157" s="1258"/>
      <c r="M157" s="1258" t="s">
        <v>32</v>
      </c>
      <c r="N157" s="1258"/>
      <c r="O157" s="1258"/>
      <c r="P157" s="1258" t="s">
        <v>31</v>
      </c>
      <c r="Q157" s="1258"/>
      <c r="R157" s="1258"/>
      <c r="S157" s="1258"/>
      <c r="T157" s="1258" t="s">
        <v>32</v>
      </c>
      <c r="U157" s="1258"/>
      <c r="V157" s="1258"/>
      <c r="W157" s="1258" t="s">
        <v>31</v>
      </c>
      <c r="X157" s="1258"/>
      <c r="Y157" s="1258"/>
      <c r="Z157" s="1258"/>
      <c r="AA157" s="1258" t="s">
        <v>32</v>
      </c>
      <c r="AB157" s="1258"/>
      <c r="AC157" s="1258"/>
      <c r="AD157" s="1258" t="s">
        <v>31</v>
      </c>
      <c r="AE157" s="1258"/>
      <c r="AF157" s="1258"/>
      <c r="AG157" s="1251"/>
      <c r="AH157" s="250"/>
      <c r="AI157" s="190"/>
    </row>
    <row r="158" spans="1:35" ht="22.15" customHeight="1" x14ac:dyDescent="0.2">
      <c r="A158" s="1415">
        <v>6</v>
      </c>
      <c r="B158" s="1202" t="s">
        <v>211</v>
      </c>
      <c r="C158" s="1258"/>
      <c r="D158" s="1258"/>
      <c r="E158" s="1258"/>
      <c r="F158" s="1258" t="s">
        <v>31</v>
      </c>
      <c r="G158" s="1258" t="s">
        <v>31</v>
      </c>
      <c r="H158" s="1258" t="s">
        <v>31</v>
      </c>
      <c r="I158" s="1258" t="s">
        <v>31</v>
      </c>
      <c r="J158" s="1199" t="s">
        <v>31</v>
      </c>
      <c r="K158" s="1258"/>
      <c r="L158" s="1258"/>
      <c r="M158" s="1258" t="s">
        <v>31</v>
      </c>
      <c r="N158" s="1258" t="s">
        <v>31</v>
      </c>
      <c r="O158" s="1258" t="s">
        <v>31</v>
      </c>
      <c r="P158" s="1258" t="s">
        <v>31</v>
      </c>
      <c r="Q158" s="1258" t="s">
        <v>31</v>
      </c>
      <c r="R158" s="1258"/>
      <c r="S158" s="1258"/>
      <c r="T158" s="1193" t="s">
        <v>31</v>
      </c>
      <c r="U158" s="1193" t="s">
        <v>31</v>
      </c>
      <c r="V158" s="1193" t="s">
        <v>31</v>
      </c>
      <c r="W158" s="1193" t="s">
        <v>31</v>
      </c>
      <c r="X158" s="1193" t="s">
        <v>31</v>
      </c>
      <c r="Y158" s="1258"/>
      <c r="Z158" s="1258"/>
      <c r="AA158" s="1258" t="s">
        <v>31</v>
      </c>
      <c r="AB158" s="1258" t="s">
        <v>31</v>
      </c>
      <c r="AC158" s="1258" t="s">
        <v>31</v>
      </c>
      <c r="AD158" s="1258" t="s">
        <v>31</v>
      </c>
      <c r="AE158" s="1258" t="s">
        <v>31</v>
      </c>
      <c r="AF158" s="1258"/>
      <c r="AG158" s="1251"/>
      <c r="AH158" s="215"/>
      <c r="AI158" s="107"/>
    </row>
    <row r="159" spans="1:35" ht="22.15" customHeight="1" thickBot="1" x14ac:dyDescent="0.25">
      <c r="A159" s="1419"/>
      <c r="B159" s="1253" t="s">
        <v>212</v>
      </c>
      <c r="C159" s="1254"/>
      <c r="D159" s="1254"/>
      <c r="E159" s="1254"/>
      <c r="F159" s="1254"/>
      <c r="G159" s="1254"/>
      <c r="H159" s="1254"/>
      <c r="I159" s="1254"/>
      <c r="J159" s="1254"/>
      <c r="K159" s="1254"/>
      <c r="L159" s="1254"/>
      <c r="M159" s="1254"/>
      <c r="N159" s="1254"/>
      <c r="O159" s="1254"/>
      <c r="P159" s="1254"/>
      <c r="Q159" s="1254"/>
      <c r="R159" s="1254"/>
      <c r="S159" s="1254"/>
      <c r="T159" s="1254"/>
      <c r="U159" s="1254"/>
      <c r="V159" s="1254"/>
      <c r="W159" s="1254"/>
      <c r="X159" s="1254"/>
      <c r="Y159" s="1254"/>
      <c r="Z159" s="1254"/>
      <c r="AA159" s="1254"/>
      <c r="AB159" s="1254"/>
      <c r="AC159" s="1254"/>
      <c r="AD159" s="1254"/>
      <c r="AE159" s="1254"/>
      <c r="AF159" s="1254"/>
      <c r="AG159" s="1945"/>
      <c r="AH159" s="107"/>
      <c r="AI159" s="107"/>
    </row>
    <row r="160" spans="1:35" ht="22.15" customHeight="1" x14ac:dyDescent="0.2">
      <c r="A160" s="256"/>
      <c r="B160" s="228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107"/>
      <c r="AI160" s="107"/>
    </row>
    <row r="161" spans="1:36" ht="22.15" customHeight="1" x14ac:dyDescent="0.2">
      <c r="A161" s="256"/>
      <c r="B161" s="228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107"/>
      <c r="AI161" s="107"/>
    </row>
    <row r="162" spans="1:36" ht="22.15" customHeight="1" thickBot="1" x14ac:dyDescent="0.25">
      <c r="A162" s="150" t="s">
        <v>213</v>
      </c>
      <c r="B162" s="72"/>
      <c r="C162" s="106" t="s">
        <v>99</v>
      </c>
      <c r="D162" s="72"/>
      <c r="E162" s="72"/>
      <c r="F162" s="106" t="s">
        <v>99</v>
      </c>
      <c r="G162" s="72"/>
      <c r="H162" s="72"/>
      <c r="I162" s="106" t="s">
        <v>99</v>
      </c>
      <c r="J162" s="106"/>
      <c r="K162" s="72"/>
      <c r="L162" s="106" t="s">
        <v>99</v>
      </c>
      <c r="M162" s="72"/>
      <c r="N162" s="72"/>
      <c r="O162" s="106" t="s">
        <v>99</v>
      </c>
      <c r="P162" s="72"/>
      <c r="Q162" s="106"/>
      <c r="R162" s="106" t="s">
        <v>99</v>
      </c>
      <c r="S162" s="72"/>
      <c r="T162" s="72"/>
      <c r="U162" s="106" t="s">
        <v>99</v>
      </c>
      <c r="V162" s="72"/>
      <c r="W162" s="106"/>
      <c r="X162" s="106"/>
      <c r="Y162" s="72"/>
      <c r="Z162" s="72"/>
      <c r="AA162" s="72"/>
      <c r="AB162" s="72"/>
      <c r="AC162" s="72"/>
      <c r="AD162" s="72"/>
      <c r="AE162" s="106"/>
      <c r="AF162" s="72"/>
      <c r="AG162" s="72"/>
      <c r="AH162" s="107"/>
      <c r="AI162" s="107"/>
    </row>
    <row r="163" spans="1:36" ht="22.15" customHeight="1" x14ac:dyDescent="0.2">
      <c r="A163" s="109"/>
      <c r="B163" s="294" t="s">
        <v>214</v>
      </c>
      <c r="C163" s="295"/>
      <c r="D163" s="296" t="s">
        <v>90</v>
      </c>
      <c r="E163" s="297"/>
      <c r="F163" s="298"/>
      <c r="G163" s="299"/>
      <c r="H163" s="296" t="s">
        <v>91</v>
      </c>
      <c r="I163" s="297"/>
      <c r="J163" s="298"/>
      <c r="K163" s="299"/>
      <c r="L163" s="296" t="s">
        <v>92</v>
      </c>
      <c r="M163" s="297"/>
      <c r="N163" s="298"/>
      <c r="O163" s="299"/>
      <c r="P163" s="296" t="s">
        <v>93</v>
      </c>
      <c r="Q163" s="297"/>
      <c r="R163" s="298"/>
      <c r="S163" s="299"/>
      <c r="T163" s="296" t="s">
        <v>94</v>
      </c>
      <c r="U163" s="297"/>
      <c r="V163" s="298"/>
      <c r="W163" s="299"/>
      <c r="X163" s="296" t="s">
        <v>95</v>
      </c>
      <c r="Y163" s="297"/>
      <c r="Z163" s="298"/>
      <c r="AA163" s="299"/>
      <c r="AB163" s="296" t="s">
        <v>96</v>
      </c>
      <c r="AC163" s="297"/>
      <c r="AD163" s="297"/>
      <c r="AE163" s="300" t="s">
        <v>97</v>
      </c>
      <c r="AF163" s="297"/>
      <c r="AG163" s="297"/>
      <c r="AH163" s="297"/>
      <c r="AI163" s="301"/>
    </row>
    <row r="164" spans="1:36" ht="22.15" customHeight="1" x14ac:dyDescent="0.2">
      <c r="A164" s="109"/>
      <c r="B164" s="1851" t="s">
        <v>215</v>
      </c>
      <c r="C164" s="2273" t="s">
        <v>216</v>
      </c>
      <c r="D164" s="1438" t="s">
        <v>217</v>
      </c>
      <c r="E164" s="1439"/>
      <c r="F164" s="2001"/>
      <c r="G164" s="1853"/>
      <c r="H164" s="1438" t="s">
        <v>217</v>
      </c>
      <c r="I164" s="1439"/>
      <c r="J164" s="2001"/>
      <c r="K164" s="1853"/>
      <c r="L164" s="1438" t="s">
        <v>217</v>
      </c>
      <c r="M164" s="1439"/>
      <c r="N164" s="2001"/>
      <c r="O164" s="1853"/>
      <c r="P164" s="1438" t="s">
        <v>218</v>
      </c>
      <c r="Q164" s="1439"/>
      <c r="R164" s="2001"/>
      <c r="S164" s="1853"/>
      <c r="T164" s="1438" t="s">
        <v>219</v>
      </c>
      <c r="U164" s="2001"/>
      <c r="V164" s="2002"/>
      <c r="W164" s="1854"/>
      <c r="X164" s="1444"/>
      <c r="Y164" s="1444"/>
      <c r="Z164" s="2002"/>
      <c r="AA164" s="1854"/>
      <c r="AB164" s="1444"/>
      <c r="AC164" s="1444"/>
      <c r="AD164" s="1444"/>
      <c r="AE164" s="1854"/>
      <c r="AF164" s="1444"/>
      <c r="AG164" s="1444"/>
      <c r="AH164" s="1445"/>
      <c r="AI164" s="1855"/>
    </row>
    <row r="165" spans="1:36" ht="22.15" customHeight="1" x14ac:dyDescent="0.2">
      <c r="A165" s="109"/>
      <c r="B165" s="1851" t="s">
        <v>215</v>
      </c>
      <c r="C165" s="2273" t="s">
        <v>220</v>
      </c>
      <c r="D165" s="1438" t="s">
        <v>217</v>
      </c>
      <c r="E165" s="1439"/>
      <c r="F165" s="2001"/>
      <c r="G165" s="1853"/>
      <c r="H165" s="1438" t="s">
        <v>217</v>
      </c>
      <c r="I165" s="1439"/>
      <c r="J165" s="2001"/>
      <c r="K165" s="1853"/>
      <c r="L165" s="1438" t="s">
        <v>217</v>
      </c>
      <c r="M165" s="1439"/>
      <c r="N165" s="2001"/>
      <c r="O165" s="1853"/>
      <c r="P165" s="1438" t="s">
        <v>218</v>
      </c>
      <c r="Q165" s="1439"/>
      <c r="R165" s="2001"/>
      <c r="S165" s="1853"/>
      <c r="T165" s="1438" t="s">
        <v>219</v>
      </c>
      <c r="U165" s="2001"/>
      <c r="V165" s="2002"/>
      <c r="W165" s="1854"/>
      <c r="X165" s="1444"/>
      <c r="Y165" s="1444"/>
      <c r="Z165" s="2002"/>
      <c r="AA165" s="1854"/>
      <c r="AB165" s="1444"/>
      <c r="AC165" s="1444"/>
      <c r="AD165" s="1444"/>
      <c r="AE165" s="1854"/>
      <c r="AF165" s="1444"/>
      <c r="AG165" s="1444"/>
      <c r="AH165" s="1445"/>
      <c r="AI165" s="1855"/>
    </row>
    <row r="166" spans="1:36" ht="22.15" customHeight="1" x14ac:dyDescent="0.2">
      <c r="A166" s="109"/>
      <c r="B166" s="1851" t="s">
        <v>221</v>
      </c>
      <c r="C166" s="2273" t="s">
        <v>158</v>
      </c>
      <c r="D166" s="1438" t="s">
        <v>217</v>
      </c>
      <c r="E166" s="1439"/>
      <c r="F166" s="2001"/>
      <c r="G166" s="1853"/>
      <c r="H166" s="1438" t="s">
        <v>217</v>
      </c>
      <c r="I166" s="1439"/>
      <c r="J166" s="2001"/>
      <c r="K166" s="1853"/>
      <c r="L166" s="1438" t="s">
        <v>217</v>
      </c>
      <c r="M166" s="1439"/>
      <c r="N166" s="2001"/>
      <c r="O166" s="1853"/>
      <c r="P166" s="1438" t="s">
        <v>218</v>
      </c>
      <c r="Q166" s="1439"/>
      <c r="R166" s="2001"/>
      <c r="S166" s="1853"/>
      <c r="T166" s="1438" t="s">
        <v>219</v>
      </c>
      <c r="U166" s="2001"/>
      <c r="V166" s="2002"/>
      <c r="W166" s="1854"/>
      <c r="X166" s="1444"/>
      <c r="Y166" s="1444"/>
      <c r="Z166" s="2002"/>
      <c r="AA166" s="1854"/>
      <c r="AB166" s="1444"/>
      <c r="AC166" s="1444"/>
      <c r="AD166" s="1444"/>
      <c r="AE166" s="1854"/>
      <c r="AF166" s="1444"/>
      <c r="AG166" s="1444"/>
      <c r="AH166" s="1445"/>
      <c r="AI166" s="1855"/>
    </row>
    <row r="167" spans="1:36" ht="22.15" customHeight="1" x14ac:dyDescent="0.2">
      <c r="A167" s="109"/>
      <c r="B167" s="1851" t="s">
        <v>222</v>
      </c>
      <c r="C167" s="2273" t="s">
        <v>223</v>
      </c>
      <c r="D167" s="1438" t="s">
        <v>224</v>
      </c>
      <c r="E167" s="1439"/>
      <c r="F167" s="2001"/>
      <c r="G167" s="1853"/>
      <c r="H167" s="1438" t="s">
        <v>224</v>
      </c>
      <c r="I167" s="1439"/>
      <c r="J167" s="2001"/>
      <c r="K167" s="1853"/>
      <c r="L167" s="1438" t="s">
        <v>224</v>
      </c>
      <c r="M167" s="1439"/>
      <c r="N167" s="2001"/>
      <c r="O167" s="1853"/>
      <c r="P167" s="1438" t="s">
        <v>225</v>
      </c>
      <c r="Q167" s="1439"/>
      <c r="R167" s="2001"/>
      <c r="S167" s="1853"/>
      <c r="T167" s="1438" t="s">
        <v>226</v>
      </c>
      <c r="U167" s="2001"/>
      <c r="V167" s="2002"/>
      <c r="W167" s="1854"/>
      <c r="X167" s="1444"/>
      <c r="Y167" s="1444"/>
      <c r="Z167" s="2002"/>
      <c r="AA167" s="1854"/>
      <c r="AB167" s="1444"/>
      <c r="AC167" s="1444"/>
      <c r="AD167" s="1444"/>
      <c r="AE167" s="1854"/>
      <c r="AF167" s="1444"/>
      <c r="AG167" s="1444"/>
      <c r="AH167" s="1445"/>
      <c r="AI167" s="1855"/>
    </row>
    <row r="168" spans="1:36" ht="22.15" customHeight="1" x14ac:dyDescent="0.2">
      <c r="A168" s="109"/>
      <c r="B168" s="1851" t="s">
        <v>227</v>
      </c>
      <c r="C168" s="2273" t="s">
        <v>228</v>
      </c>
      <c r="D168" s="1438" t="s">
        <v>229</v>
      </c>
      <c r="E168" s="1439"/>
      <c r="F168" s="2001"/>
      <c r="G168" s="1853"/>
      <c r="H168" s="1438" t="s">
        <v>229</v>
      </c>
      <c r="I168" s="1439"/>
      <c r="J168" s="2001"/>
      <c r="K168" s="1853"/>
      <c r="L168" s="1438" t="s">
        <v>230</v>
      </c>
      <c r="M168" s="1439"/>
      <c r="N168" s="2001"/>
      <c r="O168" s="1853"/>
      <c r="P168" s="1438" t="s">
        <v>231</v>
      </c>
      <c r="Q168" s="1439"/>
      <c r="R168" s="2001"/>
      <c r="S168" s="1853"/>
      <c r="T168" s="1438" t="s">
        <v>226</v>
      </c>
      <c r="U168" s="2001"/>
      <c r="V168" s="2002"/>
      <c r="W168" s="1854"/>
      <c r="X168" s="1444"/>
      <c r="Y168" s="1444"/>
      <c r="Z168" s="2002"/>
      <c r="AA168" s="1854"/>
      <c r="AB168" s="1444"/>
      <c r="AC168" s="1444"/>
      <c r="AD168" s="1444"/>
      <c r="AE168" s="1854"/>
      <c r="AF168" s="1444"/>
      <c r="AG168" s="1444"/>
      <c r="AH168" s="1445"/>
      <c r="AI168" s="1855"/>
    </row>
    <row r="169" spans="1:36" ht="22.15" customHeight="1" x14ac:dyDescent="0.2">
      <c r="A169" s="109"/>
      <c r="B169" s="1851" t="s">
        <v>232</v>
      </c>
      <c r="C169" s="2273" t="s">
        <v>233</v>
      </c>
      <c r="D169" s="1438" t="s">
        <v>217</v>
      </c>
      <c r="E169" s="1439"/>
      <c r="F169" s="2001"/>
      <c r="G169" s="1853"/>
      <c r="H169" s="1438" t="s">
        <v>217</v>
      </c>
      <c r="I169" s="1439"/>
      <c r="J169" s="2001"/>
      <c r="K169" s="1853"/>
      <c r="L169" s="1438" t="s">
        <v>217</v>
      </c>
      <c r="M169" s="1439"/>
      <c r="N169" s="2001"/>
      <c r="O169" s="1853"/>
      <c r="P169" s="1438" t="s">
        <v>217</v>
      </c>
      <c r="Q169" s="1439"/>
      <c r="R169" s="2001"/>
      <c r="S169" s="1853"/>
      <c r="T169" s="1438" t="s">
        <v>229</v>
      </c>
      <c r="U169" s="2001"/>
      <c r="V169" s="2002"/>
      <c r="W169" s="1854"/>
      <c r="X169" s="1444"/>
      <c r="Y169" s="1444"/>
      <c r="Z169" s="2002"/>
      <c r="AA169" s="1854"/>
      <c r="AB169" s="1444"/>
      <c r="AC169" s="1444"/>
      <c r="AD169" s="1444"/>
      <c r="AE169" s="1854"/>
      <c r="AF169" s="1444"/>
      <c r="AG169" s="1444"/>
      <c r="AH169" s="1445"/>
      <c r="AI169" s="1855"/>
    </row>
    <row r="170" spans="1:36" ht="22.15" customHeight="1" x14ac:dyDescent="0.2">
      <c r="A170" s="109"/>
      <c r="B170" s="1851" t="s">
        <v>234</v>
      </c>
      <c r="C170" s="2273" t="s">
        <v>235</v>
      </c>
      <c r="D170" s="1438" t="s">
        <v>217</v>
      </c>
      <c r="E170" s="1439"/>
      <c r="F170" s="2001"/>
      <c r="G170" s="1853"/>
      <c r="H170" s="1438" t="s">
        <v>217</v>
      </c>
      <c r="I170" s="1439"/>
      <c r="J170" s="2001"/>
      <c r="K170" s="1853"/>
      <c r="L170" s="1438" t="s">
        <v>217</v>
      </c>
      <c r="M170" s="1439"/>
      <c r="N170" s="2001"/>
      <c r="O170" s="1853"/>
      <c r="P170" s="1438" t="s">
        <v>218</v>
      </c>
      <c r="Q170" s="1439"/>
      <c r="R170" s="2001"/>
      <c r="S170" s="1853"/>
      <c r="T170" s="1438" t="s">
        <v>219</v>
      </c>
      <c r="U170" s="2001"/>
      <c r="V170" s="2002"/>
      <c r="W170" s="1854"/>
      <c r="X170" s="1444"/>
      <c r="Y170" s="1444"/>
      <c r="Z170" s="2002"/>
      <c r="AA170" s="1854"/>
      <c r="AB170" s="1444"/>
      <c r="AC170" s="1444"/>
      <c r="AD170" s="1444"/>
      <c r="AE170" s="1854"/>
      <c r="AF170" s="1444"/>
      <c r="AG170" s="1444"/>
      <c r="AH170" s="1445"/>
      <c r="AI170" s="1855"/>
    </row>
    <row r="171" spans="1:36" ht="22.15" customHeight="1" x14ac:dyDescent="0.2">
      <c r="A171" s="109"/>
      <c r="B171" s="1851" t="s">
        <v>234</v>
      </c>
      <c r="C171" s="2273" t="s">
        <v>236</v>
      </c>
      <c r="D171" s="1438" t="s">
        <v>217</v>
      </c>
      <c r="E171" s="1439"/>
      <c r="F171" s="2001"/>
      <c r="G171" s="1853"/>
      <c r="H171" s="1438" t="s">
        <v>217</v>
      </c>
      <c r="I171" s="1439"/>
      <c r="J171" s="2001"/>
      <c r="K171" s="1853"/>
      <c r="L171" s="1438" t="s">
        <v>217</v>
      </c>
      <c r="M171" s="1439"/>
      <c r="N171" s="2001"/>
      <c r="O171" s="1853"/>
      <c r="P171" s="1438" t="s">
        <v>218</v>
      </c>
      <c r="Q171" s="1439"/>
      <c r="R171" s="2001"/>
      <c r="S171" s="1853"/>
      <c r="T171" s="1438" t="s">
        <v>219</v>
      </c>
      <c r="U171" s="2001"/>
      <c r="V171" s="2002"/>
      <c r="W171" s="1854"/>
      <c r="X171" s="1444"/>
      <c r="Y171" s="1444"/>
      <c r="Z171" s="2002"/>
      <c r="AA171" s="1854"/>
      <c r="AB171" s="1444"/>
      <c r="AC171" s="1444"/>
      <c r="AD171" s="1444"/>
      <c r="AE171" s="1854"/>
      <c r="AF171" s="1444"/>
      <c r="AG171" s="1444"/>
      <c r="AH171" s="1445"/>
      <c r="AI171" s="1855"/>
    </row>
    <row r="172" spans="1:36" ht="22.15" customHeight="1" x14ac:dyDescent="0.2">
      <c r="A172" s="109"/>
      <c r="B172" s="1851" t="s">
        <v>237</v>
      </c>
      <c r="C172" s="2273" t="s">
        <v>238</v>
      </c>
      <c r="D172" s="1438" t="s">
        <v>217</v>
      </c>
      <c r="E172" s="1439"/>
      <c r="F172" s="2001"/>
      <c r="G172" s="1853"/>
      <c r="H172" s="1438" t="s">
        <v>217</v>
      </c>
      <c r="I172" s="1439"/>
      <c r="J172" s="2001"/>
      <c r="K172" s="1853"/>
      <c r="L172" s="1438" t="s">
        <v>217</v>
      </c>
      <c r="M172" s="1439"/>
      <c r="N172" s="2001"/>
      <c r="O172" s="1853"/>
      <c r="P172" s="1438" t="s">
        <v>239</v>
      </c>
      <c r="Q172" s="1439"/>
      <c r="R172" s="2001"/>
      <c r="S172" s="1853"/>
      <c r="T172" s="1438" t="s">
        <v>226</v>
      </c>
      <c r="U172" s="2001"/>
      <c r="V172" s="2002"/>
      <c r="W172" s="1854"/>
      <c r="X172" s="1444"/>
      <c r="Y172" s="1444"/>
      <c r="Z172" s="2002"/>
      <c r="AA172" s="1854"/>
      <c r="AB172" s="1444"/>
      <c r="AC172" s="1444"/>
      <c r="AD172" s="1444"/>
      <c r="AE172" s="1854"/>
      <c r="AF172" s="1444"/>
      <c r="AG172" s="1444"/>
      <c r="AH172" s="1445"/>
      <c r="AI172" s="1855"/>
    </row>
    <row r="173" spans="1:36" ht="22.15" customHeight="1" x14ac:dyDescent="0.2">
      <c r="A173" s="109"/>
      <c r="B173" s="1447" t="s">
        <v>240</v>
      </c>
      <c r="C173" s="2273" t="s">
        <v>80</v>
      </c>
      <c r="D173" s="1438" t="s">
        <v>217</v>
      </c>
      <c r="E173" s="1439"/>
      <c r="F173" s="2001"/>
      <c r="G173" s="1853"/>
      <c r="H173" s="1438" t="s">
        <v>217</v>
      </c>
      <c r="I173" s="1439"/>
      <c r="J173" s="2001"/>
      <c r="K173" s="1853"/>
      <c r="L173" s="1438" t="s">
        <v>217</v>
      </c>
      <c r="M173" s="1439"/>
      <c r="N173" s="2001"/>
      <c r="O173" s="1853"/>
      <c r="P173" s="1438" t="s">
        <v>218</v>
      </c>
      <c r="Q173" s="1439"/>
      <c r="R173" s="2001"/>
      <c r="S173" s="1853"/>
      <c r="T173" s="1438" t="s">
        <v>219</v>
      </c>
      <c r="U173" s="2001"/>
      <c r="V173" s="212"/>
      <c r="W173" s="1448"/>
      <c r="X173" s="211"/>
      <c r="Y173" s="211"/>
      <c r="Z173" s="212"/>
      <c r="AA173" s="1448"/>
      <c r="AB173" s="211"/>
      <c r="AC173" s="211"/>
      <c r="AD173" s="211"/>
      <c r="AE173" s="1448"/>
      <c r="AF173" s="211"/>
      <c r="AG173" s="211"/>
      <c r="AH173" s="213"/>
      <c r="AI173" s="1449"/>
      <c r="AJ173" s="214"/>
    </row>
    <row r="174" spans="1:36" ht="22.15" customHeight="1" x14ac:dyDescent="0.2">
      <c r="A174" s="109"/>
      <c r="B174" s="1851" t="s">
        <v>241</v>
      </c>
      <c r="C174" s="2273" t="s">
        <v>132</v>
      </c>
      <c r="D174" s="1438" t="s">
        <v>217</v>
      </c>
      <c r="E174" s="1439"/>
      <c r="F174" s="2001"/>
      <c r="G174" s="1853"/>
      <c r="H174" s="1438" t="s">
        <v>217</v>
      </c>
      <c r="I174" s="1439"/>
      <c r="J174" s="2001"/>
      <c r="K174" s="1853"/>
      <c r="L174" s="1438" t="s">
        <v>217</v>
      </c>
      <c r="M174" s="1439"/>
      <c r="N174" s="2001"/>
      <c r="O174" s="1853"/>
      <c r="P174" s="1438" t="s">
        <v>218</v>
      </c>
      <c r="Q174" s="1439"/>
      <c r="R174" s="2001"/>
      <c r="S174" s="1853"/>
      <c r="T174" s="1438" t="s">
        <v>219</v>
      </c>
      <c r="U174" s="2001"/>
      <c r="V174" s="1444"/>
      <c r="W174" s="1854"/>
      <c r="X174" s="1444"/>
      <c r="Y174" s="1444"/>
      <c r="Z174" s="1444"/>
      <c r="AA174" s="1854"/>
      <c r="AB174" s="1444"/>
      <c r="AC174" s="1444"/>
      <c r="AD174" s="1444"/>
      <c r="AE174" s="1854"/>
      <c r="AF174" s="1444"/>
      <c r="AG174" s="1444"/>
      <c r="AH174" s="1445"/>
      <c r="AI174" s="1855"/>
      <c r="AJ174" s="214"/>
    </row>
    <row r="175" spans="1:36" ht="22.15" customHeight="1" x14ac:dyDescent="0.2">
      <c r="A175" s="109"/>
      <c r="B175" s="1851" t="s">
        <v>242</v>
      </c>
      <c r="C175" s="2274" t="s">
        <v>243</v>
      </c>
      <c r="D175" s="1438" t="s">
        <v>244</v>
      </c>
      <c r="E175" s="1439"/>
      <c r="F175" s="2001"/>
      <c r="G175" s="1853"/>
      <c r="H175" s="1438" t="s">
        <v>244</v>
      </c>
      <c r="I175" s="1439"/>
      <c r="J175" s="2001"/>
      <c r="K175" s="1853"/>
      <c r="L175" s="1438" t="s">
        <v>244</v>
      </c>
      <c r="M175" s="1439"/>
      <c r="N175" s="1439"/>
      <c r="O175" s="1853"/>
      <c r="P175" s="1438" t="s">
        <v>244</v>
      </c>
      <c r="Q175" s="1439"/>
      <c r="R175" s="1439"/>
      <c r="S175" s="1853"/>
      <c r="T175" s="1438" t="s">
        <v>226</v>
      </c>
      <c r="U175" s="2001"/>
      <c r="V175" s="1444"/>
      <c r="W175" s="1857"/>
      <c r="X175" s="1444"/>
      <c r="Y175" s="1444"/>
      <c r="Z175" s="1444"/>
      <c r="AA175" s="1854"/>
      <c r="AB175" s="1444"/>
      <c r="AC175" s="1444"/>
      <c r="AD175" s="1444"/>
      <c r="AE175" s="1854"/>
      <c r="AF175" s="1444"/>
      <c r="AG175" s="1444"/>
      <c r="AH175" s="1445"/>
      <c r="AI175" s="1855"/>
      <c r="AJ175" s="214"/>
    </row>
    <row r="176" spans="1:36" ht="22.15" customHeight="1" x14ac:dyDescent="0.2">
      <c r="A176" s="109"/>
      <c r="B176" s="1851" t="s">
        <v>245</v>
      </c>
      <c r="C176" s="2274" t="s">
        <v>246</v>
      </c>
      <c r="D176" s="1438" t="s">
        <v>244</v>
      </c>
      <c r="E176" s="1439"/>
      <c r="F176" s="2001"/>
      <c r="G176" s="1853"/>
      <c r="H176" s="1438" t="s">
        <v>244</v>
      </c>
      <c r="I176" s="1439"/>
      <c r="J176" s="2001"/>
      <c r="K176" s="1853"/>
      <c r="L176" s="1438" t="s">
        <v>244</v>
      </c>
      <c r="M176" s="1439"/>
      <c r="N176" s="1439"/>
      <c r="O176" s="1853"/>
      <c r="P176" s="1438" t="s">
        <v>244</v>
      </c>
      <c r="Q176" s="1439"/>
      <c r="R176" s="1439"/>
      <c r="S176" s="1853"/>
      <c r="T176" s="1438" t="s">
        <v>226</v>
      </c>
      <c r="U176" s="2001"/>
      <c r="V176" s="1444"/>
      <c r="W176" s="1857"/>
      <c r="X176" s="1444"/>
      <c r="Y176" s="1444"/>
      <c r="Z176" s="2002"/>
      <c r="AA176" s="1452"/>
      <c r="AB176" s="1444"/>
      <c r="AC176" s="1444"/>
      <c r="AD176" s="1444"/>
      <c r="AE176" s="1854"/>
      <c r="AF176" s="1444"/>
      <c r="AG176" s="1444"/>
      <c r="AH176" s="1445"/>
      <c r="AI176" s="1855"/>
      <c r="AJ176" s="214"/>
    </row>
    <row r="177" spans="1:36" ht="22.15" customHeight="1" thickBot="1" x14ac:dyDescent="0.25">
      <c r="A177" s="109"/>
      <c r="B177" s="1851" t="s">
        <v>247</v>
      </c>
      <c r="C177" s="2274" t="s">
        <v>248</v>
      </c>
      <c r="D177" s="1438" t="s">
        <v>244</v>
      </c>
      <c r="E177" s="1439"/>
      <c r="F177" s="2001"/>
      <c r="G177" s="1853"/>
      <c r="H177" s="1438" t="s">
        <v>244</v>
      </c>
      <c r="I177" s="1439"/>
      <c r="J177" s="2001"/>
      <c r="K177" s="1853"/>
      <c r="L177" s="1438" t="s">
        <v>244</v>
      </c>
      <c r="M177" s="1439"/>
      <c r="N177" s="1439"/>
      <c r="O177" s="1853"/>
      <c r="P177" s="1438" t="s">
        <v>244</v>
      </c>
      <c r="Q177" s="1439"/>
      <c r="R177" s="1439"/>
      <c r="S177" s="1853"/>
      <c r="T177" s="1438" t="s">
        <v>226</v>
      </c>
      <c r="U177" s="2001"/>
      <c r="V177" s="2185"/>
      <c r="W177" s="677"/>
      <c r="X177" s="2185"/>
      <c r="Y177" s="2185"/>
      <c r="Z177" s="2186"/>
      <c r="AA177" s="2187"/>
      <c r="AB177" s="2185"/>
      <c r="AC177" s="2185"/>
      <c r="AD177" s="2185"/>
      <c r="AE177" s="678"/>
      <c r="AF177" s="2185"/>
      <c r="AG177" s="2185"/>
      <c r="AH177" s="2188"/>
      <c r="AI177" s="679"/>
      <c r="AJ177" s="214"/>
    </row>
    <row r="178" spans="1:36" ht="22.15" customHeight="1" x14ac:dyDescent="0.2">
      <c r="A178" s="109"/>
      <c r="B178" s="240"/>
      <c r="C178" s="241"/>
      <c r="D178" s="242"/>
      <c r="E178" s="243"/>
      <c r="F178" s="243"/>
      <c r="G178" s="244"/>
      <c r="H178" s="242"/>
      <c r="I178" s="243"/>
      <c r="J178" s="243"/>
      <c r="K178" s="244"/>
      <c r="L178" s="242"/>
      <c r="M178" s="243"/>
      <c r="N178" s="243"/>
      <c r="O178" s="244"/>
      <c r="P178" s="228"/>
      <c r="Q178" s="243"/>
      <c r="R178" s="243"/>
      <c r="S178" s="244"/>
      <c r="T178" s="228"/>
      <c r="U178" s="243"/>
      <c r="V178" s="243"/>
      <c r="W178" s="243"/>
      <c r="X178" s="243"/>
      <c r="Y178" s="243"/>
      <c r="Z178" s="243"/>
      <c r="AA178" s="244"/>
      <c r="AB178" s="243"/>
      <c r="AC178" s="243"/>
      <c r="AD178" s="243"/>
      <c r="AE178" s="244"/>
      <c r="AF178" s="243"/>
      <c r="AG178" s="243"/>
      <c r="AH178" s="215"/>
      <c r="AI178" s="215"/>
      <c r="AJ178" s="214"/>
    </row>
    <row r="179" spans="1:36" ht="22.15" customHeight="1" thickBot="1" x14ac:dyDescent="0.25">
      <c r="A179" s="148"/>
      <c r="B179" s="1457" t="s">
        <v>29</v>
      </c>
      <c r="C179" s="1185">
        <v>1</v>
      </c>
      <c r="D179" s="1185">
        <v>2</v>
      </c>
      <c r="E179" s="1185">
        <v>3</v>
      </c>
      <c r="F179" s="1254">
        <v>4</v>
      </c>
      <c r="G179" s="1254">
        <v>5</v>
      </c>
      <c r="H179" s="1254">
        <v>6</v>
      </c>
      <c r="I179" s="1254">
        <v>7</v>
      </c>
      <c r="J179" s="1254">
        <v>8</v>
      </c>
      <c r="K179" s="1185">
        <v>9</v>
      </c>
      <c r="L179" s="1185">
        <v>10</v>
      </c>
      <c r="M179" s="1254">
        <v>11</v>
      </c>
      <c r="N179" s="1254">
        <v>12</v>
      </c>
      <c r="O179" s="1254">
        <v>13</v>
      </c>
      <c r="P179" s="1254">
        <v>14</v>
      </c>
      <c r="Q179" s="1254">
        <v>15</v>
      </c>
      <c r="R179" s="1185">
        <v>16</v>
      </c>
      <c r="S179" s="1185">
        <v>17</v>
      </c>
      <c r="T179" s="1254">
        <v>18</v>
      </c>
      <c r="U179" s="1254">
        <v>19</v>
      </c>
      <c r="V179" s="1254">
        <v>20</v>
      </c>
      <c r="W179" s="1254">
        <v>21</v>
      </c>
      <c r="X179" s="1254">
        <v>22</v>
      </c>
      <c r="Y179" s="1185">
        <v>23</v>
      </c>
      <c r="Z179" s="1185">
        <v>24</v>
      </c>
      <c r="AA179" s="1254">
        <v>25</v>
      </c>
      <c r="AB179" s="1254">
        <v>26</v>
      </c>
      <c r="AC179" s="1254">
        <v>27</v>
      </c>
      <c r="AD179" s="1254">
        <v>28</v>
      </c>
      <c r="AE179" s="1254">
        <v>29</v>
      </c>
      <c r="AF179" s="1185">
        <v>30</v>
      </c>
      <c r="AG179" s="2064">
        <v>31</v>
      </c>
      <c r="AH179" s="195"/>
      <c r="AI179" s="185"/>
    </row>
    <row r="180" spans="1:36" ht="22.15" customHeight="1" x14ac:dyDescent="0.2">
      <c r="A180" s="109"/>
      <c r="B180" s="411" t="s">
        <v>249</v>
      </c>
      <c r="C180" s="385"/>
      <c r="D180" s="385"/>
      <c r="E180" s="385"/>
      <c r="F180" s="385" t="s">
        <v>216</v>
      </c>
      <c r="G180" s="385" t="s">
        <v>216</v>
      </c>
      <c r="H180" s="385" t="s">
        <v>216</v>
      </c>
      <c r="I180" s="385" t="s">
        <v>216</v>
      </c>
      <c r="J180" s="385" t="s">
        <v>216</v>
      </c>
      <c r="K180" s="385"/>
      <c r="L180" s="385"/>
      <c r="M180" s="385" t="s">
        <v>216</v>
      </c>
      <c r="N180" s="385" t="s">
        <v>216</v>
      </c>
      <c r="O180" s="385" t="s">
        <v>216</v>
      </c>
      <c r="P180" s="385" t="s">
        <v>216</v>
      </c>
      <c r="Q180" s="385" t="s">
        <v>216</v>
      </c>
      <c r="R180" s="2046" t="s">
        <v>31</v>
      </c>
      <c r="S180" s="2046" t="s">
        <v>31</v>
      </c>
      <c r="T180" s="385" t="s">
        <v>216</v>
      </c>
      <c r="U180" s="385" t="s">
        <v>216</v>
      </c>
      <c r="V180" s="385" t="s">
        <v>216</v>
      </c>
      <c r="W180" s="385" t="s">
        <v>216</v>
      </c>
      <c r="X180" s="385" t="s">
        <v>216</v>
      </c>
      <c r="Y180" s="385"/>
      <c r="Z180" s="385"/>
      <c r="AA180" s="385" t="s">
        <v>216</v>
      </c>
      <c r="AB180" s="385" t="s">
        <v>216</v>
      </c>
      <c r="AC180" s="385" t="s">
        <v>216</v>
      </c>
      <c r="AD180" s="385" t="s">
        <v>216</v>
      </c>
      <c r="AE180" s="385" t="s">
        <v>216</v>
      </c>
      <c r="AF180" s="385"/>
      <c r="AG180" s="412"/>
      <c r="AH180" s="190"/>
      <c r="AI180" s="190"/>
    </row>
    <row r="181" spans="1:36" ht="22.15" customHeight="1" x14ac:dyDescent="0.2">
      <c r="A181" s="109"/>
      <c r="B181" s="2275" t="s">
        <v>250</v>
      </c>
      <c r="C181" s="2261"/>
      <c r="D181" s="2261"/>
      <c r="E181" s="2261"/>
      <c r="F181" s="2261" t="s">
        <v>216</v>
      </c>
      <c r="G181" s="2261" t="s">
        <v>216</v>
      </c>
      <c r="H181" s="2261" t="s">
        <v>216</v>
      </c>
      <c r="I181" s="2141" t="s">
        <v>216</v>
      </c>
      <c r="J181" s="2141" t="s">
        <v>216</v>
      </c>
      <c r="K181" s="2261"/>
      <c r="L181" s="2261"/>
      <c r="M181" s="2229" t="s">
        <v>216</v>
      </c>
      <c r="N181" s="2229" t="s">
        <v>216</v>
      </c>
      <c r="O181" s="2229" t="s">
        <v>216</v>
      </c>
      <c r="P181" s="2229" t="s">
        <v>216</v>
      </c>
      <c r="Q181" s="2229" t="s">
        <v>216</v>
      </c>
      <c r="R181" s="2046" t="s">
        <v>31</v>
      </c>
      <c r="S181" s="2046" t="s">
        <v>31</v>
      </c>
      <c r="T181" s="2229" t="s">
        <v>216</v>
      </c>
      <c r="U181" s="2229" t="s">
        <v>216</v>
      </c>
      <c r="V181" s="2229" t="s">
        <v>216</v>
      </c>
      <c r="W181" s="2229" t="s">
        <v>216</v>
      </c>
      <c r="X181" s="2229" t="s">
        <v>216</v>
      </c>
      <c r="Y181" s="2261"/>
      <c r="Z181" s="2261"/>
      <c r="AA181" s="2261" t="s">
        <v>216</v>
      </c>
      <c r="AB181" s="2261" t="s">
        <v>216</v>
      </c>
      <c r="AC181" s="2261" t="s">
        <v>216</v>
      </c>
      <c r="AD181" s="2261" t="s">
        <v>216</v>
      </c>
      <c r="AE181" s="2261" t="s">
        <v>216</v>
      </c>
      <c r="AF181" s="2261"/>
      <c r="AG181" s="2156"/>
      <c r="AH181" s="190"/>
      <c r="AI181" s="190"/>
    </row>
    <row r="182" spans="1:36" ht="22.15" customHeight="1" x14ac:dyDescent="0.2">
      <c r="A182" s="109"/>
      <c r="B182" s="2275" t="s">
        <v>251</v>
      </c>
      <c r="C182" s="2261"/>
      <c r="D182" s="2261"/>
      <c r="E182" s="2261"/>
      <c r="F182" s="2229" t="s">
        <v>220</v>
      </c>
      <c r="G182" s="2261" t="s">
        <v>220</v>
      </c>
      <c r="H182" s="2261" t="s">
        <v>220</v>
      </c>
      <c r="I182" s="2261" t="s">
        <v>220</v>
      </c>
      <c r="J182" s="2261" t="s">
        <v>220</v>
      </c>
      <c r="K182" s="2261"/>
      <c r="L182" s="2261"/>
      <c r="M182" s="2261" t="s">
        <v>220</v>
      </c>
      <c r="N182" s="2261" t="s">
        <v>220</v>
      </c>
      <c r="O182" s="2261" t="s">
        <v>220</v>
      </c>
      <c r="P182" s="2261" t="s">
        <v>220</v>
      </c>
      <c r="Q182" s="2261" t="s">
        <v>220</v>
      </c>
      <c r="R182" s="2046" t="s">
        <v>31</v>
      </c>
      <c r="S182" s="2046" t="s">
        <v>31</v>
      </c>
      <c r="T182" s="2261" t="s">
        <v>220</v>
      </c>
      <c r="U182" s="2261" t="s">
        <v>220</v>
      </c>
      <c r="V182" s="2261" t="s">
        <v>220</v>
      </c>
      <c r="W182" s="2261" t="s">
        <v>220</v>
      </c>
      <c r="X182" s="2261" t="s">
        <v>220</v>
      </c>
      <c r="Y182" s="2261"/>
      <c r="Z182" s="2261"/>
      <c r="AA182" s="2261" t="s">
        <v>220</v>
      </c>
      <c r="AB182" s="2261" t="s">
        <v>220</v>
      </c>
      <c r="AC182" s="2261" t="s">
        <v>220</v>
      </c>
      <c r="AD182" s="2261" t="s">
        <v>220</v>
      </c>
      <c r="AE182" s="2261" t="s">
        <v>220</v>
      </c>
      <c r="AF182" s="2261"/>
      <c r="AG182" s="2156"/>
      <c r="AH182" s="190"/>
      <c r="AI182" s="190"/>
    </row>
    <row r="183" spans="1:36" ht="22.15" customHeight="1" x14ac:dyDescent="0.2">
      <c r="A183" s="109"/>
      <c r="B183" s="2275" t="s">
        <v>252</v>
      </c>
      <c r="C183" s="2261"/>
      <c r="D183" s="2140"/>
      <c r="E183" s="2140"/>
      <c r="F183" s="2229" t="s">
        <v>158</v>
      </c>
      <c r="G183" s="2140" t="s">
        <v>158</v>
      </c>
      <c r="H183" s="2140" t="s">
        <v>158</v>
      </c>
      <c r="I183" s="2261" t="s">
        <v>158</v>
      </c>
      <c r="J183" s="2261" t="s">
        <v>158</v>
      </c>
      <c r="K183" s="2205"/>
      <c r="L183" s="2261"/>
      <c r="M183" s="2261" t="s">
        <v>158</v>
      </c>
      <c r="N183" s="2261" t="s">
        <v>158</v>
      </c>
      <c r="O183" s="2261" t="s">
        <v>158</v>
      </c>
      <c r="P183" s="2261" t="s">
        <v>158</v>
      </c>
      <c r="Q183" s="2261" t="s">
        <v>158</v>
      </c>
      <c r="R183" s="2261"/>
      <c r="S183" s="2261"/>
      <c r="T183" s="2261" t="s">
        <v>158</v>
      </c>
      <c r="U183" s="2261" t="s">
        <v>158</v>
      </c>
      <c r="V183" s="2261" t="s">
        <v>158</v>
      </c>
      <c r="W183" s="2261" t="s">
        <v>158</v>
      </c>
      <c r="X183" s="2261" t="s">
        <v>158</v>
      </c>
      <c r="Y183" s="2261"/>
      <c r="Z183" s="2261"/>
      <c r="AA183" s="2261" t="s">
        <v>158</v>
      </c>
      <c r="AB183" s="2261" t="s">
        <v>158</v>
      </c>
      <c r="AC183" s="2261" t="s">
        <v>158</v>
      </c>
      <c r="AD183" s="2261" t="s">
        <v>158</v>
      </c>
      <c r="AE183" s="2261" t="s">
        <v>158</v>
      </c>
      <c r="AF183" s="2261"/>
      <c r="AG183" s="2156"/>
      <c r="AH183" s="190"/>
      <c r="AI183" s="190"/>
    </row>
    <row r="184" spans="1:36" ht="22.15" customHeight="1" x14ac:dyDescent="0.2">
      <c r="A184" s="109"/>
      <c r="B184" s="2142" t="s">
        <v>253</v>
      </c>
      <c r="C184" s="2261"/>
      <c r="D184" s="2261"/>
      <c r="E184" s="2261"/>
      <c r="F184" s="2236" t="s">
        <v>223</v>
      </c>
      <c r="G184" s="2261" t="s">
        <v>223</v>
      </c>
      <c r="H184" s="2261" t="s">
        <v>223</v>
      </c>
      <c r="I184" s="2261" t="s">
        <v>223</v>
      </c>
      <c r="J184" s="2261" t="s">
        <v>223</v>
      </c>
      <c r="K184" s="2261"/>
      <c r="L184" s="2236"/>
      <c r="M184" s="2236" t="s">
        <v>223</v>
      </c>
      <c r="N184" s="2261" t="s">
        <v>223</v>
      </c>
      <c r="O184" s="2261" t="s">
        <v>223</v>
      </c>
      <c r="P184" s="2261" t="s">
        <v>223</v>
      </c>
      <c r="Q184" s="2261" t="s">
        <v>223</v>
      </c>
      <c r="R184" s="2261"/>
      <c r="S184" s="2261"/>
      <c r="T184" s="2261" t="s">
        <v>223</v>
      </c>
      <c r="U184" s="2261" t="s">
        <v>223</v>
      </c>
      <c r="V184" s="2261" t="s">
        <v>223</v>
      </c>
      <c r="W184" s="2261" t="s">
        <v>223</v>
      </c>
      <c r="X184" s="2261" t="s">
        <v>223</v>
      </c>
      <c r="Y184" s="2261"/>
      <c r="Z184" s="2261"/>
      <c r="AA184" s="2261" t="s">
        <v>223</v>
      </c>
      <c r="AB184" s="2261" t="s">
        <v>223</v>
      </c>
      <c r="AC184" s="2261" t="s">
        <v>223</v>
      </c>
      <c r="AD184" s="2261" t="s">
        <v>223</v>
      </c>
      <c r="AE184" s="2261" t="s">
        <v>223</v>
      </c>
      <c r="AF184" s="2261"/>
      <c r="AG184" s="2156"/>
      <c r="AH184" s="190"/>
      <c r="AI184" s="190"/>
    </row>
    <row r="185" spans="1:36" ht="22.15" customHeight="1" x14ac:dyDescent="0.2">
      <c r="A185" s="109"/>
      <c r="B185" s="2221" t="s">
        <v>122</v>
      </c>
      <c r="C185" s="2261"/>
      <c r="D185" s="2261"/>
      <c r="E185" s="2261"/>
      <c r="F185" s="2261" t="s">
        <v>228</v>
      </c>
      <c r="G185" s="2261" t="s">
        <v>228</v>
      </c>
      <c r="H185" s="2261" t="s">
        <v>228</v>
      </c>
      <c r="I185" s="2261" t="s">
        <v>228</v>
      </c>
      <c r="J185" s="2261" t="s">
        <v>228</v>
      </c>
      <c r="K185" s="2261"/>
      <c r="L185" s="2261"/>
      <c r="M185" s="2261" t="s">
        <v>228</v>
      </c>
      <c r="N185" s="2261" t="s">
        <v>228</v>
      </c>
      <c r="O185" s="2261" t="s">
        <v>228</v>
      </c>
      <c r="P185" s="2261" t="s">
        <v>228</v>
      </c>
      <c r="Q185" s="2261" t="s">
        <v>228</v>
      </c>
      <c r="R185" s="2261"/>
      <c r="S185" s="2261"/>
      <c r="T185" s="2261" t="s">
        <v>228</v>
      </c>
      <c r="U185" s="2261" t="s">
        <v>228</v>
      </c>
      <c r="V185" s="2261" t="s">
        <v>228</v>
      </c>
      <c r="W185" s="2261" t="s">
        <v>228</v>
      </c>
      <c r="X185" s="2261" t="s">
        <v>228</v>
      </c>
      <c r="Y185" s="2261"/>
      <c r="Z185" s="2261"/>
      <c r="AA185" s="2261" t="s">
        <v>228</v>
      </c>
      <c r="AB185" s="2261" t="s">
        <v>228</v>
      </c>
      <c r="AC185" s="2261" t="s">
        <v>228</v>
      </c>
      <c r="AD185" s="2261" t="s">
        <v>228</v>
      </c>
      <c r="AE185" s="2261" t="s">
        <v>228</v>
      </c>
      <c r="AF185" s="2261"/>
      <c r="AG185" s="2156"/>
      <c r="AH185" s="190"/>
      <c r="AI185" s="190"/>
    </row>
    <row r="186" spans="1:36" ht="22.15" customHeight="1" x14ac:dyDescent="0.2">
      <c r="A186" s="109"/>
      <c r="B186" s="2275" t="s">
        <v>255</v>
      </c>
      <c r="C186" s="2222"/>
      <c r="D186" s="2261"/>
      <c r="E186" s="2261"/>
      <c r="F186" s="2261" t="s">
        <v>233</v>
      </c>
      <c r="G186" s="2261" t="s">
        <v>233</v>
      </c>
      <c r="H186" s="2261" t="s">
        <v>233</v>
      </c>
      <c r="I186" s="2261" t="s">
        <v>233</v>
      </c>
      <c r="J186" s="2261" t="s">
        <v>233</v>
      </c>
      <c r="K186" s="2261"/>
      <c r="L186" s="2261"/>
      <c r="M186" s="2261" t="s">
        <v>233</v>
      </c>
      <c r="N186" s="2261" t="s">
        <v>233</v>
      </c>
      <c r="O186" s="2261" t="s">
        <v>233</v>
      </c>
      <c r="P186" s="2261" t="s">
        <v>233</v>
      </c>
      <c r="Q186" s="2261" t="s">
        <v>233</v>
      </c>
      <c r="R186" s="2261"/>
      <c r="S186" s="2261"/>
      <c r="T186" s="2261" t="s">
        <v>233</v>
      </c>
      <c r="U186" s="2261" t="s">
        <v>233</v>
      </c>
      <c r="V186" s="2261" t="s">
        <v>233</v>
      </c>
      <c r="W186" s="2261" t="s">
        <v>233</v>
      </c>
      <c r="X186" s="2261" t="s">
        <v>233</v>
      </c>
      <c r="Y186" s="2261"/>
      <c r="Z186" s="2261"/>
      <c r="AA186" s="2261" t="s">
        <v>233</v>
      </c>
      <c r="AB186" s="2261" t="s">
        <v>233</v>
      </c>
      <c r="AC186" s="2261" t="s">
        <v>233</v>
      </c>
      <c r="AD186" s="2261" t="s">
        <v>233</v>
      </c>
      <c r="AE186" s="2261" t="s">
        <v>233</v>
      </c>
      <c r="AF186" s="2141"/>
      <c r="AG186" s="2156"/>
      <c r="AH186" s="190"/>
      <c r="AI186" s="190"/>
    </row>
    <row r="187" spans="1:36" ht="22.15" customHeight="1" x14ac:dyDescent="0.2">
      <c r="A187" s="109"/>
      <c r="B187" s="2235" t="s">
        <v>256</v>
      </c>
      <c r="C187" s="2261"/>
      <c r="D187" s="2261"/>
      <c r="E187" s="2261"/>
      <c r="F187" s="2261" t="s">
        <v>235</v>
      </c>
      <c r="G187" s="2261" t="s">
        <v>235</v>
      </c>
      <c r="H187" s="2276" t="s">
        <v>235</v>
      </c>
      <c r="I187" s="2261" t="s">
        <v>235</v>
      </c>
      <c r="J187" s="2261" t="s">
        <v>235</v>
      </c>
      <c r="K187" s="2261"/>
      <c r="L187" s="2261"/>
      <c r="M187" s="2261" t="s">
        <v>235</v>
      </c>
      <c r="N187" s="2261" t="s">
        <v>235</v>
      </c>
      <c r="O187" s="2261" t="s">
        <v>235</v>
      </c>
      <c r="P187" s="2261" t="s">
        <v>235</v>
      </c>
      <c r="Q187" s="2261" t="s">
        <v>235</v>
      </c>
      <c r="R187" s="2261"/>
      <c r="S187" s="2261"/>
      <c r="T187" s="2261" t="s">
        <v>235</v>
      </c>
      <c r="U187" s="2261" t="s">
        <v>235</v>
      </c>
      <c r="V187" s="2261" t="s">
        <v>235</v>
      </c>
      <c r="W187" s="2261" t="s">
        <v>235</v>
      </c>
      <c r="X187" s="2261" t="s">
        <v>235</v>
      </c>
      <c r="Y187" s="2261"/>
      <c r="Z187" s="2261"/>
      <c r="AA187" s="2261" t="s">
        <v>235</v>
      </c>
      <c r="AB187" s="2261" t="s">
        <v>235</v>
      </c>
      <c r="AC187" s="2261" t="s">
        <v>235</v>
      </c>
      <c r="AD187" s="2261" t="s">
        <v>235</v>
      </c>
      <c r="AE187" s="2261" t="s">
        <v>235</v>
      </c>
      <c r="AF187" s="2261"/>
      <c r="AG187" s="2156"/>
      <c r="AH187" s="190"/>
      <c r="AI187" s="190"/>
    </row>
    <row r="188" spans="1:36" ht="22.15" customHeight="1" x14ac:dyDescent="0.2">
      <c r="A188" s="109"/>
      <c r="B188" s="2275" t="s">
        <v>257</v>
      </c>
      <c r="C188" s="2261"/>
      <c r="D188" s="2261"/>
      <c r="E188" s="2261"/>
      <c r="F188" s="2261" t="s">
        <v>236</v>
      </c>
      <c r="G188" s="2261" t="s">
        <v>236</v>
      </c>
      <c r="H188" s="2261" t="s">
        <v>236</v>
      </c>
      <c r="I188" s="2261" t="s">
        <v>236</v>
      </c>
      <c r="J188" s="2261" t="s">
        <v>236</v>
      </c>
      <c r="K188" s="2261"/>
      <c r="L188" s="2261"/>
      <c r="M188" s="2261" t="s">
        <v>236</v>
      </c>
      <c r="N188" s="2277" t="s">
        <v>236</v>
      </c>
      <c r="O188" s="2261" t="s">
        <v>236</v>
      </c>
      <c r="P188" s="2261" t="s">
        <v>236</v>
      </c>
      <c r="Q188" s="2261" t="s">
        <v>236</v>
      </c>
      <c r="R188" s="2261"/>
      <c r="S188" s="2261"/>
      <c r="T188" s="2140" t="s">
        <v>236</v>
      </c>
      <c r="U188" s="2140" t="s">
        <v>236</v>
      </c>
      <c r="V188" s="2140" t="s">
        <v>236</v>
      </c>
      <c r="W188" s="2140" t="s">
        <v>236</v>
      </c>
      <c r="X188" s="2140" t="s">
        <v>236</v>
      </c>
      <c r="Y188" s="2261"/>
      <c r="Z188" s="2261"/>
      <c r="AA188" s="2261" t="s">
        <v>236</v>
      </c>
      <c r="AB188" s="2261" t="s">
        <v>236</v>
      </c>
      <c r="AC188" s="2261" t="s">
        <v>236</v>
      </c>
      <c r="AD188" s="2261" t="s">
        <v>236</v>
      </c>
      <c r="AE188" s="2261" t="s">
        <v>236</v>
      </c>
      <c r="AF188" s="2261"/>
      <c r="AG188" s="2156"/>
      <c r="AH188" s="190"/>
      <c r="AI188" s="190"/>
    </row>
    <row r="189" spans="1:36" ht="22.15" customHeight="1" x14ac:dyDescent="0.2">
      <c r="A189" s="109"/>
      <c r="B189" s="2275" t="s">
        <v>258</v>
      </c>
      <c r="C189" s="2261"/>
      <c r="D189" s="2261"/>
      <c r="E189" s="2261"/>
      <c r="F189" s="2261" t="s">
        <v>238</v>
      </c>
      <c r="G189" s="2140" t="s">
        <v>238</v>
      </c>
      <c r="H189" s="2140" t="s">
        <v>238</v>
      </c>
      <c r="I189" s="2140" t="s">
        <v>238</v>
      </c>
      <c r="J189" s="2140" t="s">
        <v>238</v>
      </c>
      <c r="K189" s="2140"/>
      <c r="L189" s="2261"/>
      <c r="M189" s="2261" t="s">
        <v>238</v>
      </c>
      <c r="N189" s="2261" t="s">
        <v>238</v>
      </c>
      <c r="O189" s="2261" t="s">
        <v>238</v>
      </c>
      <c r="P189" s="2261" t="s">
        <v>238</v>
      </c>
      <c r="Q189" s="2261" t="s">
        <v>238</v>
      </c>
      <c r="R189" s="2261"/>
      <c r="S189" s="2261"/>
      <c r="T189" s="2261" t="s">
        <v>238</v>
      </c>
      <c r="U189" s="2261" t="s">
        <v>238</v>
      </c>
      <c r="V189" s="2261" t="s">
        <v>238</v>
      </c>
      <c r="W189" s="2261" t="s">
        <v>238</v>
      </c>
      <c r="X189" s="2261" t="s">
        <v>238</v>
      </c>
      <c r="Y189" s="2261"/>
      <c r="Z189" s="2261"/>
      <c r="AA189" s="2261" t="s">
        <v>238</v>
      </c>
      <c r="AB189" s="2261" t="s">
        <v>238</v>
      </c>
      <c r="AC189" s="2261" t="s">
        <v>238</v>
      </c>
      <c r="AD189" s="2261" t="s">
        <v>238</v>
      </c>
      <c r="AE189" s="2261" t="s">
        <v>238</v>
      </c>
      <c r="AF189" s="2261"/>
      <c r="AG189" s="2156"/>
      <c r="AH189" s="190"/>
      <c r="AI189" s="190"/>
    </row>
    <row r="190" spans="1:36" ht="22.15" customHeight="1" x14ac:dyDescent="0.2">
      <c r="A190" s="109"/>
      <c r="B190" s="2235" t="s">
        <v>260</v>
      </c>
      <c r="C190" s="2261"/>
      <c r="D190" s="2261"/>
      <c r="E190" s="2261"/>
      <c r="F190" s="2261" t="s">
        <v>80</v>
      </c>
      <c r="G190" s="2261" t="s">
        <v>80</v>
      </c>
      <c r="H190" s="2261" t="s">
        <v>80</v>
      </c>
      <c r="I190" s="2250" t="s">
        <v>80</v>
      </c>
      <c r="J190" s="2250" t="s">
        <v>399</v>
      </c>
      <c r="K190" s="2261"/>
      <c r="L190" s="2261"/>
      <c r="M190" s="2204" t="s">
        <v>80</v>
      </c>
      <c r="N190" s="2261" t="s">
        <v>80</v>
      </c>
      <c r="O190" s="2261" t="s">
        <v>80</v>
      </c>
      <c r="P190" s="2261" t="s">
        <v>80</v>
      </c>
      <c r="Q190" s="2261" t="s">
        <v>80</v>
      </c>
      <c r="R190" s="2261"/>
      <c r="S190" s="2140"/>
      <c r="T190" s="2222" t="s">
        <v>80</v>
      </c>
      <c r="U190" s="2222" t="s">
        <v>80</v>
      </c>
      <c r="V190" s="2222" t="s">
        <v>80</v>
      </c>
      <c r="W190" s="2261" t="s">
        <v>80</v>
      </c>
      <c r="X190" s="2261" t="s">
        <v>80</v>
      </c>
      <c r="Y190" s="2261"/>
      <c r="Z190" s="2261"/>
      <c r="AA190" s="2261" t="s">
        <v>80</v>
      </c>
      <c r="AB190" s="2261" t="s">
        <v>80</v>
      </c>
      <c r="AC190" s="2261" t="s">
        <v>80</v>
      </c>
      <c r="AD190" s="2261" t="s">
        <v>80</v>
      </c>
      <c r="AE190" s="2230" t="s">
        <v>80</v>
      </c>
      <c r="AF190" s="2261"/>
      <c r="AG190" s="2156"/>
      <c r="AH190" s="190"/>
      <c r="AI190" s="190"/>
    </row>
    <row r="191" spans="1:36" ht="22.15" customHeight="1" x14ac:dyDescent="0.2">
      <c r="A191" s="109"/>
      <c r="B191" s="2275" t="s">
        <v>261</v>
      </c>
      <c r="C191" s="2261"/>
      <c r="D191" s="2261"/>
      <c r="E191" s="2261"/>
      <c r="F191" s="2261" t="s">
        <v>132</v>
      </c>
      <c r="G191" s="2261" t="s">
        <v>132</v>
      </c>
      <c r="H191" s="2261" t="s">
        <v>132</v>
      </c>
      <c r="I191" s="2261" t="s">
        <v>132</v>
      </c>
      <c r="J191" s="2261" t="s">
        <v>132</v>
      </c>
      <c r="K191" s="2261"/>
      <c r="L191" s="2261"/>
      <c r="M191" s="2276" t="s">
        <v>132</v>
      </c>
      <c r="N191" s="2276" t="s">
        <v>132</v>
      </c>
      <c r="O191" s="2261" t="s">
        <v>132</v>
      </c>
      <c r="P191" s="2261" t="s">
        <v>132</v>
      </c>
      <c r="Q191" s="2261" t="s">
        <v>132</v>
      </c>
      <c r="R191" s="2261"/>
      <c r="S191" s="2261"/>
      <c r="T191" s="2276" t="s">
        <v>132</v>
      </c>
      <c r="U191" s="2276" t="s">
        <v>132</v>
      </c>
      <c r="V191" s="2261" t="s">
        <v>132</v>
      </c>
      <c r="W191" s="2261" t="s">
        <v>132</v>
      </c>
      <c r="X191" s="2261" t="s">
        <v>132</v>
      </c>
      <c r="Y191" s="2261"/>
      <c r="Z191" s="2261"/>
      <c r="AA191" s="2261" t="s">
        <v>132</v>
      </c>
      <c r="AB191" s="2261" t="s">
        <v>132</v>
      </c>
      <c r="AC191" s="2261" t="s">
        <v>132</v>
      </c>
      <c r="AD191" s="2261" t="s">
        <v>132</v>
      </c>
      <c r="AE191" s="2261" t="s">
        <v>132</v>
      </c>
      <c r="AF191" s="2261"/>
      <c r="AG191" s="2156"/>
      <c r="AH191" s="190"/>
      <c r="AI191" s="190"/>
    </row>
    <row r="192" spans="1:36" ht="22.15" customHeight="1" x14ac:dyDescent="0.2">
      <c r="A192" s="109"/>
      <c r="B192" s="2235"/>
      <c r="C192" s="2261"/>
      <c r="D192" s="2261"/>
      <c r="E192" s="2261"/>
      <c r="F192" s="2261" t="s">
        <v>243</v>
      </c>
      <c r="G192" s="2261" t="s">
        <v>243</v>
      </c>
      <c r="H192" s="2261" t="s">
        <v>243</v>
      </c>
      <c r="I192" s="2261" t="s">
        <v>243</v>
      </c>
      <c r="J192" s="2261" t="s">
        <v>243</v>
      </c>
      <c r="K192" s="2261"/>
      <c r="L192" s="2261"/>
      <c r="M192" s="2261" t="s">
        <v>243</v>
      </c>
      <c r="N192" s="2261" t="s">
        <v>243</v>
      </c>
      <c r="O192" s="2261" t="s">
        <v>243</v>
      </c>
      <c r="P192" s="2261" t="s">
        <v>243</v>
      </c>
      <c r="Q192" s="2261" t="s">
        <v>243</v>
      </c>
      <c r="R192" s="2261"/>
      <c r="S192" s="2261"/>
      <c r="T192" s="2261" t="s">
        <v>243</v>
      </c>
      <c r="U192" s="2261" t="s">
        <v>243</v>
      </c>
      <c r="V192" s="2261" t="s">
        <v>243</v>
      </c>
      <c r="W192" s="2261" t="s">
        <v>243</v>
      </c>
      <c r="X192" s="2261" t="s">
        <v>243</v>
      </c>
      <c r="Y192" s="2261"/>
      <c r="Z192" s="2261"/>
      <c r="AA192" s="2261" t="s">
        <v>243</v>
      </c>
      <c r="AB192" s="2261" t="s">
        <v>243</v>
      </c>
      <c r="AC192" s="2261" t="s">
        <v>243</v>
      </c>
      <c r="AD192" s="2261" t="s">
        <v>243</v>
      </c>
      <c r="AE192" s="2261" t="s">
        <v>243</v>
      </c>
      <c r="AF192" s="2261"/>
      <c r="AG192" s="2156"/>
      <c r="AH192" s="190"/>
      <c r="AI192" s="190"/>
    </row>
    <row r="193" spans="1:35" ht="22.15" customHeight="1" x14ac:dyDescent="0.2">
      <c r="A193" s="109"/>
      <c r="B193" s="2278" t="s">
        <v>263</v>
      </c>
      <c r="C193" s="2261"/>
      <c r="D193" s="2261"/>
      <c r="E193" s="2261"/>
      <c r="F193" s="2261" t="s">
        <v>246</v>
      </c>
      <c r="G193" s="2261" t="s">
        <v>246</v>
      </c>
      <c r="H193" s="2261" t="s">
        <v>246</v>
      </c>
      <c r="I193" s="2261" t="s">
        <v>246</v>
      </c>
      <c r="J193" s="2261" t="s">
        <v>246</v>
      </c>
      <c r="K193" s="2261"/>
      <c r="L193" s="2261"/>
      <c r="M193" s="2261" t="s">
        <v>246</v>
      </c>
      <c r="N193" s="2261" t="s">
        <v>246</v>
      </c>
      <c r="O193" s="2261" t="s">
        <v>246</v>
      </c>
      <c r="P193" s="2261" t="s">
        <v>246</v>
      </c>
      <c r="Q193" s="2261" t="s">
        <v>246</v>
      </c>
      <c r="R193" s="2261"/>
      <c r="S193" s="2261"/>
      <c r="T193" s="2261" t="s">
        <v>246</v>
      </c>
      <c r="U193" s="2261" t="s">
        <v>246</v>
      </c>
      <c r="V193" s="2261" t="s">
        <v>246</v>
      </c>
      <c r="W193" s="2261" t="s">
        <v>246</v>
      </c>
      <c r="X193" s="2261" t="s">
        <v>246</v>
      </c>
      <c r="Y193" s="2261"/>
      <c r="Z193" s="2261"/>
      <c r="AA193" s="2261" t="s">
        <v>246</v>
      </c>
      <c r="AB193" s="2261" t="s">
        <v>246</v>
      </c>
      <c r="AC193" s="2261" t="s">
        <v>246</v>
      </c>
      <c r="AD193" s="2261" t="s">
        <v>246</v>
      </c>
      <c r="AE193" s="2261" t="s">
        <v>246</v>
      </c>
      <c r="AF193" s="2261"/>
      <c r="AG193" s="2156"/>
      <c r="AH193" s="107"/>
      <c r="AI193" s="107"/>
    </row>
    <row r="194" spans="1:35" ht="21" customHeight="1" thickBot="1" x14ac:dyDescent="0.25">
      <c r="A194" s="148"/>
      <c r="B194" s="692" t="s">
        <v>264</v>
      </c>
      <c r="C194" s="696"/>
      <c r="D194" s="696"/>
      <c r="E194" s="696"/>
      <c r="F194" s="696" t="s">
        <v>248</v>
      </c>
      <c r="G194" s="696" t="s">
        <v>248</v>
      </c>
      <c r="H194" s="696" t="s">
        <v>248</v>
      </c>
      <c r="I194" s="680" t="s">
        <v>248</v>
      </c>
      <c r="J194" s="680" t="s">
        <v>248</v>
      </c>
      <c r="K194" s="696"/>
      <c r="L194" s="696"/>
      <c r="M194" s="680" t="s">
        <v>265</v>
      </c>
      <c r="N194" s="690" t="s">
        <v>248</v>
      </c>
      <c r="O194" s="696" t="s">
        <v>248</v>
      </c>
      <c r="P194" s="696" t="s">
        <v>248</v>
      </c>
      <c r="Q194" s="696" t="s">
        <v>248</v>
      </c>
      <c r="R194" s="696"/>
      <c r="S194" s="696"/>
      <c r="T194" s="696" t="s">
        <v>248</v>
      </c>
      <c r="U194" s="696" t="s">
        <v>248</v>
      </c>
      <c r="V194" s="696" t="s">
        <v>248</v>
      </c>
      <c r="W194" s="696" t="s">
        <v>248</v>
      </c>
      <c r="X194" s="696" t="s">
        <v>248</v>
      </c>
      <c r="Y194" s="696"/>
      <c r="Z194" s="696"/>
      <c r="AA194" s="696" t="s">
        <v>248</v>
      </c>
      <c r="AB194" s="696" t="s">
        <v>248</v>
      </c>
      <c r="AC194" s="696" t="s">
        <v>248</v>
      </c>
      <c r="AD194" s="696" t="s">
        <v>248</v>
      </c>
      <c r="AE194" s="696" t="s">
        <v>248</v>
      </c>
      <c r="AF194" s="696"/>
      <c r="AG194" s="217"/>
      <c r="AH194" s="115"/>
    </row>
    <row r="195" spans="1:35" ht="21" customHeight="1" x14ac:dyDescent="0.2">
      <c r="A195" s="148"/>
      <c r="B195" s="257"/>
      <c r="C195" s="255"/>
      <c r="D195" s="255"/>
      <c r="E195" s="255"/>
      <c r="F195" s="255"/>
      <c r="G195" s="255"/>
      <c r="H195" s="255"/>
      <c r="I195" s="261"/>
      <c r="J195" s="261"/>
      <c r="K195" s="255"/>
      <c r="L195" s="255"/>
      <c r="M195" s="261"/>
      <c r="N195" s="229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255"/>
      <c r="AC195" s="255"/>
      <c r="AD195" s="255"/>
      <c r="AE195" s="255"/>
      <c r="AF195" s="255"/>
      <c r="AG195" s="255"/>
      <c r="AH195" s="115"/>
    </row>
    <row r="196" spans="1:35" ht="22.15" customHeight="1" x14ac:dyDescent="0.2"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</row>
    <row r="197" spans="1:35" ht="22.15" customHeight="1" thickBot="1" x14ac:dyDescent="0.25">
      <c r="A197" s="1" t="s">
        <v>266</v>
      </c>
      <c r="B197" s="59"/>
    </row>
    <row r="198" spans="1:35" ht="22.15" customHeight="1" x14ac:dyDescent="0.2">
      <c r="A198" s="1"/>
      <c r="B198" s="2279" t="s">
        <v>267</v>
      </c>
      <c r="C198" s="525" t="s">
        <v>90</v>
      </c>
      <c r="D198" s="525"/>
      <c r="E198" s="525"/>
      <c r="F198" s="525"/>
      <c r="G198" s="526" t="s">
        <v>91</v>
      </c>
      <c r="H198" s="525"/>
      <c r="I198" s="525"/>
      <c r="J198" s="525"/>
      <c r="K198" s="526" t="s">
        <v>92</v>
      </c>
      <c r="L198" s="525"/>
      <c r="M198" s="525"/>
      <c r="N198" s="525"/>
      <c r="O198" s="526" t="s">
        <v>93</v>
      </c>
      <c r="P198" s="525"/>
      <c r="Q198" s="525"/>
      <c r="R198" s="525"/>
      <c r="S198" s="526" t="s">
        <v>94</v>
      </c>
      <c r="T198" s="525"/>
      <c r="U198" s="525"/>
      <c r="V198" s="525"/>
      <c r="W198" s="527" t="s">
        <v>95</v>
      </c>
      <c r="X198" s="473"/>
      <c r="Y198" s="525"/>
      <c r="Z198" s="528"/>
      <c r="AA198" s="527" t="s">
        <v>96</v>
      </c>
      <c r="AB198" s="473"/>
      <c r="AC198" s="525"/>
      <c r="AD198" s="528"/>
      <c r="AE198" s="529" t="s">
        <v>97</v>
      </c>
      <c r="AF198" s="525"/>
      <c r="AG198" s="525"/>
      <c r="AH198" s="525"/>
      <c r="AI198" s="474"/>
    </row>
    <row r="199" spans="1:35" ht="22.15" customHeight="1" x14ac:dyDescent="0.2">
      <c r="A199" s="1"/>
      <c r="B199" s="1467">
        <v>3701</v>
      </c>
      <c r="C199" s="110" t="s">
        <v>268</v>
      </c>
      <c r="D199" s="110"/>
      <c r="E199" s="110"/>
      <c r="F199" s="110"/>
      <c r="G199" s="2089" t="s">
        <v>269</v>
      </c>
      <c r="H199" s="110"/>
      <c r="I199" s="110"/>
      <c r="J199" s="110"/>
      <c r="K199" s="2089" t="s">
        <v>269</v>
      </c>
      <c r="L199" s="110"/>
      <c r="M199" s="110"/>
      <c r="N199" s="110"/>
      <c r="O199" s="2089" t="s">
        <v>269</v>
      </c>
      <c r="P199" s="110"/>
      <c r="Q199" s="110"/>
      <c r="R199" s="110"/>
      <c r="S199" s="2089" t="s">
        <v>270</v>
      </c>
      <c r="T199" s="110"/>
      <c r="U199" s="110"/>
      <c r="V199" s="110"/>
      <c r="W199" s="1865"/>
      <c r="X199" s="1866"/>
      <c r="Y199" s="1235"/>
      <c r="Z199" s="1867"/>
      <c r="AA199" s="1865"/>
      <c r="AB199" s="1866"/>
      <c r="AC199" s="1235"/>
      <c r="AD199" s="1867"/>
      <c r="AE199" s="1391"/>
      <c r="AF199" s="1235"/>
      <c r="AG199" s="1235"/>
      <c r="AH199" s="1235"/>
      <c r="AI199" s="1176"/>
    </row>
    <row r="200" spans="1:35" ht="22.15" customHeight="1" x14ac:dyDescent="0.2">
      <c r="A200" s="2280"/>
      <c r="B200" s="2279"/>
      <c r="C200" s="1473"/>
      <c r="D200" s="1474"/>
      <c r="E200" s="1474"/>
      <c r="F200" s="1868"/>
      <c r="G200" s="1473"/>
      <c r="H200" s="1474"/>
      <c r="I200" s="1474"/>
      <c r="J200" s="1868"/>
      <c r="K200" s="1473"/>
      <c r="L200" s="1474"/>
      <c r="M200" s="1474"/>
      <c r="N200" s="1868"/>
      <c r="O200" s="1473"/>
      <c r="P200" s="1474"/>
      <c r="Q200" s="1474"/>
      <c r="R200" s="1868"/>
      <c r="S200" s="1473"/>
      <c r="T200" s="1474"/>
      <c r="U200" s="1474"/>
      <c r="V200" s="1474"/>
      <c r="W200" s="1865"/>
      <c r="X200" s="1866"/>
      <c r="Y200" s="1235"/>
      <c r="Z200" s="1867"/>
      <c r="AA200" s="1865"/>
      <c r="AB200" s="1866"/>
      <c r="AC200" s="1235"/>
      <c r="AD200" s="1867"/>
      <c r="AE200" s="1391"/>
      <c r="AF200" s="1235"/>
      <c r="AG200" s="1235"/>
      <c r="AH200" s="1235"/>
      <c r="AI200" s="1176"/>
    </row>
    <row r="201" spans="1:35" ht="22.15" customHeight="1" x14ac:dyDescent="0.2">
      <c r="A201" s="2280"/>
      <c r="B201" s="2279"/>
      <c r="C201" s="1473"/>
      <c r="D201" s="1474"/>
      <c r="E201" s="1474"/>
      <c r="F201" s="1868"/>
      <c r="G201" s="1473"/>
      <c r="H201" s="1474"/>
      <c r="I201" s="1474"/>
      <c r="J201" s="1868"/>
      <c r="K201" s="1473"/>
      <c r="L201" s="1474"/>
      <c r="M201" s="1474"/>
      <c r="N201" s="1868"/>
      <c r="O201" s="1473"/>
      <c r="P201" s="1474"/>
      <c r="Q201" s="1474"/>
      <c r="R201" s="1868"/>
      <c r="S201" s="1473"/>
      <c r="T201" s="1474"/>
      <c r="U201" s="1474"/>
      <c r="V201" s="1474"/>
      <c r="W201" s="1865"/>
      <c r="X201" s="1866"/>
      <c r="Y201" s="1235"/>
      <c r="Z201" s="1867"/>
      <c r="AA201" s="1865"/>
      <c r="AB201" s="1866"/>
      <c r="AC201" s="1235"/>
      <c r="AD201" s="1867"/>
      <c r="AE201" s="1391"/>
      <c r="AF201" s="1235"/>
      <c r="AG201" s="1235"/>
      <c r="AH201" s="1235"/>
      <c r="AI201" s="1176"/>
    </row>
    <row r="202" spans="1:35" ht="22.15" customHeight="1" thickBot="1" x14ac:dyDescent="0.25">
      <c r="A202" s="2012"/>
      <c r="B202" s="2013"/>
      <c r="C202" s="1869"/>
      <c r="D202" s="1870"/>
      <c r="E202" s="1870"/>
      <c r="F202" s="1871"/>
      <c r="G202" s="1869"/>
      <c r="H202" s="1870"/>
      <c r="I202" s="1870"/>
      <c r="J202" s="1871"/>
      <c r="K202" s="1869"/>
      <c r="L202" s="1870"/>
      <c r="M202" s="1870"/>
      <c r="N202" s="1871"/>
      <c r="O202" s="1869"/>
      <c r="P202" s="1870"/>
      <c r="Q202" s="1870"/>
      <c r="R202" s="1871"/>
      <c r="S202" s="1869"/>
      <c r="T202" s="1870"/>
      <c r="U202" s="1870"/>
      <c r="V202" s="1870"/>
      <c r="W202" s="1872"/>
      <c r="X202" s="1873"/>
      <c r="Y202" s="1874"/>
      <c r="Z202" s="1875"/>
      <c r="AA202" s="1872"/>
      <c r="AB202" s="1873"/>
      <c r="AC202" s="1874"/>
      <c r="AD202" s="1875"/>
      <c r="AE202" s="1404"/>
      <c r="AF202" s="1242"/>
      <c r="AG202" s="1242"/>
      <c r="AH202" s="1242"/>
      <c r="AI202" s="1245"/>
    </row>
    <row r="203" spans="1:35" ht="22.15" customHeight="1" x14ac:dyDescent="0.2">
      <c r="AG203" s="110"/>
      <c r="AH203" s="110"/>
    </row>
    <row r="204" spans="1:35" ht="22.15" customHeight="1" x14ac:dyDescent="0.2">
      <c r="B204" s="2279">
        <v>3700</v>
      </c>
      <c r="C204" s="1235" t="s">
        <v>162</v>
      </c>
      <c r="D204" s="1235"/>
      <c r="E204" s="1235"/>
      <c r="F204" s="1235"/>
      <c r="G204" s="1876" t="s">
        <v>162</v>
      </c>
      <c r="H204" s="1235"/>
      <c r="I204" s="1235"/>
      <c r="J204" s="1235"/>
      <c r="K204" s="1876" t="s">
        <v>162</v>
      </c>
      <c r="L204" s="1235"/>
      <c r="M204" s="1235"/>
      <c r="N204" s="1235"/>
      <c r="O204" s="1876" t="s">
        <v>162</v>
      </c>
      <c r="P204" s="1235"/>
      <c r="Q204" s="1235"/>
      <c r="R204" s="1235"/>
      <c r="S204" s="1876" t="s">
        <v>163</v>
      </c>
      <c r="T204" s="1235"/>
      <c r="U204" s="1235"/>
      <c r="V204" s="1235"/>
      <c r="W204" s="1235"/>
      <c r="X204" s="1876"/>
      <c r="Y204" s="1235"/>
      <c r="Z204" s="1393"/>
      <c r="AA204" s="1391"/>
      <c r="AB204" s="1235"/>
      <c r="AC204" s="1235"/>
      <c r="AD204" s="1284"/>
      <c r="AE204" s="1877"/>
      <c r="AF204" s="1235"/>
      <c r="AG204" s="1235"/>
      <c r="AH204" s="1284"/>
      <c r="AI204" s="1176"/>
    </row>
    <row r="205" spans="1:35" ht="22.15" customHeight="1" x14ac:dyDescent="0.2">
      <c r="A205" s="1"/>
      <c r="B205" s="2279">
        <v>8514</v>
      </c>
      <c r="C205" s="1235" t="s">
        <v>269</v>
      </c>
      <c r="D205" s="1235"/>
      <c r="E205" s="1235"/>
      <c r="F205" s="1235"/>
      <c r="G205" s="1876" t="s">
        <v>269</v>
      </c>
      <c r="H205" s="1235"/>
      <c r="I205" s="1235"/>
      <c r="J205" s="1235"/>
      <c r="K205" s="1876" t="s">
        <v>269</v>
      </c>
      <c r="L205" s="1235"/>
      <c r="M205" s="1235"/>
      <c r="N205" s="1235"/>
      <c r="O205" s="1876" t="s">
        <v>269</v>
      </c>
      <c r="P205" s="1235"/>
      <c r="Q205" s="1235"/>
      <c r="R205" s="1235"/>
      <c r="S205" s="1876" t="s">
        <v>271</v>
      </c>
      <c r="T205" s="1235"/>
      <c r="U205" s="1235"/>
      <c r="V205" s="1235"/>
      <c r="W205" s="1235"/>
      <c r="X205" s="1876"/>
      <c r="Y205" s="1235"/>
      <c r="Z205" s="1393"/>
      <c r="AA205" s="1283"/>
      <c r="AB205" s="1235"/>
      <c r="AC205" s="1235"/>
      <c r="AD205" s="1284"/>
      <c r="AE205" s="1283"/>
      <c r="AF205" s="1235"/>
      <c r="AG205" s="1235"/>
      <c r="AH205" s="1284"/>
      <c r="AI205" s="1176"/>
    </row>
    <row r="206" spans="1:35" ht="22.15" customHeight="1" x14ac:dyDescent="0.2">
      <c r="A206" s="1"/>
      <c r="B206" s="2279">
        <v>8500</v>
      </c>
      <c r="C206" s="166" t="s">
        <v>272</v>
      </c>
      <c r="D206" s="166"/>
      <c r="E206" s="166"/>
      <c r="F206" s="166"/>
      <c r="G206" s="167" t="s">
        <v>272</v>
      </c>
      <c r="H206" s="166"/>
      <c r="I206" s="166"/>
      <c r="J206" s="166"/>
      <c r="K206" s="167" t="s">
        <v>272</v>
      </c>
      <c r="L206" s="166"/>
      <c r="M206" s="166"/>
      <c r="N206" s="166"/>
      <c r="O206" s="167" t="s">
        <v>272</v>
      </c>
      <c r="P206" s="166"/>
      <c r="Q206" s="166"/>
      <c r="R206" s="166"/>
      <c r="S206" s="167" t="s">
        <v>273</v>
      </c>
      <c r="T206" s="166"/>
      <c r="U206" s="166"/>
      <c r="V206" s="166"/>
      <c r="W206" s="166"/>
      <c r="X206" s="167"/>
      <c r="Y206" s="166"/>
      <c r="Z206" s="121"/>
      <c r="AA206" s="120"/>
      <c r="AB206" s="166"/>
      <c r="AC206" s="166"/>
      <c r="AD206" s="121"/>
      <c r="AE206" s="120"/>
      <c r="AF206" s="166"/>
      <c r="AG206" s="166"/>
      <c r="AH206" s="113"/>
      <c r="AI206" s="119"/>
    </row>
    <row r="207" spans="1:35" ht="22.15" customHeight="1" x14ac:dyDescent="0.2">
      <c r="A207" s="1"/>
      <c r="B207" s="2279">
        <v>8514</v>
      </c>
      <c r="C207" s="169" t="s">
        <v>269</v>
      </c>
      <c r="D207" s="169"/>
      <c r="E207" s="169"/>
      <c r="F207" s="169"/>
      <c r="G207" s="170" t="s">
        <v>269</v>
      </c>
      <c r="H207" s="169"/>
      <c r="I207" s="169"/>
      <c r="J207" s="169"/>
      <c r="K207" s="170" t="s">
        <v>269</v>
      </c>
      <c r="L207" s="169"/>
      <c r="M207" s="169"/>
      <c r="N207" s="169"/>
      <c r="O207" s="170" t="s">
        <v>269</v>
      </c>
      <c r="P207" s="169"/>
      <c r="Q207" s="169"/>
      <c r="R207" s="169"/>
      <c r="S207" s="170" t="s">
        <v>271</v>
      </c>
      <c r="T207" s="169"/>
      <c r="U207" s="169"/>
      <c r="V207" s="169"/>
      <c r="W207" s="169"/>
      <c r="X207" s="149"/>
      <c r="Y207" s="166"/>
      <c r="Z207" s="168"/>
      <c r="AA207" s="156"/>
      <c r="AB207" s="117"/>
      <c r="AC207" s="166"/>
      <c r="AD207" s="166"/>
      <c r="AE207" s="118"/>
      <c r="AF207" s="166"/>
      <c r="AG207" s="166"/>
      <c r="AH207" s="166"/>
      <c r="AI207" s="119"/>
    </row>
    <row r="208" spans="1:35" ht="22.15" customHeight="1" thickBot="1" x14ac:dyDescent="0.25">
      <c r="A208" s="1"/>
      <c r="B208" s="2281" t="s">
        <v>274</v>
      </c>
      <c r="C208" s="1242" t="s">
        <v>275</v>
      </c>
      <c r="D208" s="1242"/>
      <c r="E208" s="1242"/>
      <c r="F208" s="1242"/>
      <c r="G208" s="1067" t="s">
        <v>275</v>
      </c>
      <c r="H208" s="1242"/>
      <c r="I208" s="1242"/>
      <c r="J208" s="1242"/>
      <c r="K208" s="1879" t="s">
        <v>275</v>
      </c>
      <c r="L208" s="1242"/>
      <c r="M208" s="1242"/>
      <c r="N208" s="1242"/>
      <c r="O208" s="1067" t="s">
        <v>275</v>
      </c>
      <c r="P208" s="1242"/>
      <c r="Q208" s="1242"/>
      <c r="R208" s="1242"/>
      <c r="S208" s="1067" t="s">
        <v>276</v>
      </c>
      <c r="T208" s="1242"/>
      <c r="U208" s="1242"/>
      <c r="V208" s="1242"/>
      <c r="W208" s="1242"/>
      <c r="X208" s="1067"/>
      <c r="Y208" s="1242"/>
      <c r="Z208" s="1425"/>
      <c r="AA208" s="1404"/>
      <c r="AB208" s="1242"/>
      <c r="AC208" s="1242"/>
      <c r="AD208" s="1411"/>
      <c r="AE208" s="1880"/>
      <c r="AF208" s="1242"/>
      <c r="AG208" s="1242"/>
      <c r="AH208" s="1411"/>
      <c r="AI208" s="1245"/>
    </row>
    <row r="209" spans="1:35" ht="22.1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15" customHeight="1" x14ac:dyDescent="0.2">
      <c r="A210" s="1" t="s">
        <v>277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15" customHeight="1" thickBot="1" x14ac:dyDescent="0.25">
      <c r="A211" s="1343"/>
      <c r="B211" s="1247" t="s">
        <v>29</v>
      </c>
      <c r="C211" s="1185">
        <v>1</v>
      </c>
      <c r="D211" s="1185">
        <v>2</v>
      </c>
      <c r="E211" s="1185">
        <v>3</v>
      </c>
      <c r="F211" s="1254">
        <v>4</v>
      </c>
      <c r="G211" s="1254">
        <v>5</v>
      </c>
      <c r="H211" s="1254">
        <v>6</v>
      </c>
      <c r="I211" s="1254">
        <v>7</v>
      </c>
      <c r="J211" s="1254">
        <v>8</v>
      </c>
      <c r="K211" s="1185">
        <v>9</v>
      </c>
      <c r="L211" s="1185">
        <v>10</v>
      </c>
      <c r="M211" s="1254">
        <v>11</v>
      </c>
      <c r="N211" s="1254">
        <v>12</v>
      </c>
      <c r="O211" s="1254">
        <v>13</v>
      </c>
      <c r="P211" s="1254">
        <v>14</v>
      </c>
      <c r="Q211" s="1254">
        <v>15</v>
      </c>
      <c r="R211" s="1185">
        <v>16</v>
      </c>
      <c r="S211" s="1185">
        <v>17</v>
      </c>
      <c r="T211" s="1254">
        <v>18</v>
      </c>
      <c r="U211" s="1254">
        <v>19</v>
      </c>
      <c r="V211" s="1254">
        <v>20</v>
      </c>
      <c r="W211" s="1254">
        <v>21</v>
      </c>
      <c r="X211" s="1254">
        <v>22</v>
      </c>
      <c r="Y211" s="1185">
        <v>23</v>
      </c>
      <c r="Z211" s="1185">
        <v>24</v>
      </c>
      <c r="AA211" s="1254">
        <v>25</v>
      </c>
      <c r="AB211" s="1254">
        <v>26</v>
      </c>
      <c r="AC211" s="1254">
        <v>27</v>
      </c>
      <c r="AD211" s="1254">
        <v>28</v>
      </c>
      <c r="AE211" s="1254">
        <v>29</v>
      </c>
      <c r="AF211" s="1185">
        <v>30</v>
      </c>
      <c r="AG211" s="2064">
        <v>31</v>
      </c>
      <c r="AH211" s="184"/>
      <c r="AI211" s="185"/>
    </row>
    <row r="212" spans="1:35" ht="22.15" customHeight="1" x14ac:dyDescent="0.2">
      <c r="A212" s="305"/>
      <c r="B212" s="306" t="s">
        <v>278</v>
      </c>
      <c r="C212" s="2222"/>
      <c r="D212" s="2222"/>
      <c r="E212" s="2222"/>
      <c r="F212" s="2224" t="s">
        <v>31</v>
      </c>
      <c r="G212" s="2222" t="s">
        <v>31</v>
      </c>
      <c r="H212" s="2222" t="s">
        <v>31</v>
      </c>
      <c r="I212" s="2222" t="s">
        <v>31</v>
      </c>
      <c r="J212" s="2222" t="s">
        <v>31</v>
      </c>
      <c r="K212" s="2222"/>
      <c r="L212" s="2222"/>
      <c r="M212" s="2222" t="s">
        <v>31</v>
      </c>
      <c r="N212" s="2229" t="s">
        <v>31</v>
      </c>
      <c r="O212" s="2229" t="s">
        <v>31</v>
      </c>
      <c r="P212" s="2229" t="s">
        <v>31</v>
      </c>
      <c r="Q212" s="2230" t="s">
        <v>31</v>
      </c>
      <c r="R212" s="2229"/>
      <c r="S212" s="2222"/>
      <c r="T212" s="2222" t="s">
        <v>31</v>
      </c>
      <c r="U212" s="2229" t="s">
        <v>31</v>
      </c>
      <c r="V212" s="2229" t="s">
        <v>31</v>
      </c>
      <c r="W212" s="2229" t="s">
        <v>31</v>
      </c>
      <c r="X212" s="2222" t="s">
        <v>31</v>
      </c>
      <c r="Y212" s="2229"/>
      <c r="Z212" s="2222"/>
      <c r="AA212" s="2222" t="s">
        <v>31</v>
      </c>
      <c r="AB212" s="2222" t="s">
        <v>31</v>
      </c>
      <c r="AC212" s="2222" t="s">
        <v>31</v>
      </c>
      <c r="AD212" s="2224" t="s">
        <v>31</v>
      </c>
      <c r="AE212" s="2222" t="s">
        <v>31</v>
      </c>
      <c r="AF212" s="2224"/>
      <c r="AG212" s="274"/>
      <c r="AH212" s="184"/>
      <c r="AI212" s="185"/>
    </row>
    <row r="213" spans="1:35" ht="22.15" customHeight="1" x14ac:dyDescent="0.2">
      <c r="A213" s="2282"/>
      <c r="B213" s="2283" t="s">
        <v>279</v>
      </c>
      <c r="C213" s="2222"/>
      <c r="D213" s="2222"/>
      <c r="E213" s="2222"/>
      <c r="F213" s="2224" t="s">
        <v>31</v>
      </c>
      <c r="G213" s="2222" t="s">
        <v>31</v>
      </c>
      <c r="H213" s="2222" t="s">
        <v>31</v>
      </c>
      <c r="I213" s="2222" t="s">
        <v>31</v>
      </c>
      <c r="J213" s="2222" t="s">
        <v>31</v>
      </c>
      <c r="K213" s="2222"/>
      <c r="L213" s="2222"/>
      <c r="M213" s="2222" t="s">
        <v>31</v>
      </c>
      <c r="N213" s="2229" t="s">
        <v>31</v>
      </c>
      <c r="O213" s="2229" t="s">
        <v>31</v>
      </c>
      <c r="P213" s="2229" t="s">
        <v>31</v>
      </c>
      <c r="Q213" s="2230" t="s">
        <v>31</v>
      </c>
      <c r="R213" s="2229"/>
      <c r="S213" s="2222"/>
      <c r="T213" s="2222" t="s">
        <v>31</v>
      </c>
      <c r="U213" s="2229" t="s">
        <v>31</v>
      </c>
      <c r="V213" s="2229" t="s">
        <v>31</v>
      </c>
      <c r="W213" s="2229" t="s">
        <v>31</v>
      </c>
      <c r="X213" s="2222" t="s">
        <v>31</v>
      </c>
      <c r="Y213" s="2229"/>
      <c r="Z213" s="2222"/>
      <c r="AA213" s="2222" t="s">
        <v>31</v>
      </c>
      <c r="AB213" s="2222" t="s">
        <v>31</v>
      </c>
      <c r="AC213" s="2222" t="s">
        <v>31</v>
      </c>
      <c r="AD213" s="2224" t="s">
        <v>31</v>
      </c>
      <c r="AE213" s="2222" t="s">
        <v>31</v>
      </c>
      <c r="AF213" s="2224"/>
      <c r="AG213" s="2193"/>
      <c r="AH213" s="184"/>
      <c r="AI213" s="185"/>
    </row>
    <row r="214" spans="1:35" ht="22.15" customHeight="1" x14ac:dyDescent="0.2">
      <c r="A214" s="2194">
        <v>8514</v>
      </c>
      <c r="B214" s="2142" t="s">
        <v>280</v>
      </c>
      <c r="C214" s="2222"/>
      <c r="D214" s="2222"/>
      <c r="E214" s="2222"/>
      <c r="F214" s="2224" t="s">
        <v>31</v>
      </c>
      <c r="G214" s="2222" t="s">
        <v>31</v>
      </c>
      <c r="H214" s="2222" t="s">
        <v>31</v>
      </c>
      <c r="I214" s="2222" t="s">
        <v>31</v>
      </c>
      <c r="J214" s="2222" t="s">
        <v>31</v>
      </c>
      <c r="K214" s="2222"/>
      <c r="L214" s="2222"/>
      <c r="M214" s="2222" t="s">
        <v>31</v>
      </c>
      <c r="N214" s="2229" t="s">
        <v>31</v>
      </c>
      <c r="O214" s="2229" t="s">
        <v>31</v>
      </c>
      <c r="P214" s="2229" t="s">
        <v>31</v>
      </c>
      <c r="Q214" s="2230" t="s">
        <v>31</v>
      </c>
      <c r="R214" s="2229"/>
      <c r="S214" s="2222"/>
      <c r="T214" s="2222" t="s">
        <v>31</v>
      </c>
      <c r="U214" s="2229" t="s">
        <v>31</v>
      </c>
      <c r="V214" s="2229" t="s">
        <v>31</v>
      </c>
      <c r="W214" s="2229" t="s">
        <v>31</v>
      </c>
      <c r="X214" s="2222" t="s">
        <v>31</v>
      </c>
      <c r="Y214" s="2229"/>
      <c r="Z214" s="2222"/>
      <c r="AA214" s="2222" t="s">
        <v>31</v>
      </c>
      <c r="AB214" s="2222" t="s">
        <v>31</v>
      </c>
      <c r="AC214" s="2222" t="s">
        <v>31</v>
      </c>
      <c r="AD214" s="2224" t="s">
        <v>31</v>
      </c>
      <c r="AE214" s="2222" t="s">
        <v>31</v>
      </c>
      <c r="AF214" s="2224"/>
      <c r="AG214" s="2193"/>
      <c r="AH214" s="189"/>
      <c r="AI214" s="190"/>
    </row>
    <row r="215" spans="1:35" ht="21" customHeight="1" x14ac:dyDescent="0.2">
      <c r="A215" s="2194">
        <v>3701</v>
      </c>
      <c r="B215" s="2142" t="s">
        <v>281</v>
      </c>
      <c r="C215" s="2222"/>
      <c r="D215" s="2222"/>
      <c r="E215" s="2222"/>
      <c r="F215" s="2224" t="s">
        <v>31</v>
      </c>
      <c r="G215" s="2222" t="s">
        <v>31</v>
      </c>
      <c r="H215" s="2222" t="s">
        <v>31</v>
      </c>
      <c r="I215" s="2222" t="s">
        <v>31</v>
      </c>
      <c r="J215" s="2222" t="s">
        <v>31</v>
      </c>
      <c r="K215" s="2222"/>
      <c r="L215" s="2222"/>
      <c r="M215" s="2222" t="s">
        <v>31</v>
      </c>
      <c r="N215" s="2229" t="s">
        <v>31</v>
      </c>
      <c r="O215" s="2229" t="s">
        <v>31</v>
      </c>
      <c r="P215" s="2229" t="s">
        <v>31</v>
      </c>
      <c r="Q215" s="2230" t="s">
        <v>31</v>
      </c>
      <c r="R215" s="2229"/>
      <c r="S215" s="2222"/>
      <c r="T215" s="2222" t="s">
        <v>31</v>
      </c>
      <c r="U215" s="2229" t="s">
        <v>31</v>
      </c>
      <c r="V215" s="2229" t="s">
        <v>31</v>
      </c>
      <c r="W215" s="2229" t="s">
        <v>31</v>
      </c>
      <c r="X215" s="2222" t="s">
        <v>31</v>
      </c>
      <c r="Y215" s="2229"/>
      <c r="Z215" s="2222"/>
      <c r="AA215" s="2222" t="s">
        <v>31</v>
      </c>
      <c r="AB215" s="2222" t="s">
        <v>31</v>
      </c>
      <c r="AC215" s="2222" t="s">
        <v>31</v>
      </c>
      <c r="AD215" s="2224" t="s">
        <v>31</v>
      </c>
      <c r="AE215" s="2222" t="s">
        <v>31</v>
      </c>
      <c r="AF215" s="2224"/>
      <c r="AG215" s="2193"/>
      <c r="AH215" s="189"/>
      <c r="AI215" s="190"/>
    </row>
    <row r="216" spans="1:35" ht="21" customHeight="1" x14ac:dyDescent="0.2">
      <c r="A216" s="2194">
        <v>3701</v>
      </c>
      <c r="B216" s="2142" t="s">
        <v>282</v>
      </c>
      <c r="C216" s="2222"/>
      <c r="D216" s="2222"/>
      <c r="E216" s="2222"/>
      <c r="F216" s="2224" t="s">
        <v>31</v>
      </c>
      <c r="G216" s="2222" t="s">
        <v>31</v>
      </c>
      <c r="H216" s="2222" t="s">
        <v>31</v>
      </c>
      <c r="I216" s="2222" t="s">
        <v>31</v>
      </c>
      <c r="J216" s="2222" t="s">
        <v>31</v>
      </c>
      <c r="K216" s="2222"/>
      <c r="L216" s="2222"/>
      <c r="M216" s="2222" t="s">
        <v>31</v>
      </c>
      <c r="N216" s="2229" t="s">
        <v>31</v>
      </c>
      <c r="O216" s="2229" t="s">
        <v>31</v>
      </c>
      <c r="P216" s="2229" t="s">
        <v>31</v>
      </c>
      <c r="Q216" s="2230" t="s">
        <v>31</v>
      </c>
      <c r="R216" s="2229"/>
      <c r="S216" s="2222"/>
      <c r="T216" s="2222" t="s">
        <v>31</v>
      </c>
      <c r="U216" s="2229" t="s">
        <v>31</v>
      </c>
      <c r="V216" s="2229" t="s">
        <v>31</v>
      </c>
      <c r="W216" s="2229" t="s">
        <v>31</v>
      </c>
      <c r="X216" s="2222" t="s">
        <v>31</v>
      </c>
      <c r="Y216" s="2229"/>
      <c r="Z216" s="2222"/>
      <c r="AA216" s="2222" t="s">
        <v>31</v>
      </c>
      <c r="AB216" s="2222" t="s">
        <v>31</v>
      </c>
      <c r="AC216" s="2222" t="s">
        <v>31</v>
      </c>
      <c r="AD216" s="2224" t="s">
        <v>31</v>
      </c>
      <c r="AE216" s="2222" t="s">
        <v>31</v>
      </c>
      <c r="AF216" s="2224"/>
      <c r="AG216" s="2193"/>
      <c r="AH216" s="189"/>
      <c r="AI216" s="190"/>
    </row>
    <row r="217" spans="1:35" ht="21" customHeight="1" x14ac:dyDescent="0.2">
      <c r="A217" s="2194">
        <v>3701</v>
      </c>
      <c r="B217" s="2142" t="s">
        <v>283</v>
      </c>
      <c r="C217" s="2222"/>
      <c r="D217" s="2222"/>
      <c r="E217" s="2222"/>
      <c r="F217" s="2224" t="s">
        <v>31</v>
      </c>
      <c r="G217" s="2222" t="s">
        <v>31</v>
      </c>
      <c r="H217" s="2222" t="s">
        <v>31</v>
      </c>
      <c r="I217" s="2222" t="s">
        <v>31</v>
      </c>
      <c r="J217" s="2222" t="s">
        <v>31</v>
      </c>
      <c r="K217" s="2222"/>
      <c r="L217" s="2222"/>
      <c r="M217" s="2222" t="s">
        <v>31</v>
      </c>
      <c r="N217" s="2229" t="s">
        <v>31</v>
      </c>
      <c r="O217" s="2229" t="s">
        <v>31</v>
      </c>
      <c r="P217" s="2229" t="s">
        <v>31</v>
      </c>
      <c r="Q217" s="2230" t="s">
        <v>31</v>
      </c>
      <c r="R217" s="2229"/>
      <c r="S217" s="2222"/>
      <c r="T217" s="2222" t="s">
        <v>31</v>
      </c>
      <c r="U217" s="2229" t="s">
        <v>31</v>
      </c>
      <c r="V217" s="2229" t="s">
        <v>31</v>
      </c>
      <c r="W217" s="2229" t="s">
        <v>31</v>
      </c>
      <c r="X217" s="2222" t="s">
        <v>31</v>
      </c>
      <c r="Y217" s="2229"/>
      <c r="Z217" s="2222"/>
      <c r="AA217" s="2222" t="s">
        <v>31</v>
      </c>
      <c r="AB217" s="2222" t="s">
        <v>31</v>
      </c>
      <c r="AC217" s="2222" t="s">
        <v>31</v>
      </c>
      <c r="AD217" s="2224" t="s">
        <v>31</v>
      </c>
      <c r="AE217" s="2222" t="s">
        <v>31</v>
      </c>
      <c r="AF217" s="2224"/>
      <c r="AG217" s="2193"/>
      <c r="AH217" s="189"/>
      <c r="AI217" s="190"/>
    </row>
    <row r="218" spans="1:35" ht="21" customHeight="1" x14ac:dyDescent="0.2">
      <c r="A218" s="2194">
        <v>3701</v>
      </c>
      <c r="B218" s="2142" t="s">
        <v>284</v>
      </c>
      <c r="C218" s="2222"/>
      <c r="D218" s="2222"/>
      <c r="E218" s="2222"/>
      <c r="F218" s="2224" t="s">
        <v>31</v>
      </c>
      <c r="G218" s="2222" t="s">
        <v>31</v>
      </c>
      <c r="H218" s="2222" t="s">
        <v>31</v>
      </c>
      <c r="I218" s="2222" t="s">
        <v>31</v>
      </c>
      <c r="J218" s="2222" t="s">
        <v>31</v>
      </c>
      <c r="K218" s="2222"/>
      <c r="L218" s="2222"/>
      <c r="M218" s="2222" t="s">
        <v>31</v>
      </c>
      <c r="N218" s="2229" t="s">
        <v>31</v>
      </c>
      <c r="O218" s="2229" t="s">
        <v>31</v>
      </c>
      <c r="P218" s="2229" t="s">
        <v>31</v>
      </c>
      <c r="Q218" s="2230" t="s">
        <v>31</v>
      </c>
      <c r="R218" s="2229"/>
      <c r="S218" s="2222"/>
      <c r="T218" s="2222" t="s">
        <v>31</v>
      </c>
      <c r="U218" s="2229" t="s">
        <v>31</v>
      </c>
      <c r="V218" s="2229" t="s">
        <v>31</v>
      </c>
      <c r="W218" s="2229" t="s">
        <v>31</v>
      </c>
      <c r="X218" s="2222" t="s">
        <v>31</v>
      </c>
      <c r="Y218" s="2229"/>
      <c r="Z218" s="2222"/>
      <c r="AA218" s="2222" t="s">
        <v>31</v>
      </c>
      <c r="AB218" s="2222" t="s">
        <v>31</v>
      </c>
      <c r="AC218" s="2222" t="s">
        <v>31</v>
      </c>
      <c r="AD218" s="2224" t="s">
        <v>31</v>
      </c>
      <c r="AE218" s="2222" t="s">
        <v>31</v>
      </c>
      <c r="AF218" s="2224"/>
      <c r="AG218" s="2193"/>
      <c r="AH218" s="189"/>
      <c r="AI218" s="190"/>
    </row>
    <row r="219" spans="1:35" ht="22.15" customHeight="1" x14ac:dyDescent="0.2">
      <c r="A219" s="2194">
        <v>3701</v>
      </c>
      <c r="B219" s="2142" t="s">
        <v>285</v>
      </c>
      <c r="C219" s="2222"/>
      <c r="D219" s="2222"/>
      <c r="E219" s="2222"/>
      <c r="F219" s="2224" t="s">
        <v>31</v>
      </c>
      <c r="G219" s="2222" t="s">
        <v>31</v>
      </c>
      <c r="H219" s="2222" t="s">
        <v>31</v>
      </c>
      <c r="I219" s="2222" t="s">
        <v>31</v>
      </c>
      <c r="J219" s="2222" t="s">
        <v>31</v>
      </c>
      <c r="K219" s="2222"/>
      <c r="L219" s="2222"/>
      <c r="M219" s="2222" t="s">
        <v>31</v>
      </c>
      <c r="N219" s="2229" t="s">
        <v>31</v>
      </c>
      <c r="O219" s="2229" t="s">
        <v>31</v>
      </c>
      <c r="P219" s="2229" t="s">
        <v>31</v>
      </c>
      <c r="Q219" s="2230" t="s">
        <v>31</v>
      </c>
      <c r="R219" s="2229"/>
      <c r="S219" s="2222"/>
      <c r="T219" s="2222" t="s">
        <v>31</v>
      </c>
      <c r="U219" s="2229" t="s">
        <v>31</v>
      </c>
      <c r="V219" s="2229" t="s">
        <v>31</v>
      </c>
      <c r="W219" s="2229" t="s">
        <v>31</v>
      </c>
      <c r="X219" s="2222" t="s">
        <v>31</v>
      </c>
      <c r="Y219" s="2229"/>
      <c r="Z219" s="2222"/>
      <c r="AA219" s="2222" t="s">
        <v>31</v>
      </c>
      <c r="AB219" s="2222" t="s">
        <v>31</v>
      </c>
      <c r="AC219" s="2222" t="s">
        <v>31</v>
      </c>
      <c r="AD219" s="2224" t="s">
        <v>31</v>
      </c>
      <c r="AE219" s="2222" t="s">
        <v>31</v>
      </c>
      <c r="AF219" s="2224"/>
      <c r="AG219" s="2193"/>
      <c r="AH219" s="189"/>
      <c r="AI219" s="190"/>
    </row>
    <row r="220" spans="1:35" ht="22.15" customHeight="1" x14ac:dyDescent="0.2">
      <c r="A220" s="2194">
        <v>3701</v>
      </c>
      <c r="B220" s="2142" t="s">
        <v>286</v>
      </c>
      <c r="C220" s="2222"/>
      <c r="D220" s="2222"/>
      <c r="E220" s="2222"/>
      <c r="F220" s="2224" t="s">
        <v>31</v>
      </c>
      <c r="G220" s="2222" t="s">
        <v>31</v>
      </c>
      <c r="H220" s="2222" t="s">
        <v>31</v>
      </c>
      <c r="I220" s="2222" t="s">
        <v>31</v>
      </c>
      <c r="J220" s="2222" t="s">
        <v>31</v>
      </c>
      <c r="K220" s="2222"/>
      <c r="L220" s="2222"/>
      <c r="M220" s="2222" t="s">
        <v>31</v>
      </c>
      <c r="N220" s="2229" t="s">
        <v>31</v>
      </c>
      <c r="O220" s="2229" t="s">
        <v>31</v>
      </c>
      <c r="P220" s="2229" t="s">
        <v>31</v>
      </c>
      <c r="Q220" s="2230" t="s">
        <v>31</v>
      </c>
      <c r="R220" s="2229"/>
      <c r="S220" s="2222"/>
      <c r="T220" s="2222" t="s">
        <v>31</v>
      </c>
      <c r="U220" s="2229" t="s">
        <v>31</v>
      </c>
      <c r="V220" s="2229" t="s">
        <v>31</v>
      </c>
      <c r="W220" s="2229" t="s">
        <v>31</v>
      </c>
      <c r="X220" s="2222" t="s">
        <v>31</v>
      </c>
      <c r="Y220" s="2229"/>
      <c r="Z220" s="2222"/>
      <c r="AA220" s="2222" t="s">
        <v>31</v>
      </c>
      <c r="AB220" s="2222" t="s">
        <v>31</v>
      </c>
      <c r="AC220" s="2222" t="s">
        <v>31</v>
      </c>
      <c r="AD220" s="2224" t="s">
        <v>31</v>
      </c>
      <c r="AE220" s="2222" t="s">
        <v>31</v>
      </c>
      <c r="AF220" s="2224"/>
      <c r="AG220" s="2193"/>
      <c r="AH220" s="189"/>
      <c r="AI220" s="190"/>
    </row>
    <row r="221" spans="1:35" ht="22.15" customHeight="1" x14ac:dyDescent="0.2">
      <c r="A221" s="2194">
        <v>3701</v>
      </c>
      <c r="B221" s="2142"/>
      <c r="C221" s="2222"/>
      <c r="D221" s="2222"/>
      <c r="E221" s="2222"/>
      <c r="F221" s="2224" t="s">
        <v>31</v>
      </c>
      <c r="G221" s="2222" t="s">
        <v>31</v>
      </c>
      <c r="H221" s="2222" t="s">
        <v>31</v>
      </c>
      <c r="I221" s="2222" t="s">
        <v>31</v>
      </c>
      <c r="J221" s="2222" t="s">
        <v>31</v>
      </c>
      <c r="K221" s="2222"/>
      <c r="L221" s="2222"/>
      <c r="M221" s="2222" t="s">
        <v>31</v>
      </c>
      <c r="N221" s="2229" t="s">
        <v>31</v>
      </c>
      <c r="O221" s="2229" t="s">
        <v>31</v>
      </c>
      <c r="P221" s="2229" t="s">
        <v>31</v>
      </c>
      <c r="Q221" s="2230" t="s">
        <v>31</v>
      </c>
      <c r="R221" s="2229"/>
      <c r="S221" s="2222"/>
      <c r="T221" s="2222" t="s">
        <v>31</v>
      </c>
      <c r="U221" s="2229" t="s">
        <v>31</v>
      </c>
      <c r="V221" s="2229" t="s">
        <v>31</v>
      </c>
      <c r="W221" s="2229" t="s">
        <v>31</v>
      </c>
      <c r="X221" s="2222" t="s">
        <v>31</v>
      </c>
      <c r="Y221" s="2229"/>
      <c r="Z221" s="2222"/>
      <c r="AA221" s="2222" t="s">
        <v>31</v>
      </c>
      <c r="AB221" s="2222" t="s">
        <v>31</v>
      </c>
      <c r="AC221" s="2222" t="s">
        <v>31</v>
      </c>
      <c r="AD221" s="2224" t="s">
        <v>31</v>
      </c>
      <c r="AE221" s="2222" t="s">
        <v>31</v>
      </c>
      <c r="AF221" s="2224"/>
      <c r="AG221" s="2193"/>
      <c r="AH221" s="189"/>
      <c r="AI221" s="190"/>
    </row>
    <row r="222" spans="1:35" ht="22.15" customHeight="1" x14ac:dyDescent="0.2">
      <c r="A222" s="2198">
        <v>3701</v>
      </c>
      <c r="B222" s="2142" t="s">
        <v>290</v>
      </c>
      <c r="C222" s="2222"/>
      <c r="D222" s="2222"/>
      <c r="E222" s="2222"/>
      <c r="F222" s="2224" t="s">
        <v>31</v>
      </c>
      <c r="G222" s="2222" t="s">
        <v>31</v>
      </c>
      <c r="H222" s="2222" t="s">
        <v>31</v>
      </c>
      <c r="I222" s="2254" t="s">
        <v>289</v>
      </c>
      <c r="J222" s="2254" t="s">
        <v>31</v>
      </c>
      <c r="K222" s="2222"/>
      <c r="L222" s="2222"/>
      <c r="M222" s="2222" t="s">
        <v>31</v>
      </c>
      <c r="N222" s="2229" t="s">
        <v>31</v>
      </c>
      <c r="O222" s="2229" t="s">
        <v>31</v>
      </c>
      <c r="P222" s="2229" t="s">
        <v>31</v>
      </c>
      <c r="Q222" s="2230" t="s">
        <v>31</v>
      </c>
      <c r="R222" s="2229"/>
      <c r="S222" s="2222"/>
      <c r="T222" s="2222" t="s">
        <v>31</v>
      </c>
      <c r="U222" s="2229" t="s">
        <v>31</v>
      </c>
      <c r="V222" s="2229" t="s">
        <v>31</v>
      </c>
      <c r="W222" s="2229" t="s">
        <v>31</v>
      </c>
      <c r="X222" s="2222" t="s">
        <v>31</v>
      </c>
      <c r="Y222" s="2229"/>
      <c r="Z222" s="2222"/>
      <c r="AA222" s="2222" t="s">
        <v>31</v>
      </c>
      <c r="AB222" s="2222" t="s">
        <v>31</v>
      </c>
      <c r="AC222" s="2222" t="s">
        <v>31</v>
      </c>
      <c r="AD222" s="2224" t="s">
        <v>31</v>
      </c>
      <c r="AE222" s="2222" t="s">
        <v>31</v>
      </c>
      <c r="AF222" s="2224"/>
      <c r="AG222" s="2193"/>
      <c r="AH222" s="189"/>
      <c r="AI222" s="190"/>
    </row>
    <row r="223" spans="1:35" ht="22.15" customHeight="1" x14ac:dyDescent="0.2">
      <c r="A223" s="2194">
        <v>3701</v>
      </c>
      <c r="B223" s="2142" t="s">
        <v>291</v>
      </c>
      <c r="C223" s="2222"/>
      <c r="D223" s="2222"/>
      <c r="E223" s="2222"/>
      <c r="F223" s="2224" t="s">
        <v>31</v>
      </c>
      <c r="G223" s="2222" t="s">
        <v>31</v>
      </c>
      <c r="H223" s="2222" t="s">
        <v>31</v>
      </c>
      <c r="I223" s="2222" t="s">
        <v>31</v>
      </c>
      <c r="J223" s="2222" t="s">
        <v>31</v>
      </c>
      <c r="K223" s="2222"/>
      <c r="L223" s="2222"/>
      <c r="M223" s="2254" t="s">
        <v>289</v>
      </c>
      <c r="N223" s="2204" t="s">
        <v>31</v>
      </c>
      <c r="O223" s="2204" t="s">
        <v>31</v>
      </c>
      <c r="P223" s="2204" t="s">
        <v>31</v>
      </c>
      <c r="Q223" s="2204" t="s">
        <v>31</v>
      </c>
      <c r="R223" s="2229"/>
      <c r="S223" s="2222"/>
      <c r="T223" s="2222" t="s">
        <v>31</v>
      </c>
      <c r="U223" s="2229" t="s">
        <v>31</v>
      </c>
      <c r="V223" s="2229" t="s">
        <v>31</v>
      </c>
      <c r="W223" s="2229" t="s">
        <v>31</v>
      </c>
      <c r="X223" s="2222" t="s">
        <v>31</v>
      </c>
      <c r="Y223" s="2229"/>
      <c r="Z223" s="2222"/>
      <c r="AA223" s="2222" t="s">
        <v>31</v>
      </c>
      <c r="AB223" s="2222" t="s">
        <v>31</v>
      </c>
      <c r="AC223" s="2222" t="s">
        <v>31</v>
      </c>
      <c r="AD223" s="2224" t="s">
        <v>31</v>
      </c>
      <c r="AE223" s="2222" t="s">
        <v>31</v>
      </c>
      <c r="AF223" s="2224"/>
      <c r="AG223" s="2199"/>
      <c r="AH223" s="189"/>
      <c r="AI223" s="190"/>
    </row>
    <row r="224" spans="1:35" ht="22.15" customHeight="1" x14ac:dyDescent="0.2">
      <c r="A224" s="2194">
        <v>3701</v>
      </c>
      <c r="B224" s="2284"/>
      <c r="C224" s="2222"/>
      <c r="D224" s="2222"/>
      <c r="E224" s="2222"/>
      <c r="F224" s="2224" t="s">
        <v>31</v>
      </c>
      <c r="G224" s="2222" t="s">
        <v>31</v>
      </c>
      <c r="H224" s="2222" t="s">
        <v>31</v>
      </c>
      <c r="I224" s="2222" t="s">
        <v>31</v>
      </c>
      <c r="J224" s="2222" t="s">
        <v>31</v>
      </c>
      <c r="K224" s="2222"/>
      <c r="L224" s="2222"/>
      <c r="M224" s="2222" t="s">
        <v>31</v>
      </c>
      <c r="N224" s="2229" t="s">
        <v>31</v>
      </c>
      <c r="O224" s="2229" t="s">
        <v>31</v>
      </c>
      <c r="P224" s="2229" t="s">
        <v>31</v>
      </c>
      <c r="Q224" s="2230" t="s">
        <v>31</v>
      </c>
      <c r="R224" s="2229"/>
      <c r="S224" s="2222"/>
      <c r="T224" s="2222" t="s">
        <v>31</v>
      </c>
      <c r="U224" s="2229" t="s">
        <v>31</v>
      </c>
      <c r="V224" s="2229" t="s">
        <v>31</v>
      </c>
      <c r="W224" s="2229" t="s">
        <v>31</v>
      </c>
      <c r="X224" s="2222" t="s">
        <v>31</v>
      </c>
      <c r="Y224" s="2229"/>
      <c r="Z224" s="2222"/>
      <c r="AA224" s="2222" t="s">
        <v>31</v>
      </c>
      <c r="AB224" s="2222" t="s">
        <v>31</v>
      </c>
      <c r="AC224" s="2222" t="s">
        <v>31</v>
      </c>
      <c r="AD224" s="2224" t="s">
        <v>31</v>
      </c>
      <c r="AE224" s="2222" t="s">
        <v>31</v>
      </c>
      <c r="AF224" s="2224"/>
      <c r="AG224" s="2200"/>
      <c r="AH224" s="189"/>
      <c r="AI224" s="190"/>
    </row>
    <row r="225" spans="1:35" ht="22.15" customHeight="1" x14ac:dyDescent="0.2">
      <c r="A225" s="2194"/>
      <c r="B225" s="2201"/>
      <c r="C225" s="2222"/>
      <c r="D225" s="2222"/>
      <c r="E225" s="2222"/>
      <c r="F225" s="2224" t="s">
        <v>31</v>
      </c>
      <c r="G225" s="2222" t="s">
        <v>31</v>
      </c>
      <c r="H225" s="2222" t="s">
        <v>31</v>
      </c>
      <c r="I225" s="2222" t="s">
        <v>31</v>
      </c>
      <c r="J225" s="2222" t="s">
        <v>31</v>
      </c>
      <c r="K225" s="2222"/>
      <c r="L225" s="2222"/>
      <c r="M225" s="2222" t="s">
        <v>31</v>
      </c>
      <c r="N225" s="2229" t="s">
        <v>31</v>
      </c>
      <c r="O225" s="2229" t="s">
        <v>31</v>
      </c>
      <c r="P225" s="2229" t="s">
        <v>31</v>
      </c>
      <c r="Q225" s="2230" t="s">
        <v>31</v>
      </c>
      <c r="R225" s="2229"/>
      <c r="S225" s="2222"/>
      <c r="T225" s="2222" t="s">
        <v>31</v>
      </c>
      <c r="U225" s="2229" t="s">
        <v>31</v>
      </c>
      <c r="V225" s="2229" t="s">
        <v>31</v>
      </c>
      <c r="W225" s="2229" t="s">
        <v>31</v>
      </c>
      <c r="X225" s="2222" t="s">
        <v>31</v>
      </c>
      <c r="Y225" s="2229"/>
      <c r="Z225" s="2222"/>
      <c r="AA225" s="2222" t="s">
        <v>31</v>
      </c>
      <c r="AB225" s="2222" t="s">
        <v>31</v>
      </c>
      <c r="AC225" s="2222" t="s">
        <v>31</v>
      </c>
      <c r="AD225" s="2224" t="s">
        <v>31</v>
      </c>
      <c r="AE225" s="2222" t="s">
        <v>31</v>
      </c>
      <c r="AF225" s="2224"/>
      <c r="AG225" s="2193"/>
      <c r="AH225" s="189"/>
      <c r="AI225" s="190"/>
    </row>
    <row r="226" spans="1:35" ht="22.15" customHeight="1" x14ac:dyDescent="0.2">
      <c r="A226" s="2194"/>
      <c r="B226" s="2142" t="s">
        <v>293</v>
      </c>
      <c r="C226" s="2222"/>
      <c r="D226" s="2222"/>
      <c r="E226" s="2222"/>
      <c r="F226" s="2224" t="s">
        <v>31</v>
      </c>
      <c r="G226" s="2222" t="s">
        <v>31</v>
      </c>
      <c r="H226" s="2222" t="s">
        <v>31</v>
      </c>
      <c r="I226" s="2222" t="s">
        <v>31</v>
      </c>
      <c r="J226" s="2222" t="s">
        <v>31</v>
      </c>
      <c r="K226" s="2222"/>
      <c r="L226" s="2222"/>
      <c r="M226" s="2222" t="s">
        <v>31</v>
      </c>
      <c r="N226" s="2229" t="s">
        <v>31</v>
      </c>
      <c r="O226" s="2229" t="s">
        <v>31</v>
      </c>
      <c r="P226" s="2229" t="s">
        <v>31</v>
      </c>
      <c r="Q226" s="2230" t="s">
        <v>31</v>
      </c>
      <c r="R226" s="2229"/>
      <c r="S226" s="2222"/>
      <c r="T226" s="2222" t="s">
        <v>31</v>
      </c>
      <c r="U226" s="2229" t="s">
        <v>31</v>
      </c>
      <c r="V226" s="2229" t="s">
        <v>31</v>
      </c>
      <c r="W226" s="2229" t="s">
        <v>31</v>
      </c>
      <c r="X226" s="2222" t="s">
        <v>31</v>
      </c>
      <c r="Y226" s="2229"/>
      <c r="Z226" s="2222"/>
      <c r="AA226" s="2222" t="s">
        <v>31</v>
      </c>
      <c r="AB226" s="2222" t="s">
        <v>31</v>
      </c>
      <c r="AC226" s="2222" t="s">
        <v>31</v>
      </c>
      <c r="AD226" s="2224" t="s">
        <v>31</v>
      </c>
      <c r="AE226" s="2222" t="s">
        <v>31</v>
      </c>
      <c r="AF226" s="2224"/>
      <c r="AG226" s="2193"/>
      <c r="AH226" s="189"/>
      <c r="AI226" s="190"/>
    </row>
    <row r="227" spans="1:35" ht="22.15" customHeight="1" x14ac:dyDescent="0.2">
      <c r="A227" s="2194"/>
      <c r="B227" s="2142" t="s">
        <v>294</v>
      </c>
      <c r="C227" s="2222"/>
      <c r="D227" s="2222"/>
      <c r="E227" s="2222"/>
      <c r="F227" s="2224" t="s">
        <v>31</v>
      </c>
      <c r="G227" s="2222" t="s">
        <v>31</v>
      </c>
      <c r="H227" s="2222" t="s">
        <v>31</v>
      </c>
      <c r="I227" s="2222" t="s">
        <v>31</v>
      </c>
      <c r="J227" s="2222" t="s">
        <v>31</v>
      </c>
      <c r="K227" s="2222"/>
      <c r="L227" s="2222"/>
      <c r="M227" s="2222" t="s">
        <v>31</v>
      </c>
      <c r="N227" s="2229" t="s">
        <v>31</v>
      </c>
      <c r="O227" s="2229" t="s">
        <v>31</v>
      </c>
      <c r="P227" s="2229" t="s">
        <v>31</v>
      </c>
      <c r="Q227" s="2230" t="s">
        <v>31</v>
      </c>
      <c r="R227" s="2229"/>
      <c r="S227" s="2222"/>
      <c r="T227" s="2222" t="s">
        <v>31</v>
      </c>
      <c r="U227" s="2229" t="s">
        <v>31</v>
      </c>
      <c r="V227" s="2229" t="s">
        <v>31</v>
      </c>
      <c r="W227" s="2229" t="s">
        <v>31</v>
      </c>
      <c r="X227" s="2222" t="s">
        <v>31</v>
      </c>
      <c r="Y227" s="2229"/>
      <c r="Z227" s="2222"/>
      <c r="AA227" s="2222" t="s">
        <v>31</v>
      </c>
      <c r="AB227" s="2222" t="s">
        <v>31</v>
      </c>
      <c r="AC227" s="2222" t="s">
        <v>31</v>
      </c>
      <c r="AD227" s="2224" t="s">
        <v>31</v>
      </c>
      <c r="AE227" s="2222" t="s">
        <v>31</v>
      </c>
      <c r="AF227" s="2224"/>
      <c r="AG227" s="2193"/>
      <c r="AH227" s="189"/>
      <c r="AI227" s="190"/>
    </row>
    <row r="228" spans="1:35" ht="22.15" customHeight="1" x14ac:dyDescent="0.2">
      <c r="A228" s="2194"/>
      <c r="B228" s="2142" t="s">
        <v>295</v>
      </c>
      <c r="C228" s="2222"/>
      <c r="D228" s="2222"/>
      <c r="E228" s="2222"/>
      <c r="F228" s="2224" t="s">
        <v>31</v>
      </c>
      <c r="G228" s="2222" t="s">
        <v>31</v>
      </c>
      <c r="H228" s="2222" t="s">
        <v>31</v>
      </c>
      <c r="I228" s="2222" t="s">
        <v>31</v>
      </c>
      <c r="J228" s="2222" t="s">
        <v>31</v>
      </c>
      <c r="K228" s="2222"/>
      <c r="L228" s="2222"/>
      <c r="M228" s="2222" t="s">
        <v>31</v>
      </c>
      <c r="N228" s="2229" t="s">
        <v>31</v>
      </c>
      <c r="O228" s="2229" t="s">
        <v>31</v>
      </c>
      <c r="P228" s="2229" t="s">
        <v>31</v>
      </c>
      <c r="Q228" s="2230" t="s">
        <v>31</v>
      </c>
      <c r="R228" s="2229"/>
      <c r="S228" s="2222"/>
      <c r="T228" s="2222" t="s">
        <v>31</v>
      </c>
      <c r="U228" s="2229" t="s">
        <v>31</v>
      </c>
      <c r="V228" s="2229" t="s">
        <v>31</v>
      </c>
      <c r="W228" s="2229" t="s">
        <v>31</v>
      </c>
      <c r="X228" s="2222" t="s">
        <v>31</v>
      </c>
      <c r="Y228" s="2229"/>
      <c r="Z228" s="2222"/>
      <c r="AA228" s="2222" t="s">
        <v>31</v>
      </c>
      <c r="AB228" s="2222" t="s">
        <v>31</v>
      </c>
      <c r="AC228" s="2222" t="s">
        <v>31</v>
      </c>
      <c r="AD228" s="2224" t="s">
        <v>31</v>
      </c>
      <c r="AE228" s="2222" t="s">
        <v>31</v>
      </c>
      <c r="AF228" s="2224"/>
      <c r="AG228" s="2193"/>
      <c r="AH228" s="189"/>
      <c r="AI228" s="190"/>
    </row>
    <row r="229" spans="1:35" ht="22.15" customHeight="1" x14ac:dyDescent="0.2">
      <c r="A229" s="2194"/>
      <c r="B229" s="2142" t="s">
        <v>296</v>
      </c>
      <c r="C229" s="2222"/>
      <c r="D229" s="2222"/>
      <c r="E229" s="2222"/>
      <c r="F229" s="2224" t="s">
        <v>31</v>
      </c>
      <c r="G229" s="2222" t="s">
        <v>31</v>
      </c>
      <c r="H229" s="2222" t="s">
        <v>31</v>
      </c>
      <c r="I229" s="2222" t="s">
        <v>31</v>
      </c>
      <c r="J229" s="2222" t="s">
        <v>31</v>
      </c>
      <c r="K229" s="2222"/>
      <c r="L229" s="2222"/>
      <c r="M229" s="2222" t="s">
        <v>31</v>
      </c>
      <c r="N229" s="2229" t="s">
        <v>31</v>
      </c>
      <c r="O229" s="2229" t="s">
        <v>31</v>
      </c>
      <c r="P229" s="2229" t="s">
        <v>31</v>
      </c>
      <c r="Q229" s="2230" t="s">
        <v>31</v>
      </c>
      <c r="R229" s="2229"/>
      <c r="S229" s="2222"/>
      <c r="T229" s="2222" t="s">
        <v>31</v>
      </c>
      <c r="U229" s="2229" t="s">
        <v>31</v>
      </c>
      <c r="V229" s="2229" t="s">
        <v>31</v>
      </c>
      <c r="W229" s="2229" t="s">
        <v>31</v>
      </c>
      <c r="X229" s="2222" t="s">
        <v>31</v>
      </c>
      <c r="Y229" s="2229"/>
      <c r="Z229" s="2222"/>
      <c r="AA229" s="2222" t="s">
        <v>31</v>
      </c>
      <c r="AB229" s="2222" t="s">
        <v>31</v>
      </c>
      <c r="AC229" s="2222" t="s">
        <v>31</v>
      </c>
      <c r="AD229" s="2224" t="s">
        <v>31</v>
      </c>
      <c r="AE229" s="2222" t="s">
        <v>31</v>
      </c>
      <c r="AF229" s="2224"/>
      <c r="AG229" s="2199"/>
      <c r="AH229" s="189"/>
      <c r="AI229" s="190"/>
    </row>
    <row r="230" spans="1:35" ht="22.15" customHeight="1" x14ac:dyDescent="0.2">
      <c r="A230" s="2194"/>
      <c r="B230" s="2202" t="s">
        <v>297</v>
      </c>
      <c r="C230" s="2224"/>
      <c r="D230" s="2224"/>
      <c r="E230" s="2224"/>
      <c r="F230" s="2261"/>
      <c r="G230" s="2229"/>
      <c r="H230" s="2229"/>
      <c r="I230" s="2224"/>
      <c r="J230" s="2224"/>
      <c r="K230" s="2224"/>
      <c r="L230" s="2224"/>
      <c r="M230" s="2224"/>
      <c r="N230" s="2222"/>
      <c r="O230" s="2224"/>
      <c r="P230" s="2224"/>
      <c r="Q230" s="2224"/>
      <c r="R230" s="2224"/>
      <c r="S230" s="2224"/>
      <c r="T230" s="2224"/>
      <c r="U230" s="2224"/>
      <c r="V230" s="2224"/>
      <c r="W230" s="2224"/>
      <c r="X230" s="2224"/>
      <c r="Y230" s="2230"/>
      <c r="Z230" s="2230"/>
      <c r="AA230" s="2230"/>
      <c r="AB230" s="2224"/>
      <c r="AC230" s="2224"/>
      <c r="AD230" s="2224"/>
      <c r="AE230" s="2224"/>
      <c r="AF230" s="2222"/>
      <c r="AG230" s="2193"/>
      <c r="AH230" s="186"/>
      <c r="AI230" s="107"/>
    </row>
    <row r="231" spans="1:35" ht="22.15" customHeight="1" x14ac:dyDescent="0.2">
      <c r="A231" s="2194"/>
      <c r="B231" s="2142"/>
      <c r="C231" s="2224"/>
      <c r="D231" s="2224"/>
      <c r="E231" s="2224"/>
      <c r="F231" s="2261"/>
      <c r="G231" s="2229"/>
      <c r="H231" s="2229"/>
      <c r="I231" s="2224"/>
      <c r="J231" s="2224"/>
      <c r="K231" s="2224"/>
      <c r="L231" s="2224"/>
      <c r="M231" s="2224"/>
      <c r="N231" s="2222"/>
      <c r="O231" s="2224"/>
      <c r="P231" s="2224"/>
      <c r="Q231" s="2224"/>
      <c r="R231" s="2224"/>
      <c r="S231" s="2224"/>
      <c r="T231" s="2224"/>
      <c r="U231" s="2224"/>
      <c r="V231" s="2224"/>
      <c r="W231" s="2224"/>
      <c r="X231" s="2224"/>
      <c r="Y231" s="2230"/>
      <c r="Z231" s="2230"/>
      <c r="AA231" s="2230"/>
      <c r="AB231" s="2224"/>
      <c r="AC231" s="2224"/>
      <c r="AD231" s="2224"/>
      <c r="AE231" s="2224"/>
      <c r="AF231" s="2222"/>
      <c r="AG231" s="2203"/>
      <c r="AH231" s="186"/>
      <c r="AI231" s="107"/>
    </row>
    <row r="232" spans="1:35" ht="22.15" customHeight="1" x14ac:dyDescent="0.2">
      <c r="A232" s="2204"/>
      <c r="B232" s="1889" t="s">
        <v>298</v>
      </c>
      <c r="C232" s="2224"/>
      <c r="D232" s="2224"/>
      <c r="E232" s="2224"/>
      <c r="F232" s="2224"/>
      <c r="G232" s="2224"/>
      <c r="H232" s="2224"/>
      <c r="I232" s="2224"/>
      <c r="J232" s="2224"/>
      <c r="K232" s="2224"/>
      <c r="L232" s="2224"/>
      <c r="M232" s="2224"/>
      <c r="N232" s="2224"/>
      <c r="O232" s="2224"/>
      <c r="P232" s="2224"/>
      <c r="Q232" s="2224"/>
      <c r="R232" s="2224"/>
      <c r="S232" s="2224"/>
      <c r="T232" s="2224"/>
      <c r="U232" s="2224"/>
      <c r="V232" s="2224"/>
      <c r="W232" s="2224"/>
      <c r="X232" s="2224"/>
      <c r="Y232" s="2224"/>
      <c r="Z232" s="2224"/>
      <c r="AA232" s="2224"/>
      <c r="AB232" s="2224"/>
      <c r="AC232" s="2224"/>
      <c r="AD232" s="2224"/>
      <c r="AE232" s="2224"/>
      <c r="AF232" s="2224"/>
      <c r="AG232" s="2193"/>
      <c r="AH232" s="186"/>
      <c r="AI232" s="107"/>
    </row>
    <row r="233" spans="1:35" ht="22.15" customHeight="1" x14ac:dyDescent="0.2">
      <c r="A233" s="2204"/>
      <c r="B233" s="2142" t="s">
        <v>299</v>
      </c>
      <c r="C233" s="2222"/>
      <c r="D233" s="2222"/>
      <c r="E233" s="2222"/>
      <c r="F233" s="2224" t="s">
        <v>31</v>
      </c>
      <c r="G233" s="2222" t="s">
        <v>31</v>
      </c>
      <c r="H233" s="2222" t="s">
        <v>31</v>
      </c>
      <c r="I233" s="2222" t="s">
        <v>31</v>
      </c>
      <c r="J233" s="2222" t="s">
        <v>31</v>
      </c>
      <c r="K233" s="2222"/>
      <c r="L233" s="2222"/>
      <c r="M233" s="2222" t="s">
        <v>31</v>
      </c>
      <c r="N233" s="2229" t="s">
        <v>31</v>
      </c>
      <c r="O233" s="2229" t="s">
        <v>31</v>
      </c>
      <c r="P233" s="2229" t="s">
        <v>31</v>
      </c>
      <c r="Q233" s="2230" t="s">
        <v>31</v>
      </c>
      <c r="R233" s="2229"/>
      <c r="S233" s="2222"/>
      <c r="T233" s="2222" t="s">
        <v>31</v>
      </c>
      <c r="U233" s="2229" t="s">
        <v>31</v>
      </c>
      <c r="V233" s="2229" t="s">
        <v>31</v>
      </c>
      <c r="W233" s="2229" t="s">
        <v>31</v>
      </c>
      <c r="X233" s="2222" t="s">
        <v>31</v>
      </c>
      <c r="Y233" s="2229"/>
      <c r="Z233" s="2222"/>
      <c r="AA233" s="2222" t="s">
        <v>31</v>
      </c>
      <c r="AB233" s="2222" t="s">
        <v>31</v>
      </c>
      <c r="AC233" s="2222" t="s">
        <v>31</v>
      </c>
      <c r="AD233" s="2224" t="s">
        <v>31</v>
      </c>
      <c r="AE233" s="2222" t="s">
        <v>31</v>
      </c>
      <c r="AF233" s="2224"/>
      <c r="AG233" s="2203"/>
      <c r="AH233" s="186"/>
      <c r="AI233" s="107"/>
    </row>
    <row r="234" spans="1:35" ht="22.15" customHeight="1" x14ac:dyDescent="0.2">
      <c r="A234" s="2204"/>
      <c r="B234" s="2204"/>
      <c r="C234" s="2224"/>
      <c r="D234" s="2224"/>
      <c r="E234" s="2224"/>
      <c r="F234" s="2224"/>
      <c r="G234" s="2224"/>
      <c r="H234" s="2224"/>
      <c r="I234" s="2224"/>
      <c r="J234" s="2224"/>
      <c r="K234" s="2224"/>
      <c r="L234" s="2224"/>
      <c r="M234" s="2224"/>
      <c r="N234" s="2224"/>
      <c r="O234" s="2224"/>
      <c r="P234" s="2224"/>
      <c r="Q234" s="2224"/>
      <c r="R234" s="2224"/>
      <c r="S234" s="2224"/>
      <c r="T234" s="2224"/>
      <c r="U234" s="2224"/>
      <c r="V234" s="2224"/>
      <c r="W234" s="2224"/>
      <c r="X234" s="2224"/>
      <c r="Y234" s="2224"/>
      <c r="Z234" s="2224"/>
      <c r="AA234" s="2224"/>
      <c r="AB234" s="2224"/>
      <c r="AC234" s="2224"/>
      <c r="AD234" s="2224"/>
      <c r="AE234" s="2224"/>
      <c r="AF234" s="2224"/>
      <c r="AG234" s="2193"/>
      <c r="AH234" s="186"/>
      <c r="AI234" s="107"/>
    </row>
    <row r="235" spans="1:35" ht="22.15" customHeight="1" x14ac:dyDescent="0.2">
      <c r="A235" s="2204"/>
      <c r="B235" s="2204"/>
      <c r="C235" s="2224"/>
      <c r="D235" s="2224"/>
      <c r="E235" s="2224"/>
      <c r="F235" s="2224"/>
      <c r="G235" s="2224"/>
      <c r="H235" s="2205"/>
      <c r="I235" s="2224"/>
      <c r="J235" s="2224"/>
      <c r="K235" s="2224"/>
      <c r="L235" s="2224"/>
      <c r="M235" s="2224"/>
      <c r="N235" s="2224"/>
      <c r="O235" s="2224"/>
      <c r="P235" s="2224"/>
      <c r="Q235" s="2224"/>
      <c r="R235" s="2224"/>
      <c r="S235" s="2224"/>
      <c r="T235" s="2224"/>
      <c r="U235" s="2224"/>
      <c r="V235" s="2224"/>
      <c r="W235" s="2224"/>
      <c r="X235" s="2224"/>
      <c r="Y235" s="2224"/>
      <c r="Z235" s="2224"/>
      <c r="AA235" s="2224"/>
      <c r="AB235" s="2224"/>
      <c r="AC235" s="2224"/>
      <c r="AD235" s="2224"/>
      <c r="AE235" s="2224"/>
      <c r="AF235" s="2224"/>
      <c r="AG235" s="2203"/>
      <c r="AH235" s="186"/>
      <c r="AI235" s="107"/>
    </row>
    <row r="236" spans="1:35" ht="22.15" customHeight="1" x14ac:dyDescent="0.2">
      <c r="A236" s="2194"/>
      <c r="B236" s="2201"/>
      <c r="C236" s="2224"/>
      <c r="D236" s="2224"/>
      <c r="E236" s="2224"/>
      <c r="F236" s="2224"/>
      <c r="G236" s="2224"/>
      <c r="H236" s="2224"/>
      <c r="I236" s="2224"/>
      <c r="J236" s="2224"/>
      <c r="K236" s="2224"/>
      <c r="L236" s="2224"/>
      <c r="M236" s="2224"/>
      <c r="N236" s="2224"/>
      <c r="O236" s="2224"/>
      <c r="P236" s="2224"/>
      <c r="Q236" s="2224"/>
      <c r="R236" s="2224"/>
      <c r="S236" s="2224"/>
      <c r="T236" s="2224"/>
      <c r="U236" s="2224"/>
      <c r="V236" s="2224"/>
      <c r="W236" s="2224"/>
      <c r="X236" s="2224"/>
      <c r="Y236" s="2224"/>
      <c r="Z236" s="2224"/>
      <c r="AA236" s="2224"/>
      <c r="AB236" s="2224"/>
      <c r="AC236" s="2224"/>
      <c r="AD236" s="2224"/>
      <c r="AE236" s="2224"/>
      <c r="AF236" s="2224"/>
      <c r="AG236" s="2203"/>
      <c r="AH236" s="186"/>
      <c r="AI236" s="107"/>
    </row>
    <row r="237" spans="1:35" ht="22.15" customHeight="1" x14ac:dyDescent="0.2">
      <c r="A237" s="2194"/>
      <c r="B237" s="2206"/>
      <c r="C237" s="2224"/>
      <c r="D237" s="2224"/>
      <c r="E237" s="2224"/>
      <c r="F237" s="2224"/>
      <c r="G237" s="2224"/>
      <c r="H237" s="2224"/>
      <c r="I237" s="2224"/>
      <c r="J237" s="2224"/>
      <c r="K237" s="2224"/>
      <c r="L237" s="2224"/>
      <c r="M237" s="2224"/>
      <c r="N237" s="2224"/>
      <c r="O237" s="2224"/>
      <c r="P237" s="2224"/>
      <c r="Q237" s="2224"/>
      <c r="R237" s="2224"/>
      <c r="S237" s="2224"/>
      <c r="T237" s="2224"/>
      <c r="U237" s="2224"/>
      <c r="V237" s="2224"/>
      <c r="W237" s="2224"/>
      <c r="X237" s="2224"/>
      <c r="Y237" s="2224"/>
      <c r="Z237" s="2224"/>
      <c r="AA237" s="2224"/>
      <c r="AB237" s="2224"/>
      <c r="AC237" s="2224"/>
      <c r="AD237" s="2224"/>
      <c r="AE237" s="2224"/>
      <c r="AF237" s="2224"/>
      <c r="AG237" s="2203"/>
      <c r="AH237" s="186"/>
      <c r="AI237" s="107"/>
    </row>
    <row r="238" spans="1:35" ht="22.15" customHeight="1" x14ac:dyDescent="0.2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2" spans="1:35" ht="21" customHeight="1" thickBot="1" x14ac:dyDescent="0.25">
      <c r="A242" s="162" t="s">
        <v>300</v>
      </c>
    </row>
    <row r="243" spans="1:35" ht="21" customHeight="1" x14ac:dyDescent="0.2">
      <c r="B243" s="530" t="s">
        <v>267</v>
      </c>
      <c r="C243" s="500"/>
      <c r="D243" s="516" t="s">
        <v>90</v>
      </c>
      <c r="E243" s="473"/>
      <c r="F243" s="504"/>
      <c r="G243" s="500"/>
      <c r="H243" s="516" t="s">
        <v>91</v>
      </c>
      <c r="I243" s="473"/>
      <c r="J243" s="504"/>
      <c r="K243" s="500"/>
      <c r="L243" s="516" t="s">
        <v>92</v>
      </c>
      <c r="M243" s="473"/>
      <c r="N243" s="504"/>
      <c r="O243" s="500"/>
      <c r="P243" s="516" t="s">
        <v>93</v>
      </c>
      <c r="Q243" s="473"/>
      <c r="R243" s="504"/>
      <c r="S243" s="500"/>
      <c r="T243" s="516" t="s">
        <v>94</v>
      </c>
      <c r="U243" s="473"/>
      <c r="V243" s="504"/>
      <c r="W243" s="500"/>
      <c r="X243" s="516" t="s">
        <v>95</v>
      </c>
      <c r="Y243" s="473"/>
      <c r="Z243" s="504"/>
      <c r="AA243" s="500"/>
      <c r="AB243" s="516" t="s">
        <v>96</v>
      </c>
      <c r="AC243" s="473"/>
      <c r="AD243" s="473"/>
      <c r="AE243" s="519" t="s">
        <v>97</v>
      </c>
      <c r="AF243" s="473"/>
      <c r="AG243" s="473"/>
      <c r="AH243" s="473"/>
      <c r="AI243" s="474"/>
    </row>
    <row r="244" spans="1:35" ht="21" customHeight="1" x14ac:dyDescent="0.2">
      <c r="B244" s="3"/>
      <c r="C244" s="156"/>
      <c r="D244" s="117"/>
      <c r="E244" s="166"/>
      <c r="F244" s="168"/>
      <c r="G244" s="156"/>
      <c r="H244" s="117"/>
      <c r="I244" s="166"/>
      <c r="J244" s="168"/>
      <c r="K244" s="156"/>
      <c r="L244" s="117"/>
      <c r="M244" s="166"/>
      <c r="N244" s="168"/>
      <c r="O244" s="156"/>
      <c r="P244" s="117"/>
      <c r="Q244" s="166"/>
      <c r="R244" s="168"/>
      <c r="S244" s="156"/>
      <c r="T244" s="117"/>
      <c r="U244" s="166"/>
      <c r="V244" s="168"/>
      <c r="W244" s="156"/>
      <c r="X244" s="117"/>
      <c r="Y244" s="166"/>
      <c r="Z244" s="168"/>
      <c r="AA244" s="156"/>
      <c r="AB244" s="117"/>
      <c r="AC244" s="166"/>
      <c r="AD244" s="166"/>
      <c r="AE244" s="118"/>
      <c r="AF244" s="166"/>
      <c r="AG244" s="14"/>
      <c r="AH244" s="14"/>
      <c r="AI244" s="119"/>
    </row>
    <row r="245" spans="1:35" ht="21" customHeight="1" x14ac:dyDescent="0.2">
      <c r="A245" s="110"/>
      <c r="B245" s="1890">
        <v>3701</v>
      </c>
      <c r="C245" s="1283" t="s">
        <v>272</v>
      </c>
      <c r="D245" s="1284"/>
      <c r="E245" s="166"/>
      <c r="F245" s="168"/>
      <c r="G245" s="1283" t="s">
        <v>272</v>
      </c>
      <c r="H245" s="117"/>
      <c r="I245" s="166"/>
      <c r="J245" s="168"/>
      <c r="K245" s="1283" t="s">
        <v>272</v>
      </c>
      <c r="L245" s="117"/>
      <c r="M245" s="166"/>
      <c r="N245" s="168"/>
      <c r="O245" s="1283" t="s">
        <v>272</v>
      </c>
      <c r="P245" s="117"/>
      <c r="Q245" s="166"/>
      <c r="R245" s="168"/>
      <c r="S245" s="156" t="s">
        <v>273</v>
      </c>
      <c r="T245" s="117"/>
      <c r="U245" s="166"/>
      <c r="V245" s="168"/>
      <c r="W245" s="156"/>
      <c r="X245" s="117"/>
      <c r="Y245" s="166"/>
      <c r="Z245" s="168"/>
      <c r="AA245" s="156"/>
      <c r="AB245" s="117"/>
      <c r="AC245" s="166"/>
      <c r="AD245" s="166"/>
      <c r="AE245" s="118"/>
      <c r="AF245" s="166"/>
      <c r="AG245" s="14"/>
      <c r="AH245" s="14"/>
      <c r="AI245" s="119"/>
    </row>
    <row r="246" spans="1:35" ht="21" customHeight="1" x14ac:dyDescent="0.2">
      <c r="B246" s="1890"/>
      <c r="C246" s="1283"/>
      <c r="D246" s="1284"/>
      <c r="E246" s="166"/>
      <c r="F246" s="168"/>
      <c r="G246" s="1283"/>
      <c r="H246" s="117"/>
      <c r="I246" s="166"/>
      <c r="J246" s="168"/>
      <c r="K246" s="1283"/>
      <c r="L246" s="117"/>
      <c r="M246" s="166"/>
      <c r="N246" s="168"/>
      <c r="O246" s="1283"/>
      <c r="P246" s="117"/>
      <c r="Q246" s="166"/>
      <c r="R246" s="168"/>
      <c r="S246" s="1283"/>
      <c r="T246" s="117"/>
      <c r="U246" s="166"/>
      <c r="V246" s="168"/>
      <c r="W246" s="156"/>
      <c r="X246" s="117"/>
      <c r="Y246" s="166"/>
      <c r="Z246" s="168"/>
      <c r="AA246" s="156"/>
      <c r="AB246" s="117"/>
      <c r="AC246" s="166"/>
      <c r="AD246" s="166"/>
      <c r="AE246" s="118"/>
      <c r="AF246" s="166"/>
      <c r="AG246" s="14"/>
      <c r="AH246" s="14"/>
      <c r="AI246" s="119"/>
    </row>
    <row r="247" spans="1:35" ht="21" customHeight="1" x14ac:dyDescent="0.2">
      <c r="B247" s="1890">
        <v>3702</v>
      </c>
      <c r="C247" s="1283" t="s">
        <v>301</v>
      </c>
      <c r="D247" s="1284"/>
      <c r="E247" s="166"/>
      <c r="F247" s="168"/>
      <c r="G247" s="1283" t="s">
        <v>301</v>
      </c>
      <c r="H247" s="1284"/>
      <c r="I247" s="166"/>
      <c r="J247" s="168"/>
      <c r="K247" s="1283" t="s">
        <v>301</v>
      </c>
      <c r="L247" s="1284"/>
      <c r="M247" s="166"/>
      <c r="N247" s="168"/>
      <c r="O247" s="1283" t="s">
        <v>301</v>
      </c>
      <c r="P247" s="1284"/>
      <c r="Q247" s="166"/>
      <c r="R247" s="168"/>
      <c r="S247" s="1283" t="s">
        <v>302</v>
      </c>
      <c r="T247" s="1284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B248" s="1890"/>
      <c r="C248" s="1391"/>
      <c r="D248" s="1284"/>
      <c r="E248" s="166"/>
      <c r="F248" s="168"/>
      <c r="G248" s="117"/>
      <c r="H248" s="117"/>
      <c r="I248" s="166"/>
      <c r="J248" s="168"/>
      <c r="K248" s="117"/>
      <c r="L248" s="117"/>
      <c r="M248" s="166"/>
      <c r="N248" s="168"/>
      <c r="O248" s="117"/>
      <c r="P248" s="117"/>
      <c r="Q248" s="166"/>
      <c r="R248" s="168"/>
      <c r="S248" s="117"/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1890" t="s">
        <v>139</v>
      </c>
      <c r="C249" s="1391" t="s">
        <v>303</v>
      </c>
      <c r="D249" s="1284"/>
      <c r="E249" s="166"/>
      <c r="F249" s="168"/>
      <c r="G249" s="1391" t="s">
        <v>303</v>
      </c>
      <c r="H249" s="1284"/>
      <c r="I249" s="166"/>
      <c r="J249" s="168"/>
      <c r="K249" s="1391" t="s">
        <v>303</v>
      </c>
      <c r="L249" s="1284"/>
      <c r="M249" s="166"/>
      <c r="N249" s="168"/>
      <c r="O249" s="1391" t="s">
        <v>303</v>
      </c>
      <c r="P249" s="1284"/>
      <c r="Q249" s="166"/>
      <c r="R249" s="168"/>
      <c r="S249" s="117" t="s">
        <v>304</v>
      </c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x14ac:dyDescent="0.2">
      <c r="B250" s="1890" t="s">
        <v>143</v>
      </c>
      <c r="C250" s="1391" t="s">
        <v>305</v>
      </c>
      <c r="D250" s="1284"/>
      <c r="E250" s="166"/>
      <c r="F250" s="168"/>
      <c r="G250" s="1391" t="s">
        <v>305</v>
      </c>
      <c r="H250" s="1284"/>
      <c r="I250" s="166"/>
      <c r="J250" s="168"/>
      <c r="K250" s="1391" t="s">
        <v>305</v>
      </c>
      <c r="L250" s="1284"/>
      <c r="M250" s="166"/>
      <c r="N250" s="168"/>
      <c r="O250" s="1391" t="s">
        <v>305</v>
      </c>
      <c r="P250" s="1284"/>
      <c r="Q250" s="166"/>
      <c r="R250" s="168"/>
      <c r="S250" s="117" t="s">
        <v>306</v>
      </c>
      <c r="T250" s="117"/>
      <c r="U250" s="166"/>
      <c r="V250" s="168"/>
      <c r="W250" s="156"/>
      <c r="X250" s="117"/>
      <c r="Y250" s="166"/>
      <c r="Z250" s="168"/>
      <c r="AA250" s="156"/>
      <c r="AB250" s="117"/>
      <c r="AC250" s="166"/>
      <c r="AD250" s="166"/>
      <c r="AE250" s="118"/>
      <c r="AF250" s="166"/>
      <c r="AG250" s="14"/>
      <c r="AH250" s="14"/>
      <c r="AI250" s="119"/>
    </row>
    <row r="251" spans="1:35" ht="21" customHeight="1" thickBot="1" x14ac:dyDescent="0.25">
      <c r="B251" s="1089" t="s">
        <v>153</v>
      </c>
      <c r="C251" s="1404" t="s">
        <v>307</v>
      </c>
      <c r="D251" s="1892"/>
      <c r="E251" s="2207"/>
      <c r="F251" s="2208"/>
      <c r="G251" s="1404" t="s">
        <v>307</v>
      </c>
      <c r="H251" s="1892"/>
      <c r="I251" s="2207"/>
      <c r="J251" s="2208"/>
      <c r="K251" s="1404" t="s">
        <v>307</v>
      </c>
      <c r="L251" s="1892"/>
      <c r="M251" s="2207"/>
      <c r="N251" s="2208"/>
      <c r="O251" s="1404" t="s">
        <v>307</v>
      </c>
      <c r="P251" s="1892"/>
      <c r="Q251" s="2207"/>
      <c r="R251" s="2208"/>
      <c r="S251" s="2209" t="s">
        <v>308</v>
      </c>
      <c r="T251" s="2209"/>
      <c r="U251" s="2207"/>
      <c r="V251" s="2208"/>
      <c r="W251" s="2210"/>
      <c r="X251" s="2209"/>
      <c r="Y251" s="2211"/>
      <c r="Z251" s="2212"/>
      <c r="AA251" s="2213"/>
      <c r="AB251" s="2209"/>
      <c r="AC251" s="2211"/>
      <c r="AD251" s="2211"/>
      <c r="AE251" s="2214"/>
      <c r="AF251" s="2211"/>
      <c r="AG251" s="2207"/>
      <c r="AH251" s="2207"/>
      <c r="AI251" s="2215"/>
    </row>
    <row r="252" spans="1:35" ht="21" customHeight="1" x14ac:dyDescent="0.2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 x14ac:dyDescent="0.2">
      <c r="A253" s="123" t="s">
        <v>309</v>
      </c>
    </row>
    <row r="254" spans="1:35" ht="21" customHeight="1" thickBot="1" x14ac:dyDescent="0.25">
      <c r="A254" s="1343"/>
      <c r="B254" s="1247" t="s">
        <v>29</v>
      </c>
      <c r="C254" s="1185">
        <v>1</v>
      </c>
      <c r="D254" s="1185">
        <v>2</v>
      </c>
      <c r="E254" s="1185">
        <v>3</v>
      </c>
      <c r="F254" s="1254">
        <v>4</v>
      </c>
      <c r="G254" s="1254">
        <v>5</v>
      </c>
      <c r="H254" s="1254">
        <v>6</v>
      </c>
      <c r="I254" s="1254">
        <v>7</v>
      </c>
      <c r="J254" s="1254">
        <v>8</v>
      </c>
      <c r="K254" s="1185">
        <v>9</v>
      </c>
      <c r="L254" s="1185">
        <v>10</v>
      </c>
      <c r="M254" s="1254">
        <v>11</v>
      </c>
      <c r="N254" s="1254">
        <v>12</v>
      </c>
      <c r="O254" s="1254">
        <v>13</v>
      </c>
      <c r="P254" s="1254">
        <v>14</v>
      </c>
      <c r="Q254" s="1254">
        <v>15</v>
      </c>
      <c r="R254" s="1185">
        <v>16</v>
      </c>
      <c r="S254" s="1185">
        <v>17</v>
      </c>
      <c r="T254" s="1254">
        <v>18</v>
      </c>
      <c r="U254" s="1254">
        <v>19</v>
      </c>
      <c r="V254" s="1254">
        <v>20</v>
      </c>
      <c r="W254" s="1254">
        <v>21</v>
      </c>
      <c r="X254" s="1254">
        <v>22</v>
      </c>
      <c r="Y254" s="1185">
        <v>23</v>
      </c>
      <c r="Z254" s="1185">
        <v>24</v>
      </c>
      <c r="AA254" s="1254">
        <v>25</v>
      </c>
      <c r="AB254" s="1254">
        <v>26</v>
      </c>
      <c r="AC254" s="1254">
        <v>27</v>
      </c>
      <c r="AD254" s="1254">
        <v>28</v>
      </c>
      <c r="AE254" s="1254">
        <v>29</v>
      </c>
      <c r="AF254" s="1185">
        <v>30</v>
      </c>
      <c r="AG254" s="2064">
        <v>31</v>
      </c>
      <c r="AH254" s="184"/>
      <c r="AI254" s="185"/>
    </row>
    <row r="255" spans="1:35" ht="21" customHeight="1" x14ac:dyDescent="0.2">
      <c r="A255" s="531">
        <v>3701</v>
      </c>
      <c r="B255" s="476"/>
      <c r="C255" s="2222"/>
      <c r="D255" s="2222"/>
      <c r="E255" s="2222"/>
      <c r="F255" s="2224" t="s">
        <v>31</v>
      </c>
      <c r="G255" s="2222" t="s">
        <v>31</v>
      </c>
      <c r="H255" s="2222" t="s">
        <v>31</v>
      </c>
      <c r="I255" s="2222" t="s">
        <v>31</v>
      </c>
      <c r="J255" s="2222" t="s">
        <v>31</v>
      </c>
      <c r="K255" s="2222"/>
      <c r="L255" s="2222"/>
      <c r="M255" s="2222" t="s">
        <v>31</v>
      </c>
      <c r="N255" s="2229" t="s">
        <v>31</v>
      </c>
      <c r="O255" s="2229" t="s">
        <v>31</v>
      </c>
      <c r="P255" s="2229" t="s">
        <v>31</v>
      </c>
      <c r="Q255" s="2230" t="s">
        <v>31</v>
      </c>
      <c r="R255" s="2229"/>
      <c r="S255" s="2222"/>
      <c r="T255" s="2222" t="s">
        <v>31</v>
      </c>
      <c r="U255" s="2229" t="s">
        <v>31</v>
      </c>
      <c r="V255" s="2229" t="s">
        <v>31</v>
      </c>
      <c r="W255" s="2229" t="s">
        <v>31</v>
      </c>
      <c r="X255" s="2222" t="s">
        <v>31</v>
      </c>
      <c r="Y255" s="2229"/>
      <c r="Z255" s="2222"/>
      <c r="AA255" s="2222" t="s">
        <v>31</v>
      </c>
      <c r="AB255" s="2222" t="s">
        <v>31</v>
      </c>
      <c r="AC255" s="2222" t="s">
        <v>31</v>
      </c>
      <c r="AD255" s="2224" t="s">
        <v>31</v>
      </c>
      <c r="AE255" s="2222" t="s">
        <v>31</v>
      </c>
      <c r="AF255" s="2224"/>
      <c r="AG255" s="478"/>
      <c r="AH255" s="189"/>
      <c r="AI255" s="190"/>
    </row>
    <row r="256" spans="1:35" ht="21" customHeight="1" x14ac:dyDescent="0.2">
      <c r="A256" s="2285">
        <v>3702</v>
      </c>
      <c r="B256" s="1202" t="s">
        <v>310</v>
      </c>
      <c r="C256" s="2222"/>
      <c r="D256" s="2222"/>
      <c r="E256" s="2222"/>
      <c r="F256" s="2224" t="s">
        <v>31</v>
      </c>
      <c r="G256" s="2222" t="s">
        <v>31</v>
      </c>
      <c r="H256" s="2222" t="s">
        <v>31</v>
      </c>
      <c r="I256" s="2222" t="s">
        <v>31</v>
      </c>
      <c r="J256" s="2222" t="s">
        <v>31</v>
      </c>
      <c r="K256" s="2222"/>
      <c r="L256" s="2222"/>
      <c r="M256" s="2222" t="s">
        <v>31</v>
      </c>
      <c r="N256" s="2229" t="s">
        <v>31</v>
      </c>
      <c r="O256" s="2229" t="s">
        <v>31</v>
      </c>
      <c r="P256" s="2229" t="s">
        <v>31</v>
      </c>
      <c r="Q256" s="2230" t="s">
        <v>31</v>
      </c>
      <c r="R256" s="2229"/>
      <c r="S256" s="2222"/>
      <c r="T256" s="2222" t="s">
        <v>31</v>
      </c>
      <c r="U256" s="2229" t="s">
        <v>31</v>
      </c>
      <c r="V256" s="2229" t="s">
        <v>31</v>
      </c>
      <c r="W256" s="2229" t="s">
        <v>31</v>
      </c>
      <c r="X256" s="2222" t="s">
        <v>31</v>
      </c>
      <c r="Y256" s="2229"/>
      <c r="Z256" s="2222"/>
      <c r="AA256" s="2222" t="s">
        <v>31</v>
      </c>
      <c r="AB256" s="2222" t="s">
        <v>31</v>
      </c>
      <c r="AC256" s="2222" t="s">
        <v>31</v>
      </c>
      <c r="AD256" s="2224" t="s">
        <v>31</v>
      </c>
      <c r="AE256" s="2222" t="s">
        <v>31</v>
      </c>
      <c r="AF256" s="2224"/>
      <c r="AG256" s="1261"/>
      <c r="AH256" s="189"/>
      <c r="AI256" s="190"/>
    </row>
    <row r="257" spans="1:35" ht="21" customHeight="1" x14ac:dyDescent="0.2">
      <c r="A257" s="2285"/>
      <c r="B257" s="1202"/>
      <c r="C257" s="1259"/>
      <c r="D257" s="1259"/>
      <c r="E257" s="1259"/>
      <c r="F257" s="1259"/>
      <c r="G257" s="1259"/>
      <c r="H257" s="1259"/>
      <c r="I257" s="1259"/>
      <c r="J257" s="1259"/>
      <c r="K257" s="1259"/>
      <c r="L257" s="1259"/>
      <c r="M257" s="2286"/>
      <c r="N257" s="1259"/>
      <c r="O257" s="1259"/>
      <c r="P257" s="1259"/>
      <c r="Q257" s="1259"/>
      <c r="R257" s="1259"/>
      <c r="S257" s="1259"/>
      <c r="T257" s="1259"/>
      <c r="U257" s="1259"/>
      <c r="V257" s="1259"/>
      <c r="W257" s="1259"/>
      <c r="X257" s="1259"/>
      <c r="Y257" s="1259"/>
      <c r="Z257" s="1259"/>
      <c r="AA257" s="1259"/>
      <c r="AB257" s="1259"/>
      <c r="AC257" s="1259"/>
      <c r="AD257" s="1259"/>
      <c r="AE257" s="1259"/>
      <c r="AF257" s="1259"/>
      <c r="AG257" s="1261"/>
      <c r="AH257" s="189"/>
      <c r="AI257" s="190"/>
    </row>
    <row r="258" spans="1:35" ht="21" customHeight="1" thickBot="1" x14ac:dyDescent="0.25">
      <c r="A258" s="2287"/>
      <c r="B258" s="2288"/>
      <c r="C258" s="1254"/>
      <c r="D258" s="1254"/>
      <c r="E258" s="1254"/>
      <c r="F258" s="1254"/>
      <c r="G258" s="1254"/>
      <c r="H258" s="1254"/>
      <c r="I258" s="1254"/>
      <c r="J258" s="1254"/>
      <c r="K258" s="1254"/>
      <c r="L258" s="1254"/>
      <c r="M258" s="1254"/>
      <c r="N258" s="1254"/>
      <c r="O258" s="1254"/>
      <c r="P258" s="1254"/>
      <c r="Q258" s="1254"/>
      <c r="R258" s="1254"/>
      <c r="S258" s="1254"/>
      <c r="T258" s="1254"/>
      <c r="U258" s="1254"/>
      <c r="V258" s="1254"/>
      <c r="W258" s="1254"/>
      <c r="X258" s="1254"/>
      <c r="Y258" s="1254"/>
      <c r="Z258" s="1254"/>
      <c r="AA258" s="1254"/>
      <c r="AB258" s="1254"/>
      <c r="AC258" s="1254"/>
      <c r="AD258" s="1254"/>
      <c r="AE258" s="1254"/>
      <c r="AF258" s="1254"/>
      <c r="AG258" s="1945"/>
      <c r="AH258" s="189"/>
      <c r="AI258" s="190"/>
    </row>
    <row r="259" spans="1:35" ht="21" customHeight="1" x14ac:dyDescent="0.2">
      <c r="A259" s="251"/>
      <c r="B259" s="2289" t="s">
        <v>311</v>
      </c>
      <c r="C259" s="2290"/>
      <c r="D259" s="2290"/>
      <c r="E259" s="2290"/>
      <c r="F259" s="2290"/>
      <c r="G259" s="2290"/>
      <c r="H259" s="2290"/>
      <c r="I259" s="2290"/>
      <c r="J259" s="2290"/>
      <c r="K259" s="2290"/>
      <c r="L259" s="2290"/>
      <c r="M259" s="2290"/>
      <c r="N259" s="2290"/>
      <c r="O259" s="2290"/>
      <c r="P259" s="2290"/>
      <c r="Q259" s="2290"/>
      <c r="R259" s="2290"/>
      <c r="S259" s="2290"/>
      <c r="T259" s="2290"/>
      <c r="U259" s="2290"/>
      <c r="V259" s="2290"/>
      <c r="W259" s="2290"/>
      <c r="X259" s="2290"/>
      <c r="Y259" s="2290"/>
      <c r="Z259" s="2290"/>
      <c r="AA259" s="2290"/>
      <c r="AB259" s="2290"/>
      <c r="AC259" s="2290"/>
      <c r="AD259" s="2290"/>
      <c r="AE259" s="2290"/>
      <c r="AF259" s="2290"/>
      <c r="AG259" s="2291"/>
      <c r="AH259" s="187"/>
      <c r="AI259" s="188"/>
    </row>
    <row r="260" spans="1:35" ht="21" customHeight="1" x14ac:dyDescent="0.2">
      <c r="A260" s="2285">
        <v>3702</v>
      </c>
      <c r="B260" s="1473" t="s">
        <v>312</v>
      </c>
      <c r="C260" s="1259"/>
      <c r="D260" s="1259"/>
      <c r="E260" s="1259"/>
      <c r="F260" s="1259" t="s">
        <v>313</v>
      </c>
      <c r="G260" s="1259" t="s">
        <v>313</v>
      </c>
      <c r="H260" s="1259" t="s">
        <v>313</v>
      </c>
      <c r="I260" s="1259" t="s">
        <v>313</v>
      </c>
      <c r="J260" s="1259" t="s">
        <v>313</v>
      </c>
      <c r="K260" s="1259"/>
      <c r="L260" s="1259"/>
      <c r="M260" s="1259" t="s">
        <v>313</v>
      </c>
      <c r="N260" s="1259" t="s">
        <v>313</v>
      </c>
      <c r="O260" s="1259" t="s">
        <v>313</v>
      </c>
      <c r="P260" s="1259" t="s">
        <v>313</v>
      </c>
      <c r="Q260" s="1259" t="s">
        <v>313</v>
      </c>
      <c r="R260" s="1259"/>
      <c r="S260" s="1259"/>
      <c r="T260" s="1259" t="s">
        <v>313</v>
      </c>
      <c r="U260" s="1259" t="s">
        <v>313</v>
      </c>
      <c r="V260" s="1259" t="s">
        <v>313</v>
      </c>
      <c r="W260" s="1259" t="s">
        <v>313</v>
      </c>
      <c r="X260" s="1259" t="s">
        <v>313</v>
      </c>
      <c r="Y260" s="1259"/>
      <c r="Z260" s="1259"/>
      <c r="AA260" s="1259" t="s">
        <v>313</v>
      </c>
      <c r="AB260" s="1259" t="s">
        <v>313</v>
      </c>
      <c r="AC260" s="1259" t="s">
        <v>313</v>
      </c>
      <c r="AD260" s="1259" t="s">
        <v>313</v>
      </c>
      <c r="AE260" s="1259" t="s">
        <v>313</v>
      </c>
      <c r="AF260" s="1259"/>
      <c r="AG260" s="2292"/>
      <c r="AH260" s="189"/>
      <c r="AI260" s="190"/>
    </row>
    <row r="261" spans="1:35" ht="21" customHeight="1" x14ac:dyDescent="0.2">
      <c r="A261" s="2285"/>
      <c r="B261" s="1865" t="s">
        <v>314</v>
      </c>
      <c r="C261" s="1259"/>
      <c r="D261" s="1259"/>
      <c r="E261" s="1259"/>
      <c r="F261" s="1259" t="s">
        <v>315</v>
      </c>
      <c r="G261" s="1259" t="s">
        <v>315</v>
      </c>
      <c r="H261" s="1259" t="s">
        <v>315</v>
      </c>
      <c r="I261" s="1259" t="s">
        <v>315</v>
      </c>
      <c r="J261" s="1259" t="s">
        <v>315</v>
      </c>
      <c r="K261" s="1259"/>
      <c r="L261" s="1259"/>
      <c r="M261" s="1259" t="s">
        <v>315</v>
      </c>
      <c r="N261" s="1259" t="s">
        <v>315</v>
      </c>
      <c r="O261" s="1259" t="s">
        <v>315</v>
      </c>
      <c r="P261" s="1259" t="s">
        <v>315</v>
      </c>
      <c r="Q261" s="1259" t="s">
        <v>315</v>
      </c>
      <c r="R261" s="1259"/>
      <c r="S261" s="1259"/>
      <c r="T261" s="1259" t="s">
        <v>315</v>
      </c>
      <c r="U261" s="1259" t="s">
        <v>315</v>
      </c>
      <c r="V261" s="1259" t="s">
        <v>315</v>
      </c>
      <c r="W261" s="1259" t="s">
        <v>315</v>
      </c>
      <c r="X261" s="1259" t="s">
        <v>315</v>
      </c>
      <c r="Y261" s="1259"/>
      <c r="Z261" s="1259"/>
      <c r="AA261" s="1259" t="s">
        <v>315</v>
      </c>
      <c r="AB261" s="1259" t="s">
        <v>315</v>
      </c>
      <c r="AC261" s="1259" t="s">
        <v>315</v>
      </c>
      <c r="AD261" s="1259" t="s">
        <v>315</v>
      </c>
      <c r="AE261" s="1259" t="s">
        <v>315</v>
      </c>
      <c r="AF261" s="1259"/>
      <c r="AG261" s="2292"/>
      <c r="AH261" s="189"/>
      <c r="AI261" s="190"/>
    </row>
    <row r="262" spans="1:35" ht="21" customHeight="1" thickBot="1" x14ac:dyDescent="0.25">
      <c r="A262" s="2293"/>
      <c r="B262" s="1872" t="s">
        <v>316</v>
      </c>
      <c r="C262" s="1255"/>
      <c r="D262" s="1255"/>
      <c r="E262" s="1255"/>
      <c r="F262" s="1255" t="s">
        <v>317</v>
      </c>
      <c r="G262" s="1255" t="s">
        <v>317</v>
      </c>
      <c r="H262" s="1255" t="s">
        <v>317</v>
      </c>
      <c r="I262" s="1255" t="s">
        <v>317</v>
      </c>
      <c r="J262" s="1255" t="s">
        <v>317</v>
      </c>
      <c r="K262" s="1255"/>
      <c r="L262" s="1255"/>
      <c r="M262" s="1255" t="s">
        <v>317</v>
      </c>
      <c r="N262" s="1256" t="s">
        <v>317</v>
      </c>
      <c r="O262" s="1255" t="s">
        <v>317</v>
      </c>
      <c r="P262" s="1255" t="s">
        <v>317</v>
      </c>
      <c r="Q262" s="2294" t="s">
        <v>317</v>
      </c>
      <c r="R262" s="1255"/>
      <c r="S262" s="1255"/>
      <c r="T262" s="1255" t="s">
        <v>317</v>
      </c>
      <c r="U262" s="1255" t="s">
        <v>317</v>
      </c>
      <c r="V262" s="1255" t="s">
        <v>317</v>
      </c>
      <c r="W262" s="1255" t="s">
        <v>317</v>
      </c>
      <c r="X262" s="1255" t="s">
        <v>317</v>
      </c>
      <c r="Y262" s="1255"/>
      <c r="Z262" s="1255"/>
      <c r="AA262" s="1255" t="s">
        <v>317</v>
      </c>
      <c r="AB262" s="1255" t="s">
        <v>317</v>
      </c>
      <c r="AC262" s="1255" t="s">
        <v>317</v>
      </c>
      <c r="AD262" s="2295" t="s">
        <v>317</v>
      </c>
      <c r="AE262" s="1255" t="s">
        <v>317</v>
      </c>
      <c r="AF262" s="1255"/>
      <c r="AG262" s="2296"/>
      <c r="AH262" s="189"/>
      <c r="AI262" s="190"/>
    </row>
    <row r="263" spans="1:35" ht="21" customHeight="1" x14ac:dyDescent="0.2"/>
    <row r="264" spans="1:35" ht="21" customHeight="1" x14ac:dyDescent="0.2"/>
    <row r="265" spans="1:35" ht="21" customHeight="1" thickBot="1" x14ac:dyDescent="0.25">
      <c r="A265" s="162" t="s">
        <v>318</v>
      </c>
    </row>
    <row r="266" spans="1:35" ht="21" customHeight="1" x14ac:dyDescent="0.2">
      <c r="B266" s="530" t="s">
        <v>267</v>
      </c>
      <c r="C266" s="500"/>
      <c r="D266" s="516" t="s">
        <v>90</v>
      </c>
      <c r="E266" s="473"/>
      <c r="F266" s="504"/>
      <c r="G266" s="500"/>
      <c r="H266" s="516" t="s">
        <v>91</v>
      </c>
      <c r="I266" s="473"/>
      <c r="J266" s="504"/>
      <c r="K266" s="500"/>
      <c r="L266" s="516" t="s">
        <v>92</v>
      </c>
      <c r="M266" s="473"/>
      <c r="N266" s="504"/>
      <c r="O266" s="500"/>
      <c r="P266" s="516" t="s">
        <v>93</v>
      </c>
      <c r="Q266" s="473"/>
      <c r="R266" s="504"/>
      <c r="S266" s="500"/>
      <c r="T266" s="516" t="s">
        <v>94</v>
      </c>
      <c r="U266" s="473"/>
      <c r="V266" s="504"/>
      <c r="W266" s="500"/>
      <c r="X266" s="516" t="s">
        <v>95</v>
      </c>
      <c r="Y266" s="473"/>
      <c r="Z266" s="504"/>
      <c r="AA266" s="500"/>
      <c r="AB266" s="516" t="s">
        <v>96</v>
      </c>
      <c r="AC266" s="473"/>
      <c r="AD266" s="473"/>
      <c r="AE266" s="519" t="s">
        <v>97</v>
      </c>
      <c r="AF266" s="473"/>
      <c r="AG266" s="473"/>
      <c r="AH266" s="473"/>
      <c r="AI266" s="474"/>
    </row>
    <row r="267" spans="1:35" ht="21" customHeight="1" x14ac:dyDescent="0.2">
      <c r="B267" s="3">
        <v>8500</v>
      </c>
      <c r="C267" s="1283" t="s">
        <v>319</v>
      </c>
      <c r="D267" s="117"/>
      <c r="E267" s="14"/>
      <c r="F267" s="116"/>
      <c r="G267" s="1283" t="s">
        <v>319</v>
      </c>
      <c r="H267" s="117"/>
      <c r="I267" s="14"/>
      <c r="J267" s="116"/>
      <c r="K267" s="1283" t="s">
        <v>319</v>
      </c>
      <c r="L267" s="117"/>
      <c r="M267" s="14"/>
      <c r="N267" s="116"/>
      <c r="O267" s="1283" t="s">
        <v>319</v>
      </c>
      <c r="P267" s="117"/>
      <c r="Q267" s="14"/>
      <c r="R267" s="116"/>
      <c r="S267" s="1283" t="s">
        <v>320</v>
      </c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 thickBot="1" x14ac:dyDescent="0.25">
      <c r="A268" s="110"/>
      <c r="B268" s="2297"/>
      <c r="C268" s="2216"/>
      <c r="D268" s="2217"/>
      <c r="E268" s="2207"/>
      <c r="F268" s="2208"/>
      <c r="G268" s="2216"/>
      <c r="H268" s="2209"/>
      <c r="I268" s="2207"/>
      <c r="J268" s="2208"/>
      <c r="K268" s="2216"/>
      <c r="L268" s="2209"/>
      <c r="M268" s="2207"/>
      <c r="N268" s="2208"/>
      <c r="O268" s="2216"/>
      <c r="P268" s="2209"/>
      <c r="Q268" s="2207"/>
      <c r="R268" s="2208"/>
      <c r="S268" s="2216"/>
      <c r="T268" s="2209"/>
      <c r="U268" s="2207"/>
      <c r="V268" s="2208"/>
      <c r="W268" s="2210"/>
      <c r="X268" s="2209"/>
      <c r="Y268" s="2207"/>
      <c r="Z268" s="2208"/>
      <c r="AA268" s="2210"/>
      <c r="AB268" s="2209"/>
      <c r="AC268" s="2207"/>
      <c r="AD268" s="2207"/>
      <c r="AE268" s="2214"/>
      <c r="AF268" s="2207"/>
      <c r="AG268" s="2207"/>
      <c r="AH268" s="2207"/>
      <c r="AI268" s="2215"/>
    </row>
    <row r="269" spans="1:35" ht="21" customHeight="1" x14ac:dyDescent="0.2">
      <c r="A269" s="16" t="s">
        <v>321</v>
      </c>
    </row>
    <row r="270" spans="1:35" ht="21" customHeight="1" thickBot="1" x14ac:dyDescent="0.25">
      <c r="A270" s="2298"/>
      <c r="B270" s="2299" t="s">
        <v>29</v>
      </c>
      <c r="C270" s="1185">
        <v>1</v>
      </c>
      <c r="D270" s="1185">
        <v>2</v>
      </c>
      <c r="E270" s="1185">
        <v>3</v>
      </c>
      <c r="F270" s="1254">
        <v>4</v>
      </c>
      <c r="G270" s="1254">
        <v>5</v>
      </c>
      <c r="H270" s="1254">
        <v>6</v>
      </c>
      <c r="I270" s="1254">
        <v>7</v>
      </c>
      <c r="J270" s="1254">
        <v>8</v>
      </c>
      <c r="K270" s="1185">
        <v>9</v>
      </c>
      <c r="L270" s="1185">
        <v>10</v>
      </c>
      <c r="M270" s="1254">
        <v>11</v>
      </c>
      <c r="N270" s="1254">
        <v>12</v>
      </c>
      <c r="O270" s="1254">
        <v>13</v>
      </c>
      <c r="P270" s="1254">
        <v>14</v>
      </c>
      <c r="Q270" s="1254">
        <v>15</v>
      </c>
      <c r="R270" s="1185">
        <v>16</v>
      </c>
      <c r="S270" s="1185">
        <v>17</v>
      </c>
      <c r="T270" s="1254">
        <v>18</v>
      </c>
      <c r="U270" s="1254">
        <v>19</v>
      </c>
      <c r="V270" s="1254">
        <v>20</v>
      </c>
      <c r="W270" s="1254">
        <v>21</v>
      </c>
      <c r="X270" s="1254">
        <v>22</v>
      </c>
      <c r="Y270" s="1185">
        <v>23</v>
      </c>
      <c r="Z270" s="1185">
        <v>24</v>
      </c>
      <c r="AA270" s="1254">
        <v>25</v>
      </c>
      <c r="AB270" s="1254">
        <v>26</v>
      </c>
      <c r="AC270" s="1254">
        <v>27</v>
      </c>
      <c r="AD270" s="1254">
        <v>28</v>
      </c>
      <c r="AE270" s="1254">
        <v>29</v>
      </c>
      <c r="AF270" s="1185">
        <v>30</v>
      </c>
      <c r="AG270" s="2064">
        <v>31</v>
      </c>
      <c r="AH270" s="184"/>
      <c r="AI270" s="185"/>
    </row>
    <row r="271" spans="1:35" ht="21" customHeight="1" x14ac:dyDescent="0.2">
      <c r="A271" s="8">
        <v>8500</v>
      </c>
      <c r="B271" s="157"/>
      <c r="C271" s="2222"/>
      <c r="D271" s="2222"/>
      <c r="E271" s="2222"/>
      <c r="F271" s="2224" t="s">
        <v>31</v>
      </c>
      <c r="G271" s="2222" t="s">
        <v>31</v>
      </c>
      <c r="H271" s="2222" t="s">
        <v>31</v>
      </c>
      <c r="I271" s="2222" t="s">
        <v>31</v>
      </c>
      <c r="J271" s="2222" t="s">
        <v>31</v>
      </c>
      <c r="K271" s="2222"/>
      <c r="L271" s="2222"/>
      <c r="M271" s="2222" t="s">
        <v>31</v>
      </c>
      <c r="N271" s="2229" t="s">
        <v>31</v>
      </c>
      <c r="O271" s="2229" t="s">
        <v>31</v>
      </c>
      <c r="P271" s="2229" t="s">
        <v>31</v>
      </c>
      <c r="Q271" s="2230" t="s">
        <v>31</v>
      </c>
      <c r="R271" s="2229"/>
      <c r="S271" s="2222"/>
      <c r="T271" s="2222" t="s">
        <v>31</v>
      </c>
      <c r="U271" s="2229" t="s">
        <v>31</v>
      </c>
      <c r="V271" s="2229" t="s">
        <v>31</v>
      </c>
      <c r="W271" s="2229" t="s">
        <v>31</v>
      </c>
      <c r="X271" s="2222" t="s">
        <v>31</v>
      </c>
      <c r="Y271" s="2229"/>
      <c r="Z271" s="2222"/>
      <c r="AA271" s="2222" t="s">
        <v>31</v>
      </c>
      <c r="AB271" s="2222" t="s">
        <v>31</v>
      </c>
      <c r="AC271" s="2222" t="s">
        <v>31</v>
      </c>
      <c r="AD271" s="2224" t="s">
        <v>31</v>
      </c>
      <c r="AE271" s="2222" t="s">
        <v>31</v>
      </c>
      <c r="AF271" s="2224"/>
      <c r="AG271" s="2224"/>
      <c r="AH271" s="196"/>
      <c r="AI271" s="197"/>
    </row>
    <row r="272" spans="1:35" ht="21" customHeight="1" x14ac:dyDescent="0.2">
      <c r="A272" s="1191"/>
      <c r="B272" s="2300" t="s">
        <v>323</v>
      </c>
      <c r="C272" s="2222"/>
      <c r="D272" s="2222"/>
      <c r="E272" s="2222"/>
      <c r="F272" s="2224" t="s">
        <v>31</v>
      </c>
      <c r="G272" s="2222" t="s">
        <v>31</v>
      </c>
      <c r="H272" s="2222" t="s">
        <v>31</v>
      </c>
      <c r="I272" s="2222" t="s">
        <v>31</v>
      </c>
      <c r="J272" s="2222" t="s">
        <v>31</v>
      </c>
      <c r="K272" s="2222"/>
      <c r="L272" s="2222"/>
      <c r="M272" s="2222" t="s">
        <v>31</v>
      </c>
      <c r="N272" s="2229" t="s">
        <v>31</v>
      </c>
      <c r="O272" s="2229" t="s">
        <v>31</v>
      </c>
      <c r="P272" s="2229" t="s">
        <v>31</v>
      </c>
      <c r="Q272" s="2230" t="s">
        <v>31</v>
      </c>
      <c r="R272" s="2229"/>
      <c r="S272" s="2222"/>
      <c r="T272" s="2222" t="s">
        <v>31</v>
      </c>
      <c r="U272" s="2229" t="s">
        <v>31</v>
      </c>
      <c r="V272" s="2229" t="s">
        <v>31</v>
      </c>
      <c r="W272" s="2229" t="s">
        <v>31</v>
      </c>
      <c r="X272" s="2222" t="s">
        <v>31</v>
      </c>
      <c r="Y272" s="2229"/>
      <c r="Z272" s="2222"/>
      <c r="AA272" s="2222" t="s">
        <v>31</v>
      </c>
      <c r="AB272" s="2222" t="s">
        <v>31</v>
      </c>
      <c r="AC272" s="2222" t="s">
        <v>31</v>
      </c>
      <c r="AD272" s="2224" t="s">
        <v>31</v>
      </c>
      <c r="AE272" s="2222" t="s">
        <v>31</v>
      </c>
      <c r="AF272" s="2224"/>
      <c r="AG272" s="2224"/>
      <c r="AH272" s="196"/>
      <c r="AI272" s="197"/>
    </row>
    <row r="273" spans="1:35" ht="22.15" customHeight="1" x14ac:dyDescent="0.2">
      <c r="A273" s="2301"/>
      <c r="B273" s="2300" t="s">
        <v>324</v>
      </c>
      <c r="C273" s="2222"/>
      <c r="D273" s="2222"/>
      <c r="E273" s="2222"/>
      <c r="F273" s="2224" t="s">
        <v>31</v>
      </c>
      <c r="G273" s="2222" t="s">
        <v>31</v>
      </c>
      <c r="H273" s="2222" t="s">
        <v>31</v>
      </c>
      <c r="I273" s="2222" t="s">
        <v>31</v>
      </c>
      <c r="J273" s="2222" t="s">
        <v>31</v>
      </c>
      <c r="K273" s="2222"/>
      <c r="L273" s="2222"/>
      <c r="M273" s="2222" t="s">
        <v>31</v>
      </c>
      <c r="N273" s="2229" t="s">
        <v>31</v>
      </c>
      <c r="O273" s="2254" t="s">
        <v>31</v>
      </c>
      <c r="P273" s="2254" t="s">
        <v>360</v>
      </c>
      <c r="Q273" s="2255" t="s">
        <v>31</v>
      </c>
      <c r="R273" s="2229"/>
      <c r="S273" s="2222"/>
      <c r="T273" s="2222" t="s">
        <v>31</v>
      </c>
      <c r="U273" s="2229" t="s">
        <v>31</v>
      </c>
      <c r="V273" s="2229" t="s">
        <v>31</v>
      </c>
      <c r="W273" s="2229" t="s">
        <v>31</v>
      </c>
      <c r="X273" s="2222" t="s">
        <v>31</v>
      </c>
      <c r="Y273" s="2229"/>
      <c r="Z273" s="2222"/>
      <c r="AA273" s="2222" t="s">
        <v>31</v>
      </c>
      <c r="AB273" s="2222" t="s">
        <v>31</v>
      </c>
      <c r="AC273" s="2222" t="s">
        <v>31</v>
      </c>
      <c r="AD273" s="2224" t="s">
        <v>31</v>
      </c>
      <c r="AE273" s="2222" t="s">
        <v>31</v>
      </c>
      <c r="AF273" s="2224"/>
      <c r="AG273" s="2224"/>
      <c r="AH273" s="196"/>
      <c r="AI273" s="197"/>
    </row>
    <row r="274" spans="1:35" ht="22.15" customHeight="1" x14ac:dyDescent="0.2">
      <c r="A274" s="102"/>
      <c r="B274" s="2302"/>
      <c r="C274" s="2224"/>
      <c r="D274" s="2224"/>
      <c r="E274" s="2224"/>
      <c r="F274" s="2224"/>
      <c r="G274" s="2224"/>
      <c r="H274" s="2224"/>
      <c r="I274" s="2224"/>
      <c r="J274" s="2224"/>
      <c r="K274" s="2224"/>
      <c r="L274" s="2224"/>
      <c r="M274" s="2224"/>
      <c r="N274" s="2224"/>
      <c r="O274" s="2224"/>
      <c r="P274" s="2224"/>
      <c r="Q274" s="2224"/>
      <c r="R274" s="2224"/>
      <c r="S274" s="2224"/>
      <c r="T274" s="2224"/>
      <c r="U274" s="2224"/>
      <c r="V274" s="2224"/>
      <c r="W274" s="2224"/>
      <c r="X274" s="2224"/>
      <c r="Y274" s="2224"/>
      <c r="Z274" s="2224"/>
      <c r="AA274" s="2224"/>
      <c r="AB274" s="2224"/>
      <c r="AC274" s="2224"/>
      <c r="AD274" s="2224"/>
      <c r="AE274" s="2224"/>
      <c r="AF274" s="2224"/>
      <c r="AG274" s="2140"/>
      <c r="AH274" s="196"/>
      <c r="AI274" s="197"/>
    </row>
    <row r="275" spans="1:35" ht="21" customHeight="1" x14ac:dyDescent="0.2">
      <c r="A275" s="1851"/>
      <c r="B275" s="2302"/>
      <c r="C275" s="1259"/>
      <c r="D275" s="1259"/>
      <c r="E275" s="1259"/>
      <c r="F275" s="1259"/>
      <c r="G275" s="1259"/>
      <c r="H275" s="1259"/>
      <c r="I275" s="1259"/>
      <c r="J275" s="1259"/>
      <c r="K275" s="1259"/>
      <c r="L275" s="1259"/>
      <c r="M275" s="1259"/>
      <c r="N275" s="1258"/>
      <c r="O275" s="1258"/>
      <c r="P275" s="1259"/>
      <c r="Q275" s="1259"/>
      <c r="R275" s="1259"/>
      <c r="S275" s="1259"/>
      <c r="T275" s="1259"/>
      <c r="U275" s="1259"/>
      <c r="V275" s="1259"/>
      <c r="W275" s="1259"/>
      <c r="X275" s="1259"/>
      <c r="Y275" s="1259"/>
      <c r="Z275" s="1259"/>
      <c r="AA275" s="1259"/>
      <c r="AB275" s="1258"/>
      <c r="AC275" s="1258"/>
      <c r="AD275" s="1259"/>
      <c r="AE275" s="1259"/>
      <c r="AF275" s="1259"/>
      <c r="AG275" s="1259"/>
      <c r="AH275" s="198"/>
      <c r="AI275" s="199"/>
    </row>
    <row r="276" spans="1:35" ht="22.15" customHeight="1" x14ac:dyDescent="0.2">
      <c r="A276" s="1534"/>
      <c r="B276" s="2303"/>
      <c r="C276" s="1259"/>
      <c r="D276" s="1259"/>
      <c r="E276" s="1259"/>
      <c r="F276" s="1259"/>
      <c r="G276" s="1259"/>
      <c r="H276" s="1259"/>
      <c r="I276" s="1259"/>
      <c r="J276" s="1259"/>
      <c r="K276" s="1259"/>
      <c r="L276" s="1259"/>
      <c r="M276" s="1259"/>
      <c r="N276" s="1258"/>
      <c r="O276" s="1258"/>
      <c r="P276" s="1259"/>
      <c r="Q276" s="1259"/>
      <c r="R276" s="1259"/>
      <c r="S276" s="1259"/>
      <c r="T276" s="1259"/>
      <c r="U276" s="1259"/>
      <c r="V276" s="1259"/>
      <c r="W276" s="1259"/>
      <c r="X276" s="1259"/>
      <c r="Y276" s="1259"/>
      <c r="Z276" s="1259"/>
      <c r="AA276" s="1259"/>
      <c r="AB276" s="1258"/>
      <c r="AC276" s="1258"/>
      <c r="AD276" s="1259"/>
      <c r="AE276" s="1259"/>
      <c r="AF276" s="1259"/>
      <c r="AG276" s="1259"/>
      <c r="AH276" s="198"/>
      <c r="AI276" s="199"/>
    </row>
    <row r="277" spans="1:35" ht="22.15" customHeight="1" thickBot="1" x14ac:dyDescent="0.25">
      <c r="A277" s="688"/>
      <c r="B277" s="2304"/>
      <c r="C277" s="2305"/>
      <c r="D277" s="2306"/>
      <c r="E277" s="2306"/>
      <c r="F277" s="2306"/>
      <c r="G277" s="2306"/>
      <c r="H277" s="2306"/>
      <c r="I277" s="2306"/>
      <c r="J277" s="2306"/>
      <c r="K277" s="2306"/>
      <c r="L277" s="2306"/>
      <c r="M277" s="2306"/>
      <c r="N277" s="2307"/>
      <c r="O277" s="2307"/>
      <c r="P277" s="2306"/>
      <c r="Q277" s="2306"/>
      <c r="R277" s="2306"/>
      <c r="S277" s="2306"/>
      <c r="T277" s="2306"/>
      <c r="U277" s="2306"/>
      <c r="V277" s="2306"/>
      <c r="W277" s="2306"/>
      <c r="X277" s="2306"/>
      <c r="Y277" s="2306"/>
      <c r="Z277" s="2306"/>
      <c r="AA277" s="2306"/>
      <c r="AB277" s="2307"/>
      <c r="AC277" s="2307"/>
      <c r="AD277" s="2306"/>
      <c r="AE277" s="2306"/>
      <c r="AF277" s="2306"/>
      <c r="AG277" s="2308"/>
      <c r="AH277" s="198"/>
      <c r="AI277" s="199"/>
    </row>
    <row r="278" spans="1:35" ht="22.15" customHeight="1" x14ac:dyDescent="0.2">
      <c r="A278" s="262"/>
      <c r="B278" s="263"/>
      <c r="C278" s="255"/>
      <c r="D278" s="255"/>
      <c r="E278" s="255"/>
      <c r="F278" s="255"/>
      <c r="G278" s="255"/>
      <c r="H278" s="255"/>
      <c r="I278" s="255"/>
      <c r="J278" s="255"/>
      <c r="K278" s="255"/>
      <c r="L278" s="255"/>
      <c r="M278" s="255"/>
      <c r="N278" s="229"/>
      <c r="O278" s="229"/>
      <c r="P278" s="255"/>
      <c r="Q278" s="255"/>
      <c r="R278" s="255"/>
      <c r="S278" s="255"/>
      <c r="T278" s="255"/>
      <c r="U278" s="255"/>
      <c r="V278" s="255"/>
      <c r="W278" s="255"/>
      <c r="X278" s="255"/>
      <c r="Y278" s="255"/>
      <c r="Z278" s="255"/>
      <c r="AA278" s="255"/>
      <c r="AB278" s="229"/>
      <c r="AC278" s="229"/>
      <c r="AD278" s="255"/>
      <c r="AE278" s="255"/>
      <c r="AF278" s="255"/>
      <c r="AG278" s="255"/>
      <c r="AH278" s="264"/>
      <c r="AI278" s="199"/>
    </row>
    <row r="279" spans="1:35" ht="24" customHeight="1" x14ac:dyDescent="0.2"/>
    <row r="280" spans="1:35" ht="25.5" customHeight="1" thickBot="1" x14ac:dyDescent="0.25">
      <c r="A280" s="162" t="s">
        <v>325</v>
      </c>
    </row>
    <row r="281" spans="1:35" ht="21" customHeight="1" x14ac:dyDescent="0.2">
      <c r="A281" s="1"/>
      <c r="B281" s="530" t="s">
        <v>267</v>
      </c>
      <c r="C281" s="500"/>
      <c r="D281" s="516" t="s">
        <v>90</v>
      </c>
      <c r="E281" s="473"/>
      <c r="F281" s="504"/>
      <c r="G281" s="500"/>
      <c r="H281" s="516" t="s">
        <v>91</v>
      </c>
      <c r="I281" s="473"/>
      <c r="J281" s="504"/>
      <c r="K281" s="500"/>
      <c r="L281" s="516" t="s">
        <v>92</v>
      </c>
      <c r="M281" s="473"/>
      <c r="N281" s="504"/>
      <c r="O281" s="500"/>
      <c r="P281" s="516" t="s">
        <v>93</v>
      </c>
      <c r="Q281" s="473"/>
      <c r="R281" s="504"/>
      <c r="S281" s="500"/>
      <c r="T281" s="516" t="s">
        <v>94</v>
      </c>
      <c r="U281" s="473"/>
      <c r="V281" s="504"/>
      <c r="W281" s="500"/>
      <c r="X281" s="516" t="s">
        <v>95</v>
      </c>
      <c r="Y281" s="473"/>
      <c r="Z281" s="504"/>
      <c r="AA281" s="500"/>
      <c r="AB281" s="516" t="s">
        <v>96</v>
      </c>
      <c r="AC281" s="473"/>
      <c r="AD281" s="473"/>
      <c r="AE281" s="519" t="s">
        <v>97</v>
      </c>
      <c r="AF281" s="473"/>
      <c r="AG281" s="473"/>
      <c r="AH281" s="473"/>
      <c r="AI281" s="474"/>
    </row>
    <row r="282" spans="1:35" ht="21" customHeight="1" x14ac:dyDescent="0.2">
      <c r="A282" s="1"/>
      <c r="B282" s="3"/>
      <c r="C282" s="8"/>
      <c r="D282" s="117"/>
      <c r="E282" s="14"/>
      <c r="F282" s="116"/>
      <c r="G282" s="8"/>
      <c r="H282" s="117"/>
      <c r="I282" s="14"/>
      <c r="J282" s="116"/>
      <c r="K282" s="8"/>
      <c r="L282" s="117"/>
      <c r="M282" s="14"/>
      <c r="N282" s="116"/>
      <c r="O282" s="8"/>
      <c r="P282" s="117"/>
      <c r="Q282" s="14"/>
      <c r="R282" s="116"/>
      <c r="S282" s="8"/>
      <c r="T282" s="117"/>
      <c r="U282" s="14"/>
      <c r="V282" s="116"/>
      <c r="W282" s="8"/>
      <c r="X282" s="117"/>
      <c r="Y282" s="14"/>
      <c r="Z282" s="116"/>
      <c r="AA282" s="8"/>
      <c r="AB282" s="117"/>
      <c r="AC282" s="14"/>
      <c r="AD282" s="14"/>
      <c r="AE282" s="118"/>
      <c r="AF282" s="14"/>
      <c r="AG282" s="14"/>
      <c r="AH282" s="14"/>
      <c r="AI282" s="119"/>
    </row>
    <row r="283" spans="1:35" ht="21" customHeight="1" x14ac:dyDescent="0.2">
      <c r="A283" s="110"/>
      <c r="B283" s="1890"/>
      <c r="C283" s="1283"/>
      <c r="D283" s="1167"/>
      <c r="E283" s="1167"/>
      <c r="F283" s="1393"/>
      <c r="G283" s="1283"/>
      <c r="H283" s="1167"/>
      <c r="I283" s="1167"/>
      <c r="J283" s="1393"/>
      <c r="K283" s="1283"/>
      <c r="L283" s="1167"/>
      <c r="M283" s="1167"/>
      <c r="N283" s="1393"/>
      <c r="O283" s="1283"/>
      <c r="P283" s="1167"/>
      <c r="Q283" s="1167"/>
      <c r="R283" s="1393"/>
      <c r="S283" s="1283"/>
      <c r="T283" s="1167"/>
      <c r="U283" s="1167"/>
      <c r="V283" s="1393"/>
      <c r="W283" s="1283"/>
      <c r="X283" s="1167"/>
      <c r="Y283" s="1167"/>
      <c r="Z283" s="1393"/>
      <c r="AA283" s="1391"/>
      <c r="AB283" s="1167"/>
      <c r="AC283" s="1167"/>
      <c r="AD283" s="1284"/>
      <c r="AE283" s="2309"/>
      <c r="AF283" s="1167"/>
      <c r="AG283" s="1167"/>
      <c r="AH283" s="1284"/>
      <c r="AI283" s="1176"/>
    </row>
    <row r="284" spans="1:35" ht="21" customHeight="1" thickBot="1" x14ac:dyDescent="0.25">
      <c r="A284" s="1"/>
      <c r="B284" s="1989"/>
      <c r="C284" s="1404"/>
      <c r="D284" s="1238"/>
      <c r="E284" s="1238"/>
      <c r="F284" s="1425"/>
      <c r="G284" s="1404"/>
      <c r="H284" s="1238"/>
      <c r="I284" s="1238"/>
      <c r="J284" s="1425"/>
      <c r="K284" s="1404"/>
      <c r="L284" s="1238"/>
      <c r="M284" s="1238"/>
      <c r="N284" s="1425"/>
      <c r="O284" s="1404"/>
      <c r="P284" s="1238"/>
      <c r="Q284" s="1238"/>
      <c r="R284" s="1425"/>
      <c r="S284" s="1404"/>
      <c r="T284" s="1238"/>
      <c r="U284" s="1238"/>
      <c r="V284" s="1425"/>
      <c r="W284" s="1423"/>
      <c r="X284" s="1238"/>
      <c r="Y284" s="1238"/>
      <c r="Z284" s="1425"/>
      <c r="AA284" s="1423"/>
      <c r="AB284" s="1238"/>
      <c r="AC284" s="1238"/>
      <c r="AD284" s="1411"/>
      <c r="AE284" s="1423"/>
      <c r="AF284" s="1238"/>
      <c r="AG284" s="1238"/>
      <c r="AH284" s="1411"/>
      <c r="AI284" s="1245"/>
    </row>
    <row r="285" spans="1:35" ht="21" customHeight="1" x14ac:dyDescent="0.2">
      <c r="A285" s="1"/>
      <c r="B285" s="18"/>
      <c r="C285" s="64"/>
      <c r="F285" s="69"/>
      <c r="G285" s="64"/>
      <c r="J285" s="69"/>
      <c r="K285" s="64"/>
      <c r="N285" s="69"/>
      <c r="O285" s="64"/>
      <c r="R285" s="69"/>
      <c r="S285" s="64"/>
      <c r="V285" s="69"/>
      <c r="W285" s="69"/>
      <c r="Z285" s="69"/>
      <c r="AA285" s="69"/>
      <c r="AD285" s="69"/>
      <c r="AE285" s="69"/>
      <c r="AH285" s="69"/>
    </row>
    <row r="286" spans="1:35" ht="33" customHeight="1" x14ac:dyDescent="0.2">
      <c r="A286" s="162" t="s">
        <v>326</v>
      </c>
      <c r="B286" s="18"/>
      <c r="C286" s="64"/>
      <c r="F286" s="69"/>
      <c r="G286" s="64"/>
      <c r="J286" s="69"/>
      <c r="K286" s="64"/>
      <c r="N286" s="69"/>
      <c r="O286" s="64"/>
      <c r="R286" s="69"/>
      <c r="S286" s="64"/>
      <c r="V286" s="69"/>
      <c r="W286" s="69"/>
      <c r="Z286" s="69"/>
      <c r="AA286" s="69"/>
      <c r="AD286" s="69"/>
      <c r="AE286" s="69"/>
      <c r="AH286" s="69"/>
    </row>
    <row r="287" spans="1:35" ht="21" customHeight="1" thickBot="1" x14ac:dyDescent="0.25">
      <c r="A287" s="2310" t="s">
        <v>28</v>
      </c>
      <c r="B287" s="2299" t="s">
        <v>29</v>
      </c>
      <c r="C287" s="1185">
        <v>1</v>
      </c>
      <c r="D287" s="1185">
        <v>2</v>
      </c>
      <c r="E287" s="1185">
        <v>3</v>
      </c>
      <c r="F287" s="1254">
        <v>4</v>
      </c>
      <c r="G287" s="1254">
        <v>5</v>
      </c>
      <c r="H287" s="1254">
        <v>6</v>
      </c>
      <c r="I287" s="1254">
        <v>7</v>
      </c>
      <c r="J287" s="1254">
        <v>8</v>
      </c>
      <c r="K287" s="1185">
        <v>9</v>
      </c>
      <c r="L287" s="1185">
        <v>10</v>
      </c>
      <c r="M287" s="1254">
        <v>11</v>
      </c>
      <c r="N287" s="1254">
        <v>12</v>
      </c>
      <c r="O287" s="1254">
        <v>13</v>
      </c>
      <c r="P287" s="1254">
        <v>14</v>
      </c>
      <c r="Q287" s="1254">
        <v>15</v>
      </c>
      <c r="R287" s="1185">
        <v>16</v>
      </c>
      <c r="S287" s="1185">
        <v>17</v>
      </c>
      <c r="T287" s="1254">
        <v>18</v>
      </c>
      <c r="U287" s="1254">
        <v>19</v>
      </c>
      <c r="V287" s="1254">
        <v>20</v>
      </c>
      <c r="W287" s="1254">
        <v>21</v>
      </c>
      <c r="X287" s="1254">
        <v>22</v>
      </c>
      <c r="Y287" s="1185">
        <v>23</v>
      </c>
      <c r="Z287" s="1185">
        <v>24</v>
      </c>
      <c r="AA287" s="1254">
        <v>25</v>
      </c>
      <c r="AB287" s="1254">
        <v>26</v>
      </c>
      <c r="AC287" s="1254">
        <v>27</v>
      </c>
      <c r="AD287" s="1254">
        <v>28</v>
      </c>
      <c r="AE287" s="1254">
        <v>29</v>
      </c>
      <c r="AF287" s="1185">
        <v>30</v>
      </c>
      <c r="AG287" s="2064">
        <v>31</v>
      </c>
      <c r="AH287" s="200"/>
      <c r="AI287" s="185"/>
    </row>
    <row r="288" spans="1:35" ht="21" customHeight="1" x14ac:dyDescent="0.2">
      <c r="A288" s="88"/>
      <c r="B288" s="158" t="s">
        <v>327</v>
      </c>
      <c r="C288" s="2254"/>
      <c r="D288" s="2254"/>
      <c r="E288" s="2254"/>
      <c r="F288" s="2254" t="s">
        <v>31</v>
      </c>
      <c r="G288" s="2254" t="s">
        <v>31</v>
      </c>
      <c r="H288" s="2254" t="s">
        <v>31</v>
      </c>
      <c r="I288" s="2254" t="s">
        <v>31</v>
      </c>
      <c r="J288" s="2254" t="s">
        <v>31</v>
      </c>
      <c r="K288" s="2254"/>
      <c r="L288" s="2254"/>
      <c r="M288" s="2254" t="s">
        <v>31</v>
      </c>
      <c r="N288" s="2254" t="s">
        <v>31</v>
      </c>
      <c r="O288" s="2254" t="s">
        <v>31</v>
      </c>
      <c r="P288" s="2254" t="s">
        <v>31</v>
      </c>
      <c r="Q288" s="2254" t="s">
        <v>31</v>
      </c>
      <c r="R288" s="2254"/>
      <c r="S288" s="2254"/>
      <c r="T288" s="2254" t="s">
        <v>31</v>
      </c>
      <c r="U288" s="2254" t="s">
        <v>31</v>
      </c>
      <c r="V288" s="2254" t="s">
        <v>31</v>
      </c>
      <c r="W288" s="2254" t="s">
        <v>31</v>
      </c>
      <c r="X288" s="2254" t="s">
        <v>31</v>
      </c>
      <c r="Y288" s="2254"/>
      <c r="Z288" s="2254"/>
      <c r="AA288" s="2222" t="s">
        <v>31</v>
      </c>
      <c r="AB288" s="2222" t="s">
        <v>31</v>
      </c>
      <c r="AC288" s="2222" t="s">
        <v>31</v>
      </c>
      <c r="AD288" s="2224" t="s">
        <v>31</v>
      </c>
      <c r="AE288" s="2222" t="s">
        <v>31</v>
      </c>
      <c r="AF288" s="2224"/>
      <c r="AG288" s="2224"/>
      <c r="AH288" s="201"/>
      <c r="AI288" s="197"/>
    </row>
    <row r="289" spans="1:35" ht="21" customHeight="1" x14ac:dyDescent="0.2">
      <c r="A289" s="2311"/>
      <c r="B289" s="2312" t="s">
        <v>328</v>
      </c>
      <c r="C289" s="2222"/>
      <c r="D289" s="2222"/>
      <c r="E289" s="2222"/>
      <c r="F289" s="2224" t="s">
        <v>31</v>
      </c>
      <c r="G289" s="2222" t="s">
        <v>31</v>
      </c>
      <c r="H289" s="2222" t="s">
        <v>31</v>
      </c>
      <c r="I289" s="2222" t="s">
        <v>31</v>
      </c>
      <c r="J289" s="2222" t="s">
        <v>31</v>
      </c>
      <c r="K289" s="2222"/>
      <c r="L289" s="2222"/>
      <c r="M289" s="2222" t="s">
        <v>31</v>
      </c>
      <c r="N289" s="2229" t="s">
        <v>31</v>
      </c>
      <c r="O289" s="2229" t="s">
        <v>31</v>
      </c>
      <c r="P289" s="2229" t="s">
        <v>31</v>
      </c>
      <c r="Q289" s="2230" t="s">
        <v>31</v>
      </c>
      <c r="R289" s="2229"/>
      <c r="S289" s="2222"/>
      <c r="T289" s="2222" t="s">
        <v>31</v>
      </c>
      <c r="U289" s="2229" t="s">
        <v>31</v>
      </c>
      <c r="V289" s="2229" t="s">
        <v>31</v>
      </c>
      <c r="W289" s="2229" t="s">
        <v>31</v>
      </c>
      <c r="X289" s="2222" t="s">
        <v>31</v>
      </c>
      <c r="Y289" s="2229"/>
      <c r="Z289" s="2222"/>
      <c r="AA289" s="2222" t="s">
        <v>31</v>
      </c>
      <c r="AB289" s="2222" t="s">
        <v>31</v>
      </c>
      <c r="AC289" s="2222" t="s">
        <v>31</v>
      </c>
      <c r="AD289" s="2224" t="s">
        <v>31</v>
      </c>
      <c r="AE289" s="2222" t="s">
        <v>31</v>
      </c>
      <c r="AF289" s="2224"/>
      <c r="AG289" s="2224"/>
      <c r="AH289" s="201"/>
      <c r="AI289" s="197"/>
    </row>
    <row r="290" spans="1:35" ht="21" customHeight="1" x14ac:dyDescent="0.2">
      <c r="A290" s="2285"/>
      <c r="B290" s="2312" t="s">
        <v>329</v>
      </c>
      <c r="C290" s="2254"/>
      <c r="D290" s="2254"/>
      <c r="E290" s="2254" t="s">
        <v>118</v>
      </c>
      <c r="F290" s="2224" t="s">
        <v>31</v>
      </c>
      <c r="G290" s="2222" t="s">
        <v>31</v>
      </c>
      <c r="H290" s="2222" t="s">
        <v>31</v>
      </c>
      <c r="I290" s="2222" t="s">
        <v>31</v>
      </c>
      <c r="J290" s="2222" t="s">
        <v>31</v>
      </c>
      <c r="K290" s="2222"/>
      <c r="L290" s="2222"/>
      <c r="M290" s="2222" t="s">
        <v>31</v>
      </c>
      <c r="N290" s="2229" t="s">
        <v>31</v>
      </c>
      <c r="O290" s="2229" t="s">
        <v>31</v>
      </c>
      <c r="P290" s="2229" t="s">
        <v>31</v>
      </c>
      <c r="Q290" s="2230" t="s">
        <v>31</v>
      </c>
      <c r="R290" s="2229"/>
      <c r="S290" s="2222"/>
      <c r="T290" s="2222" t="s">
        <v>31</v>
      </c>
      <c r="U290" s="2229" t="s">
        <v>31</v>
      </c>
      <c r="V290" s="2229" t="s">
        <v>31</v>
      </c>
      <c r="W290" s="2229" t="s">
        <v>31</v>
      </c>
      <c r="X290" s="2222" t="s">
        <v>31</v>
      </c>
      <c r="Y290" s="2229"/>
      <c r="Z290" s="2222"/>
      <c r="AA290" s="2222" t="s">
        <v>31</v>
      </c>
      <c r="AB290" s="2222" t="s">
        <v>31</v>
      </c>
      <c r="AC290" s="2222" t="s">
        <v>31</v>
      </c>
      <c r="AD290" s="2224" t="s">
        <v>31</v>
      </c>
      <c r="AE290" s="2222" t="s">
        <v>31</v>
      </c>
      <c r="AF290" s="2224"/>
      <c r="AG290" s="2224"/>
      <c r="AH290" s="201"/>
      <c r="AI290" s="197"/>
    </row>
    <row r="291" spans="1:35" ht="21" customHeight="1" x14ac:dyDescent="0.2">
      <c r="A291" s="2285"/>
      <c r="B291" s="2312" t="s">
        <v>330</v>
      </c>
      <c r="C291" s="2222"/>
      <c r="D291" s="2222"/>
      <c r="E291" s="2222"/>
      <c r="F291" s="2224" t="s">
        <v>31</v>
      </c>
      <c r="G291" s="2222" t="s">
        <v>31</v>
      </c>
      <c r="H291" s="2222" t="s">
        <v>31</v>
      </c>
      <c r="I291" s="2222" t="s">
        <v>31</v>
      </c>
      <c r="J291" s="2222" t="s">
        <v>31</v>
      </c>
      <c r="K291" s="2222"/>
      <c r="L291" s="2222"/>
      <c r="M291" s="2222" t="s">
        <v>31</v>
      </c>
      <c r="N291" s="2229" t="s">
        <v>31</v>
      </c>
      <c r="O291" s="2229" t="s">
        <v>31</v>
      </c>
      <c r="P291" s="2229" t="s">
        <v>31</v>
      </c>
      <c r="Q291" s="2230" t="s">
        <v>31</v>
      </c>
      <c r="R291" s="2229"/>
      <c r="S291" s="2222"/>
      <c r="T291" s="2222" t="s">
        <v>31</v>
      </c>
      <c r="U291" s="2229" t="s">
        <v>31</v>
      </c>
      <c r="V291" s="2229" t="s">
        <v>31</v>
      </c>
      <c r="W291" s="2229" t="s">
        <v>31</v>
      </c>
      <c r="X291" s="2222" t="s">
        <v>31</v>
      </c>
      <c r="Y291" s="2229"/>
      <c r="Z291" s="2222"/>
      <c r="AA291" s="2222" t="s">
        <v>31</v>
      </c>
      <c r="AB291" s="2222" t="s">
        <v>31</v>
      </c>
      <c r="AC291" s="2222" t="s">
        <v>31</v>
      </c>
      <c r="AD291" s="2224" t="s">
        <v>31</v>
      </c>
      <c r="AE291" s="2222" t="s">
        <v>31</v>
      </c>
      <c r="AF291" s="2224"/>
      <c r="AG291" s="2224"/>
      <c r="AH291" s="201"/>
      <c r="AI291" s="197"/>
    </row>
    <row r="292" spans="1:35" ht="21" customHeight="1" x14ac:dyDescent="0.2">
      <c r="A292" s="2285"/>
      <c r="B292" s="2312" t="s">
        <v>331</v>
      </c>
      <c r="C292" s="2222"/>
      <c r="D292" s="2222"/>
      <c r="E292" s="2222"/>
      <c r="F292" s="2224" t="s">
        <v>31</v>
      </c>
      <c r="G292" s="2222" t="s">
        <v>31</v>
      </c>
      <c r="H292" s="2222" t="s">
        <v>31</v>
      </c>
      <c r="I292" s="2222" t="s">
        <v>31</v>
      </c>
      <c r="J292" s="2222" t="s">
        <v>31</v>
      </c>
      <c r="K292" s="2222"/>
      <c r="L292" s="2222"/>
      <c r="M292" s="2222" t="s">
        <v>31</v>
      </c>
      <c r="N292" s="2229" t="s">
        <v>31</v>
      </c>
      <c r="O292" s="2229" t="s">
        <v>31</v>
      </c>
      <c r="P292" s="2229" t="s">
        <v>31</v>
      </c>
      <c r="Q292" s="2230" t="s">
        <v>31</v>
      </c>
      <c r="R292" s="2229"/>
      <c r="S292" s="2222"/>
      <c r="T292" s="2222" t="s">
        <v>31</v>
      </c>
      <c r="U292" s="2229" t="s">
        <v>31</v>
      </c>
      <c r="V292" s="2229" t="s">
        <v>31</v>
      </c>
      <c r="W292" s="2229" t="s">
        <v>31</v>
      </c>
      <c r="X292" s="2222" t="s">
        <v>31</v>
      </c>
      <c r="Y292" s="2229"/>
      <c r="Z292" s="2222"/>
      <c r="AA292" s="2222" t="s">
        <v>31</v>
      </c>
      <c r="AB292" s="2222" t="s">
        <v>31</v>
      </c>
      <c r="AC292" s="2222" t="s">
        <v>31</v>
      </c>
      <c r="AD292" s="2224" t="s">
        <v>31</v>
      </c>
      <c r="AE292" s="2222" t="s">
        <v>31</v>
      </c>
      <c r="AF292" s="2224"/>
      <c r="AG292" s="1259"/>
      <c r="AH292" s="201"/>
      <c r="AI292" s="197"/>
    </row>
    <row r="293" spans="1:35" ht="21" customHeight="1" x14ac:dyDescent="0.2">
      <c r="A293" s="2285"/>
      <c r="B293" s="2312" t="s">
        <v>332</v>
      </c>
      <c r="C293" s="2222"/>
      <c r="D293" s="2222"/>
      <c r="E293" s="2222"/>
      <c r="F293" s="2224" t="s">
        <v>31</v>
      </c>
      <c r="G293" s="2222" t="s">
        <v>31</v>
      </c>
      <c r="H293" s="2222" t="s">
        <v>31</v>
      </c>
      <c r="I293" s="2222" t="s">
        <v>31</v>
      </c>
      <c r="J293" s="2222" t="s">
        <v>31</v>
      </c>
      <c r="K293" s="2222"/>
      <c r="L293" s="2222"/>
      <c r="M293" s="2222" t="s">
        <v>31</v>
      </c>
      <c r="N293" s="2229" t="s">
        <v>31</v>
      </c>
      <c r="O293" s="2229" t="s">
        <v>31</v>
      </c>
      <c r="P293" s="2229" t="s">
        <v>31</v>
      </c>
      <c r="Q293" s="2230" t="s">
        <v>31</v>
      </c>
      <c r="R293" s="2229"/>
      <c r="S293" s="2222"/>
      <c r="T293" s="2222" t="s">
        <v>31</v>
      </c>
      <c r="U293" s="2229" t="s">
        <v>31</v>
      </c>
      <c r="V293" s="2229" t="s">
        <v>31</v>
      </c>
      <c r="W293" s="2229" t="s">
        <v>31</v>
      </c>
      <c r="X293" s="2222" t="s">
        <v>31</v>
      </c>
      <c r="Y293" s="2229"/>
      <c r="Z293" s="2222"/>
      <c r="AA293" s="2222" t="s">
        <v>31</v>
      </c>
      <c r="AB293" s="2222" t="s">
        <v>31</v>
      </c>
      <c r="AC293" s="2222" t="s">
        <v>31</v>
      </c>
      <c r="AD293" s="2224" t="s">
        <v>31</v>
      </c>
      <c r="AE293" s="2222" t="s">
        <v>31</v>
      </c>
      <c r="AF293" s="2224"/>
      <c r="AG293" s="1259"/>
      <c r="AH293" s="201"/>
      <c r="AI293" s="197"/>
    </row>
    <row r="294" spans="1:35" ht="21" customHeight="1" x14ac:dyDescent="0.2">
      <c r="A294" s="2285"/>
      <c r="B294" s="2312" t="s">
        <v>333</v>
      </c>
      <c r="C294" s="2222"/>
      <c r="D294" s="2222"/>
      <c r="E294" s="2222"/>
      <c r="F294" s="2224" t="s">
        <v>31</v>
      </c>
      <c r="G294" s="2222" t="s">
        <v>31</v>
      </c>
      <c r="H294" s="2222" t="s">
        <v>31</v>
      </c>
      <c r="I294" s="2222" t="s">
        <v>31</v>
      </c>
      <c r="J294" s="2222" t="s">
        <v>31</v>
      </c>
      <c r="K294" s="2222"/>
      <c r="L294" s="2222"/>
      <c r="M294" s="2222" t="s">
        <v>31</v>
      </c>
      <c r="N294" s="2229" t="s">
        <v>31</v>
      </c>
      <c r="O294" s="2229" t="s">
        <v>31</v>
      </c>
      <c r="P294" s="2229" t="s">
        <v>31</v>
      </c>
      <c r="Q294" s="2230" t="s">
        <v>31</v>
      </c>
      <c r="R294" s="2229"/>
      <c r="S294" s="2222"/>
      <c r="T294" s="2222" t="s">
        <v>31</v>
      </c>
      <c r="U294" s="2229" t="s">
        <v>31</v>
      </c>
      <c r="V294" s="2229" t="s">
        <v>31</v>
      </c>
      <c r="W294" s="2229" t="s">
        <v>31</v>
      </c>
      <c r="X294" s="2222" t="s">
        <v>31</v>
      </c>
      <c r="Y294" s="2229"/>
      <c r="Z294" s="2222"/>
      <c r="AA294" s="2222" t="s">
        <v>31</v>
      </c>
      <c r="AB294" s="2222" t="s">
        <v>31</v>
      </c>
      <c r="AC294" s="2222" t="s">
        <v>31</v>
      </c>
      <c r="AD294" s="2224" t="s">
        <v>31</v>
      </c>
      <c r="AE294" s="2222" t="s">
        <v>31</v>
      </c>
      <c r="AF294" s="2224"/>
      <c r="AG294" s="1259"/>
      <c r="AH294" s="201"/>
      <c r="AI294" s="197"/>
    </row>
    <row r="295" spans="1:35" ht="21" customHeight="1" x14ac:dyDescent="0.2">
      <c r="A295" s="2285"/>
      <c r="B295" s="2312" t="s">
        <v>334</v>
      </c>
      <c r="C295" s="2222"/>
      <c r="D295" s="2222"/>
      <c r="E295" s="2222"/>
      <c r="F295" s="2224" t="s">
        <v>31</v>
      </c>
      <c r="G295" s="2222" t="s">
        <v>31</v>
      </c>
      <c r="H295" s="2222" t="s">
        <v>31</v>
      </c>
      <c r="I295" s="2254" t="s">
        <v>289</v>
      </c>
      <c r="J295" s="2222" t="s">
        <v>31</v>
      </c>
      <c r="K295" s="2222"/>
      <c r="L295" s="2222"/>
      <c r="M295" s="2222" t="s">
        <v>31</v>
      </c>
      <c r="N295" s="2229" t="s">
        <v>31</v>
      </c>
      <c r="O295" s="2229" t="s">
        <v>31</v>
      </c>
      <c r="P295" s="2229" t="s">
        <v>31</v>
      </c>
      <c r="Q295" s="2230" t="s">
        <v>31</v>
      </c>
      <c r="R295" s="2229"/>
      <c r="S295" s="2222"/>
      <c r="T295" s="2222" t="s">
        <v>31</v>
      </c>
      <c r="U295" s="2229" t="s">
        <v>31</v>
      </c>
      <c r="V295" s="2229" t="s">
        <v>31</v>
      </c>
      <c r="W295" s="2229" t="s">
        <v>31</v>
      </c>
      <c r="X295" s="2222" t="s">
        <v>31</v>
      </c>
      <c r="Y295" s="2229"/>
      <c r="Z295" s="2222"/>
      <c r="AA295" s="2222" t="s">
        <v>31</v>
      </c>
      <c r="AB295" s="2222" t="s">
        <v>31</v>
      </c>
      <c r="AC295" s="2222" t="s">
        <v>31</v>
      </c>
      <c r="AD295" s="2224" t="s">
        <v>31</v>
      </c>
      <c r="AE295" s="2222" t="s">
        <v>31</v>
      </c>
      <c r="AF295" s="2224"/>
      <c r="AG295" s="1259"/>
      <c r="AH295" s="201"/>
      <c r="AI295" s="197"/>
    </row>
    <row r="296" spans="1:35" ht="21" customHeight="1" x14ac:dyDescent="0.2">
      <c r="A296" s="2285"/>
      <c r="B296" s="2300" t="s">
        <v>400</v>
      </c>
      <c r="C296" s="2222"/>
      <c r="D296" s="2222"/>
      <c r="E296" s="2222"/>
      <c r="F296" s="2224" t="s">
        <v>31</v>
      </c>
      <c r="G296" s="2222" t="s">
        <v>31</v>
      </c>
      <c r="H296" s="2222" t="s">
        <v>31</v>
      </c>
      <c r="I296" s="2222" t="s">
        <v>31</v>
      </c>
      <c r="J296" s="2222" t="s">
        <v>31</v>
      </c>
      <c r="K296" s="2222"/>
      <c r="L296" s="2222"/>
      <c r="M296" s="2222" t="s">
        <v>31</v>
      </c>
      <c r="N296" s="2229" t="s">
        <v>31</v>
      </c>
      <c r="O296" s="2229" t="s">
        <v>31</v>
      </c>
      <c r="P296" s="2229" t="s">
        <v>31</v>
      </c>
      <c r="Q296" s="2230" t="s">
        <v>31</v>
      </c>
      <c r="R296" s="2229"/>
      <c r="S296" s="2222"/>
      <c r="T296" s="2222" t="s">
        <v>31</v>
      </c>
      <c r="U296" s="2229" t="s">
        <v>31</v>
      </c>
      <c r="V296" s="2229" t="s">
        <v>31</v>
      </c>
      <c r="W296" s="2229" t="s">
        <v>31</v>
      </c>
      <c r="X296" s="2222" t="s">
        <v>31</v>
      </c>
      <c r="Y296" s="2229"/>
      <c r="Z296" s="2222"/>
      <c r="AA296" s="2222" t="s">
        <v>31</v>
      </c>
      <c r="AB296" s="2222" t="s">
        <v>31</v>
      </c>
      <c r="AC296" s="2222" t="s">
        <v>31</v>
      </c>
      <c r="AD296" s="2224" t="s">
        <v>31</v>
      </c>
      <c r="AE296" s="2222" t="s">
        <v>31</v>
      </c>
      <c r="AF296" s="2224"/>
      <c r="AG296" s="1259"/>
      <c r="AH296" s="201"/>
      <c r="AI296" s="197"/>
    </row>
    <row r="297" spans="1:35" ht="21" customHeight="1" x14ac:dyDescent="0.2">
      <c r="A297" s="2285"/>
      <c r="B297" s="2313" t="s">
        <v>335</v>
      </c>
      <c r="C297" s="2222"/>
      <c r="D297" s="2222"/>
      <c r="E297" s="2222"/>
      <c r="F297" s="2224" t="s">
        <v>31</v>
      </c>
      <c r="G297" s="2222" t="s">
        <v>31</v>
      </c>
      <c r="H297" s="2222" t="s">
        <v>31</v>
      </c>
      <c r="I297" s="2222" t="s">
        <v>31</v>
      </c>
      <c r="J297" s="2222" t="s">
        <v>31</v>
      </c>
      <c r="K297" s="2222"/>
      <c r="L297" s="2222"/>
      <c r="M297" s="2222" t="s">
        <v>31</v>
      </c>
      <c r="N297" s="2229" t="s">
        <v>31</v>
      </c>
      <c r="O297" s="2229" t="s">
        <v>31</v>
      </c>
      <c r="P297" s="2229" t="s">
        <v>31</v>
      </c>
      <c r="Q297" s="2230" t="s">
        <v>31</v>
      </c>
      <c r="R297" s="2229"/>
      <c r="S297" s="2222"/>
      <c r="T297" s="2222" t="s">
        <v>31</v>
      </c>
      <c r="U297" s="2229" t="s">
        <v>31</v>
      </c>
      <c r="V297" s="2229" t="s">
        <v>31</v>
      </c>
      <c r="W297" s="2229" t="s">
        <v>31</v>
      </c>
      <c r="X297" s="2222" t="s">
        <v>31</v>
      </c>
      <c r="Y297" s="2229"/>
      <c r="Z297" s="2222"/>
      <c r="AA297" s="2222" t="s">
        <v>31</v>
      </c>
      <c r="AB297" s="2222" t="s">
        <v>31</v>
      </c>
      <c r="AC297" s="2222" t="s">
        <v>31</v>
      </c>
      <c r="AD297" s="2224" t="s">
        <v>31</v>
      </c>
      <c r="AE297" s="2222" t="s">
        <v>31</v>
      </c>
      <c r="AF297" s="2224"/>
      <c r="AG297" s="1259"/>
      <c r="AH297" s="201"/>
      <c r="AI297" s="197"/>
    </row>
    <row r="298" spans="1:35" ht="21" customHeight="1" x14ac:dyDescent="0.2">
      <c r="A298" s="2285"/>
      <c r="B298" s="2142" t="s">
        <v>336</v>
      </c>
      <c r="C298" s="2222"/>
      <c r="D298" s="2222"/>
      <c r="E298" s="2222"/>
      <c r="F298" s="2224" t="s">
        <v>31</v>
      </c>
      <c r="G298" s="2222" t="s">
        <v>31</v>
      </c>
      <c r="H298" s="2222" t="s">
        <v>31</v>
      </c>
      <c r="I298" s="2222" t="s">
        <v>31</v>
      </c>
      <c r="J298" s="2222" t="s">
        <v>31</v>
      </c>
      <c r="K298" s="2222"/>
      <c r="L298" s="2222"/>
      <c r="M298" s="2222" t="s">
        <v>31</v>
      </c>
      <c r="N298" s="2229" t="s">
        <v>31</v>
      </c>
      <c r="O298" s="2229" t="s">
        <v>31</v>
      </c>
      <c r="P298" s="2229" t="s">
        <v>31</v>
      </c>
      <c r="Q298" s="2230" t="s">
        <v>31</v>
      </c>
      <c r="R298" s="2229"/>
      <c r="S298" s="2222"/>
      <c r="T298" s="2222" t="s">
        <v>31</v>
      </c>
      <c r="U298" s="2229" t="s">
        <v>31</v>
      </c>
      <c r="V298" s="2229" t="s">
        <v>31</v>
      </c>
      <c r="W298" s="2229" t="s">
        <v>31</v>
      </c>
      <c r="X298" s="2222" t="s">
        <v>31</v>
      </c>
      <c r="Y298" s="2229"/>
      <c r="Z298" s="2222"/>
      <c r="AA298" s="2222" t="s">
        <v>31</v>
      </c>
      <c r="AB298" s="2222" t="s">
        <v>31</v>
      </c>
      <c r="AC298" s="2222" t="s">
        <v>31</v>
      </c>
      <c r="AD298" s="2224" t="s">
        <v>31</v>
      </c>
      <c r="AE298" s="2222" t="s">
        <v>31</v>
      </c>
      <c r="AF298" s="2224"/>
      <c r="AG298" s="1259"/>
      <c r="AH298" s="201"/>
      <c r="AI298" s="197"/>
    </row>
    <row r="299" spans="1:35" ht="21" customHeight="1" x14ac:dyDescent="0.2">
      <c r="A299" s="2285"/>
      <c r="B299" s="2313"/>
      <c r="C299" s="2224"/>
      <c r="D299" s="2218"/>
      <c r="E299" s="2224"/>
      <c r="F299" s="2224"/>
      <c r="G299" s="2224"/>
      <c r="H299" s="2224"/>
      <c r="I299" s="2224"/>
      <c r="J299" s="2224"/>
      <c r="K299" s="2224"/>
      <c r="L299" s="2224"/>
      <c r="M299" s="2224"/>
      <c r="N299" s="2224"/>
      <c r="O299" s="2224"/>
      <c r="P299" s="2224"/>
      <c r="Q299" s="2224"/>
      <c r="R299" s="2224"/>
      <c r="S299" s="2224"/>
      <c r="T299" s="2224"/>
      <c r="U299" s="2224"/>
      <c r="V299" s="2224"/>
      <c r="W299" s="2224"/>
      <c r="X299" s="2224"/>
      <c r="Y299" s="2224"/>
      <c r="Z299" s="2224"/>
      <c r="AA299" s="2224"/>
      <c r="AB299" s="2224"/>
      <c r="AC299" s="2224"/>
      <c r="AD299" s="2224"/>
      <c r="AE299" s="2224"/>
      <c r="AF299" s="2224"/>
      <c r="AG299" s="1259"/>
      <c r="AH299" s="201"/>
      <c r="AI299" s="197"/>
    </row>
    <row r="300" spans="1:35" ht="21" customHeight="1" x14ac:dyDescent="0.2">
      <c r="A300" s="1277"/>
      <c r="B300" s="2313"/>
      <c r="C300" s="1259"/>
      <c r="D300" s="1259"/>
      <c r="E300" s="1259"/>
      <c r="F300" s="1259"/>
      <c r="G300" s="1259"/>
      <c r="H300" s="1259"/>
      <c r="I300" s="1259"/>
      <c r="J300" s="1259"/>
      <c r="K300" s="1259"/>
      <c r="L300" s="1259"/>
      <c r="M300" s="1259"/>
      <c r="N300" s="1258"/>
      <c r="O300" s="1258"/>
      <c r="P300" s="1259"/>
      <c r="Q300" s="1259"/>
      <c r="R300" s="1259"/>
      <c r="S300" s="1259"/>
      <c r="T300" s="1259"/>
      <c r="U300" s="1259"/>
      <c r="V300" s="1259"/>
      <c r="W300" s="1259"/>
      <c r="X300" s="1259"/>
      <c r="Y300" s="1259"/>
      <c r="Z300" s="1259"/>
      <c r="AA300" s="1259"/>
      <c r="AB300" s="1258"/>
      <c r="AC300" s="1258"/>
      <c r="AD300" s="1259"/>
      <c r="AE300" s="1259"/>
      <c r="AF300" s="1259"/>
      <c r="AG300" s="1259"/>
      <c r="AH300" s="201"/>
      <c r="AI300" s="199"/>
    </row>
    <row r="301" spans="1:35" ht="21" customHeight="1" thickBot="1" x14ac:dyDescent="0.25">
      <c r="A301" s="686"/>
      <c r="B301" s="687"/>
      <c r="C301" s="2305"/>
      <c r="D301" s="2306"/>
      <c r="E301" s="2306"/>
      <c r="F301" s="2306"/>
      <c r="G301" s="2306"/>
      <c r="H301" s="2306"/>
      <c r="I301" s="2306"/>
      <c r="J301" s="2306"/>
      <c r="K301" s="2306"/>
      <c r="L301" s="2306"/>
      <c r="M301" s="2306"/>
      <c r="N301" s="2307"/>
      <c r="O301" s="2307"/>
      <c r="P301" s="2306"/>
      <c r="Q301" s="2306"/>
      <c r="R301" s="2306"/>
      <c r="S301" s="2306"/>
      <c r="T301" s="2306"/>
      <c r="U301" s="2306"/>
      <c r="V301" s="2306"/>
      <c r="W301" s="2306"/>
      <c r="X301" s="2306"/>
      <c r="Y301" s="2306"/>
      <c r="Z301" s="2306"/>
      <c r="AA301" s="2306"/>
      <c r="AB301" s="2307"/>
      <c r="AC301" s="2307"/>
      <c r="AD301" s="2306"/>
      <c r="AE301" s="2306"/>
      <c r="AF301" s="2306"/>
      <c r="AG301" s="2306"/>
      <c r="AH301" s="201"/>
      <c r="AI301" s="199"/>
    </row>
  </sheetData>
  <protectedRanges>
    <protectedRange sqref="B226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" name="Område1_1_1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0CEE-3A96-46C3-B2F6-FD16698F3E1B}">
  <sheetPr codeName="Ark72"/>
  <dimension ref="A1:AL301"/>
  <sheetViews>
    <sheetView zoomScale="90" zoomScaleNormal="90" workbookViewId="0">
      <pane xSplit="2" ySplit="3" topLeftCell="C58" activePane="bottomRight" state="frozen"/>
      <selection pane="topRight" activeCell="AM167" sqref="AM167"/>
      <selection pane="bottomLeft" activeCell="AM167" sqref="AM167"/>
      <selection pane="bottomRight" activeCell="AJ102" sqref="AJ102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2314" t="s">
        <v>2</v>
      </c>
      <c r="C2" s="2315" t="s">
        <v>3</v>
      </c>
      <c r="D2" s="2316"/>
      <c r="E2" s="2317" t="s">
        <v>4</v>
      </c>
      <c r="F2" s="2318"/>
      <c r="G2" s="2319"/>
      <c r="H2" s="2319"/>
      <c r="I2" s="2319"/>
      <c r="J2" s="2319"/>
      <c r="K2" s="2320"/>
      <c r="L2" s="2321" t="s">
        <v>5</v>
      </c>
      <c r="M2" s="2322"/>
      <c r="N2" s="2323"/>
      <c r="O2" s="2324" t="s">
        <v>6</v>
      </c>
      <c r="P2" s="2325"/>
      <c r="Q2" s="2326"/>
      <c r="R2" s="2327"/>
      <c r="S2" s="2328" t="s">
        <v>7</v>
      </c>
      <c r="T2" s="2329"/>
      <c r="U2" s="2330"/>
      <c r="V2" s="2329"/>
      <c r="W2" s="2331" t="s">
        <v>8</v>
      </c>
      <c r="X2" s="2332"/>
      <c r="Y2" s="2333"/>
      <c r="Z2" s="164" t="s">
        <v>9</v>
      </c>
      <c r="AA2" s="2334"/>
      <c r="AB2" s="2335"/>
      <c r="AC2" s="2336"/>
      <c r="AD2" s="2337" t="s">
        <v>10</v>
      </c>
      <c r="AE2" s="2338"/>
      <c r="AF2" s="2338"/>
      <c r="AG2" s="2339"/>
    </row>
    <row r="3" spans="1:35" ht="13.35" customHeight="1" x14ac:dyDescent="0.2">
      <c r="A3" s="1"/>
      <c r="B3" s="2340" t="s">
        <v>11</v>
      </c>
      <c r="C3" s="2341" t="s">
        <v>12</v>
      </c>
      <c r="D3" s="2342"/>
      <c r="E3" s="91"/>
      <c r="F3" s="92"/>
      <c r="G3" s="92"/>
      <c r="H3" s="165" t="s">
        <v>13</v>
      </c>
      <c r="I3" s="93"/>
      <c r="J3" s="93"/>
      <c r="K3" s="94"/>
      <c r="L3" s="2343" t="s">
        <v>14</v>
      </c>
      <c r="M3" s="2344"/>
      <c r="N3" s="2345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2344"/>
      <c r="AA3" s="2344"/>
      <c r="AB3" s="2346"/>
      <c r="AC3" s="2347"/>
      <c r="AD3" s="2348" t="s">
        <v>17</v>
      </c>
      <c r="AE3" s="2349"/>
      <c r="AF3" s="2349"/>
      <c r="AG3" s="2350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2351" t="s">
        <v>20</v>
      </c>
      <c r="B6" s="2344"/>
      <c r="C6" s="2352"/>
      <c r="D6" s="2351" t="s">
        <v>21</v>
      </c>
      <c r="E6" s="2344"/>
      <c r="F6" s="2344"/>
      <c r="G6" s="2344"/>
      <c r="H6" s="2353"/>
      <c r="I6" s="2344"/>
      <c r="J6" s="2344"/>
      <c r="K6" s="2344"/>
      <c r="L6" s="2354" t="s">
        <v>22</v>
      </c>
      <c r="M6" s="2344"/>
      <c r="N6" s="2344"/>
      <c r="O6" s="2344"/>
      <c r="P6" s="2344"/>
      <c r="Q6" s="2344"/>
      <c r="R6" s="2344"/>
      <c r="S6" s="2352"/>
      <c r="T6" s="2355"/>
      <c r="U6" s="2344"/>
      <c r="V6" s="2344"/>
      <c r="W6" s="2344"/>
      <c r="X6" s="2344"/>
      <c r="Y6" s="2344"/>
      <c r="Z6" s="2344"/>
      <c r="AA6" s="2352"/>
      <c r="AB6" s="2356"/>
      <c r="AC6" s="2357"/>
      <c r="AD6" s="2357"/>
      <c r="AE6" s="2357"/>
      <c r="AF6" s="2357"/>
      <c r="AG6" s="2358"/>
    </row>
    <row r="7" spans="1:35" ht="22.15" customHeight="1" x14ac:dyDescent="0.2">
      <c r="A7" s="2351" t="s">
        <v>23</v>
      </c>
      <c r="B7" s="2344"/>
      <c r="C7" s="2344"/>
      <c r="D7" s="2344"/>
      <c r="E7" s="2344"/>
      <c r="F7" s="2344"/>
      <c r="G7" s="2344"/>
      <c r="H7" s="2344"/>
      <c r="I7" s="2344"/>
      <c r="J7" s="2344"/>
      <c r="K7" s="2352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344"/>
      <c r="V7" s="2344"/>
      <c r="W7" s="2344"/>
      <c r="X7" s="2344"/>
      <c r="Y7" s="2344"/>
      <c r="Z7" s="2344"/>
      <c r="AA7" s="2344"/>
      <c r="AB7" s="2359"/>
      <c r="AC7" s="2344"/>
      <c r="AD7" s="2344"/>
      <c r="AE7" s="2344"/>
      <c r="AF7" s="2344"/>
      <c r="AG7" s="2352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5" ht="22.15" customHeight="1" thickBot="1" x14ac:dyDescent="0.25">
      <c r="A11" s="2360" t="s">
        <v>28</v>
      </c>
      <c r="B11" s="2361" t="s">
        <v>29</v>
      </c>
      <c r="C11" s="2362">
        <v>1</v>
      </c>
      <c r="D11" s="2362">
        <v>2</v>
      </c>
      <c r="E11" s="2362">
        <v>3</v>
      </c>
      <c r="F11" s="2362">
        <v>4</v>
      </c>
      <c r="G11" s="2362">
        <v>5</v>
      </c>
      <c r="H11" s="2363">
        <v>6</v>
      </c>
      <c r="I11" s="2363">
        <v>7</v>
      </c>
      <c r="J11" s="2362">
        <v>8</v>
      </c>
      <c r="K11" s="2362">
        <v>9</v>
      </c>
      <c r="L11" s="2362">
        <v>10</v>
      </c>
      <c r="M11" s="2362">
        <v>11</v>
      </c>
      <c r="N11" s="2362">
        <v>12</v>
      </c>
      <c r="O11" s="2363">
        <v>13</v>
      </c>
      <c r="P11" s="2363">
        <v>14</v>
      </c>
      <c r="Q11" s="2362">
        <v>15</v>
      </c>
      <c r="R11" s="2362">
        <v>16</v>
      </c>
      <c r="S11" s="2362">
        <v>17</v>
      </c>
      <c r="T11" s="2362">
        <v>18</v>
      </c>
      <c r="U11" s="2362">
        <v>19</v>
      </c>
      <c r="V11" s="2363">
        <v>20</v>
      </c>
      <c r="W11" s="2363">
        <v>21</v>
      </c>
      <c r="X11" s="2362">
        <v>22</v>
      </c>
      <c r="Y11" s="2362">
        <v>23</v>
      </c>
      <c r="Z11" s="2362">
        <v>24</v>
      </c>
      <c r="AA11" s="2362">
        <v>25</v>
      </c>
      <c r="AB11" s="2362">
        <v>26</v>
      </c>
      <c r="AC11" s="2363">
        <v>27</v>
      </c>
      <c r="AD11" s="2363">
        <v>28</v>
      </c>
      <c r="AE11" s="2362"/>
      <c r="AF11" s="2362"/>
      <c r="AG11" s="2364"/>
      <c r="AH11" s="184"/>
      <c r="AI11" s="185"/>
    </row>
    <row r="12" spans="1:35" ht="22.15" customHeight="1" x14ac:dyDescent="0.2">
      <c r="A12" s="456">
        <v>8500</v>
      </c>
      <c r="B12" s="457" t="s">
        <v>30</v>
      </c>
      <c r="C12" s="458" t="s">
        <v>31</v>
      </c>
      <c r="D12" s="458" t="s">
        <v>31</v>
      </c>
      <c r="E12" s="458" t="s">
        <v>31</v>
      </c>
      <c r="F12" s="458" t="s">
        <v>31</v>
      </c>
      <c r="G12" s="458" t="s">
        <v>31</v>
      </c>
      <c r="H12" s="458"/>
      <c r="I12" s="458"/>
      <c r="J12" s="458" t="s">
        <v>31</v>
      </c>
      <c r="K12" s="458" t="s">
        <v>31</v>
      </c>
      <c r="L12" s="458" t="s">
        <v>31</v>
      </c>
      <c r="M12" s="458" t="s">
        <v>31</v>
      </c>
      <c r="N12" s="458" t="s">
        <v>31</v>
      </c>
      <c r="O12" s="458"/>
      <c r="P12" s="458"/>
      <c r="Q12" s="458" t="s">
        <v>31</v>
      </c>
      <c r="R12" s="458" t="s">
        <v>31</v>
      </c>
      <c r="S12" s="458" t="s">
        <v>31</v>
      </c>
      <c r="T12" s="458" t="s">
        <v>31</v>
      </c>
      <c r="U12" s="458" t="s">
        <v>31</v>
      </c>
      <c r="V12" s="458"/>
      <c r="W12" s="458"/>
      <c r="X12" s="458" t="s">
        <v>31</v>
      </c>
      <c r="Y12" s="458" t="s">
        <v>31</v>
      </c>
      <c r="Z12" s="458" t="s">
        <v>31</v>
      </c>
      <c r="AA12" s="458" t="s">
        <v>31</v>
      </c>
      <c r="AB12" s="458" t="s">
        <v>31</v>
      </c>
      <c r="AC12" s="458"/>
      <c r="AD12" s="458"/>
      <c r="AE12" s="458"/>
      <c r="AF12" s="458"/>
      <c r="AG12" s="464"/>
      <c r="AH12" s="190"/>
      <c r="AI12" s="190"/>
    </row>
    <row r="13" spans="1:35" ht="22.15" customHeight="1" x14ac:dyDescent="0.2">
      <c r="A13" s="2365" t="s">
        <v>33</v>
      </c>
      <c r="B13" s="2366"/>
      <c r="C13" s="2366"/>
      <c r="D13" s="2366"/>
      <c r="E13" s="2366"/>
      <c r="F13" s="2366"/>
      <c r="G13" s="2366"/>
      <c r="H13" s="2366"/>
      <c r="I13" s="2366"/>
      <c r="J13" s="2366"/>
      <c r="K13" s="2366"/>
      <c r="L13" s="2366"/>
      <c r="M13" s="2366"/>
      <c r="N13" s="2366"/>
      <c r="O13" s="2366"/>
      <c r="P13" s="2366"/>
      <c r="Q13" s="2366"/>
      <c r="R13" s="2366"/>
      <c r="S13" s="2366"/>
      <c r="T13" s="2366"/>
      <c r="U13" s="2366"/>
      <c r="V13" s="2366"/>
      <c r="W13" s="2366"/>
      <c r="X13" s="2366"/>
      <c r="Y13" s="2366"/>
      <c r="Z13" s="2366"/>
      <c r="AA13" s="2366"/>
      <c r="AB13" s="2366"/>
      <c r="AC13" s="2366"/>
      <c r="AD13" s="2366"/>
      <c r="AE13" s="2366"/>
      <c r="AF13" s="2366"/>
      <c r="AG13" s="2367"/>
      <c r="AH13" s="188"/>
      <c r="AI13" s="188"/>
    </row>
    <row r="14" spans="1:35" ht="22.15" customHeight="1" x14ac:dyDescent="0.2">
      <c r="A14" s="2368">
        <v>8546</v>
      </c>
      <c r="B14" s="2369" t="s">
        <v>34</v>
      </c>
      <c r="C14" s="2370" t="s">
        <v>35</v>
      </c>
      <c r="D14" s="2370" t="s">
        <v>35</v>
      </c>
      <c r="E14" s="2370" t="s">
        <v>35</v>
      </c>
      <c r="F14" s="2370" t="s">
        <v>35</v>
      </c>
      <c r="G14" s="2370" t="s">
        <v>35</v>
      </c>
      <c r="H14" s="2371"/>
      <c r="I14" s="2371"/>
      <c r="J14" s="2371">
        <v>1</v>
      </c>
      <c r="K14" s="2372">
        <v>1</v>
      </c>
      <c r="L14" s="2371">
        <v>1</v>
      </c>
      <c r="M14" s="2373">
        <v>1</v>
      </c>
      <c r="N14" s="2370">
        <v>1</v>
      </c>
      <c r="O14" s="2370"/>
      <c r="P14" s="2374"/>
      <c r="Q14" s="2374">
        <v>2</v>
      </c>
      <c r="R14" s="2371">
        <v>2</v>
      </c>
      <c r="S14" s="2375">
        <v>2</v>
      </c>
      <c r="T14" s="2374">
        <v>2</v>
      </c>
      <c r="U14" s="2374">
        <v>2</v>
      </c>
      <c r="V14" s="2371" t="s">
        <v>36</v>
      </c>
      <c r="W14" s="2371" t="s">
        <v>36</v>
      </c>
      <c r="X14" s="2371" t="s">
        <v>35</v>
      </c>
      <c r="Y14" s="2371" t="s">
        <v>35</v>
      </c>
      <c r="Z14" s="2371" t="s">
        <v>35</v>
      </c>
      <c r="AA14" s="2371" t="s">
        <v>35</v>
      </c>
      <c r="AB14" s="2371" t="s">
        <v>35</v>
      </c>
      <c r="AC14" s="2371"/>
      <c r="AD14" s="2374"/>
      <c r="AE14" s="2371"/>
      <c r="AF14" s="2371"/>
      <c r="AG14" s="2376"/>
      <c r="AH14" s="190"/>
      <c r="AI14" s="190"/>
    </row>
    <row r="15" spans="1:35" ht="22.15" customHeight="1" x14ac:dyDescent="0.2">
      <c r="A15" s="2368">
        <v>8546</v>
      </c>
      <c r="B15" s="2377" t="s">
        <v>38</v>
      </c>
      <c r="C15" s="2378">
        <v>4</v>
      </c>
      <c r="D15" s="2378">
        <v>4</v>
      </c>
      <c r="E15" s="2378">
        <v>4</v>
      </c>
      <c r="F15" s="2378">
        <v>4</v>
      </c>
      <c r="G15" s="2378">
        <v>4</v>
      </c>
      <c r="H15" s="2378" t="s">
        <v>37</v>
      </c>
      <c r="I15" s="2378" t="s">
        <v>37</v>
      </c>
      <c r="J15" s="2372" t="s">
        <v>35</v>
      </c>
      <c r="K15" s="2374" t="s">
        <v>35</v>
      </c>
      <c r="L15" s="2371" t="s">
        <v>35</v>
      </c>
      <c r="M15" s="2371" t="s">
        <v>35</v>
      </c>
      <c r="N15" s="2371" t="s">
        <v>35</v>
      </c>
      <c r="O15" s="2371"/>
      <c r="P15" s="2371"/>
      <c r="Q15" s="2371">
        <v>1</v>
      </c>
      <c r="R15" s="2371">
        <v>1</v>
      </c>
      <c r="S15" s="2371">
        <v>1</v>
      </c>
      <c r="T15" s="2371">
        <v>1</v>
      </c>
      <c r="U15" s="2371">
        <v>1</v>
      </c>
      <c r="V15" s="2371"/>
      <c r="W15" s="2371"/>
      <c r="X15" s="2371">
        <v>2</v>
      </c>
      <c r="Y15" s="2371">
        <v>2</v>
      </c>
      <c r="Z15" s="2371">
        <v>2</v>
      </c>
      <c r="AA15" s="2371">
        <v>2</v>
      </c>
      <c r="AB15" s="2371">
        <v>2</v>
      </c>
      <c r="AC15" s="2371" t="s">
        <v>36</v>
      </c>
      <c r="AD15" s="2371" t="s">
        <v>36</v>
      </c>
      <c r="AE15" s="2371"/>
      <c r="AF15" s="2371"/>
      <c r="AG15" s="2376"/>
      <c r="AH15" s="190"/>
      <c r="AI15" s="190"/>
    </row>
    <row r="16" spans="1:35" ht="22.15" customHeight="1" x14ac:dyDescent="0.2">
      <c r="A16" s="2368">
        <v>8546</v>
      </c>
      <c r="B16" s="2369" t="s">
        <v>39</v>
      </c>
      <c r="C16" s="2374">
        <v>2</v>
      </c>
      <c r="D16" s="2371">
        <v>2</v>
      </c>
      <c r="E16" s="2371">
        <v>2</v>
      </c>
      <c r="F16" s="2371">
        <v>2</v>
      </c>
      <c r="G16" s="2371">
        <v>2</v>
      </c>
      <c r="H16" s="2371" t="s">
        <v>36</v>
      </c>
      <c r="I16" s="2371" t="s">
        <v>36</v>
      </c>
      <c r="J16" s="2371" t="s">
        <v>35</v>
      </c>
      <c r="K16" s="2371" t="s">
        <v>35</v>
      </c>
      <c r="L16" s="2371" t="s">
        <v>35</v>
      </c>
      <c r="M16" s="2371" t="s">
        <v>35</v>
      </c>
      <c r="N16" s="2374" t="s">
        <v>35</v>
      </c>
      <c r="O16" s="2374"/>
      <c r="P16" s="2374"/>
      <c r="Q16" s="2378">
        <v>4</v>
      </c>
      <c r="R16" s="2378">
        <v>4</v>
      </c>
      <c r="S16" s="2378">
        <v>4</v>
      </c>
      <c r="T16" s="2378">
        <v>4</v>
      </c>
      <c r="U16" s="2378">
        <v>4</v>
      </c>
      <c r="V16" s="2378" t="s">
        <v>37</v>
      </c>
      <c r="W16" s="2378" t="s">
        <v>37</v>
      </c>
      <c r="X16" s="2371" t="s">
        <v>35</v>
      </c>
      <c r="Y16" s="2374" t="s">
        <v>35</v>
      </c>
      <c r="Z16" s="2374" t="s">
        <v>35</v>
      </c>
      <c r="AA16" s="2374" t="s">
        <v>35</v>
      </c>
      <c r="AB16" s="2374" t="s">
        <v>35</v>
      </c>
      <c r="AC16" s="2374"/>
      <c r="AD16" s="2371"/>
      <c r="AE16" s="2371"/>
      <c r="AF16" s="2371"/>
      <c r="AG16" s="2376"/>
      <c r="AH16" s="190"/>
      <c r="AI16" s="190"/>
    </row>
    <row r="17" spans="1:37" ht="22.15" customHeight="1" x14ac:dyDescent="0.2">
      <c r="A17" s="2368">
        <v>8546</v>
      </c>
      <c r="B17" s="2377" t="s">
        <v>40</v>
      </c>
      <c r="C17" s="2371">
        <v>1</v>
      </c>
      <c r="D17" s="2372">
        <v>1</v>
      </c>
      <c r="E17" s="2371">
        <v>1</v>
      </c>
      <c r="F17" s="2374">
        <v>1</v>
      </c>
      <c r="G17" s="2371">
        <v>1</v>
      </c>
      <c r="H17" s="2371"/>
      <c r="I17" s="2371"/>
      <c r="J17" s="2371">
        <v>2</v>
      </c>
      <c r="K17" s="2371">
        <v>2</v>
      </c>
      <c r="L17" s="2371">
        <v>2</v>
      </c>
      <c r="M17" s="2370">
        <v>2</v>
      </c>
      <c r="N17" s="2370">
        <v>2</v>
      </c>
      <c r="O17" s="2370" t="s">
        <v>36</v>
      </c>
      <c r="P17" s="2370" t="s">
        <v>36</v>
      </c>
      <c r="Q17" s="2370" t="s">
        <v>35</v>
      </c>
      <c r="R17" s="2370" t="s">
        <v>35</v>
      </c>
      <c r="S17" s="2370" t="s">
        <v>35</v>
      </c>
      <c r="T17" s="2371" t="s">
        <v>35</v>
      </c>
      <c r="U17" s="2371" t="s">
        <v>35</v>
      </c>
      <c r="V17" s="2371"/>
      <c r="W17" s="2371"/>
      <c r="X17" s="2372">
        <v>4</v>
      </c>
      <c r="Y17" s="2371">
        <v>4</v>
      </c>
      <c r="Z17" s="2371">
        <v>4</v>
      </c>
      <c r="AA17" s="2379">
        <v>4</v>
      </c>
      <c r="AB17" s="2379">
        <v>4</v>
      </c>
      <c r="AC17" s="2379" t="s">
        <v>37</v>
      </c>
      <c r="AD17" s="2379" t="s">
        <v>37</v>
      </c>
      <c r="AE17" s="2379"/>
      <c r="AF17" s="2379"/>
      <c r="AG17" s="2376"/>
      <c r="AH17" s="190"/>
      <c r="AI17" s="190"/>
    </row>
    <row r="18" spans="1:37" ht="22.15" customHeight="1" x14ac:dyDescent="0.2">
      <c r="A18" s="2368">
        <v>8546</v>
      </c>
      <c r="B18" s="2369" t="s">
        <v>41</v>
      </c>
      <c r="C18" s="2371" t="s">
        <v>35</v>
      </c>
      <c r="D18" s="2372" t="s">
        <v>35</v>
      </c>
      <c r="E18" s="2371" t="s">
        <v>35</v>
      </c>
      <c r="F18" s="2371" t="s">
        <v>35</v>
      </c>
      <c r="G18" s="2371" t="s">
        <v>35</v>
      </c>
      <c r="H18" s="2371"/>
      <c r="I18" s="2371"/>
      <c r="J18" s="2374">
        <v>4</v>
      </c>
      <c r="K18" s="2374">
        <v>4</v>
      </c>
      <c r="L18" s="2371">
        <v>4</v>
      </c>
      <c r="M18" s="2374">
        <v>4</v>
      </c>
      <c r="N18" s="2374">
        <v>4</v>
      </c>
      <c r="O18" s="2371" t="s">
        <v>37</v>
      </c>
      <c r="P18" s="2371" t="s">
        <v>37</v>
      </c>
      <c r="Q18" s="2371" t="s">
        <v>35</v>
      </c>
      <c r="R18" s="2371" t="s">
        <v>35</v>
      </c>
      <c r="S18" s="2371" t="s">
        <v>35</v>
      </c>
      <c r="T18" s="2371" t="s">
        <v>35</v>
      </c>
      <c r="U18" s="2374" t="s">
        <v>35</v>
      </c>
      <c r="V18" s="2374"/>
      <c r="W18" s="2371"/>
      <c r="X18" s="2371">
        <v>1</v>
      </c>
      <c r="Y18" s="2371">
        <v>1</v>
      </c>
      <c r="Z18" s="2371">
        <v>1</v>
      </c>
      <c r="AA18" s="2380">
        <v>1</v>
      </c>
      <c r="AB18" s="2380">
        <v>1</v>
      </c>
      <c r="AC18" s="2381"/>
      <c r="AD18" s="2371"/>
      <c r="AE18" s="2371"/>
      <c r="AF18" s="2371"/>
      <c r="AG18" s="2376"/>
      <c r="AH18" s="190"/>
      <c r="AI18" s="190"/>
    </row>
    <row r="19" spans="1:37" ht="22.15" customHeight="1" thickBot="1" x14ac:dyDescent="0.25">
      <c r="A19" s="2382" t="s">
        <v>42</v>
      </c>
      <c r="B19" s="2383"/>
      <c r="C19" s="2384"/>
      <c r="D19" s="2384"/>
      <c r="E19" s="2384"/>
      <c r="F19" s="2384"/>
      <c r="G19" s="2384"/>
      <c r="H19" s="2384"/>
      <c r="I19" s="2384"/>
      <c r="J19" s="2384"/>
      <c r="K19" s="2384"/>
      <c r="L19" s="2384"/>
      <c r="M19" s="2384"/>
      <c r="N19" s="2384"/>
      <c r="O19" s="2384"/>
      <c r="P19" s="2384"/>
      <c r="Q19" s="2384"/>
      <c r="R19" s="2384"/>
      <c r="S19" s="2384"/>
      <c r="T19" s="2384"/>
      <c r="U19" s="2384"/>
      <c r="V19" s="2384"/>
      <c r="W19" s="2384"/>
      <c r="X19" s="2384"/>
      <c r="Y19" s="2384"/>
      <c r="Z19" s="2384"/>
      <c r="AA19" s="2384"/>
      <c r="AB19" s="2384"/>
      <c r="AC19" s="2384"/>
      <c r="AD19" s="2384"/>
      <c r="AE19" s="2384"/>
      <c r="AF19" s="2384"/>
      <c r="AG19" s="2385"/>
      <c r="AH19" s="188"/>
      <c r="AI19" s="188"/>
    </row>
    <row r="20" spans="1:37" ht="22.15" customHeight="1" x14ac:dyDescent="0.2">
      <c r="A20" s="465">
        <v>8500</v>
      </c>
      <c r="B20" s="466" t="s">
        <v>43</v>
      </c>
      <c r="C20" s="458" t="s">
        <v>31</v>
      </c>
      <c r="D20" s="458" t="s">
        <v>31</v>
      </c>
      <c r="E20" s="458" t="s">
        <v>31</v>
      </c>
      <c r="F20" s="458" t="s">
        <v>31</v>
      </c>
      <c r="G20" s="458" t="s">
        <v>31</v>
      </c>
      <c r="H20" s="458"/>
      <c r="I20" s="458"/>
      <c r="J20" s="458" t="s">
        <v>31</v>
      </c>
      <c r="K20" s="458" t="s">
        <v>31</v>
      </c>
      <c r="L20" s="458" t="s">
        <v>31</v>
      </c>
      <c r="M20" s="458" t="s">
        <v>31</v>
      </c>
      <c r="N20" s="458" t="s">
        <v>31</v>
      </c>
      <c r="O20" s="458"/>
      <c r="P20" s="458"/>
      <c r="Q20" s="468" t="s">
        <v>31</v>
      </c>
      <c r="R20" s="468" t="s">
        <v>31</v>
      </c>
      <c r="S20" s="468" t="s">
        <v>31</v>
      </c>
      <c r="T20" s="468" t="s">
        <v>31</v>
      </c>
      <c r="U20" s="468" t="s">
        <v>31</v>
      </c>
      <c r="V20" s="468"/>
      <c r="W20" s="468"/>
      <c r="X20" s="458" t="s">
        <v>31</v>
      </c>
      <c r="Y20" s="458" t="s">
        <v>31</v>
      </c>
      <c r="Z20" s="458" t="s">
        <v>31</v>
      </c>
      <c r="AA20" s="458" t="s">
        <v>31</v>
      </c>
      <c r="AB20" s="458" t="s">
        <v>31</v>
      </c>
      <c r="AC20" s="458"/>
      <c r="AD20" s="458"/>
      <c r="AE20" s="458"/>
      <c r="AF20" s="458"/>
      <c r="AG20" s="537"/>
      <c r="AH20" s="190"/>
      <c r="AI20" s="190"/>
    </row>
    <row r="21" spans="1:37" ht="22.15" customHeight="1" x14ac:dyDescent="0.2">
      <c r="A21" s="2220">
        <v>8500</v>
      </c>
      <c r="B21" s="2221" t="s">
        <v>44</v>
      </c>
      <c r="C21" s="2222">
        <v>4</v>
      </c>
      <c r="D21" s="2222">
        <v>4</v>
      </c>
      <c r="E21" s="2222">
        <v>4</v>
      </c>
      <c r="F21" s="2222">
        <v>4</v>
      </c>
      <c r="G21" s="2222">
        <v>4</v>
      </c>
      <c r="H21" s="2224" t="s">
        <v>37</v>
      </c>
      <c r="I21" s="2224" t="s">
        <v>37</v>
      </c>
      <c r="J21" s="2222" t="s">
        <v>35</v>
      </c>
      <c r="K21" s="2222" t="s">
        <v>35</v>
      </c>
      <c r="L21" s="2230" t="s">
        <v>35</v>
      </c>
      <c r="M21" s="2222" t="s">
        <v>35</v>
      </c>
      <c r="N21" s="2224" t="s">
        <v>35</v>
      </c>
      <c r="O21" s="2222"/>
      <c r="P21" s="2222"/>
      <c r="Q21" s="2222" t="s">
        <v>31</v>
      </c>
      <c r="R21" s="2222" t="s">
        <v>31</v>
      </c>
      <c r="S21" s="2222" t="s">
        <v>31</v>
      </c>
      <c r="T21" s="2222" t="s">
        <v>31</v>
      </c>
      <c r="U21" s="2222" t="s">
        <v>31</v>
      </c>
      <c r="V21" s="2222"/>
      <c r="W21" s="2222"/>
      <c r="X21" s="2386" t="s">
        <v>31</v>
      </c>
      <c r="Y21" s="2387" t="s">
        <v>31</v>
      </c>
      <c r="Z21" s="2387" t="s">
        <v>31</v>
      </c>
      <c r="AA21" s="2386" t="s">
        <v>31</v>
      </c>
      <c r="AB21" s="2222" t="s">
        <v>31</v>
      </c>
      <c r="AC21" s="2222"/>
      <c r="AD21" s="2222"/>
      <c r="AE21" s="2224"/>
      <c r="AF21" s="2224"/>
      <c r="AG21" s="2138"/>
      <c r="AH21" s="190"/>
      <c r="AI21" s="190"/>
    </row>
    <row r="22" spans="1:37" ht="22.15" customHeight="1" x14ac:dyDescent="0.2">
      <c r="A22" s="2220">
        <v>8500</v>
      </c>
      <c r="B22" s="2227" t="s">
        <v>45</v>
      </c>
      <c r="C22" s="2222" t="s">
        <v>223</v>
      </c>
      <c r="D22" s="2222" t="s">
        <v>223</v>
      </c>
      <c r="E22" s="2222" t="s">
        <v>223</v>
      </c>
      <c r="F22" s="2224" t="s">
        <v>223</v>
      </c>
      <c r="G22" s="2222" t="s">
        <v>223</v>
      </c>
      <c r="H22" s="2222"/>
      <c r="I22" s="2222"/>
      <c r="J22" s="2222" t="s">
        <v>31</v>
      </c>
      <c r="K22" s="2222" t="s">
        <v>31</v>
      </c>
      <c r="L22" s="2222" t="s">
        <v>31</v>
      </c>
      <c r="M22" s="2222" t="s">
        <v>31</v>
      </c>
      <c r="N22" s="2229" t="s">
        <v>31</v>
      </c>
      <c r="O22" s="2229"/>
      <c r="P22" s="2229"/>
      <c r="Q22" s="2230">
        <v>4</v>
      </c>
      <c r="R22" s="2229">
        <v>4</v>
      </c>
      <c r="S22" s="2222">
        <v>4</v>
      </c>
      <c r="T22" s="2222">
        <v>4</v>
      </c>
      <c r="U22" s="2229">
        <v>4</v>
      </c>
      <c r="V22" s="2229" t="s">
        <v>37</v>
      </c>
      <c r="W22" s="2229" t="s">
        <v>37</v>
      </c>
      <c r="X22" s="2222" t="s">
        <v>35</v>
      </c>
      <c r="Y22" s="2229" t="s">
        <v>35</v>
      </c>
      <c r="Z22" s="2222" t="s">
        <v>35</v>
      </c>
      <c r="AA22" s="2222">
        <v>1</v>
      </c>
      <c r="AB22" s="2222">
        <v>1</v>
      </c>
      <c r="AC22" s="2222"/>
      <c r="AD22" s="2224"/>
      <c r="AE22" s="2222"/>
      <c r="AF22" s="2224"/>
      <c r="AG22" s="2138"/>
      <c r="AH22" s="190"/>
      <c r="AI22" s="190"/>
    </row>
    <row r="23" spans="1:37" ht="22.15" customHeight="1" x14ac:dyDescent="0.2">
      <c r="A23" s="2220"/>
      <c r="B23" s="2139"/>
      <c r="C23" s="2224"/>
      <c r="D23" s="2230"/>
      <c r="E23" s="2222"/>
      <c r="F23" s="2222"/>
      <c r="G23" s="2222"/>
      <c r="H23" s="2222"/>
      <c r="I23" s="2224"/>
      <c r="J23" s="2224"/>
      <c r="K23" s="2224"/>
      <c r="L23" s="2224"/>
      <c r="M23" s="2224"/>
      <c r="N23" s="2224"/>
      <c r="O23" s="2140"/>
      <c r="P23" s="2224"/>
      <c r="Q23" s="2224"/>
      <c r="R23" s="2141"/>
      <c r="S23" s="2141"/>
      <c r="T23" s="2224"/>
      <c r="U23" s="2224"/>
      <c r="V23" s="2224"/>
      <c r="W23" s="2224"/>
      <c r="X23" s="2224"/>
      <c r="Y23" s="2224"/>
      <c r="Z23" s="2224"/>
      <c r="AA23" s="2224"/>
      <c r="AB23" s="2224"/>
      <c r="AC23" s="2229"/>
      <c r="AD23" s="2229"/>
      <c r="AE23" s="2229"/>
      <c r="AF23" s="2229"/>
      <c r="AG23" s="2138"/>
    </row>
    <row r="24" spans="1:37" ht="22.15" customHeight="1" thickBot="1" x14ac:dyDescent="0.25">
      <c r="A24" s="688"/>
      <c r="B24" s="689" t="s">
        <v>338</v>
      </c>
      <c r="C24" s="690"/>
      <c r="D24" s="690"/>
      <c r="E24" s="690"/>
      <c r="F24" s="690"/>
      <c r="G24" s="690" t="s">
        <v>0</v>
      </c>
      <c r="H24" s="690"/>
      <c r="I24" s="690"/>
      <c r="J24" s="690"/>
      <c r="K24" s="690"/>
      <c r="L24" s="690" t="s">
        <v>0</v>
      </c>
      <c r="M24" s="690"/>
      <c r="N24" s="690" t="s">
        <v>0</v>
      </c>
      <c r="O24" s="690" t="s">
        <v>0</v>
      </c>
      <c r="P24" s="690"/>
      <c r="Q24" s="690"/>
      <c r="R24" s="690"/>
      <c r="S24" s="690"/>
      <c r="T24" s="690"/>
      <c r="U24" s="690" t="s">
        <v>0</v>
      </c>
      <c r="V24" s="690"/>
      <c r="W24" s="690"/>
      <c r="X24" s="690"/>
      <c r="Y24" s="690"/>
      <c r="Z24" s="690"/>
      <c r="AA24" s="690"/>
      <c r="AB24" s="690"/>
      <c r="AC24" s="690"/>
      <c r="AD24" s="690"/>
      <c r="AE24" s="690"/>
      <c r="AF24" s="690"/>
      <c r="AG24" s="218"/>
    </row>
    <row r="25" spans="1:37" ht="22.15" customHeight="1" x14ac:dyDescent="0.2">
      <c r="A25" s="102"/>
      <c r="X25" s="229"/>
      <c r="Y25" s="229"/>
      <c r="Z25" s="229"/>
      <c r="AA25" s="229"/>
      <c r="AB25" s="229"/>
    </row>
    <row r="26" spans="1:37" ht="22.15" customHeight="1" x14ac:dyDescent="0.2">
      <c r="A26" s="102"/>
    </row>
    <row r="27" spans="1:37" ht="22.15" customHeight="1" x14ac:dyDescent="0.2">
      <c r="A27" s="102"/>
    </row>
    <row r="28" spans="1:37" ht="22.15" customHeight="1" x14ac:dyDescent="0.2">
      <c r="A28" s="102"/>
    </row>
    <row r="29" spans="1:37" ht="22.15" customHeight="1" x14ac:dyDescent="0.2">
      <c r="A29" s="102"/>
    </row>
    <row r="30" spans="1:37" ht="12.75" customHeight="1" thickBot="1" x14ac:dyDescent="0.25">
      <c r="A30" s="162" t="s">
        <v>48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37" ht="28.5" customHeight="1" x14ac:dyDescent="0.2">
      <c r="A31" s="302" t="s">
        <v>49</v>
      </c>
      <c r="B31" s="404"/>
      <c r="C31" s="404"/>
      <c r="D31" s="471" t="s">
        <v>50</v>
      </c>
      <c r="E31" s="405"/>
      <c r="F31" s="405"/>
      <c r="G31" s="405"/>
      <c r="H31" s="405"/>
      <c r="I31" s="405"/>
      <c r="J31" s="405"/>
      <c r="K31" s="405"/>
      <c r="L31" s="405"/>
      <c r="M31" s="406" t="s">
        <v>51</v>
      </c>
      <c r="N31" s="405"/>
      <c r="O31" s="405"/>
      <c r="P31" s="405"/>
      <c r="Q31" s="405"/>
      <c r="R31" s="405"/>
      <c r="S31" s="407"/>
      <c r="T31" s="3653" t="s">
        <v>52</v>
      </c>
      <c r="U31" s="3654"/>
      <c r="V31" s="3654"/>
      <c r="W31" s="3654"/>
      <c r="X31" s="3654"/>
      <c r="Y31" s="3654"/>
      <c r="Z31" s="3655"/>
      <c r="AA31" s="472" t="s">
        <v>53</v>
      </c>
      <c r="AB31" s="473"/>
      <c r="AC31" s="473"/>
      <c r="AD31" s="473"/>
      <c r="AE31" s="473"/>
      <c r="AF31" s="473"/>
      <c r="AG31" s="474"/>
      <c r="AK31" s="1"/>
    </row>
    <row r="32" spans="1:37" ht="22.15" customHeight="1" x14ac:dyDescent="0.2">
      <c r="A32" s="2388" t="s">
        <v>54</v>
      </c>
      <c r="B32" s="2357"/>
      <c r="C32" s="2357"/>
      <c r="D32" s="2389" t="s">
        <v>55</v>
      </c>
      <c r="E32" s="2390"/>
      <c r="F32" s="2344"/>
      <c r="G32" s="2344"/>
      <c r="H32" s="2344"/>
      <c r="I32" s="2344"/>
      <c r="J32" s="2344"/>
      <c r="K32" s="2344"/>
      <c r="L32" s="2352"/>
      <c r="M32" s="2391" t="s">
        <v>56</v>
      </c>
      <c r="N32" s="2357"/>
      <c r="O32" s="2392"/>
      <c r="P32" s="2357"/>
      <c r="Q32" s="2357"/>
      <c r="R32" s="2357"/>
      <c r="S32" s="2393"/>
      <c r="T32" s="2389" t="s">
        <v>57</v>
      </c>
      <c r="U32" s="2344"/>
      <c r="V32" s="2390"/>
      <c r="W32" s="2344"/>
      <c r="X32" s="2344"/>
      <c r="Y32" s="2344"/>
      <c r="Z32" s="2352"/>
      <c r="AA32" s="163" t="s">
        <v>58</v>
      </c>
      <c r="AD32" s="100"/>
      <c r="AG32" s="103"/>
      <c r="AK32" s="1"/>
    </row>
    <row r="33" spans="1:38" ht="22.15" customHeight="1" x14ac:dyDescent="0.2">
      <c r="A33" s="2394" t="s">
        <v>59</v>
      </c>
      <c r="B33" s="2344"/>
      <c r="C33" s="2344"/>
      <c r="D33" s="2395"/>
      <c r="E33" s="2344"/>
      <c r="F33" s="2344"/>
      <c r="G33" s="2352"/>
      <c r="H33" s="2359" t="s">
        <v>60</v>
      </c>
      <c r="I33" s="2344"/>
      <c r="J33" s="2344"/>
      <c r="K33" s="2344"/>
      <c r="L33" s="2344"/>
      <c r="M33" s="2396"/>
      <c r="N33" s="2344"/>
      <c r="O33" s="2344"/>
      <c r="P33" s="2344"/>
      <c r="Q33" s="2344"/>
      <c r="R33" s="2344"/>
      <c r="S33" s="2344"/>
      <c r="T33" s="2395"/>
      <c r="U33" s="162" t="s">
        <v>61</v>
      </c>
      <c r="AA33" s="2392"/>
      <c r="AB33" s="2357"/>
      <c r="AC33" s="2357"/>
      <c r="AD33" s="2357"/>
      <c r="AE33" s="2357"/>
      <c r="AF33" s="2357"/>
      <c r="AG33" s="2397"/>
      <c r="AK33" s="64"/>
    </row>
    <row r="34" spans="1:38" ht="22.15" customHeight="1" thickBot="1" x14ac:dyDescent="0.25">
      <c r="A34" s="2398" t="s">
        <v>62</v>
      </c>
      <c r="B34" s="2399"/>
      <c r="C34" s="2399"/>
      <c r="D34" s="2400"/>
      <c r="E34" s="2399"/>
      <c r="F34" s="2399"/>
      <c r="G34" s="2401"/>
      <c r="H34" s="2402" t="s">
        <v>63</v>
      </c>
      <c r="I34" s="2401"/>
      <c r="J34" s="2399"/>
      <c r="K34" s="2399"/>
      <c r="L34" s="2399"/>
      <c r="M34" s="2403"/>
      <c r="N34" s="2399"/>
      <c r="O34" s="2399"/>
      <c r="P34" s="2399"/>
      <c r="Q34" s="2404"/>
      <c r="R34" s="2404"/>
      <c r="S34" s="2404"/>
      <c r="T34" s="2400"/>
      <c r="U34" s="2405" t="s">
        <v>64</v>
      </c>
      <c r="V34" s="2399"/>
      <c r="W34" s="2399"/>
      <c r="X34" s="2399"/>
      <c r="Y34" s="2399"/>
      <c r="Z34" s="2399"/>
      <c r="AA34" s="2399"/>
      <c r="AB34" s="2399"/>
      <c r="AC34" s="2399"/>
      <c r="AD34" s="2399"/>
      <c r="AE34" s="2399"/>
      <c r="AF34" s="2399"/>
      <c r="AG34" s="2406"/>
      <c r="AK34" s="1"/>
    </row>
    <row r="35" spans="1:38" ht="22.1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  <c r="AJ35" s="177"/>
    </row>
    <row r="36" spans="1:38" ht="22.15" customHeight="1" thickBot="1" x14ac:dyDescent="0.25">
      <c r="A36" s="2407" t="s">
        <v>28</v>
      </c>
      <c r="B36" s="2408" t="s">
        <v>29</v>
      </c>
      <c r="C36" s="2362">
        <v>1</v>
      </c>
      <c r="D36" s="2362">
        <v>2</v>
      </c>
      <c r="E36" s="2362">
        <v>3</v>
      </c>
      <c r="F36" s="2362">
        <v>4</v>
      </c>
      <c r="G36" s="2362">
        <v>5</v>
      </c>
      <c r="H36" s="2363">
        <v>6</v>
      </c>
      <c r="I36" s="2363">
        <v>7</v>
      </c>
      <c r="J36" s="2362">
        <v>8</v>
      </c>
      <c r="K36" s="2362">
        <v>9</v>
      </c>
      <c r="L36" s="2362">
        <v>10</v>
      </c>
      <c r="M36" s="2362">
        <v>11</v>
      </c>
      <c r="N36" s="2362">
        <v>12</v>
      </c>
      <c r="O36" s="2363">
        <v>13</v>
      </c>
      <c r="P36" s="2363">
        <v>14</v>
      </c>
      <c r="Q36" s="2362">
        <v>15</v>
      </c>
      <c r="R36" s="2362">
        <v>16</v>
      </c>
      <c r="S36" s="2362">
        <v>17</v>
      </c>
      <c r="T36" s="2362">
        <v>18</v>
      </c>
      <c r="U36" s="2362">
        <v>19</v>
      </c>
      <c r="V36" s="2363">
        <v>20</v>
      </c>
      <c r="W36" s="2363">
        <v>21</v>
      </c>
      <c r="X36" s="2362">
        <v>22</v>
      </c>
      <c r="Y36" s="2362">
        <v>23</v>
      </c>
      <c r="Z36" s="2362">
        <v>24</v>
      </c>
      <c r="AA36" s="2362">
        <v>25</v>
      </c>
      <c r="AB36" s="2362">
        <v>26</v>
      </c>
      <c r="AC36" s="2363">
        <v>27</v>
      </c>
      <c r="AD36" s="2363">
        <v>28</v>
      </c>
      <c r="AE36" s="2362"/>
      <c r="AF36" s="2362"/>
      <c r="AG36" s="2364"/>
      <c r="AH36" s="184"/>
      <c r="AI36" s="185"/>
      <c r="AL36" t="s">
        <v>0</v>
      </c>
    </row>
    <row r="37" spans="1:38" ht="22.15" customHeight="1" x14ac:dyDescent="0.2">
      <c r="A37" s="475">
        <v>1</v>
      </c>
      <c r="B37" s="476" t="s">
        <v>65</v>
      </c>
      <c r="C37" s="477">
        <v>11</v>
      </c>
      <c r="D37" s="458">
        <v>11</v>
      </c>
      <c r="E37" s="477">
        <v>11</v>
      </c>
      <c r="F37" s="477">
        <v>11</v>
      </c>
      <c r="G37" s="477">
        <v>11</v>
      </c>
      <c r="H37" s="477" t="s">
        <v>73</v>
      </c>
      <c r="I37" s="477" t="s">
        <v>73</v>
      </c>
      <c r="J37" s="458" t="s">
        <v>35</v>
      </c>
      <c r="K37" s="477" t="s">
        <v>35</v>
      </c>
      <c r="L37" s="477" t="s">
        <v>35</v>
      </c>
      <c r="M37" s="477" t="s">
        <v>35</v>
      </c>
      <c r="N37" s="477" t="s">
        <v>35</v>
      </c>
      <c r="O37" s="458" t="s">
        <v>69</v>
      </c>
      <c r="P37" s="477" t="s">
        <v>69</v>
      </c>
      <c r="Q37" s="459">
        <v>8</v>
      </c>
      <c r="R37" s="458">
        <v>8</v>
      </c>
      <c r="S37" s="477">
        <v>8</v>
      </c>
      <c r="T37" s="477">
        <v>8</v>
      </c>
      <c r="U37" s="477">
        <v>8</v>
      </c>
      <c r="V37" s="477"/>
      <c r="W37" s="477"/>
      <c r="X37" s="459" t="s">
        <v>35</v>
      </c>
      <c r="Y37" s="459" t="s">
        <v>35</v>
      </c>
      <c r="Z37" s="477" t="s">
        <v>35</v>
      </c>
      <c r="AA37" s="477" t="s">
        <v>35</v>
      </c>
      <c r="AB37" s="459" t="s">
        <v>35</v>
      </c>
      <c r="AC37" s="459"/>
      <c r="AD37" s="459"/>
      <c r="AE37" s="477"/>
      <c r="AF37" s="477"/>
      <c r="AG37" s="478"/>
      <c r="AH37" s="189"/>
      <c r="AI37" s="190"/>
    </row>
    <row r="38" spans="1:38" ht="22.15" customHeight="1" x14ac:dyDescent="0.2">
      <c r="A38" s="2409">
        <v>6</v>
      </c>
      <c r="B38" s="2142" t="s">
        <v>180</v>
      </c>
      <c r="C38" s="2370">
        <v>9</v>
      </c>
      <c r="D38" s="2370">
        <v>9</v>
      </c>
      <c r="E38" s="2370">
        <v>9</v>
      </c>
      <c r="F38" s="2370">
        <v>9</v>
      </c>
      <c r="G38" s="2370">
        <v>9</v>
      </c>
      <c r="H38" s="2370" t="s">
        <v>66</v>
      </c>
      <c r="I38" s="2370" t="s">
        <v>67</v>
      </c>
      <c r="J38" s="2370" t="s">
        <v>35</v>
      </c>
      <c r="K38" s="2370" t="s">
        <v>35</v>
      </c>
      <c r="L38" s="2370" t="s">
        <v>35</v>
      </c>
      <c r="M38" s="2370" t="s">
        <v>35</v>
      </c>
      <c r="N38" s="2370" t="s">
        <v>35</v>
      </c>
      <c r="O38" s="2370" t="s">
        <v>68</v>
      </c>
      <c r="P38" s="2370" t="s">
        <v>69</v>
      </c>
      <c r="Q38" s="2370">
        <v>6</v>
      </c>
      <c r="R38" s="2370">
        <v>6</v>
      </c>
      <c r="S38" s="2370">
        <v>6</v>
      </c>
      <c r="T38" s="2370">
        <v>6</v>
      </c>
      <c r="U38" s="2370">
        <v>6</v>
      </c>
      <c r="V38" s="2370"/>
      <c r="W38" s="2370"/>
      <c r="X38" s="2370" t="s">
        <v>35</v>
      </c>
      <c r="Y38" s="2370" t="s">
        <v>35</v>
      </c>
      <c r="Z38" s="2370" t="s">
        <v>35</v>
      </c>
      <c r="AA38" s="2370" t="s">
        <v>35</v>
      </c>
      <c r="AB38" s="2370" t="s">
        <v>35</v>
      </c>
      <c r="AC38" s="2370"/>
      <c r="AD38" s="2370"/>
      <c r="AE38" s="2370"/>
      <c r="AF38" s="2370"/>
      <c r="AG38" s="2410"/>
      <c r="AH38" s="189"/>
      <c r="AI38" s="190"/>
    </row>
    <row r="39" spans="1:38" ht="22.15" customHeight="1" thickBot="1" x14ac:dyDescent="0.25">
      <c r="A39" s="2411">
        <v>11</v>
      </c>
      <c r="B39" s="2412" t="s">
        <v>72</v>
      </c>
      <c r="C39" s="2362">
        <v>10</v>
      </c>
      <c r="D39" s="2413">
        <v>10</v>
      </c>
      <c r="E39" s="2413">
        <v>10</v>
      </c>
      <c r="F39" s="2413">
        <v>10</v>
      </c>
      <c r="G39" s="2413">
        <v>10</v>
      </c>
      <c r="H39" s="2413" t="s">
        <v>67</v>
      </c>
      <c r="I39" s="2413" t="s">
        <v>67</v>
      </c>
      <c r="J39" s="2413" t="s">
        <v>35</v>
      </c>
      <c r="K39" s="2413" t="s">
        <v>35</v>
      </c>
      <c r="L39" s="2413" t="s">
        <v>35</v>
      </c>
      <c r="M39" s="2413" t="s">
        <v>35</v>
      </c>
      <c r="N39" s="2413" t="s">
        <v>35</v>
      </c>
      <c r="O39" s="2362" t="s">
        <v>71</v>
      </c>
      <c r="P39" s="2413" t="s">
        <v>71</v>
      </c>
      <c r="Q39" s="2362">
        <v>7</v>
      </c>
      <c r="R39" s="2362">
        <v>7</v>
      </c>
      <c r="S39" s="2413">
        <v>7</v>
      </c>
      <c r="T39" s="2414">
        <v>7</v>
      </c>
      <c r="U39" s="2414">
        <v>7</v>
      </c>
      <c r="V39" s="2414"/>
      <c r="W39" s="2414"/>
      <c r="X39" s="2414">
        <v>4</v>
      </c>
      <c r="Y39" s="2413">
        <v>4</v>
      </c>
      <c r="Z39" s="2413">
        <v>4</v>
      </c>
      <c r="AA39" s="2413">
        <v>4</v>
      </c>
      <c r="AB39" s="2415">
        <v>4</v>
      </c>
      <c r="AC39" s="2415"/>
      <c r="AD39" s="2415"/>
      <c r="AE39" s="2413"/>
      <c r="AF39" s="2413"/>
      <c r="AG39" s="2416"/>
      <c r="AH39" s="189"/>
      <c r="AI39" s="190"/>
    </row>
    <row r="40" spans="1:38" ht="22.15" customHeight="1" x14ac:dyDescent="0.2">
      <c r="A40" s="475">
        <v>2</v>
      </c>
      <c r="B40" s="183" t="s">
        <v>74</v>
      </c>
      <c r="C40" s="458" t="s">
        <v>35</v>
      </c>
      <c r="D40" s="458" t="s">
        <v>35</v>
      </c>
      <c r="E40" s="458" t="s">
        <v>35</v>
      </c>
      <c r="F40" s="458" t="s">
        <v>35</v>
      </c>
      <c r="G40" s="458" t="s">
        <v>35</v>
      </c>
      <c r="H40" s="477" t="s">
        <v>69</v>
      </c>
      <c r="I40" s="477" t="s">
        <v>69</v>
      </c>
      <c r="J40" s="458">
        <v>8</v>
      </c>
      <c r="K40" s="458">
        <v>8</v>
      </c>
      <c r="L40" s="477">
        <v>8</v>
      </c>
      <c r="M40" s="477">
        <v>8</v>
      </c>
      <c r="N40" s="477">
        <v>8</v>
      </c>
      <c r="O40" s="459"/>
      <c r="P40" s="477"/>
      <c r="Q40" s="459" t="s">
        <v>35</v>
      </c>
      <c r="R40" s="459" t="s">
        <v>35</v>
      </c>
      <c r="S40" s="458" t="s">
        <v>35</v>
      </c>
      <c r="T40" s="459" t="s">
        <v>35</v>
      </c>
      <c r="U40" s="459" t="s">
        <v>35</v>
      </c>
      <c r="V40" s="459"/>
      <c r="W40" s="459"/>
      <c r="X40" s="532">
        <v>1</v>
      </c>
      <c r="Y40" s="532">
        <v>1</v>
      </c>
      <c r="Z40" s="532">
        <v>1</v>
      </c>
      <c r="AA40" s="532">
        <v>1</v>
      </c>
      <c r="AB40" s="532">
        <v>1</v>
      </c>
      <c r="AC40" s="532"/>
      <c r="AD40" s="532"/>
      <c r="AE40" s="477"/>
      <c r="AF40" s="477"/>
      <c r="AG40" s="478"/>
      <c r="AH40" s="189"/>
      <c r="AI40" s="190"/>
    </row>
    <row r="41" spans="1:38" ht="22.15" customHeight="1" x14ac:dyDescent="0.2">
      <c r="A41" s="2409">
        <v>7</v>
      </c>
      <c r="B41" s="2377" t="s">
        <v>75</v>
      </c>
      <c r="C41" s="2373" t="s">
        <v>35</v>
      </c>
      <c r="D41" s="2373" t="s">
        <v>35</v>
      </c>
      <c r="E41" s="2417" t="s">
        <v>35</v>
      </c>
      <c r="F41" s="2417" t="s">
        <v>35</v>
      </c>
      <c r="G41" s="2417" t="s">
        <v>35</v>
      </c>
      <c r="H41" s="2417" t="s">
        <v>68</v>
      </c>
      <c r="I41" s="2417" t="s">
        <v>69</v>
      </c>
      <c r="J41" s="2373">
        <v>6</v>
      </c>
      <c r="K41" s="2418">
        <v>6</v>
      </c>
      <c r="L41" s="2418">
        <v>6</v>
      </c>
      <c r="M41" s="2418">
        <v>6</v>
      </c>
      <c r="N41" s="2417">
        <v>6</v>
      </c>
      <c r="O41" s="2417"/>
      <c r="P41" s="2417"/>
      <c r="Q41" s="2373" t="s">
        <v>35</v>
      </c>
      <c r="R41" s="2417" t="s">
        <v>35</v>
      </c>
      <c r="S41" s="2417" t="s">
        <v>35</v>
      </c>
      <c r="T41" s="2418" t="s">
        <v>35</v>
      </c>
      <c r="U41" s="2418" t="s">
        <v>35</v>
      </c>
      <c r="V41" s="2418"/>
      <c r="W41" s="2418"/>
      <c r="X41" s="2417">
        <v>5</v>
      </c>
      <c r="Y41" s="2417">
        <v>5</v>
      </c>
      <c r="Z41" s="2417">
        <v>5</v>
      </c>
      <c r="AA41" s="2417">
        <v>5</v>
      </c>
      <c r="AB41" s="2417">
        <v>5</v>
      </c>
      <c r="AC41" s="2417"/>
      <c r="AD41" s="2417"/>
      <c r="AE41" s="2417"/>
      <c r="AF41" s="2417"/>
      <c r="AG41" s="2419"/>
      <c r="AH41" s="189"/>
      <c r="AI41" s="190"/>
    </row>
    <row r="42" spans="1:38" ht="22.15" customHeight="1" thickBot="1" x14ac:dyDescent="0.25">
      <c r="A42" s="2411">
        <v>12</v>
      </c>
      <c r="B42" s="2420" t="s">
        <v>76</v>
      </c>
      <c r="C42" s="2413" t="s">
        <v>35</v>
      </c>
      <c r="D42" s="2415" t="s">
        <v>35</v>
      </c>
      <c r="E42" s="2413" t="s">
        <v>35</v>
      </c>
      <c r="F42" s="2413" t="s">
        <v>35</v>
      </c>
      <c r="G42" s="2413" t="s">
        <v>35</v>
      </c>
      <c r="H42" s="2413" t="s">
        <v>71</v>
      </c>
      <c r="I42" s="2413" t="s">
        <v>71</v>
      </c>
      <c r="J42" s="2413">
        <v>7</v>
      </c>
      <c r="K42" s="2362">
        <v>7</v>
      </c>
      <c r="L42" s="2413">
        <v>7</v>
      </c>
      <c r="M42" s="2413">
        <v>7</v>
      </c>
      <c r="N42" s="2413">
        <v>7</v>
      </c>
      <c r="O42" s="2413"/>
      <c r="P42" s="2413"/>
      <c r="Q42" s="2362">
        <v>4</v>
      </c>
      <c r="R42" s="2413">
        <v>4</v>
      </c>
      <c r="S42" s="2413">
        <v>4</v>
      </c>
      <c r="T42" s="2413">
        <v>4</v>
      </c>
      <c r="U42" s="2415">
        <v>4</v>
      </c>
      <c r="V42" s="2415"/>
      <c r="W42" s="2415"/>
      <c r="X42" s="2413">
        <v>3</v>
      </c>
      <c r="Y42" s="2413">
        <v>3</v>
      </c>
      <c r="Z42" s="2413">
        <v>3</v>
      </c>
      <c r="AA42" s="2413">
        <v>3</v>
      </c>
      <c r="AB42" s="2413">
        <v>3</v>
      </c>
      <c r="AC42" s="2362"/>
      <c r="AD42" s="2362"/>
      <c r="AE42" s="2362"/>
      <c r="AF42" s="2362"/>
      <c r="AG42" s="2364"/>
      <c r="AH42" s="189"/>
      <c r="AI42" s="190"/>
    </row>
    <row r="43" spans="1:38" ht="22.15" customHeight="1" x14ac:dyDescent="0.2">
      <c r="A43" s="475">
        <v>3</v>
      </c>
      <c r="B43" s="479" t="s">
        <v>77</v>
      </c>
      <c r="C43" s="532">
        <v>8</v>
      </c>
      <c r="D43" s="532">
        <v>8</v>
      </c>
      <c r="E43" s="532">
        <v>8</v>
      </c>
      <c r="F43" s="532">
        <v>8</v>
      </c>
      <c r="G43" s="532">
        <v>8</v>
      </c>
      <c r="H43" s="532"/>
      <c r="I43" s="532"/>
      <c r="J43" s="459" t="s">
        <v>35</v>
      </c>
      <c r="K43" s="459" t="s">
        <v>35</v>
      </c>
      <c r="L43" s="459" t="s">
        <v>35</v>
      </c>
      <c r="M43" s="459" t="s">
        <v>35</v>
      </c>
      <c r="N43" s="459" t="s">
        <v>35</v>
      </c>
      <c r="O43" s="459"/>
      <c r="P43" s="459"/>
      <c r="Q43" s="459">
        <v>1</v>
      </c>
      <c r="R43" s="459">
        <v>1</v>
      </c>
      <c r="S43" s="459">
        <v>1</v>
      </c>
      <c r="T43" s="459">
        <v>1</v>
      </c>
      <c r="U43" s="459">
        <v>1</v>
      </c>
      <c r="V43" s="459"/>
      <c r="W43" s="459"/>
      <c r="X43" s="458">
        <v>9</v>
      </c>
      <c r="Y43" s="477">
        <v>9</v>
      </c>
      <c r="Z43" s="477">
        <v>9</v>
      </c>
      <c r="AA43" s="477">
        <v>9</v>
      </c>
      <c r="AB43" s="477">
        <v>9</v>
      </c>
      <c r="AC43" s="482" t="s">
        <v>66</v>
      </c>
      <c r="AD43" s="477" t="s">
        <v>67</v>
      </c>
      <c r="AE43" s="477"/>
      <c r="AF43" s="477"/>
      <c r="AG43" s="478"/>
      <c r="AH43" s="189"/>
      <c r="AI43" s="190"/>
    </row>
    <row r="44" spans="1:38" ht="22.15" customHeight="1" x14ac:dyDescent="0.2">
      <c r="A44" s="2409">
        <v>8</v>
      </c>
      <c r="B44" s="2377" t="s">
        <v>111</v>
      </c>
      <c r="C44" s="2374">
        <v>6</v>
      </c>
      <c r="D44" s="2374">
        <v>6</v>
      </c>
      <c r="E44" s="2374">
        <v>6</v>
      </c>
      <c r="F44" s="2374">
        <v>6</v>
      </c>
      <c r="G44" s="2374">
        <v>6</v>
      </c>
      <c r="H44" s="2374"/>
      <c r="I44" s="2417"/>
      <c r="J44" s="2373" t="s">
        <v>35</v>
      </c>
      <c r="K44" s="2370" t="s">
        <v>35</v>
      </c>
      <c r="L44" s="2370" t="s">
        <v>35</v>
      </c>
      <c r="M44" s="2370" t="s">
        <v>35</v>
      </c>
      <c r="N44" s="2374" t="s">
        <v>35</v>
      </c>
      <c r="O44" s="2417"/>
      <c r="P44" s="2417"/>
      <c r="Q44" s="2417">
        <v>5</v>
      </c>
      <c r="R44" s="2417">
        <v>5</v>
      </c>
      <c r="S44" s="2417">
        <v>5</v>
      </c>
      <c r="T44" s="2417">
        <v>5</v>
      </c>
      <c r="U44" s="2417">
        <v>5</v>
      </c>
      <c r="V44" s="2417"/>
      <c r="W44" s="2417"/>
      <c r="X44" s="2373">
        <v>10</v>
      </c>
      <c r="Y44" s="2417">
        <v>10</v>
      </c>
      <c r="Z44" s="2417">
        <v>10</v>
      </c>
      <c r="AA44" s="2417">
        <v>10</v>
      </c>
      <c r="AB44" s="2417">
        <v>10</v>
      </c>
      <c r="AC44" s="2417" t="s">
        <v>67</v>
      </c>
      <c r="AD44" s="2374" t="s">
        <v>67</v>
      </c>
      <c r="AE44" s="2374"/>
      <c r="AF44" s="2375"/>
      <c r="AG44" s="2419"/>
      <c r="AH44" s="189"/>
      <c r="AI44" s="190"/>
    </row>
    <row r="45" spans="1:38" ht="22.15" customHeight="1" thickBot="1" x14ac:dyDescent="0.25">
      <c r="A45" s="2411">
        <v>13</v>
      </c>
      <c r="B45" s="2412" t="s">
        <v>79</v>
      </c>
      <c r="C45" s="2362">
        <v>7</v>
      </c>
      <c r="D45" s="2362">
        <v>7</v>
      </c>
      <c r="E45" s="2413">
        <v>7</v>
      </c>
      <c r="F45" s="2413">
        <v>7</v>
      </c>
      <c r="G45" s="2413">
        <v>7</v>
      </c>
      <c r="H45" s="2413"/>
      <c r="I45" s="2413"/>
      <c r="J45" s="2362">
        <v>4</v>
      </c>
      <c r="K45" s="2413">
        <v>4</v>
      </c>
      <c r="L45" s="2415">
        <v>4</v>
      </c>
      <c r="M45" s="2413">
        <v>4</v>
      </c>
      <c r="N45" s="2415">
        <v>4</v>
      </c>
      <c r="O45" s="2415"/>
      <c r="P45" s="2415"/>
      <c r="Q45" s="2413">
        <v>3</v>
      </c>
      <c r="R45" s="2413">
        <v>3</v>
      </c>
      <c r="S45" s="2413">
        <v>3</v>
      </c>
      <c r="T45" s="2413">
        <v>3</v>
      </c>
      <c r="U45" s="2413">
        <v>3</v>
      </c>
      <c r="V45" s="2413"/>
      <c r="W45" s="2413"/>
      <c r="X45" s="2413">
        <v>11</v>
      </c>
      <c r="Y45" s="2362">
        <v>11</v>
      </c>
      <c r="Z45" s="2413">
        <v>11</v>
      </c>
      <c r="AA45" s="2413">
        <v>11</v>
      </c>
      <c r="AB45" s="2413">
        <v>11</v>
      </c>
      <c r="AC45" s="2413" t="s">
        <v>73</v>
      </c>
      <c r="AD45" s="2413" t="s">
        <v>73</v>
      </c>
      <c r="AE45" s="2362"/>
      <c r="AF45" s="2413"/>
      <c r="AG45" s="2416"/>
      <c r="AH45" s="189"/>
      <c r="AI45" s="190"/>
    </row>
    <row r="46" spans="1:38" ht="22.15" customHeight="1" x14ac:dyDescent="0.2">
      <c r="A46" s="475">
        <v>4</v>
      </c>
      <c r="B46" s="476" t="s">
        <v>403</v>
      </c>
      <c r="C46" s="459" t="s">
        <v>35</v>
      </c>
      <c r="D46" s="459" t="s">
        <v>35</v>
      </c>
      <c r="E46" s="477" t="s">
        <v>35</v>
      </c>
      <c r="F46" s="458" t="s">
        <v>35</v>
      </c>
      <c r="G46" s="458" t="s">
        <v>35</v>
      </c>
      <c r="H46" s="458"/>
      <c r="I46" s="458"/>
      <c r="J46" s="458">
        <v>1</v>
      </c>
      <c r="K46" s="458">
        <v>1</v>
      </c>
      <c r="L46" s="458">
        <v>1</v>
      </c>
      <c r="M46" s="458">
        <v>1</v>
      </c>
      <c r="N46" s="458">
        <v>1</v>
      </c>
      <c r="O46" s="458"/>
      <c r="P46" s="458"/>
      <c r="Q46" s="2224" t="s">
        <v>31</v>
      </c>
      <c r="R46" s="2224" t="s">
        <v>31</v>
      </c>
      <c r="S46" s="2224" t="s">
        <v>31</v>
      </c>
      <c r="T46" s="2224" t="s">
        <v>31</v>
      </c>
      <c r="U46" s="2224" t="s">
        <v>31</v>
      </c>
      <c r="V46" s="482" t="s">
        <v>66</v>
      </c>
      <c r="W46" s="477" t="s">
        <v>67</v>
      </c>
      <c r="X46" s="477" t="s">
        <v>35</v>
      </c>
      <c r="Y46" s="458" t="s">
        <v>35</v>
      </c>
      <c r="Z46" s="477" t="s">
        <v>35</v>
      </c>
      <c r="AA46" s="477" t="s">
        <v>35</v>
      </c>
      <c r="AB46" s="477" t="s">
        <v>35</v>
      </c>
      <c r="AC46" s="477" t="s">
        <v>68</v>
      </c>
      <c r="AD46" s="477" t="s">
        <v>69</v>
      </c>
      <c r="AE46" s="459"/>
      <c r="AF46" s="477"/>
      <c r="AG46" s="478"/>
      <c r="AH46" s="189"/>
      <c r="AI46" s="190"/>
    </row>
    <row r="47" spans="1:38" ht="22.15" customHeight="1" x14ac:dyDescent="0.2">
      <c r="A47" s="2409">
        <v>9</v>
      </c>
      <c r="B47" s="2377" t="s">
        <v>84</v>
      </c>
      <c r="C47" s="2373" t="s">
        <v>35</v>
      </c>
      <c r="D47" s="2417" t="s">
        <v>35</v>
      </c>
      <c r="E47" s="2417" t="s">
        <v>35</v>
      </c>
      <c r="F47" s="2417" t="s">
        <v>35</v>
      </c>
      <c r="G47" s="2417" t="s">
        <v>35</v>
      </c>
      <c r="H47" s="2417"/>
      <c r="I47" s="2417"/>
      <c r="J47" s="2417">
        <v>5</v>
      </c>
      <c r="K47" s="2417">
        <v>5</v>
      </c>
      <c r="L47" s="2417">
        <v>5</v>
      </c>
      <c r="M47" s="2417">
        <v>5</v>
      </c>
      <c r="N47" s="2417">
        <v>5</v>
      </c>
      <c r="O47" s="2417"/>
      <c r="P47" s="2417"/>
      <c r="Q47" s="2373">
        <v>10</v>
      </c>
      <c r="R47" s="2417">
        <v>10</v>
      </c>
      <c r="S47" s="2417">
        <v>10</v>
      </c>
      <c r="T47" s="2417">
        <v>10</v>
      </c>
      <c r="U47" s="2417">
        <v>10</v>
      </c>
      <c r="V47" s="2417" t="s">
        <v>67</v>
      </c>
      <c r="W47" s="2417" t="s">
        <v>67</v>
      </c>
      <c r="X47" s="2417" t="s">
        <v>35</v>
      </c>
      <c r="Y47" s="2417" t="s">
        <v>35</v>
      </c>
      <c r="Z47" s="2417" t="s">
        <v>35</v>
      </c>
      <c r="AA47" s="2417" t="s">
        <v>35</v>
      </c>
      <c r="AB47" s="2417" t="s">
        <v>35</v>
      </c>
      <c r="AC47" s="2417" t="s">
        <v>71</v>
      </c>
      <c r="AD47" s="2417" t="s">
        <v>71</v>
      </c>
      <c r="AE47" s="2417"/>
      <c r="AF47" s="2417"/>
      <c r="AG47" s="2419"/>
      <c r="AH47" s="189"/>
      <c r="AI47" s="190"/>
    </row>
    <row r="48" spans="1:38" ht="22.15" customHeight="1" thickBot="1" x14ac:dyDescent="0.25">
      <c r="A48" s="2411">
        <v>14</v>
      </c>
      <c r="B48" s="2412" t="s">
        <v>85</v>
      </c>
      <c r="C48" s="2362">
        <v>4</v>
      </c>
      <c r="D48" s="2362">
        <v>4</v>
      </c>
      <c r="E48" s="2362">
        <v>4</v>
      </c>
      <c r="F48" s="2362">
        <v>4</v>
      </c>
      <c r="G48" s="2362">
        <v>4</v>
      </c>
      <c r="H48" s="2415"/>
      <c r="I48" s="2415"/>
      <c r="J48" s="2413">
        <v>3</v>
      </c>
      <c r="K48" s="2413">
        <v>3</v>
      </c>
      <c r="L48" s="2413">
        <v>3</v>
      </c>
      <c r="M48" s="2413">
        <v>3</v>
      </c>
      <c r="N48" s="2413">
        <v>3</v>
      </c>
      <c r="O48" s="2362"/>
      <c r="P48" s="2413"/>
      <c r="Q48" s="2413">
        <v>11</v>
      </c>
      <c r="R48" s="2362">
        <v>11</v>
      </c>
      <c r="S48" s="2413">
        <v>11</v>
      </c>
      <c r="T48" s="2413">
        <v>11</v>
      </c>
      <c r="U48" s="2413">
        <v>11</v>
      </c>
      <c r="V48" s="2413" t="s">
        <v>73</v>
      </c>
      <c r="W48" s="2413" t="s">
        <v>73</v>
      </c>
      <c r="X48" s="2362" t="s">
        <v>35</v>
      </c>
      <c r="Y48" s="2413" t="s">
        <v>35</v>
      </c>
      <c r="Z48" s="2413" t="s">
        <v>35</v>
      </c>
      <c r="AA48" s="2413" t="s">
        <v>35</v>
      </c>
      <c r="AB48" s="2413" t="s">
        <v>35</v>
      </c>
      <c r="AC48" s="2362" t="s">
        <v>69</v>
      </c>
      <c r="AD48" s="2413" t="s">
        <v>69</v>
      </c>
      <c r="AE48" s="2413"/>
      <c r="AF48" s="2362"/>
      <c r="AG48" s="2364"/>
      <c r="AH48" s="189"/>
      <c r="AI48" s="190"/>
    </row>
    <row r="49" spans="1:35" ht="22.15" customHeight="1" x14ac:dyDescent="0.2">
      <c r="A49" s="475">
        <v>5</v>
      </c>
      <c r="B49" s="2377" t="s">
        <v>86</v>
      </c>
      <c r="C49" s="459">
        <v>1</v>
      </c>
      <c r="D49" s="459">
        <v>1</v>
      </c>
      <c r="E49" s="459">
        <v>1</v>
      </c>
      <c r="F49" s="459">
        <v>1</v>
      </c>
      <c r="G49" s="459">
        <v>1</v>
      </c>
      <c r="H49" s="459"/>
      <c r="I49" s="459"/>
      <c r="J49" s="459">
        <v>9</v>
      </c>
      <c r="K49" s="477">
        <v>9</v>
      </c>
      <c r="L49" s="477">
        <v>9</v>
      </c>
      <c r="M49" s="477">
        <v>9</v>
      </c>
      <c r="N49" s="477">
        <v>9</v>
      </c>
      <c r="O49" s="458" t="s">
        <v>66</v>
      </c>
      <c r="P49" s="477" t="s">
        <v>67</v>
      </c>
      <c r="Q49" s="477" t="s">
        <v>35</v>
      </c>
      <c r="R49" s="458" t="s">
        <v>35</v>
      </c>
      <c r="S49" s="477" t="s">
        <v>35</v>
      </c>
      <c r="T49" s="477" t="s">
        <v>35</v>
      </c>
      <c r="U49" s="459" t="s">
        <v>35</v>
      </c>
      <c r="V49" s="459" t="s">
        <v>68</v>
      </c>
      <c r="W49" s="459" t="s">
        <v>69</v>
      </c>
      <c r="X49" s="459">
        <v>6</v>
      </c>
      <c r="Y49" s="460">
        <v>6</v>
      </c>
      <c r="Z49" s="459">
        <v>6</v>
      </c>
      <c r="AA49" s="459">
        <v>6</v>
      </c>
      <c r="AB49" s="459">
        <v>6</v>
      </c>
      <c r="AC49" s="459"/>
      <c r="AD49" s="477"/>
      <c r="AE49" s="477"/>
      <c r="AF49" s="480"/>
      <c r="AG49" s="486"/>
      <c r="AH49" s="189"/>
      <c r="AI49" s="190"/>
    </row>
    <row r="50" spans="1:35" ht="22.15" customHeight="1" x14ac:dyDescent="0.2">
      <c r="A50" s="2409">
        <v>10</v>
      </c>
      <c r="B50" s="2377" t="s">
        <v>87</v>
      </c>
      <c r="C50" s="2417">
        <v>5</v>
      </c>
      <c r="D50" s="2417">
        <v>5</v>
      </c>
      <c r="E50" s="2417">
        <v>5</v>
      </c>
      <c r="F50" s="2374">
        <v>5</v>
      </c>
      <c r="G50" s="2370">
        <v>5</v>
      </c>
      <c r="H50" s="2370"/>
      <c r="I50" s="2370"/>
      <c r="J50" s="2378">
        <v>10</v>
      </c>
      <c r="K50" s="2378">
        <v>10</v>
      </c>
      <c r="L50" s="2378">
        <v>10</v>
      </c>
      <c r="M50" s="2378">
        <v>10</v>
      </c>
      <c r="N50" s="2378">
        <v>10</v>
      </c>
      <c r="O50" s="2378" t="s">
        <v>67</v>
      </c>
      <c r="P50" s="2378" t="s">
        <v>67</v>
      </c>
      <c r="Q50" s="2370" t="s">
        <v>35</v>
      </c>
      <c r="R50" s="2370" t="s">
        <v>35</v>
      </c>
      <c r="S50" s="2370" t="s">
        <v>35</v>
      </c>
      <c r="T50" s="2370" t="s">
        <v>35</v>
      </c>
      <c r="U50" s="2370" t="s">
        <v>35</v>
      </c>
      <c r="V50" s="2421" t="s">
        <v>71</v>
      </c>
      <c r="W50" s="2422" t="s">
        <v>71</v>
      </c>
      <c r="X50" s="2378">
        <v>7</v>
      </c>
      <c r="Y50" s="2378">
        <v>7</v>
      </c>
      <c r="Z50" s="2378">
        <v>7</v>
      </c>
      <c r="AA50" s="2378">
        <v>7</v>
      </c>
      <c r="AB50" s="2378">
        <v>7</v>
      </c>
      <c r="AC50" s="2378"/>
      <c r="AD50" s="2378"/>
      <c r="AE50" s="2417"/>
      <c r="AF50" s="2417"/>
      <c r="AG50" s="2419"/>
      <c r="AH50" s="189"/>
      <c r="AI50" s="190"/>
    </row>
    <row r="51" spans="1:35" ht="22.15" customHeight="1" thickBot="1" x14ac:dyDescent="0.25">
      <c r="A51" s="2411">
        <v>15</v>
      </c>
      <c r="B51" s="2412" t="s">
        <v>88</v>
      </c>
      <c r="C51" s="2423">
        <v>3</v>
      </c>
      <c r="D51" s="2423">
        <v>3</v>
      </c>
      <c r="E51" s="2423">
        <v>3</v>
      </c>
      <c r="F51" s="2423">
        <v>3</v>
      </c>
      <c r="G51" s="2423">
        <v>3</v>
      </c>
      <c r="H51" s="2423"/>
      <c r="I51" s="2423"/>
      <c r="J51" s="2415">
        <v>11</v>
      </c>
      <c r="K51" s="2362">
        <v>11</v>
      </c>
      <c r="L51" s="2413">
        <v>11</v>
      </c>
      <c r="M51" s="2413">
        <v>11</v>
      </c>
      <c r="N51" s="2413">
        <v>11</v>
      </c>
      <c r="O51" s="2413" t="s">
        <v>73</v>
      </c>
      <c r="P51" s="2413" t="s">
        <v>73</v>
      </c>
      <c r="Q51" s="2362" t="s">
        <v>35</v>
      </c>
      <c r="R51" s="2413" t="s">
        <v>35</v>
      </c>
      <c r="S51" s="2413" t="s">
        <v>35</v>
      </c>
      <c r="T51" s="2413" t="s">
        <v>35</v>
      </c>
      <c r="U51" s="2413" t="s">
        <v>35</v>
      </c>
      <c r="V51" s="2413" t="s">
        <v>69</v>
      </c>
      <c r="W51" s="2413" t="s">
        <v>69</v>
      </c>
      <c r="X51" s="2413">
        <v>8</v>
      </c>
      <c r="Y51" s="2362">
        <v>8</v>
      </c>
      <c r="Z51" s="2413">
        <v>8</v>
      </c>
      <c r="AA51" s="2413">
        <v>8</v>
      </c>
      <c r="AB51" s="2413">
        <v>8</v>
      </c>
      <c r="AC51" s="2413"/>
      <c r="AD51" s="2413"/>
      <c r="AE51" s="2362"/>
      <c r="AF51" s="2415"/>
      <c r="AG51" s="2424"/>
      <c r="AH51" s="189"/>
      <c r="AI51" s="190"/>
    </row>
    <row r="52" spans="1:35" ht="22.1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35" ht="22.15" customHeight="1" x14ac:dyDescent="0.2">
      <c r="A53" s="109"/>
      <c r="B53" s="64" t="s">
        <v>89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35" ht="22.15" customHeight="1" x14ac:dyDescent="0.2">
      <c r="A54" s="2425" t="s">
        <v>28</v>
      </c>
      <c r="B54" s="2425"/>
      <c r="C54" s="2426"/>
      <c r="D54" s="2425" t="s">
        <v>90</v>
      </c>
      <c r="E54" s="2427"/>
      <c r="F54" s="2426"/>
      <c r="G54" s="2425" t="s">
        <v>91</v>
      </c>
      <c r="H54" s="2427"/>
      <c r="I54" s="2426"/>
      <c r="J54" s="2425" t="s">
        <v>92</v>
      </c>
      <c r="K54" s="2427"/>
      <c r="L54" s="2426"/>
      <c r="M54" s="2425" t="s">
        <v>93</v>
      </c>
      <c r="N54" s="2427"/>
      <c r="O54" s="2426"/>
      <c r="P54" s="2425" t="s">
        <v>94</v>
      </c>
      <c r="Q54" s="2427"/>
      <c r="R54" s="2428"/>
      <c r="S54" s="2429" t="s">
        <v>95</v>
      </c>
      <c r="T54" s="2427"/>
      <c r="U54" s="2426"/>
      <c r="V54" s="2425" t="s">
        <v>96</v>
      </c>
      <c r="W54" s="2427"/>
      <c r="X54" s="2430" t="s">
        <v>97</v>
      </c>
      <c r="Y54" s="2427"/>
      <c r="Z54" s="2427"/>
      <c r="AA54" s="2431"/>
      <c r="AB54" s="2346"/>
      <c r="AC54" s="2346"/>
      <c r="AD54" s="2346"/>
      <c r="AE54" s="2346"/>
      <c r="AF54" s="2346"/>
      <c r="AG54" s="2347"/>
      <c r="AH54" s="1"/>
    </row>
    <row r="55" spans="1:35" ht="22.15" customHeight="1" x14ac:dyDescent="0.2">
      <c r="A55" s="2432">
        <v>8517</v>
      </c>
      <c r="B55" s="2433" t="s">
        <v>98</v>
      </c>
      <c r="C55" s="2434" t="s">
        <v>99</v>
      </c>
      <c r="D55" s="2435"/>
      <c r="E55" s="2345"/>
      <c r="F55" s="2434" t="s">
        <v>99</v>
      </c>
      <c r="G55" s="2435"/>
      <c r="H55" s="2345"/>
      <c r="I55" s="2434" t="s">
        <v>99</v>
      </c>
      <c r="J55" s="2435"/>
      <c r="K55" s="2345"/>
      <c r="L55" s="2434" t="s">
        <v>99</v>
      </c>
      <c r="M55" s="2435"/>
      <c r="N55" s="2345"/>
      <c r="O55" s="2434" t="s">
        <v>100</v>
      </c>
      <c r="P55" s="2435"/>
      <c r="Q55" s="2345"/>
      <c r="R55" s="2434" t="s">
        <v>99</v>
      </c>
      <c r="S55" s="2435"/>
      <c r="T55" s="2345"/>
      <c r="U55" s="2434" t="s">
        <v>99</v>
      </c>
      <c r="V55" s="2435"/>
      <c r="W55" s="2345"/>
      <c r="X55" s="2343"/>
      <c r="Y55" s="2346"/>
      <c r="Z55" s="2346"/>
      <c r="AA55" s="2346"/>
      <c r="AB55" s="2346"/>
      <c r="AC55" s="2346"/>
      <c r="AD55" s="2346"/>
      <c r="AE55" s="2346"/>
      <c r="AF55" s="2346"/>
      <c r="AG55" s="2347"/>
      <c r="AH55" s="1"/>
    </row>
    <row r="56" spans="1:35" ht="22.15" customHeight="1" x14ac:dyDescent="0.2">
      <c r="B56" s="2368" t="s">
        <v>101</v>
      </c>
      <c r="C56" s="2436" t="s">
        <v>102</v>
      </c>
      <c r="D56" s="2437"/>
      <c r="E56" s="2438"/>
      <c r="F56" s="2436" t="s">
        <v>102</v>
      </c>
      <c r="G56" s="2439"/>
      <c r="H56" s="2438"/>
      <c r="I56" s="2434" t="s">
        <v>102</v>
      </c>
      <c r="J56" s="2435"/>
      <c r="K56" s="2440"/>
      <c r="L56" s="2434" t="s">
        <v>102</v>
      </c>
      <c r="M56" s="2435"/>
      <c r="N56" s="2440"/>
      <c r="O56" s="2434" t="s">
        <v>103</v>
      </c>
      <c r="P56" s="2435"/>
      <c r="Q56" s="2345"/>
      <c r="R56" s="2441" t="s">
        <v>0</v>
      </c>
      <c r="S56" s="2435"/>
      <c r="T56" s="2440"/>
      <c r="U56" s="2435" t="s">
        <v>0</v>
      </c>
      <c r="V56" s="2435"/>
      <c r="W56" s="2345"/>
      <c r="X56" s="2442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35" ht="22.15" customHeight="1" x14ac:dyDescent="0.2">
      <c r="A57" s="2443"/>
      <c r="B57" s="2433" t="s">
        <v>104</v>
      </c>
      <c r="C57" s="2434" t="s">
        <v>105</v>
      </c>
      <c r="D57" s="2435"/>
      <c r="E57" s="2345"/>
      <c r="F57" s="2434" t="s">
        <v>105</v>
      </c>
      <c r="G57" s="2435"/>
      <c r="H57" s="2440"/>
      <c r="I57" s="2434" t="s">
        <v>105</v>
      </c>
      <c r="J57" s="2435"/>
      <c r="K57" s="2440"/>
      <c r="L57" s="2434" t="s">
        <v>105</v>
      </c>
      <c r="M57" s="2435"/>
      <c r="N57" s="2440"/>
      <c r="O57" s="2434" t="s">
        <v>106</v>
      </c>
      <c r="P57" s="2435"/>
      <c r="Q57" s="2345"/>
      <c r="R57" s="112"/>
      <c r="S57" s="113"/>
      <c r="T57" s="2440"/>
      <c r="U57" s="2435"/>
      <c r="V57" s="2435"/>
      <c r="W57" s="2345"/>
      <c r="X57" s="2343"/>
      <c r="Y57" s="2346"/>
      <c r="Z57" s="2346"/>
      <c r="AA57" s="2346"/>
      <c r="AB57" s="2346"/>
      <c r="AC57" s="2346"/>
      <c r="AD57" s="2346"/>
      <c r="AE57" s="2346"/>
      <c r="AF57" s="2346"/>
      <c r="AG57" s="2347"/>
      <c r="AH57" s="1"/>
    </row>
    <row r="58" spans="1:35" ht="22.15" customHeight="1" x14ac:dyDescent="0.2">
      <c r="A58" s="2425"/>
      <c r="B58" s="2368" t="s">
        <v>107</v>
      </c>
      <c r="C58" s="2444" t="s">
        <v>108</v>
      </c>
      <c r="D58" s="2444"/>
      <c r="E58" s="2445"/>
      <c r="F58" s="2444" t="s">
        <v>108</v>
      </c>
      <c r="G58" s="2444"/>
      <c r="H58" s="2445"/>
      <c r="I58" s="2444" t="s">
        <v>108</v>
      </c>
      <c r="J58" s="2444"/>
      <c r="K58" s="2445"/>
      <c r="L58" s="2444" t="s">
        <v>108</v>
      </c>
      <c r="M58" s="2444"/>
      <c r="N58" s="2445"/>
      <c r="O58" s="2444" t="s">
        <v>108</v>
      </c>
      <c r="P58" s="2444"/>
      <c r="Q58" s="2445"/>
      <c r="R58" s="2444" t="s">
        <v>108</v>
      </c>
      <c r="S58" s="2444"/>
      <c r="T58" s="2445"/>
      <c r="U58" s="2444" t="s">
        <v>108</v>
      </c>
      <c r="V58" s="2444"/>
      <c r="W58" s="2445"/>
      <c r="X58" s="2343"/>
      <c r="Y58" s="2346"/>
      <c r="Z58" s="2346"/>
      <c r="AA58" s="2346"/>
      <c r="AB58" s="2346"/>
      <c r="AC58" s="2346"/>
      <c r="AD58" s="2346"/>
      <c r="AE58" s="2346"/>
      <c r="AF58" s="2346"/>
      <c r="AG58" s="2347"/>
      <c r="AH58" s="1"/>
    </row>
    <row r="59" spans="1:35" ht="22.1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35" ht="22.15" customHeight="1" thickBot="1" x14ac:dyDescent="0.25">
      <c r="A60" s="2446"/>
      <c r="B60" s="2361" t="s">
        <v>29</v>
      </c>
      <c r="C60" s="2362">
        <v>1</v>
      </c>
      <c r="D60" s="2362">
        <v>2</v>
      </c>
      <c r="E60" s="2362">
        <v>3</v>
      </c>
      <c r="F60" s="2362">
        <v>4</v>
      </c>
      <c r="G60" s="2362">
        <v>5</v>
      </c>
      <c r="H60" s="2363">
        <v>6</v>
      </c>
      <c r="I60" s="2363">
        <v>7</v>
      </c>
      <c r="J60" s="2362">
        <v>8</v>
      </c>
      <c r="K60" s="2362">
        <v>9</v>
      </c>
      <c r="L60" s="2362">
        <v>10</v>
      </c>
      <c r="M60" s="2362">
        <v>11</v>
      </c>
      <c r="N60" s="2362">
        <v>12</v>
      </c>
      <c r="O60" s="2363">
        <v>13</v>
      </c>
      <c r="P60" s="2363">
        <v>14</v>
      </c>
      <c r="Q60" s="2362">
        <v>15</v>
      </c>
      <c r="R60" s="2362">
        <v>16</v>
      </c>
      <c r="S60" s="2362">
        <v>17</v>
      </c>
      <c r="T60" s="2362">
        <v>18</v>
      </c>
      <c r="U60" s="2362">
        <v>19</v>
      </c>
      <c r="V60" s="2363">
        <v>20</v>
      </c>
      <c r="W60" s="2363">
        <v>21</v>
      </c>
      <c r="X60" s="2362">
        <v>22</v>
      </c>
      <c r="Y60" s="2362">
        <v>23</v>
      </c>
      <c r="Z60" s="2362">
        <v>24</v>
      </c>
      <c r="AA60" s="2362">
        <v>25</v>
      </c>
      <c r="AB60" s="2362">
        <v>26</v>
      </c>
      <c r="AC60" s="2363">
        <v>27</v>
      </c>
      <c r="AD60" s="2363">
        <v>28</v>
      </c>
      <c r="AE60" s="2362"/>
      <c r="AF60" s="2362"/>
      <c r="AG60" s="2364"/>
      <c r="AH60" s="1"/>
    </row>
    <row r="61" spans="1:35" ht="22.15" customHeight="1" thickBot="1" x14ac:dyDescent="0.25">
      <c r="A61" s="252"/>
      <c r="B61" s="265" t="s">
        <v>109</v>
      </c>
      <c r="C61" s="271" t="s">
        <v>31</v>
      </c>
      <c r="D61" s="271" t="s">
        <v>31</v>
      </c>
      <c r="E61" s="271" t="s">
        <v>31</v>
      </c>
      <c r="F61" s="266" t="s">
        <v>31</v>
      </c>
      <c r="G61" s="271" t="s">
        <v>31</v>
      </c>
      <c r="H61" s="271"/>
      <c r="I61" s="271"/>
      <c r="J61" s="271">
        <v>25</v>
      </c>
      <c r="K61" s="271">
        <v>25</v>
      </c>
      <c r="L61" s="271">
        <v>25</v>
      </c>
      <c r="M61" s="271">
        <v>25</v>
      </c>
      <c r="N61" s="272">
        <v>25</v>
      </c>
      <c r="O61" s="272"/>
      <c r="P61" s="272"/>
      <c r="Q61" s="267">
        <v>22</v>
      </c>
      <c r="R61" s="272">
        <v>22</v>
      </c>
      <c r="S61" s="271">
        <v>22</v>
      </c>
      <c r="T61" s="271">
        <v>22</v>
      </c>
      <c r="U61" s="272">
        <v>22</v>
      </c>
      <c r="V61" s="272">
        <v>22</v>
      </c>
      <c r="W61" s="272">
        <v>22</v>
      </c>
      <c r="X61" s="271" t="s">
        <v>35</v>
      </c>
      <c r="Y61" s="272" t="s">
        <v>35</v>
      </c>
      <c r="Z61" s="271" t="s">
        <v>35</v>
      </c>
      <c r="AA61" s="271" t="s">
        <v>35</v>
      </c>
      <c r="AB61" s="271" t="s">
        <v>35</v>
      </c>
      <c r="AC61" s="271"/>
      <c r="AD61" s="266"/>
      <c r="AE61" s="271"/>
      <c r="AF61" s="266"/>
      <c r="AG61" s="270"/>
      <c r="AH61" s="1"/>
    </row>
    <row r="62" spans="1:35" ht="22.15" customHeight="1" thickBot="1" x14ac:dyDescent="0.25">
      <c r="A62" s="2234"/>
      <c r="B62" s="2142" t="s">
        <v>113</v>
      </c>
      <c r="C62" s="459" t="s">
        <v>35</v>
      </c>
      <c r="D62" s="459" t="s">
        <v>35</v>
      </c>
      <c r="E62" s="477" t="s">
        <v>35</v>
      </c>
      <c r="F62" s="458" t="s">
        <v>35</v>
      </c>
      <c r="G62" s="458" t="s">
        <v>35</v>
      </c>
      <c r="H62" s="458"/>
      <c r="I62" s="458"/>
      <c r="J62" s="458">
        <v>1</v>
      </c>
      <c r="K62" s="458">
        <v>1</v>
      </c>
      <c r="L62" s="458">
        <v>1</v>
      </c>
      <c r="M62" s="458">
        <v>1</v>
      </c>
      <c r="N62" s="458">
        <v>1</v>
      </c>
      <c r="O62" s="458"/>
      <c r="P62" s="458"/>
      <c r="Q62" s="458">
        <v>9</v>
      </c>
      <c r="R62" s="458">
        <v>9</v>
      </c>
      <c r="S62" s="458">
        <v>9</v>
      </c>
      <c r="T62" s="477">
        <v>9</v>
      </c>
      <c r="U62" s="477">
        <v>9</v>
      </c>
      <c r="V62" s="482" t="s">
        <v>66</v>
      </c>
      <c r="W62" s="477" t="s">
        <v>67</v>
      </c>
      <c r="X62" s="477" t="s">
        <v>35</v>
      </c>
      <c r="Y62" s="458" t="s">
        <v>35</v>
      </c>
      <c r="Z62" s="477" t="s">
        <v>35</v>
      </c>
      <c r="AA62" s="477" t="s">
        <v>35</v>
      </c>
      <c r="AB62" s="477" t="s">
        <v>35</v>
      </c>
      <c r="AC62" s="477" t="s">
        <v>68</v>
      </c>
      <c r="AD62" s="477" t="s">
        <v>69</v>
      </c>
      <c r="AE62" s="2222"/>
      <c r="AF62" s="2224"/>
      <c r="AG62" s="2138"/>
      <c r="AH62" s="1"/>
    </row>
    <row r="63" spans="1:35" ht="22.15" customHeight="1" x14ac:dyDescent="0.2">
      <c r="A63" s="2227"/>
      <c r="B63" s="2235" t="s">
        <v>114</v>
      </c>
      <c r="C63" s="459" t="s">
        <v>110</v>
      </c>
      <c r="D63" s="459" t="s">
        <v>110</v>
      </c>
      <c r="E63" s="459" t="s">
        <v>110</v>
      </c>
      <c r="F63" s="459" t="s">
        <v>110</v>
      </c>
      <c r="G63" s="459" t="s">
        <v>110</v>
      </c>
      <c r="H63" s="458" t="s">
        <v>46</v>
      </c>
      <c r="I63" s="458" t="s">
        <v>46</v>
      </c>
      <c r="J63" s="458" t="s">
        <v>35</v>
      </c>
      <c r="K63" s="458" t="s">
        <v>35</v>
      </c>
      <c r="L63" s="458" t="s">
        <v>35</v>
      </c>
      <c r="M63" s="458" t="s">
        <v>35</v>
      </c>
      <c r="N63" s="458" t="s">
        <v>35</v>
      </c>
      <c r="O63" s="458"/>
      <c r="P63" s="458"/>
      <c r="Q63" s="458" t="s">
        <v>158</v>
      </c>
      <c r="R63" s="458" t="s">
        <v>158</v>
      </c>
      <c r="S63" s="458" t="s">
        <v>158</v>
      </c>
      <c r="T63" s="477" t="s">
        <v>158</v>
      </c>
      <c r="U63" s="477" t="s">
        <v>158</v>
      </c>
      <c r="V63" s="482"/>
      <c r="W63" s="477"/>
      <c r="X63" s="2224" t="s">
        <v>31</v>
      </c>
      <c r="Y63" s="2224" t="s">
        <v>31</v>
      </c>
      <c r="Z63" s="2224" t="s">
        <v>31</v>
      </c>
      <c r="AA63" s="2224" t="s">
        <v>31</v>
      </c>
      <c r="AB63" s="2224" t="s">
        <v>31</v>
      </c>
      <c r="AC63" s="477"/>
      <c r="AD63" s="477"/>
      <c r="AE63" s="459"/>
      <c r="AF63" s="477"/>
      <c r="AG63" s="478"/>
      <c r="AH63" s="1"/>
    </row>
    <row r="64" spans="1:35" ht="22.15" customHeight="1" x14ac:dyDescent="0.2">
      <c r="A64" s="2142"/>
      <c r="B64" s="2142" t="s">
        <v>117</v>
      </c>
      <c r="C64" s="2222" t="s">
        <v>31</v>
      </c>
      <c r="D64" s="2222" t="s">
        <v>31</v>
      </c>
      <c r="E64" s="2222" t="s">
        <v>31</v>
      </c>
      <c r="F64" s="2224" t="s">
        <v>31</v>
      </c>
      <c r="G64" s="2222" t="s">
        <v>31</v>
      </c>
      <c r="H64" s="2222"/>
      <c r="I64" s="2222"/>
      <c r="J64" s="2222">
        <v>10</v>
      </c>
      <c r="K64" s="2222">
        <v>10</v>
      </c>
      <c r="L64" s="2222">
        <v>10</v>
      </c>
      <c r="M64" s="2222">
        <v>10</v>
      </c>
      <c r="N64" s="2229">
        <v>10</v>
      </c>
      <c r="O64" s="2229" t="s">
        <v>67</v>
      </c>
      <c r="P64" s="2229" t="s">
        <v>67</v>
      </c>
      <c r="Q64" s="2230" t="s">
        <v>35</v>
      </c>
      <c r="R64" s="2229" t="s">
        <v>35</v>
      </c>
      <c r="S64" s="2222" t="s">
        <v>35</v>
      </c>
      <c r="T64" s="2222" t="s">
        <v>35</v>
      </c>
      <c r="U64" s="2229" t="s">
        <v>35</v>
      </c>
      <c r="V64" s="2229"/>
      <c r="W64" s="2229"/>
      <c r="X64" s="2222">
        <v>1</v>
      </c>
      <c r="Y64" s="2229">
        <v>1</v>
      </c>
      <c r="Z64" s="2222">
        <v>1</v>
      </c>
      <c r="AA64" s="2222">
        <v>1</v>
      </c>
      <c r="AB64" s="2222">
        <v>1</v>
      </c>
      <c r="AC64" s="2222"/>
      <c r="AD64" s="2224"/>
      <c r="AE64" s="2222"/>
      <c r="AF64" s="2224"/>
      <c r="AG64" s="2138"/>
      <c r="AH64" s="1"/>
    </row>
    <row r="65" spans="1:34" ht="22.15" customHeight="1" x14ac:dyDescent="0.2">
      <c r="A65" s="2142"/>
      <c r="B65" s="2240" t="s">
        <v>404</v>
      </c>
      <c r="C65" s="2224" t="s">
        <v>31</v>
      </c>
      <c r="D65" s="2224" t="s">
        <v>31</v>
      </c>
      <c r="E65" s="2224" t="s">
        <v>31</v>
      </c>
      <c r="F65" s="2224" t="s">
        <v>31</v>
      </c>
      <c r="G65" s="2224" t="s">
        <v>31</v>
      </c>
      <c r="H65" s="2222"/>
      <c r="I65" s="2222"/>
      <c r="J65" s="2222" t="s">
        <v>31</v>
      </c>
      <c r="K65" s="2222" t="s">
        <v>31</v>
      </c>
      <c r="L65" s="2222" t="s">
        <v>31</v>
      </c>
      <c r="M65" s="2222" t="s">
        <v>31</v>
      </c>
      <c r="N65" s="2229" t="s">
        <v>31</v>
      </c>
      <c r="O65" s="2229"/>
      <c r="P65" s="2229"/>
      <c r="Q65" s="2230" t="s">
        <v>35</v>
      </c>
      <c r="R65" s="2229" t="s">
        <v>35</v>
      </c>
      <c r="S65" s="2222" t="s">
        <v>35</v>
      </c>
      <c r="T65" s="2222" t="s">
        <v>35</v>
      </c>
      <c r="U65" s="2229" t="s">
        <v>35</v>
      </c>
      <c r="V65" s="2229" t="s">
        <v>46</v>
      </c>
      <c r="W65" s="2229" t="s">
        <v>46</v>
      </c>
      <c r="X65" s="2222">
        <v>25</v>
      </c>
      <c r="Y65" s="2229">
        <v>25</v>
      </c>
      <c r="Z65" s="2222">
        <v>25</v>
      </c>
      <c r="AA65" s="2222">
        <v>25</v>
      </c>
      <c r="AB65" s="2222">
        <v>25</v>
      </c>
      <c r="AC65" s="2222"/>
      <c r="AD65" s="2224"/>
      <c r="AE65" s="2222"/>
      <c r="AF65" s="2224"/>
      <c r="AG65" s="2138"/>
      <c r="AH65" s="1"/>
    </row>
    <row r="66" spans="1:34" ht="22.15" customHeight="1" x14ac:dyDescent="0.2">
      <c r="A66" s="2142"/>
      <c r="B66" s="2235" t="s">
        <v>119</v>
      </c>
      <c r="C66" s="2222">
        <v>8</v>
      </c>
      <c r="D66" s="2222">
        <v>8</v>
      </c>
      <c r="E66" s="2222">
        <v>8</v>
      </c>
      <c r="F66" s="2224">
        <v>8</v>
      </c>
      <c r="G66" s="2222">
        <v>8</v>
      </c>
      <c r="H66" s="2222"/>
      <c r="I66" s="2222"/>
      <c r="J66" s="2222" t="s">
        <v>223</v>
      </c>
      <c r="K66" s="2222" t="s">
        <v>223</v>
      </c>
      <c r="L66" s="2222" t="s">
        <v>223</v>
      </c>
      <c r="M66" s="2222" t="s">
        <v>223</v>
      </c>
      <c r="N66" s="2229" t="s">
        <v>223</v>
      </c>
      <c r="O66" s="2229"/>
      <c r="P66" s="2229"/>
      <c r="Q66" s="2230">
        <v>25</v>
      </c>
      <c r="R66" s="2229">
        <v>25</v>
      </c>
      <c r="S66" s="2222">
        <v>25</v>
      </c>
      <c r="T66" s="2222">
        <v>25</v>
      </c>
      <c r="U66" s="2229">
        <v>25</v>
      </c>
      <c r="V66" s="2229"/>
      <c r="W66" s="2229"/>
      <c r="X66" s="2222" t="s">
        <v>223</v>
      </c>
      <c r="Y66" s="2229" t="s">
        <v>223</v>
      </c>
      <c r="Z66" s="2222" t="s">
        <v>223</v>
      </c>
      <c r="AA66" s="2222" t="s">
        <v>223</v>
      </c>
      <c r="AB66" s="2222" t="s">
        <v>223</v>
      </c>
      <c r="AC66" s="2222"/>
      <c r="AD66" s="2224"/>
      <c r="AE66" s="2222"/>
      <c r="AF66" s="2224"/>
      <c r="AG66" s="2138"/>
      <c r="AH66" s="1"/>
    </row>
    <row r="67" spans="1:34" ht="22.15" customHeight="1" x14ac:dyDescent="0.2">
      <c r="A67" s="2142"/>
      <c r="B67" s="2235" t="s">
        <v>120</v>
      </c>
      <c r="C67" s="2222" t="s">
        <v>31</v>
      </c>
      <c r="D67" s="2222" t="s">
        <v>31</v>
      </c>
      <c r="E67" s="2222" t="s">
        <v>31</v>
      </c>
      <c r="F67" s="2224" t="s">
        <v>31</v>
      </c>
      <c r="G67" s="2222" t="s">
        <v>31</v>
      </c>
      <c r="H67" s="2222"/>
      <c r="I67" s="2222"/>
      <c r="J67" s="2222" t="s">
        <v>31</v>
      </c>
      <c r="K67" s="2222" t="s">
        <v>31</v>
      </c>
      <c r="L67" s="2222" t="s">
        <v>31</v>
      </c>
      <c r="M67" s="2222" t="s">
        <v>31</v>
      </c>
      <c r="N67" s="2229" t="s">
        <v>31</v>
      </c>
      <c r="O67" s="2229"/>
      <c r="P67" s="2229"/>
      <c r="Q67" s="2230" t="s">
        <v>31</v>
      </c>
      <c r="R67" s="2229" t="s">
        <v>31</v>
      </c>
      <c r="S67" s="2222" t="s">
        <v>31</v>
      </c>
      <c r="T67" s="2222" t="s">
        <v>31</v>
      </c>
      <c r="U67" s="2229" t="s">
        <v>31</v>
      </c>
      <c r="V67" s="2229"/>
      <c r="W67" s="2229"/>
      <c r="X67" s="2228" t="s">
        <v>31</v>
      </c>
      <c r="Y67" s="2228" t="s">
        <v>31</v>
      </c>
      <c r="Z67" s="2228" t="s">
        <v>31</v>
      </c>
      <c r="AA67" s="2228" t="s">
        <v>31</v>
      </c>
      <c r="AB67" s="2228" t="s">
        <v>31</v>
      </c>
      <c r="AC67" s="2228"/>
      <c r="AD67" s="2228"/>
      <c r="AE67" s="2222"/>
      <c r="AF67" s="2224"/>
      <c r="AG67" s="2138"/>
      <c r="AH67" s="1"/>
    </row>
    <row r="68" spans="1:34" ht="22.15" customHeight="1" x14ac:dyDescent="0.2">
      <c r="A68" s="2142"/>
      <c r="B68" s="2252" t="s">
        <v>372</v>
      </c>
      <c r="C68" s="2257" t="s">
        <v>243</v>
      </c>
      <c r="D68" s="2257" t="s">
        <v>243</v>
      </c>
      <c r="E68" s="2257" t="s">
        <v>243</v>
      </c>
      <c r="F68" s="2257" t="s">
        <v>243</v>
      </c>
      <c r="G68" s="2257" t="s">
        <v>243</v>
      </c>
      <c r="H68" s="2222"/>
      <c r="I68" s="2222"/>
      <c r="J68" s="2222" t="s">
        <v>31</v>
      </c>
      <c r="K68" s="2222" t="s">
        <v>31</v>
      </c>
      <c r="L68" s="2222" t="s">
        <v>31</v>
      </c>
      <c r="M68" s="2222" t="s">
        <v>31</v>
      </c>
      <c r="N68" s="2229" t="s">
        <v>31</v>
      </c>
      <c r="O68" s="2229"/>
      <c r="P68" s="2229"/>
      <c r="Q68" s="2230" t="s">
        <v>31</v>
      </c>
      <c r="R68" s="2229" t="s">
        <v>31</v>
      </c>
      <c r="S68" s="2222" t="s">
        <v>31</v>
      </c>
      <c r="T68" s="2222" t="s">
        <v>31</v>
      </c>
      <c r="U68" s="2229" t="s">
        <v>31</v>
      </c>
      <c r="V68" s="2229"/>
      <c r="W68" s="2229"/>
      <c r="X68" s="2255" t="s">
        <v>31</v>
      </c>
      <c r="Y68" s="2255" t="s">
        <v>31</v>
      </c>
      <c r="Z68" s="2255" t="s">
        <v>31</v>
      </c>
      <c r="AA68" s="2255" t="s">
        <v>31</v>
      </c>
      <c r="AB68" s="2255" t="s">
        <v>31</v>
      </c>
      <c r="AC68" s="2255"/>
      <c r="AD68" s="2255"/>
      <c r="AE68" s="2222"/>
      <c r="AF68" s="2224"/>
      <c r="AG68" s="2159"/>
      <c r="AH68" s="1"/>
    </row>
    <row r="69" spans="1:34" ht="22.15" customHeight="1" x14ac:dyDescent="0.2">
      <c r="A69" s="2235"/>
      <c r="B69" s="2221" t="s">
        <v>124</v>
      </c>
      <c r="C69" s="2222" t="s">
        <v>31</v>
      </c>
      <c r="D69" s="2222" t="s">
        <v>31</v>
      </c>
      <c r="E69" s="2222" t="s">
        <v>31</v>
      </c>
      <c r="F69" s="2224" t="s">
        <v>31</v>
      </c>
      <c r="G69" s="2222" t="s">
        <v>31</v>
      </c>
      <c r="H69" s="2222"/>
      <c r="I69" s="2222"/>
      <c r="J69" s="2224" t="s">
        <v>31</v>
      </c>
      <c r="K69" s="2224" t="s">
        <v>31</v>
      </c>
      <c r="L69" s="2224" t="s">
        <v>31</v>
      </c>
      <c r="M69" s="2224" t="s">
        <v>31</v>
      </c>
      <c r="N69" s="2224" t="s">
        <v>31</v>
      </c>
      <c r="O69" s="2229"/>
      <c r="P69" s="2229"/>
      <c r="Q69" s="2224" t="s">
        <v>31</v>
      </c>
      <c r="R69" s="2224" t="s">
        <v>31</v>
      </c>
      <c r="S69" s="2224" t="s">
        <v>31</v>
      </c>
      <c r="T69" s="2224" t="s">
        <v>31</v>
      </c>
      <c r="U69" s="2224" t="s">
        <v>31</v>
      </c>
      <c r="V69" s="2229"/>
      <c r="W69" s="2229"/>
      <c r="X69" s="2222" t="s">
        <v>31</v>
      </c>
      <c r="Y69" s="2229" t="s">
        <v>31</v>
      </c>
      <c r="Z69" s="2222" t="s">
        <v>31</v>
      </c>
      <c r="AA69" s="2222" t="s">
        <v>31</v>
      </c>
      <c r="AB69" s="2222" t="s">
        <v>31</v>
      </c>
      <c r="AC69" s="2222"/>
      <c r="AD69" s="2224"/>
      <c r="AE69" s="2222"/>
      <c r="AF69" s="2224"/>
      <c r="AG69" s="2156"/>
      <c r="AH69" s="1"/>
    </row>
    <row r="70" spans="1:34" ht="22.15" customHeight="1" thickBot="1" x14ac:dyDescent="0.25">
      <c r="A70" s="2235"/>
      <c r="B70" s="668" t="s">
        <v>431</v>
      </c>
      <c r="C70" s="2222" t="s">
        <v>243</v>
      </c>
      <c r="D70" s="2222" t="s">
        <v>243</v>
      </c>
      <c r="E70" s="2222" t="s">
        <v>243</v>
      </c>
      <c r="F70" s="2222" t="s">
        <v>243</v>
      </c>
      <c r="G70" s="2222" t="s">
        <v>243</v>
      </c>
      <c r="H70" s="2222"/>
      <c r="I70" s="2222"/>
      <c r="J70" s="2222" t="s">
        <v>31</v>
      </c>
      <c r="K70" s="2222" t="s">
        <v>31</v>
      </c>
      <c r="L70" s="2222" t="s">
        <v>31</v>
      </c>
      <c r="M70" s="2222" t="s">
        <v>31</v>
      </c>
      <c r="N70" s="2229" t="s">
        <v>31</v>
      </c>
      <c r="O70" s="2229"/>
      <c r="P70" s="2229"/>
      <c r="Q70" s="2230" t="s">
        <v>31</v>
      </c>
      <c r="R70" s="2229" t="s">
        <v>31</v>
      </c>
      <c r="S70" s="2222" t="s">
        <v>31</v>
      </c>
      <c r="T70" s="2222" t="s">
        <v>31</v>
      </c>
      <c r="U70" s="2229" t="s">
        <v>31</v>
      </c>
      <c r="V70" s="2229"/>
      <c r="W70" s="2229"/>
      <c r="X70" s="2255" t="s">
        <v>31</v>
      </c>
      <c r="Y70" s="2255" t="s">
        <v>31</v>
      </c>
      <c r="Z70" s="2255" t="s">
        <v>31</v>
      </c>
      <c r="AA70" s="2255" t="s">
        <v>31</v>
      </c>
      <c r="AB70" s="2255" t="s">
        <v>31</v>
      </c>
      <c r="AC70" s="2255"/>
      <c r="AD70" s="2255"/>
      <c r="AE70" s="2222"/>
      <c r="AF70" s="2224"/>
      <c r="AG70" s="2138"/>
      <c r="AH70" s="1"/>
    </row>
    <row r="71" spans="1:34" ht="22.15" customHeight="1" x14ac:dyDescent="0.2">
      <c r="A71" s="2255"/>
      <c r="B71" s="379" t="s">
        <v>123</v>
      </c>
      <c r="C71" s="2222">
        <v>89</v>
      </c>
      <c r="D71" s="2222">
        <v>89</v>
      </c>
      <c r="E71" s="2222">
        <v>89</v>
      </c>
      <c r="F71" s="2224">
        <v>89</v>
      </c>
      <c r="G71" s="2222">
        <v>89</v>
      </c>
      <c r="H71" s="2222">
        <v>89</v>
      </c>
      <c r="I71" s="2222"/>
      <c r="J71" s="2222" t="s">
        <v>31</v>
      </c>
      <c r="K71" s="2222" t="s">
        <v>31</v>
      </c>
      <c r="L71" s="2222" t="s">
        <v>31</v>
      </c>
      <c r="M71" s="2222" t="s">
        <v>31</v>
      </c>
      <c r="N71" s="2229" t="s">
        <v>31</v>
      </c>
      <c r="O71" s="2229"/>
      <c r="P71" s="2229"/>
      <c r="Q71" s="2230" t="s">
        <v>248</v>
      </c>
      <c r="R71" s="2229" t="s">
        <v>248</v>
      </c>
      <c r="S71" s="2222" t="s">
        <v>248</v>
      </c>
      <c r="T71" s="2222" t="s">
        <v>248</v>
      </c>
      <c r="U71" s="2229" t="s">
        <v>248</v>
      </c>
      <c r="V71" s="2229"/>
      <c r="W71" s="2229"/>
      <c r="X71" s="2222" t="s">
        <v>419</v>
      </c>
      <c r="Y71" s="2229" t="s">
        <v>419</v>
      </c>
      <c r="Z71" s="2222" t="s">
        <v>419</v>
      </c>
      <c r="AA71" s="2222" t="s">
        <v>419</v>
      </c>
      <c r="AB71" s="2222" t="s">
        <v>419</v>
      </c>
      <c r="AC71" s="2222" t="s">
        <v>46</v>
      </c>
      <c r="AD71" s="2224" t="s">
        <v>46</v>
      </c>
      <c r="AE71" s="2222"/>
      <c r="AF71" s="2224"/>
      <c r="AG71" s="2159"/>
      <c r="AH71" s="1"/>
    </row>
    <row r="72" spans="1:34" ht="22.15" customHeight="1" x14ac:dyDescent="0.2">
      <c r="A72" s="2255"/>
      <c r="B72" s="2252" t="s">
        <v>127</v>
      </c>
      <c r="C72" s="2222">
        <v>3</v>
      </c>
      <c r="D72" s="2222">
        <v>3</v>
      </c>
      <c r="E72" s="2222">
        <v>3</v>
      </c>
      <c r="F72" s="2224">
        <v>3</v>
      </c>
      <c r="G72" s="2222">
        <v>3</v>
      </c>
      <c r="H72" s="2222"/>
      <c r="I72" s="2222"/>
      <c r="J72" s="2222" t="s">
        <v>31</v>
      </c>
      <c r="K72" s="2222" t="s">
        <v>31</v>
      </c>
      <c r="L72" s="2222" t="s">
        <v>31</v>
      </c>
      <c r="M72" s="2222" t="s">
        <v>31</v>
      </c>
      <c r="N72" s="2229" t="s">
        <v>31</v>
      </c>
      <c r="O72" s="2229"/>
      <c r="P72" s="2229"/>
      <c r="Q72" s="2230" t="s">
        <v>35</v>
      </c>
      <c r="R72" s="2229" t="s">
        <v>35</v>
      </c>
      <c r="S72" s="2222" t="s">
        <v>35</v>
      </c>
      <c r="T72" s="2222" t="s">
        <v>35</v>
      </c>
      <c r="U72" s="2229" t="s">
        <v>35</v>
      </c>
      <c r="V72" s="2229" t="s">
        <v>71</v>
      </c>
      <c r="W72" s="2229" t="s">
        <v>71</v>
      </c>
      <c r="X72" s="2222">
        <v>7</v>
      </c>
      <c r="Y72" s="2229">
        <v>7</v>
      </c>
      <c r="Z72" s="2222">
        <v>7</v>
      </c>
      <c r="AA72" s="2222">
        <v>7</v>
      </c>
      <c r="AB72" s="2222">
        <v>7</v>
      </c>
      <c r="AC72" s="2222"/>
      <c r="AD72" s="2224"/>
      <c r="AE72" s="2222"/>
      <c r="AF72" s="2224"/>
      <c r="AG72" s="2159"/>
      <c r="AH72" s="1"/>
    </row>
    <row r="73" spans="1:34" ht="22.15" customHeight="1" x14ac:dyDescent="0.2">
      <c r="A73" s="2255"/>
      <c r="B73" s="2107" t="s">
        <v>348</v>
      </c>
      <c r="C73" s="2222">
        <v>25</v>
      </c>
      <c r="D73" s="2222">
        <v>25</v>
      </c>
      <c r="E73" s="2222">
        <v>25</v>
      </c>
      <c r="F73" s="2222">
        <v>25</v>
      </c>
      <c r="G73" s="2222">
        <v>25</v>
      </c>
      <c r="H73" s="2222"/>
      <c r="I73" s="2222"/>
      <c r="J73" s="2222" t="s">
        <v>31</v>
      </c>
      <c r="K73" s="2222" t="s">
        <v>31</v>
      </c>
      <c r="L73" s="2222" t="s">
        <v>31</v>
      </c>
      <c r="M73" s="2222" t="s">
        <v>31</v>
      </c>
      <c r="N73" s="2222" t="s">
        <v>31</v>
      </c>
      <c r="O73" s="2222"/>
      <c r="P73" s="2222"/>
      <c r="Q73" s="2222" t="s">
        <v>223</v>
      </c>
      <c r="R73" s="2222" t="s">
        <v>223</v>
      </c>
      <c r="S73" s="2222" t="s">
        <v>223</v>
      </c>
      <c r="T73" s="2222" t="s">
        <v>223</v>
      </c>
      <c r="U73" s="2222" t="s">
        <v>223</v>
      </c>
      <c r="V73" s="2222"/>
      <c r="W73" s="2222"/>
      <c r="X73" s="2222" t="s">
        <v>175</v>
      </c>
      <c r="Y73" s="2222" t="s">
        <v>175</v>
      </c>
      <c r="Z73" s="2222" t="s">
        <v>175</v>
      </c>
      <c r="AA73" s="2222" t="s">
        <v>175</v>
      </c>
      <c r="AB73" s="2222" t="s">
        <v>175</v>
      </c>
      <c r="AC73" s="2222"/>
      <c r="AD73" s="2222"/>
      <c r="AE73" s="2222"/>
      <c r="AF73" s="2222"/>
      <c r="AG73" s="2159"/>
      <c r="AH73" s="1"/>
    </row>
    <row r="74" spans="1:34" ht="22.15" customHeight="1" thickBot="1" x14ac:dyDescent="0.25">
      <c r="A74" s="669"/>
      <c r="B74" s="668" t="s">
        <v>418</v>
      </c>
      <c r="C74" s="2242" t="s">
        <v>31</v>
      </c>
      <c r="D74" s="2242" t="s">
        <v>31</v>
      </c>
      <c r="E74" s="2242" t="s">
        <v>31</v>
      </c>
      <c r="F74" s="2242" t="s">
        <v>31</v>
      </c>
      <c r="G74" s="2242" t="s">
        <v>31</v>
      </c>
      <c r="H74" s="669"/>
      <c r="I74" s="669"/>
      <c r="J74" s="2242" t="s">
        <v>31</v>
      </c>
      <c r="K74" s="2242" t="s">
        <v>31</v>
      </c>
      <c r="L74" s="2242" t="s">
        <v>31</v>
      </c>
      <c r="M74" s="2242" t="s">
        <v>31</v>
      </c>
      <c r="N74" s="2242" t="s">
        <v>31</v>
      </c>
      <c r="O74" s="669"/>
      <c r="P74" s="669"/>
      <c r="Q74" s="2242" t="s">
        <v>31</v>
      </c>
      <c r="R74" s="2242" t="s">
        <v>31</v>
      </c>
      <c r="S74" s="2242" t="s">
        <v>31</v>
      </c>
      <c r="T74" s="2242" t="s">
        <v>31</v>
      </c>
      <c r="U74" s="2242" t="s">
        <v>31</v>
      </c>
      <c r="V74" s="669"/>
      <c r="W74" s="669"/>
      <c r="X74" s="2242" t="s">
        <v>31</v>
      </c>
      <c r="Y74" s="2242" t="s">
        <v>31</v>
      </c>
      <c r="Z74" s="2242" t="s">
        <v>31</v>
      </c>
      <c r="AA74" s="2242" t="s">
        <v>31</v>
      </c>
      <c r="AB74" s="2242" t="s">
        <v>31</v>
      </c>
      <c r="AC74" s="669"/>
      <c r="AD74" s="669"/>
      <c r="AE74" s="669"/>
      <c r="AF74" s="669"/>
      <c r="AG74" s="237"/>
      <c r="AH74" s="1"/>
    </row>
    <row r="75" spans="1:34" ht="22.15" customHeight="1" thickBot="1" x14ac:dyDescent="0.25">
      <c r="A75" s="2447"/>
      <c r="B75" s="2448"/>
      <c r="C75" s="245"/>
      <c r="D75" s="245"/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49"/>
      <c r="AH75" s="1"/>
    </row>
    <row r="76" spans="1:34" ht="22.15" customHeight="1" thickBot="1" x14ac:dyDescent="0.25">
      <c r="A76" s="377"/>
      <c r="B76" s="378" t="s">
        <v>125</v>
      </c>
      <c r="C76" s="2362">
        <v>1</v>
      </c>
      <c r="D76" s="2362">
        <v>2</v>
      </c>
      <c r="E76" s="2362">
        <v>3</v>
      </c>
      <c r="F76" s="2362">
        <v>4</v>
      </c>
      <c r="G76" s="2362">
        <v>5</v>
      </c>
      <c r="H76" s="2363">
        <v>6</v>
      </c>
      <c r="I76" s="2363">
        <v>7</v>
      </c>
      <c r="J76" s="2362">
        <v>8</v>
      </c>
      <c r="K76" s="2362">
        <v>9</v>
      </c>
      <c r="L76" s="2362">
        <v>10</v>
      </c>
      <c r="M76" s="2362">
        <v>11</v>
      </c>
      <c r="N76" s="2362">
        <v>12</v>
      </c>
      <c r="O76" s="2363">
        <v>13</v>
      </c>
      <c r="P76" s="2363">
        <v>14</v>
      </c>
      <c r="Q76" s="2362">
        <v>15</v>
      </c>
      <c r="R76" s="2362">
        <v>16</v>
      </c>
      <c r="S76" s="2362">
        <v>17</v>
      </c>
      <c r="T76" s="2362">
        <v>18</v>
      </c>
      <c r="U76" s="2362">
        <v>19</v>
      </c>
      <c r="V76" s="2363">
        <v>20</v>
      </c>
      <c r="W76" s="2363">
        <v>21</v>
      </c>
      <c r="X76" s="2362">
        <v>22</v>
      </c>
      <c r="Y76" s="2362">
        <v>23</v>
      </c>
      <c r="Z76" s="2362">
        <v>24</v>
      </c>
      <c r="AA76" s="2362">
        <v>25</v>
      </c>
      <c r="AB76" s="2362">
        <v>26</v>
      </c>
      <c r="AC76" s="2363">
        <v>27</v>
      </c>
      <c r="AD76" s="2363">
        <v>28</v>
      </c>
      <c r="AE76" s="2362"/>
      <c r="AF76" s="2362"/>
      <c r="AG76" s="2364"/>
      <c r="AH76" s="1"/>
    </row>
    <row r="77" spans="1:34" ht="22.15" customHeight="1" x14ac:dyDescent="0.2">
      <c r="A77" s="379"/>
      <c r="B77" s="379"/>
      <c r="C77" s="2222" t="s">
        <v>31</v>
      </c>
      <c r="D77" s="2222" t="s">
        <v>31</v>
      </c>
      <c r="E77" s="2222" t="s">
        <v>31</v>
      </c>
      <c r="F77" s="2224" t="s">
        <v>31</v>
      </c>
      <c r="G77" s="2222" t="s">
        <v>31</v>
      </c>
      <c r="H77" s="2222"/>
      <c r="I77" s="2222"/>
      <c r="J77" s="2222" t="s">
        <v>31</v>
      </c>
      <c r="K77" s="2222" t="s">
        <v>31</v>
      </c>
      <c r="L77" s="2222" t="s">
        <v>31</v>
      </c>
      <c r="M77" s="2222" t="s">
        <v>31</v>
      </c>
      <c r="N77" s="2229" t="s">
        <v>31</v>
      </c>
      <c r="O77" s="2229"/>
      <c r="P77" s="2229"/>
      <c r="Q77" s="2230" t="s">
        <v>31</v>
      </c>
      <c r="R77" s="2229" t="s">
        <v>31</v>
      </c>
      <c r="S77" s="2222" t="s">
        <v>31</v>
      </c>
      <c r="T77" s="2222" t="s">
        <v>31</v>
      </c>
      <c r="U77" s="2229" t="s">
        <v>31</v>
      </c>
      <c r="V77" s="2229"/>
      <c r="W77" s="2229"/>
      <c r="X77" s="2222" t="s">
        <v>31</v>
      </c>
      <c r="Y77" s="2229" t="s">
        <v>31</v>
      </c>
      <c r="Z77" s="2222" t="s">
        <v>31</v>
      </c>
      <c r="AA77" s="2222" t="s">
        <v>31</v>
      </c>
      <c r="AB77" s="2222" t="s">
        <v>31</v>
      </c>
      <c r="AC77" s="2222"/>
      <c r="AD77" s="2224"/>
      <c r="AE77" s="2222"/>
      <c r="AF77" s="2224"/>
      <c r="AG77" s="387"/>
      <c r="AH77" s="1"/>
    </row>
    <row r="78" spans="1:34" ht="22.15" customHeight="1" x14ac:dyDescent="0.2">
      <c r="A78" s="2235"/>
      <c r="B78" s="2235"/>
      <c r="C78" s="2224"/>
      <c r="D78" s="2224"/>
      <c r="E78" s="2224"/>
      <c r="F78" s="2224"/>
      <c r="G78" s="2224"/>
      <c r="H78" s="2224"/>
      <c r="I78" s="2224"/>
      <c r="J78" s="2224"/>
      <c r="K78" s="2140"/>
      <c r="L78" s="2140"/>
      <c r="M78" s="2140"/>
      <c r="N78" s="2140"/>
      <c r="O78" s="2140"/>
      <c r="P78" s="2140"/>
      <c r="Q78" s="2140"/>
      <c r="R78" s="2140"/>
      <c r="S78" s="2224"/>
      <c r="T78" s="2224"/>
      <c r="U78" s="2261"/>
      <c r="V78" s="2261"/>
      <c r="W78" s="2261"/>
      <c r="X78" s="2224"/>
      <c r="Y78" s="2261"/>
      <c r="Z78" s="2261"/>
      <c r="AA78" s="2261"/>
      <c r="AB78" s="2224"/>
      <c r="AC78" s="2224"/>
      <c r="AD78" s="2224"/>
      <c r="AE78" s="2224"/>
      <c r="AF78" s="2224"/>
      <c r="AG78" s="2159"/>
      <c r="AH78" s="1"/>
    </row>
    <row r="79" spans="1:34" ht="22.15" customHeight="1" x14ac:dyDescent="0.2">
      <c r="A79" s="2262"/>
      <c r="B79" s="2235"/>
      <c r="C79" s="2224"/>
      <c r="D79" s="2224"/>
      <c r="E79" s="2224"/>
      <c r="F79" s="2224"/>
      <c r="G79" s="2224"/>
      <c r="H79" s="2224"/>
      <c r="I79" s="2224"/>
      <c r="J79" s="2224"/>
      <c r="K79" s="2224"/>
      <c r="L79" s="2224"/>
      <c r="M79" s="2224"/>
      <c r="N79" s="2224"/>
      <c r="O79" s="2224"/>
      <c r="P79" s="2224"/>
      <c r="Q79" s="2224"/>
      <c r="R79" s="2224"/>
      <c r="S79" s="2224"/>
      <c r="T79" s="2224"/>
      <c r="U79" s="2224"/>
      <c r="V79" s="2224"/>
      <c r="W79" s="2224"/>
      <c r="X79" s="2224"/>
      <c r="Y79" s="2224"/>
      <c r="Z79" s="2224"/>
      <c r="AA79" s="2224"/>
      <c r="AB79" s="2224"/>
      <c r="AC79" s="2224"/>
      <c r="AD79" s="2224"/>
      <c r="AE79" s="2224"/>
      <c r="AF79" s="2224"/>
      <c r="AG79" s="2156"/>
      <c r="AH79" s="1"/>
    </row>
    <row r="80" spans="1:34" ht="22.15" customHeight="1" thickBot="1" x14ac:dyDescent="0.25">
      <c r="A80" s="691"/>
      <c r="B80" s="692"/>
      <c r="C80" s="690"/>
      <c r="D80" s="693"/>
      <c r="E80" s="693"/>
      <c r="F80" s="693"/>
      <c r="G80" s="693"/>
      <c r="H80" s="693"/>
      <c r="I80" s="690"/>
      <c r="J80" s="690"/>
      <c r="K80" s="693"/>
      <c r="L80" s="693"/>
      <c r="M80" s="693"/>
      <c r="N80" s="693"/>
      <c r="O80" s="693"/>
      <c r="P80" s="696"/>
      <c r="Q80" s="696"/>
      <c r="R80" s="690"/>
      <c r="S80" s="696"/>
      <c r="T80" s="696"/>
      <c r="U80" s="696"/>
      <c r="V80" s="696"/>
      <c r="W80" s="696"/>
      <c r="X80" s="690"/>
      <c r="Y80" s="696"/>
      <c r="Z80" s="696"/>
      <c r="AA80" s="696"/>
      <c r="AB80" s="696"/>
      <c r="AC80" s="690"/>
      <c r="AD80" s="696"/>
      <c r="AE80" s="696"/>
      <c r="AF80" s="690"/>
      <c r="AG80" s="218"/>
      <c r="AH80" s="1"/>
    </row>
    <row r="81" spans="1:35" ht="22.15" customHeight="1" thickBot="1" x14ac:dyDescent="0.25">
      <c r="A81" s="223"/>
      <c r="B81" s="224" t="s">
        <v>387</v>
      </c>
      <c r="C81" s="219"/>
      <c r="D81" s="225"/>
      <c r="E81" s="225"/>
      <c r="F81" s="225"/>
      <c r="G81" s="225"/>
      <c r="H81" s="225"/>
      <c r="I81" s="219"/>
      <c r="J81" s="219"/>
      <c r="K81" s="225"/>
      <c r="L81" s="225"/>
      <c r="M81" s="225"/>
      <c r="N81" s="225"/>
      <c r="O81" s="225"/>
      <c r="P81" s="219"/>
      <c r="Q81" s="219"/>
      <c r="R81" s="219"/>
      <c r="S81" s="226"/>
      <c r="T81" s="226"/>
      <c r="U81" s="226"/>
      <c r="V81" s="220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48"/>
      <c r="AH81" s="1"/>
    </row>
    <row r="82" spans="1:35" ht="22.15" customHeight="1" thickBot="1" x14ac:dyDescent="0.25">
      <c r="A82" s="221"/>
      <c r="B82" s="222" t="s">
        <v>375</v>
      </c>
      <c r="C82" s="2222" t="s">
        <v>31</v>
      </c>
      <c r="D82" s="2222" t="s">
        <v>31</v>
      </c>
      <c r="E82" s="2222" t="s">
        <v>31</v>
      </c>
      <c r="F82" s="2224" t="s">
        <v>31</v>
      </c>
      <c r="G82" s="2222" t="s">
        <v>31</v>
      </c>
      <c r="H82" s="2222"/>
      <c r="I82" s="2222"/>
      <c r="J82" s="2222" t="s">
        <v>31</v>
      </c>
      <c r="K82" s="2222" t="s">
        <v>31</v>
      </c>
      <c r="L82" s="2222" t="s">
        <v>31</v>
      </c>
      <c r="M82" s="2222" t="s">
        <v>31</v>
      </c>
      <c r="N82" s="2229" t="s">
        <v>31</v>
      </c>
      <c r="O82" s="2229"/>
      <c r="P82" s="2229"/>
      <c r="Q82" s="2230" t="s">
        <v>31</v>
      </c>
      <c r="R82" s="2229" t="s">
        <v>31</v>
      </c>
      <c r="S82" s="2222" t="s">
        <v>31</v>
      </c>
      <c r="T82" s="2222" t="s">
        <v>31</v>
      </c>
      <c r="U82" s="2229" t="s">
        <v>31</v>
      </c>
      <c r="V82" s="2229"/>
      <c r="W82" s="2229"/>
      <c r="X82" s="2222" t="s">
        <v>31</v>
      </c>
      <c r="Y82" s="2229" t="s">
        <v>31</v>
      </c>
      <c r="Z82" s="2222" t="s">
        <v>31</v>
      </c>
      <c r="AA82" s="2222" t="s">
        <v>31</v>
      </c>
      <c r="AB82" s="2222" t="s">
        <v>31</v>
      </c>
      <c r="AC82" s="2222"/>
      <c r="AD82" s="2224"/>
      <c r="AE82" s="2222"/>
      <c r="AF82" s="2224"/>
      <c r="AG82" s="2450"/>
      <c r="AH82" s="1"/>
    </row>
    <row r="83" spans="1:35" ht="22.15" customHeight="1" x14ac:dyDescent="0.2">
      <c r="A83" s="64" t="s">
        <v>134</v>
      </c>
      <c r="AH83" s="1"/>
    </row>
    <row r="84" spans="1:35" ht="22.15" customHeight="1" thickBot="1" x14ac:dyDescent="0.25">
      <c r="A84" s="2451"/>
      <c r="B84" s="2408" t="s">
        <v>29</v>
      </c>
      <c r="C84" s="2362">
        <v>1</v>
      </c>
      <c r="D84" s="2362">
        <v>2</v>
      </c>
      <c r="E84" s="2362">
        <v>3</v>
      </c>
      <c r="F84" s="2362">
        <v>4</v>
      </c>
      <c r="G84" s="2362">
        <v>5</v>
      </c>
      <c r="H84" s="2363">
        <v>6</v>
      </c>
      <c r="I84" s="2363">
        <v>7</v>
      </c>
      <c r="J84" s="2362">
        <v>8</v>
      </c>
      <c r="K84" s="2362">
        <v>9</v>
      </c>
      <c r="L84" s="2362">
        <v>10</v>
      </c>
      <c r="M84" s="2362">
        <v>11</v>
      </c>
      <c r="N84" s="2362">
        <v>12</v>
      </c>
      <c r="O84" s="2363">
        <v>13</v>
      </c>
      <c r="P84" s="2363">
        <v>14</v>
      </c>
      <c r="Q84" s="2362">
        <v>15</v>
      </c>
      <c r="R84" s="2362">
        <v>16</v>
      </c>
      <c r="S84" s="2362">
        <v>17</v>
      </c>
      <c r="T84" s="2362">
        <v>18</v>
      </c>
      <c r="U84" s="2362">
        <v>19</v>
      </c>
      <c r="V84" s="2363">
        <v>20</v>
      </c>
      <c r="W84" s="2363">
        <v>21</v>
      </c>
      <c r="X84" s="2362">
        <v>22</v>
      </c>
      <c r="Y84" s="2362">
        <v>23</v>
      </c>
      <c r="Z84" s="2362">
        <v>24</v>
      </c>
      <c r="AA84" s="2362">
        <v>25</v>
      </c>
      <c r="AB84" s="2362">
        <v>26</v>
      </c>
      <c r="AC84" s="2363">
        <v>27</v>
      </c>
      <c r="AD84" s="2363">
        <v>28</v>
      </c>
      <c r="AE84" s="2362"/>
      <c r="AF84" s="2362"/>
      <c r="AG84" s="2364"/>
      <c r="AH84" s="1"/>
    </row>
    <row r="85" spans="1:35" ht="22.15" customHeight="1" x14ac:dyDescent="0.2">
      <c r="A85" s="487"/>
      <c r="B85" s="488" t="s">
        <v>135</v>
      </c>
      <c r="C85" s="458"/>
      <c r="D85" s="482"/>
      <c r="E85" s="458"/>
      <c r="F85" s="458"/>
      <c r="G85" s="458"/>
      <c r="H85" s="458"/>
      <c r="I85" s="458"/>
      <c r="J85" s="458"/>
      <c r="K85" s="458"/>
      <c r="L85" s="458"/>
      <c r="M85" s="458"/>
      <c r="N85" s="458"/>
      <c r="O85" s="458"/>
      <c r="P85" s="458"/>
      <c r="Q85" s="458"/>
      <c r="R85" s="458"/>
      <c r="S85" s="458"/>
      <c r="T85" s="458"/>
      <c r="U85" s="458"/>
      <c r="V85" s="458"/>
      <c r="W85" s="458"/>
      <c r="X85" s="458"/>
      <c r="Y85" s="458"/>
      <c r="Z85" s="458"/>
      <c r="AA85" s="458"/>
      <c r="AB85" s="458"/>
      <c r="AC85" s="458"/>
      <c r="AD85" s="458"/>
      <c r="AE85" s="458"/>
      <c r="AF85" s="458"/>
      <c r="AG85" s="464"/>
      <c r="AH85" s="1"/>
    </row>
    <row r="86" spans="1:35" ht="22.15" customHeight="1" x14ac:dyDescent="0.2">
      <c r="A86" s="2452">
        <v>2</v>
      </c>
      <c r="B86" s="2453"/>
      <c r="C86" s="2454"/>
      <c r="D86" s="2454"/>
      <c r="E86" s="2454"/>
      <c r="F86" s="2455"/>
      <c r="G86" s="2455"/>
      <c r="H86" s="2455"/>
      <c r="I86" s="2455"/>
      <c r="J86" s="2455"/>
      <c r="K86" s="2455"/>
      <c r="L86" s="2455"/>
      <c r="M86" s="2455"/>
      <c r="N86" s="2455"/>
      <c r="O86" s="2455"/>
      <c r="P86" s="2455"/>
      <c r="Q86" s="2455"/>
      <c r="R86" s="2456"/>
      <c r="S86" s="2456"/>
      <c r="T86" s="2456"/>
      <c r="U86" s="2456"/>
      <c r="V86" s="2456"/>
      <c r="W86" s="2454"/>
      <c r="X86" s="2454"/>
      <c r="Y86" s="2456"/>
      <c r="Z86" s="2456"/>
      <c r="AA86" s="2456"/>
      <c r="AB86" s="2456"/>
      <c r="AC86" s="2456"/>
      <c r="AD86" s="2454"/>
      <c r="AE86" s="2454"/>
      <c r="AF86" s="2457"/>
      <c r="AG86" s="2458"/>
      <c r="AH86" s="1"/>
    </row>
    <row r="87" spans="1:35" ht="22.15" customHeight="1" x14ac:dyDescent="0.2">
      <c r="A87" s="2452">
        <v>3</v>
      </c>
      <c r="B87" s="2459"/>
      <c r="C87" s="2460"/>
      <c r="D87" s="2460"/>
      <c r="E87" s="2460"/>
      <c r="F87" s="2460"/>
      <c r="G87" s="2460"/>
      <c r="H87" s="2460"/>
      <c r="I87" s="2460"/>
      <c r="J87" s="2460"/>
      <c r="K87" s="2460"/>
      <c r="L87" s="2460"/>
      <c r="M87" s="2460"/>
      <c r="N87" s="2460"/>
      <c r="O87" s="2460"/>
      <c r="P87" s="2460"/>
      <c r="Q87" s="2460"/>
      <c r="R87" s="2460"/>
      <c r="S87" s="2460"/>
      <c r="T87" s="2460"/>
      <c r="U87" s="2460"/>
      <c r="V87" s="2460"/>
      <c r="W87" s="2460"/>
      <c r="X87" s="2460"/>
      <c r="Y87" s="2460"/>
      <c r="Z87" s="2460"/>
      <c r="AA87" s="2460"/>
      <c r="AB87" s="2460"/>
      <c r="AC87" s="2460"/>
      <c r="AD87" s="2460"/>
      <c r="AE87" s="2460"/>
      <c r="AF87" s="2461"/>
      <c r="AG87" s="2410"/>
      <c r="AH87" s="1"/>
    </row>
    <row r="88" spans="1:35" ht="22.15" customHeight="1" thickBot="1" x14ac:dyDescent="0.25">
      <c r="A88" s="2452">
        <v>4</v>
      </c>
      <c r="B88" s="2412"/>
      <c r="C88" s="2462"/>
      <c r="D88" s="2462"/>
      <c r="E88" s="2462"/>
      <c r="F88" s="2462"/>
      <c r="G88" s="2462"/>
      <c r="H88" s="2462"/>
      <c r="I88" s="2462"/>
      <c r="J88" s="2462"/>
      <c r="K88" s="2462"/>
      <c r="L88" s="2462"/>
      <c r="M88" s="2462"/>
      <c r="N88" s="2462"/>
      <c r="O88" s="2462"/>
      <c r="P88" s="2462"/>
      <c r="Q88" s="2462"/>
      <c r="R88" s="2463"/>
      <c r="S88" s="2463"/>
      <c r="T88" s="2463"/>
      <c r="U88" s="2462"/>
      <c r="V88" s="2462"/>
      <c r="W88" s="2462"/>
      <c r="X88" s="2462"/>
      <c r="Y88" s="2462"/>
      <c r="Z88" s="2462"/>
      <c r="AA88" s="2462"/>
      <c r="AB88" s="2462"/>
      <c r="AC88" s="2462"/>
      <c r="AD88" s="2462"/>
      <c r="AE88" s="2462"/>
      <c r="AF88" s="2362"/>
      <c r="AG88" s="2364"/>
      <c r="AH88" s="1"/>
    </row>
    <row r="89" spans="1:35" ht="22.15" customHeight="1" x14ac:dyDescent="0.2">
      <c r="A89" s="227"/>
      <c r="B89" s="228"/>
      <c r="C89" s="229"/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30"/>
      <c r="S89" s="230"/>
      <c r="T89" s="230"/>
      <c r="U89" s="229"/>
      <c r="V89" s="229"/>
      <c r="W89" s="229"/>
      <c r="X89" s="229"/>
      <c r="Y89" s="229"/>
      <c r="Z89" s="229"/>
      <c r="AA89" s="229"/>
      <c r="AB89" s="229"/>
      <c r="AC89" s="229"/>
      <c r="AD89" s="229"/>
      <c r="AE89" s="229"/>
      <c r="AF89" s="229"/>
      <c r="AG89" s="229"/>
      <c r="AH89" s="1"/>
    </row>
    <row r="90" spans="1:35" ht="22.15" customHeight="1" x14ac:dyDescent="0.2">
      <c r="A90" s="227"/>
      <c r="B90" s="228"/>
      <c r="C90" s="229"/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30"/>
      <c r="S90" s="230"/>
      <c r="T90" s="230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29"/>
      <c r="AG90" s="229"/>
      <c r="AH90" s="1"/>
    </row>
    <row r="91" spans="1:35" ht="22.15" customHeight="1" thickBot="1" x14ac:dyDescent="0.25">
      <c r="A91" s="176" t="s">
        <v>136</v>
      </c>
      <c r="B91" s="177"/>
      <c r="C91" s="177"/>
      <c r="D91" s="177"/>
      <c r="E91" s="177"/>
      <c r="F91" s="177"/>
      <c r="G91" s="178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</row>
    <row r="92" spans="1:35" ht="22.15" customHeight="1" thickBot="1" x14ac:dyDescent="0.25">
      <c r="A92" s="179"/>
      <c r="B92" s="303" t="s">
        <v>137</v>
      </c>
      <c r="C92" s="281"/>
      <c r="D92" s="282" t="s">
        <v>90</v>
      </c>
      <c r="E92" s="283"/>
      <c r="F92" s="284"/>
      <c r="G92" s="281"/>
      <c r="H92" s="282" t="s">
        <v>91</v>
      </c>
      <c r="I92" s="283"/>
      <c r="J92" s="284"/>
      <c r="K92" s="281"/>
      <c r="L92" s="282" t="s">
        <v>92</v>
      </c>
      <c r="M92" s="283"/>
      <c r="N92" s="284"/>
      <c r="O92" s="281"/>
      <c r="P92" s="282" t="s">
        <v>93</v>
      </c>
      <c r="Q92" s="283"/>
      <c r="R92" s="284"/>
      <c r="S92" s="285"/>
      <c r="T92" s="282" t="s">
        <v>94</v>
      </c>
      <c r="U92" s="283"/>
      <c r="V92" s="284"/>
      <c r="W92" s="281"/>
      <c r="X92" s="282" t="s">
        <v>95</v>
      </c>
      <c r="Y92" s="283"/>
      <c r="Z92" s="284"/>
      <c r="AA92" s="281"/>
      <c r="AB92" s="282" t="s">
        <v>96</v>
      </c>
      <c r="AC92" s="283"/>
      <c r="AD92" s="283"/>
      <c r="AE92" s="286" t="s">
        <v>138</v>
      </c>
      <c r="AF92" s="283"/>
      <c r="AG92" s="283"/>
      <c r="AH92" s="283"/>
      <c r="AI92" s="287"/>
    </row>
    <row r="93" spans="1:35" ht="22.15" customHeight="1" x14ac:dyDescent="0.2">
      <c r="A93" s="179"/>
      <c r="B93" s="489" t="s">
        <v>139</v>
      </c>
      <c r="C93" s="490" t="s">
        <v>140</v>
      </c>
      <c r="D93" s="283"/>
      <c r="E93" s="491"/>
      <c r="F93" s="492"/>
      <c r="G93" s="490" t="s">
        <v>140</v>
      </c>
      <c r="H93" s="491"/>
      <c r="I93" s="491"/>
      <c r="J93" s="492"/>
      <c r="K93" s="288" t="s">
        <v>140</v>
      </c>
      <c r="L93" s="283"/>
      <c r="M93" s="283"/>
      <c r="N93" s="289"/>
      <c r="O93" s="288" t="s">
        <v>141</v>
      </c>
      <c r="P93" s="283"/>
      <c r="Q93" s="491"/>
      <c r="R93" s="492"/>
      <c r="S93" s="490" t="s">
        <v>142</v>
      </c>
      <c r="T93" s="491"/>
      <c r="U93" s="491"/>
      <c r="V93" s="493"/>
      <c r="W93" s="494"/>
      <c r="X93" s="495"/>
      <c r="Y93" s="495"/>
      <c r="Z93" s="496"/>
      <c r="AA93" s="493"/>
      <c r="AB93" s="491"/>
      <c r="AC93" s="491"/>
      <c r="AD93" s="493"/>
      <c r="AE93" s="497">
        <v>37</v>
      </c>
      <c r="AF93" s="283"/>
      <c r="AG93" s="491"/>
      <c r="AH93" s="493"/>
      <c r="AI93" s="498"/>
    </row>
    <row r="94" spans="1:35" ht="22.15" customHeight="1" x14ac:dyDescent="0.2">
      <c r="A94" s="179"/>
      <c r="B94" s="2464" t="s">
        <v>143</v>
      </c>
      <c r="C94" s="2465" t="s">
        <v>144</v>
      </c>
      <c r="D94" s="2466"/>
      <c r="E94" s="2466"/>
      <c r="F94" s="2467"/>
      <c r="G94" s="2465" t="s">
        <v>145</v>
      </c>
      <c r="H94" s="2466"/>
      <c r="I94" s="2466"/>
      <c r="J94" s="2467"/>
      <c r="K94" s="2465" t="s">
        <v>146</v>
      </c>
      <c r="L94" s="2468" t="s">
        <v>147</v>
      </c>
      <c r="M94" s="2466"/>
      <c r="N94" s="2467"/>
      <c r="O94" s="2465" t="s">
        <v>146</v>
      </c>
      <c r="P94" s="2468" t="s">
        <v>147</v>
      </c>
      <c r="Q94" s="2466"/>
      <c r="R94" s="2467"/>
      <c r="S94" s="2465" t="s">
        <v>145</v>
      </c>
      <c r="T94" s="2468" t="s">
        <v>148</v>
      </c>
      <c r="U94" s="2466"/>
      <c r="V94" s="2467"/>
      <c r="W94" s="180" t="s">
        <v>46</v>
      </c>
      <c r="X94" s="254" t="s">
        <v>152</v>
      </c>
      <c r="Y94" s="181"/>
      <c r="Z94" s="181"/>
      <c r="AA94" s="2465" t="s">
        <v>46</v>
      </c>
      <c r="AB94" s="2468" t="s">
        <v>152</v>
      </c>
      <c r="AC94" s="2465"/>
      <c r="AD94" s="2465"/>
      <c r="AE94" s="2469">
        <v>68</v>
      </c>
      <c r="AF94" s="2466"/>
      <c r="AG94" s="2470"/>
      <c r="AH94" s="2471"/>
      <c r="AI94" s="2472"/>
    </row>
    <row r="95" spans="1:35" ht="22.15" customHeight="1" x14ac:dyDescent="0.2">
      <c r="A95" s="179"/>
      <c r="B95" s="2464" t="s">
        <v>153</v>
      </c>
      <c r="C95" s="2473" t="s">
        <v>154</v>
      </c>
      <c r="D95" s="2466"/>
      <c r="E95" s="2466"/>
      <c r="F95" s="2467"/>
      <c r="G95" s="2466" t="s">
        <v>154</v>
      </c>
      <c r="H95" s="2466"/>
      <c r="I95" s="2466"/>
      <c r="J95" s="2467"/>
      <c r="K95" s="2466" t="s">
        <v>154</v>
      </c>
      <c r="L95" s="2466"/>
      <c r="M95" s="2466"/>
      <c r="N95" s="2467"/>
      <c r="O95" s="2466" t="s">
        <v>154</v>
      </c>
      <c r="P95" s="2466"/>
      <c r="Q95" s="2466"/>
      <c r="R95" s="2467"/>
      <c r="S95" s="2466" t="s">
        <v>154</v>
      </c>
      <c r="T95" s="2466"/>
      <c r="U95" s="2466"/>
      <c r="V95" s="2467"/>
      <c r="W95" s="2465"/>
      <c r="X95" s="2466"/>
      <c r="Y95" s="2466"/>
      <c r="Z95" s="2467"/>
      <c r="AA95" s="2465"/>
      <c r="AB95" s="2466"/>
      <c r="AC95" s="2466"/>
      <c r="AD95" s="2468"/>
      <c r="AE95" s="2469">
        <v>0</v>
      </c>
      <c r="AF95" s="2470"/>
      <c r="AG95" s="2466"/>
      <c r="AH95" s="2468"/>
      <c r="AI95" s="2474"/>
    </row>
    <row r="96" spans="1:35" ht="22.15" customHeight="1" thickBot="1" x14ac:dyDescent="0.25">
      <c r="A96" s="179"/>
      <c r="B96" s="2475" t="s">
        <v>155</v>
      </c>
      <c r="C96" s="2476" t="s">
        <v>140</v>
      </c>
      <c r="D96" s="2477"/>
      <c r="E96" s="2478"/>
      <c r="F96" s="2479"/>
      <c r="G96" s="2476" t="s">
        <v>140</v>
      </c>
      <c r="H96" s="2477"/>
      <c r="I96" s="2478"/>
      <c r="J96" s="2479"/>
      <c r="K96" s="2476" t="s">
        <v>140</v>
      </c>
      <c r="L96" s="2477"/>
      <c r="M96" s="2478"/>
      <c r="N96" s="2479"/>
      <c r="O96" s="2476" t="s">
        <v>141</v>
      </c>
      <c r="P96" s="2478"/>
      <c r="Q96" s="2478"/>
      <c r="R96" s="2479"/>
      <c r="S96" s="2476" t="s">
        <v>142</v>
      </c>
      <c r="T96" s="2478"/>
      <c r="U96" s="2478"/>
      <c r="V96" s="2480"/>
      <c r="W96" s="2481"/>
      <c r="X96" s="2478"/>
      <c r="Y96" s="2478"/>
      <c r="Z96" s="2482"/>
      <c r="AA96" s="2480"/>
      <c r="AB96" s="2478"/>
      <c r="AC96" s="2478"/>
      <c r="AD96" s="2480"/>
      <c r="AE96" s="2483">
        <v>37</v>
      </c>
      <c r="AF96" s="2478"/>
      <c r="AG96" s="2478"/>
      <c r="AH96" s="2480"/>
      <c r="AI96" s="2484"/>
    </row>
    <row r="97" spans="1:35" ht="22.15" customHeight="1" x14ac:dyDescent="0.2">
      <c r="A97" s="182"/>
      <c r="B97" s="179"/>
      <c r="C97" s="177"/>
      <c r="D97" s="181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</row>
    <row r="98" spans="1:35" ht="22.15" customHeight="1" thickBot="1" x14ac:dyDescent="0.25">
      <c r="A98" s="2485"/>
      <c r="B98" s="2486" t="s">
        <v>29</v>
      </c>
      <c r="C98" s="2362">
        <v>1</v>
      </c>
      <c r="D98" s="2362">
        <v>2</v>
      </c>
      <c r="E98" s="2362">
        <v>3</v>
      </c>
      <c r="F98" s="2362">
        <v>4</v>
      </c>
      <c r="G98" s="2362">
        <v>5</v>
      </c>
      <c r="H98" s="2363">
        <v>6</v>
      </c>
      <c r="I98" s="2363">
        <v>7</v>
      </c>
      <c r="J98" s="2362">
        <v>8</v>
      </c>
      <c r="K98" s="2362">
        <v>9</v>
      </c>
      <c r="L98" s="2362">
        <v>10</v>
      </c>
      <c r="M98" s="2362">
        <v>11</v>
      </c>
      <c r="N98" s="2362">
        <v>12</v>
      </c>
      <c r="O98" s="2363">
        <v>13</v>
      </c>
      <c r="P98" s="2363">
        <v>14</v>
      </c>
      <c r="Q98" s="2362">
        <v>15</v>
      </c>
      <c r="R98" s="2362">
        <v>16</v>
      </c>
      <c r="S98" s="2362">
        <v>17</v>
      </c>
      <c r="T98" s="2362">
        <v>18</v>
      </c>
      <c r="U98" s="2362">
        <v>19</v>
      </c>
      <c r="V98" s="2363">
        <v>20</v>
      </c>
      <c r="W98" s="2363">
        <v>21</v>
      </c>
      <c r="X98" s="2362">
        <v>22</v>
      </c>
      <c r="Y98" s="2362">
        <v>23</v>
      </c>
      <c r="Z98" s="2362">
        <v>24</v>
      </c>
      <c r="AA98" s="2362">
        <v>25</v>
      </c>
      <c r="AB98" s="2362">
        <v>26</v>
      </c>
      <c r="AC98" s="2363">
        <v>27</v>
      </c>
      <c r="AD98" s="2363">
        <v>28</v>
      </c>
      <c r="AE98" s="2362"/>
      <c r="AF98" s="2362"/>
      <c r="AG98" s="2364"/>
      <c r="AH98" s="191"/>
      <c r="AI98" s="192"/>
    </row>
    <row r="99" spans="1:35" ht="22.15" customHeight="1" x14ac:dyDescent="0.2">
      <c r="A99" s="499">
        <v>1</v>
      </c>
      <c r="B99" s="476"/>
      <c r="C99" s="541" t="s">
        <v>110</v>
      </c>
      <c r="D99" s="541" t="s">
        <v>110</v>
      </c>
      <c r="E99" s="541" t="s">
        <v>110</v>
      </c>
      <c r="F99" s="541" t="s">
        <v>110</v>
      </c>
      <c r="G99" s="541" t="s">
        <v>110</v>
      </c>
      <c r="H99" s="541" t="s">
        <v>46</v>
      </c>
      <c r="I99" s="541" t="s">
        <v>46</v>
      </c>
      <c r="J99" s="541" t="s">
        <v>35</v>
      </c>
      <c r="K99" s="541" t="s">
        <v>35</v>
      </c>
      <c r="L99" s="541" t="s">
        <v>35</v>
      </c>
      <c r="M99" s="541" t="s">
        <v>35</v>
      </c>
      <c r="N99" s="541" t="s">
        <v>35</v>
      </c>
      <c r="O99" s="541"/>
      <c r="P99" s="544"/>
      <c r="Q99" s="541" t="s">
        <v>156</v>
      </c>
      <c r="R99" s="541" t="s">
        <v>156</v>
      </c>
      <c r="S99" s="541" t="s">
        <v>156</v>
      </c>
      <c r="T99" s="541" t="s">
        <v>156</v>
      </c>
      <c r="U99" s="541" t="s">
        <v>156</v>
      </c>
      <c r="V99" s="541"/>
      <c r="W99" s="541"/>
      <c r="X99" s="540" t="s">
        <v>156</v>
      </c>
      <c r="Y99" s="540" t="s">
        <v>156</v>
      </c>
      <c r="Z99" s="540" t="s">
        <v>156</v>
      </c>
      <c r="AA99" s="540" t="s">
        <v>156</v>
      </c>
      <c r="AB99" s="541" t="s">
        <v>156</v>
      </c>
      <c r="AC99" s="541"/>
      <c r="AD99" s="541"/>
      <c r="AE99" s="541"/>
      <c r="AF99" s="541"/>
      <c r="AG99" s="545"/>
      <c r="AH99" s="193"/>
      <c r="AI99" s="194"/>
    </row>
    <row r="100" spans="1:35" ht="22.15" customHeight="1" x14ac:dyDescent="0.2">
      <c r="A100" s="2487">
        <v>2</v>
      </c>
      <c r="B100" s="2377" t="s">
        <v>157</v>
      </c>
      <c r="C100" s="2488" t="s">
        <v>156</v>
      </c>
      <c r="D100" s="2488" t="s">
        <v>156</v>
      </c>
      <c r="E100" s="2488" t="s">
        <v>156</v>
      </c>
      <c r="F100" s="2488" t="s">
        <v>156</v>
      </c>
      <c r="G100" s="2488" t="s">
        <v>156</v>
      </c>
      <c r="H100" s="2488"/>
      <c r="I100" s="2488"/>
      <c r="J100" s="2488" t="s">
        <v>110</v>
      </c>
      <c r="K100" s="2374" t="s">
        <v>110</v>
      </c>
      <c r="L100" s="2489" t="s">
        <v>110</v>
      </c>
      <c r="M100" s="2489" t="s">
        <v>110</v>
      </c>
      <c r="N100" s="2489" t="s">
        <v>110</v>
      </c>
      <c r="O100" s="2489" t="s">
        <v>46</v>
      </c>
      <c r="P100" s="2489" t="s">
        <v>46</v>
      </c>
      <c r="Q100" s="2489" t="s">
        <v>35</v>
      </c>
      <c r="R100" s="2489" t="s">
        <v>35</v>
      </c>
      <c r="S100" s="2489" t="s">
        <v>35</v>
      </c>
      <c r="T100" s="2489" t="s">
        <v>35</v>
      </c>
      <c r="U100" s="2490" t="s">
        <v>35</v>
      </c>
      <c r="V100" s="2489"/>
      <c r="W100" s="2491"/>
      <c r="X100" s="2489" t="s">
        <v>236</v>
      </c>
      <c r="Y100" s="2489" t="s">
        <v>156</v>
      </c>
      <c r="Z100" s="2489" t="s">
        <v>156</v>
      </c>
      <c r="AA100" s="2490" t="s">
        <v>156</v>
      </c>
      <c r="AB100" s="2490" t="s">
        <v>156</v>
      </c>
      <c r="AC100" s="2490"/>
      <c r="AD100" s="2490"/>
      <c r="AE100" s="2490"/>
      <c r="AF100" s="2490"/>
      <c r="AG100" s="2492"/>
      <c r="AH100" s="193"/>
      <c r="AI100" s="194"/>
    </row>
    <row r="101" spans="1:35" ht="22.15" customHeight="1" x14ac:dyDescent="0.2">
      <c r="A101" s="2487">
        <v>3</v>
      </c>
      <c r="B101" s="2493" t="s">
        <v>159</v>
      </c>
      <c r="C101" s="2489" t="s">
        <v>156</v>
      </c>
      <c r="D101" s="2494" t="s">
        <v>156</v>
      </c>
      <c r="E101" s="2375" t="s">
        <v>228</v>
      </c>
      <c r="F101" s="2418" t="s">
        <v>156</v>
      </c>
      <c r="G101" s="2418" t="s">
        <v>156</v>
      </c>
      <c r="H101" s="2418"/>
      <c r="I101" s="2418"/>
      <c r="J101" s="2488" t="s">
        <v>156</v>
      </c>
      <c r="K101" s="2488" t="s">
        <v>156</v>
      </c>
      <c r="L101" s="2488" t="s">
        <v>156</v>
      </c>
      <c r="M101" s="2488" t="s">
        <v>156</v>
      </c>
      <c r="N101" s="2417" t="s">
        <v>156</v>
      </c>
      <c r="O101" s="2417"/>
      <c r="P101" s="2417"/>
      <c r="Q101" s="2495" t="s">
        <v>110</v>
      </c>
      <c r="R101" s="2495" t="s">
        <v>110</v>
      </c>
      <c r="S101" s="2495" t="s">
        <v>110</v>
      </c>
      <c r="T101" s="2495" t="s">
        <v>110</v>
      </c>
      <c r="U101" s="2495" t="s">
        <v>110</v>
      </c>
      <c r="V101" s="2378" t="s">
        <v>46</v>
      </c>
      <c r="W101" s="2378" t="s">
        <v>46</v>
      </c>
      <c r="X101" s="2489" t="s">
        <v>35</v>
      </c>
      <c r="Y101" s="2417" t="s">
        <v>35</v>
      </c>
      <c r="Z101" s="2490" t="s">
        <v>35</v>
      </c>
      <c r="AA101" s="2490" t="s">
        <v>35</v>
      </c>
      <c r="AB101" s="2490" t="s">
        <v>35</v>
      </c>
      <c r="AC101" s="2490"/>
      <c r="AD101" s="2491"/>
      <c r="AE101" s="2489"/>
      <c r="AF101" s="2489"/>
      <c r="AG101" s="2496"/>
      <c r="AH101" s="193"/>
      <c r="AI101" s="194"/>
    </row>
    <row r="102" spans="1:35" ht="22.15" customHeight="1" thickBot="1" x14ac:dyDescent="0.25">
      <c r="A102" s="2497">
        <v>4</v>
      </c>
      <c r="B102" s="2498"/>
      <c r="C102" s="2499" t="s">
        <v>35</v>
      </c>
      <c r="D102" s="2499" t="s">
        <v>35</v>
      </c>
      <c r="E102" s="2499" t="s">
        <v>35</v>
      </c>
      <c r="F102" s="2499" t="s">
        <v>35</v>
      </c>
      <c r="G102" s="2499" t="s">
        <v>35</v>
      </c>
      <c r="H102" s="2499"/>
      <c r="I102" s="2499"/>
      <c r="J102" s="2499" t="s">
        <v>156</v>
      </c>
      <c r="K102" s="2499" t="s">
        <v>156</v>
      </c>
      <c r="L102" s="2499" t="s">
        <v>156</v>
      </c>
      <c r="M102" s="2499" t="s">
        <v>156</v>
      </c>
      <c r="N102" s="2499" t="s">
        <v>156</v>
      </c>
      <c r="O102" s="2499"/>
      <c r="P102" s="2499"/>
      <c r="Q102" s="2499" t="s">
        <v>156</v>
      </c>
      <c r="R102" s="2499" t="s">
        <v>156</v>
      </c>
      <c r="S102" s="2499" t="s">
        <v>156</v>
      </c>
      <c r="T102" s="2499" t="s">
        <v>156</v>
      </c>
      <c r="U102" s="2499" t="s">
        <v>156</v>
      </c>
      <c r="V102" s="2499" t="s">
        <v>0</v>
      </c>
      <c r="W102" s="2499" t="s">
        <v>0</v>
      </c>
      <c r="X102" s="2499" t="s">
        <v>110</v>
      </c>
      <c r="Y102" s="2499" t="s">
        <v>110</v>
      </c>
      <c r="Z102" s="2499" t="s">
        <v>110</v>
      </c>
      <c r="AA102" s="2500" t="s">
        <v>110</v>
      </c>
      <c r="AB102" s="2500" t="s">
        <v>110</v>
      </c>
      <c r="AC102" s="2500" t="s">
        <v>46</v>
      </c>
      <c r="AD102" s="2500" t="s">
        <v>46</v>
      </c>
      <c r="AE102" s="2500"/>
      <c r="AF102" s="2499"/>
      <c r="AG102" s="2501"/>
      <c r="AH102" s="193"/>
      <c r="AI102" s="194"/>
    </row>
    <row r="103" spans="1:35" ht="22.15" customHeight="1" thickBot="1" x14ac:dyDescent="0.25">
      <c r="A103" s="231"/>
      <c r="B103" s="232"/>
      <c r="C103" s="233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3"/>
      <c r="U103" s="233"/>
      <c r="V103" s="233"/>
      <c r="W103" s="233"/>
      <c r="X103" s="233"/>
      <c r="Y103" s="233"/>
      <c r="Z103" s="233"/>
      <c r="AA103" s="233"/>
      <c r="AB103" s="233"/>
      <c r="AC103" s="233"/>
      <c r="AD103" s="233"/>
      <c r="AE103" s="233"/>
      <c r="AF103" s="233"/>
      <c r="AG103" s="234"/>
      <c r="AH103" s="235"/>
      <c r="AI103" s="194"/>
    </row>
    <row r="104" spans="1:35" ht="22.15" customHeight="1" x14ac:dyDescent="0.2">
      <c r="A104" s="72"/>
      <c r="B104" s="304" t="s">
        <v>160</v>
      </c>
      <c r="C104" s="500"/>
      <c r="D104" s="501" t="s">
        <v>90</v>
      </c>
      <c r="E104" s="502"/>
      <c r="F104" s="500"/>
      <c r="G104" s="503" t="s">
        <v>91</v>
      </c>
      <c r="H104" s="504"/>
      <c r="I104" s="505"/>
      <c r="J104" s="503" t="s">
        <v>92</v>
      </c>
      <c r="K104" s="506"/>
      <c r="L104" s="505"/>
      <c r="M104" s="507" t="s">
        <v>93</v>
      </c>
      <c r="N104" s="506"/>
      <c r="O104" s="505"/>
      <c r="P104" s="503" t="s">
        <v>94</v>
      </c>
      <c r="Q104" s="508"/>
      <c r="R104" s="505"/>
      <c r="S104" s="503" t="s">
        <v>95</v>
      </c>
      <c r="T104" s="509"/>
      <c r="U104" s="505"/>
      <c r="V104" s="503" t="s">
        <v>96</v>
      </c>
      <c r="W104" s="508"/>
      <c r="X104" s="510" t="s">
        <v>138</v>
      </c>
      <c r="Y104" s="511"/>
      <c r="Z104" s="511"/>
      <c r="AA104" s="512"/>
      <c r="AB104" s="290" t="s">
        <v>97</v>
      </c>
      <c r="AC104" s="291"/>
      <c r="AD104" s="291"/>
      <c r="AE104" s="292"/>
      <c r="AF104" s="292"/>
      <c r="AG104" s="293"/>
      <c r="AH104" s="235"/>
      <c r="AI104" s="194"/>
    </row>
    <row r="105" spans="1:35" ht="22.15" customHeight="1" x14ac:dyDescent="0.2">
      <c r="A105" s="72"/>
      <c r="B105" s="2502" t="s">
        <v>161</v>
      </c>
      <c r="C105" s="2503" t="s">
        <v>162</v>
      </c>
      <c r="D105" s="2346"/>
      <c r="E105" s="2347"/>
      <c r="F105" s="2503" t="s">
        <v>162</v>
      </c>
      <c r="G105" s="2346"/>
      <c r="H105" s="2347"/>
      <c r="I105" s="2503" t="s">
        <v>162</v>
      </c>
      <c r="J105" s="2346"/>
      <c r="K105" s="2347"/>
      <c r="L105" s="2503" t="s">
        <v>162</v>
      </c>
      <c r="M105" s="2346"/>
      <c r="N105" s="2347"/>
      <c r="O105" s="2503" t="s">
        <v>163</v>
      </c>
      <c r="P105" s="2346"/>
      <c r="Q105" s="2347"/>
      <c r="R105" s="2503"/>
      <c r="S105" s="2346"/>
      <c r="T105" s="2347"/>
      <c r="U105" s="2503"/>
      <c r="V105" s="2346"/>
      <c r="W105" s="2347"/>
      <c r="X105" s="2503"/>
      <c r="Y105" s="2504"/>
      <c r="Z105" s="2504"/>
      <c r="AA105" s="2504"/>
      <c r="AB105" s="2343"/>
      <c r="AC105" s="2504"/>
      <c r="AD105" s="2504"/>
      <c r="AE105" s="2504"/>
      <c r="AF105" s="2504"/>
      <c r="AG105" s="2505"/>
      <c r="AH105" s="235"/>
      <c r="AI105" s="194"/>
    </row>
    <row r="106" spans="1:35" ht="22.15" customHeight="1" x14ac:dyDescent="0.2">
      <c r="A106" s="72"/>
      <c r="B106" s="17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235"/>
      <c r="AI106" s="194"/>
    </row>
    <row r="107" spans="1:35" ht="22.15" customHeight="1" thickBot="1" x14ac:dyDescent="0.25">
      <c r="A107" s="2451" t="s">
        <v>28</v>
      </c>
      <c r="B107" s="2408" t="s">
        <v>29</v>
      </c>
      <c r="C107" s="2362">
        <v>1</v>
      </c>
      <c r="D107" s="2362">
        <v>2</v>
      </c>
      <c r="E107" s="2362">
        <v>3</v>
      </c>
      <c r="F107" s="2362">
        <v>4</v>
      </c>
      <c r="G107" s="2362">
        <v>5</v>
      </c>
      <c r="H107" s="2363">
        <v>6</v>
      </c>
      <c r="I107" s="2363">
        <v>7</v>
      </c>
      <c r="J107" s="2362">
        <v>8</v>
      </c>
      <c r="K107" s="2362">
        <v>9</v>
      </c>
      <c r="L107" s="2362">
        <v>10</v>
      </c>
      <c r="M107" s="2362">
        <v>11</v>
      </c>
      <c r="N107" s="2362">
        <v>12</v>
      </c>
      <c r="O107" s="2363">
        <v>13</v>
      </c>
      <c r="P107" s="2363">
        <v>14</v>
      </c>
      <c r="Q107" s="2362">
        <v>15</v>
      </c>
      <c r="R107" s="2362">
        <v>16</v>
      </c>
      <c r="S107" s="2362">
        <v>17</v>
      </c>
      <c r="T107" s="2362">
        <v>18</v>
      </c>
      <c r="U107" s="2362">
        <v>19</v>
      </c>
      <c r="V107" s="2363">
        <v>20</v>
      </c>
      <c r="W107" s="2363">
        <v>21</v>
      </c>
      <c r="X107" s="2362">
        <v>22</v>
      </c>
      <c r="Y107" s="2362">
        <v>23</v>
      </c>
      <c r="Z107" s="2362">
        <v>24</v>
      </c>
      <c r="AA107" s="2362">
        <v>25</v>
      </c>
      <c r="AB107" s="2362">
        <v>26</v>
      </c>
      <c r="AC107" s="2363">
        <v>27</v>
      </c>
      <c r="AD107" s="2363">
        <v>28</v>
      </c>
      <c r="AE107" s="2362"/>
      <c r="AF107" s="2362"/>
      <c r="AG107" s="2364"/>
      <c r="AH107" s="235"/>
      <c r="AI107" s="194"/>
    </row>
    <row r="108" spans="1:35" ht="22.15" customHeight="1" x14ac:dyDescent="0.2">
      <c r="A108" s="513">
        <v>8520</v>
      </c>
      <c r="B108" s="514" t="s">
        <v>164</v>
      </c>
      <c r="C108" s="458" t="s">
        <v>165</v>
      </c>
      <c r="D108" s="458" t="s">
        <v>165</v>
      </c>
      <c r="E108" s="458" t="s">
        <v>165</v>
      </c>
      <c r="F108" s="458" t="s">
        <v>165</v>
      </c>
      <c r="G108" s="458" t="s">
        <v>165</v>
      </c>
      <c r="H108" s="458"/>
      <c r="I108" s="458"/>
      <c r="J108" s="458" t="s">
        <v>165</v>
      </c>
      <c r="K108" s="458" t="s">
        <v>165</v>
      </c>
      <c r="L108" s="458" t="s">
        <v>165</v>
      </c>
      <c r="M108" s="458" t="s">
        <v>165</v>
      </c>
      <c r="N108" s="458" t="s">
        <v>165</v>
      </c>
      <c r="O108" s="458"/>
      <c r="P108" s="458"/>
      <c r="Q108" s="458" t="s">
        <v>165</v>
      </c>
      <c r="R108" s="458" t="s">
        <v>165</v>
      </c>
      <c r="S108" s="458" t="s">
        <v>165</v>
      </c>
      <c r="T108" s="458" t="s">
        <v>165</v>
      </c>
      <c r="U108" s="458" t="s">
        <v>165</v>
      </c>
      <c r="V108" s="458"/>
      <c r="W108" s="458"/>
      <c r="X108" s="458" t="s">
        <v>165</v>
      </c>
      <c r="Y108" s="458" t="s">
        <v>165</v>
      </c>
      <c r="Z108" s="458" t="s">
        <v>165</v>
      </c>
      <c r="AA108" s="458" t="s">
        <v>165</v>
      </c>
      <c r="AB108" s="458" t="s">
        <v>165</v>
      </c>
      <c r="AC108" s="458"/>
      <c r="AD108" s="458"/>
      <c r="AE108" s="458"/>
      <c r="AF108" s="458"/>
      <c r="AG108" s="464"/>
      <c r="AH108" s="235"/>
      <c r="AI108" s="194"/>
    </row>
    <row r="109" spans="1:35" ht="22.15" customHeight="1" x14ac:dyDescent="0.2">
      <c r="A109" s="243"/>
      <c r="B109" s="242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35"/>
      <c r="AI109" s="194"/>
    </row>
    <row r="110" spans="1:35" ht="22.15" customHeight="1" x14ac:dyDescent="0.2">
      <c r="AH110" s="107"/>
      <c r="AI110" s="107"/>
    </row>
    <row r="111" spans="1:35" ht="22.15" customHeight="1" thickBot="1" x14ac:dyDescent="0.25">
      <c r="A111" s="173" t="s">
        <v>166</v>
      </c>
      <c r="B111" s="174"/>
      <c r="C111" s="174"/>
      <c r="D111" s="175"/>
      <c r="E111" s="175"/>
      <c r="F111" s="175"/>
      <c r="G111" s="10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4"/>
      <c r="AI111" s="174"/>
    </row>
    <row r="112" spans="1:35" ht="22.15" customHeight="1" x14ac:dyDescent="0.2">
      <c r="A112" s="173"/>
      <c r="B112" s="304" t="s">
        <v>167</v>
      </c>
      <c r="C112" s="515"/>
      <c r="D112" s="516" t="s">
        <v>90</v>
      </c>
      <c r="E112" s="517"/>
      <c r="F112" s="518"/>
      <c r="G112" s="515"/>
      <c r="H112" s="516" t="s">
        <v>91</v>
      </c>
      <c r="I112" s="517"/>
      <c r="J112" s="518"/>
      <c r="K112" s="515"/>
      <c r="L112" s="516" t="s">
        <v>92</v>
      </c>
      <c r="M112" s="517"/>
      <c r="N112" s="518"/>
      <c r="O112" s="515"/>
      <c r="P112" s="516" t="s">
        <v>93</v>
      </c>
      <c r="Q112" s="517"/>
      <c r="R112" s="518"/>
      <c r="S112" s="515"/>
      <c r="T112" s="516" t="s">
        <v>94</v>
      </c>
      <c r="U112" s="517"/>
      <c r="V112" s="518"/>
      <c r="W112" s="515"/>
      <c r="X112" s="516" t="s">
        <v>95</v>
      </c>
      <c r="Y112" s="517"/>
      <c r="Z112" s="518"/>
      <c r="AA112" s="515"/>
      <c r="AB112" s="516" t="s">
        <v>96</v>
      </c>
      <c r="AC112" s="517"/>
      <c r="AD112" s="517"/>
      <c r="AE112" s="519" t="s">
        <v>97</v>
      </c>
      <c r="AF112" s="517"/>
      <c r="AG112" s="517"/>
      <c r="AH112" s="517"/>
      <c r="AI112" s="520"/>
    </row>
    <row r="113" spans="1:35" ht="22.15" customHeight="1" x14ac:dyDescent="0.2">
      <c r="A113" s="173"/>
      <c r="B113" s="2506" t="s">
        <v>139</v>
      </c>
      <c r="C113" s="2507">
        <v>69</v>
      </c>
      <c r="D113" s="2508" t="s">
        <v>168</v>
      </c>
      <c r="E113" s="2508"/>
      <c r="F113" s="2509"/>
      <c r="G113" s="2507">
        <v>69</v>
      </c>
      <c r="H113" s="2508" t="s">
        <v>168</v>
      </c>
      <c r="I113" s="2508"/>
      <c r="J113" s="2509"/>
      <c r="K113" s="2507">
        <v>69</v>
      </c>
      <c r="L113" s="2508" t="s">
        <v>168</v>
      </c>
      <c r="M113" s="2508"/>
      <c r="N113" s="2509"/>
      <c r="O113" s="2507">
        <v>69</v>
      </c>
      <c r="P113" s="2508" t="s">
        <v>168</v>
      </c>
      <c r="Q113" s="2508"/>
      <c r="R113" s="2509"/>
      <c r="S113" s="2507">
        <v>69</v>
      </c>
      <c r="T113" s="2508" t="s">
        <v>168</v>
      </c>
      <c r="U113" s="2508"/>
      <c r="V113" s="2509"/>
      <c r="W113" s="2507"/>
      <c r="X113" s="2510"/>
      <c r="Y113" s="2510"/>
      <c r="Z113" s="2511"/>
      <c r="AA113" s="2507"/>
      <c r="AB113" s="2508"/>
      <c r="AC113" s="2508"/>
      <c r="AD113" s="2435"/>
      <c r="AE113" s="2512">
        <v>35</v>
      </c>
      <c r="AF113" s="2508"/>
      <c r="AG113" s="2508"/>
      <c r="AH113" s="2435"/>
      <c r="AI113" s="2513"/>
    </row>
    <row r="114" spans="1:35" ht="22.15" customHeight="1" x14ac:dyDescent="0.2">
      <c r="A114" s="173"/>
      <c r="B114" s="2506" t="s">
        <v>143</v>
      </c>
      <c r="C114" s="2507">
        <v>79</v>
      </c>
      <c r="D114" s="2508" t="s">
        <v>169</v>
      </c>
      <c r="E114" s="2508"/>
      <c r="F114" s="2509"/>
      <c r="G114" s="2507">
        <v>79</v>
      </c>
      <c r="H114" s="2508" t="s">
        <v>169</v>
      </c>
      <c r="I114" s="2508"/>
      <c r="J114" s="2509"/>
      <c r="K114" s="2507">
        <v>79</v>
      </c>
      <c r="L114" s="2508" t="s">
        <v>169</v>
      </c>
      <c r="M114" s="2508"/>
      <c r="N114" s="2509"/>
      <c r="O114" s="2507">
        <v>79</v>
      </c>
      <c r="P114" s="2508" t="s">
        <v>169</v>
      </c>
      <c r="Q114" s="2508"/>
      <c r="R114" s="2509"/>
      <c r="S114" s="2507">
        <v>79</v>
      </c>
      <c r="T114" s="2508" t="s">
        <v>169</v>
      </c>
      <c r="U114" s="2508"/>
      <c r="V114" s="2509"/>
      <c r="W114" s="2507"/>
      <c r="X114" s="2508"/>
      <c r="Y114" s="2508"/>
      <c r="Z114" s="2509"/>
      <c r="AA114" s="2508"/>
      <c r="AB114" s="2508"/>
      <c r="AC114" s="2508"/>
      <c r="AD114" s="2435"/>
      <c r="AE114" s="2512">
        <v>40</v>
      </c>
      <c r="AF114" s="2508"/>
      <c r="AG114" s="2508"/>
      <c r="AH114" s="2435"/>
      <c r="AI114" s="2513"/>
    </row>
    <row r="115" spans="1:35" ht="22.15" customHeight="1" x14ac:dyDescent="0.2">
      <c r="A115" s="173"/>
      <c r="B115" s="2506" t="s">
        <v>153</v>
      </c>
      <c r="C115" s="2507">
        <v>89</v>
      </c>
      <c r="D115" s="2508" t="s">
        <v>170</v>
      </c>
      <c r="E115" s="2508"/>
      <c r="F115" s="2509"/>
      <c r="G115" s="2507">
        <v>89</v>
      </c>
      <c r="H115" s="2508" t="s">
        <v>170</v>
      </c>
      <c r="I115" s="2508"/>
      <c r="J115" s="2509"/>
      <c r="K115" s="2507">
        <v>89</v>
      </c>
      <c r="L115" s="2508" t="s">
        <v>170</v>
      </c>
      <c r="M115" s="2508"/>
      <c r="N115" s="2509"/>
      <c r="O115" s="2507">
        <v>89</v>
      </c>
      <c r="P115" s="2508" t="s">
        <v>170</v>
      </c>
      <c r="Q115" s="2508"/>
      <c r="R115" s="2509"/>
      <c r="S115" s="2507">
        <v>89</v>
      </c>
      <c r="T115" s="2508" t="s">
        <v>171</v>
      </c>
      <c r="U115" s="2508"/>
      <c r="V115" s="2509"/>
      <c r="W115" s="2514"/>
      <c r="X115" s="2515" t="s">
        <v>172</v>
      </c>
      <c r="Y115" s="2515"/>
      <c r="Z115" s="2516"/>
      <c r="AA115" s="2514"/>
      <c r="AB115" s="2515"/>
      <c r="AC115" s="2515"/>
      <c r="AD115" s="2437"/>
      <c r="AE115" s="2512">
        <v>44</v>
      </c>
      <c r="AF115" s="2508"/>
      <c r="AG115" s="2508"/>
      <c r="AH115" s="2435"/>
      <c r="AI115" s="2513"/>
    </row>
    <row r="116" spans="1:35" ht="22.15" customHeight="1" x14ac:dyDescent="0.2">
      <c r="A116" s="173"/>
      <c r="B116" s="38" t="s">
        <v>155</v>
      </c>
      <c r="C116" s="2514">
        <v>99</v>
      </c>
      <c r="D116" s="2515" t="s">
        <v>173</v>
      </c>
      <c r="E116" s="2515"/>
      <c r="F116" s="2516"/>
      <c r="G116" s="2514">
        <v>99</v>
      </c>
      <c r="H116" s="2515" t="s">
        <v>173</v>
      </c>
      <c r="I116" s="2515"/>
      <c r="J116" s="2516"/>
      <c r="K116" s="2514">
        <v>99</v>
      </c>
      <c r="L116" s="2515" t="s">
        <v>173</v>
      </c>
      <c r="M116" s="2515"/>
      <c r="N116" s="2516"/>
      <c r="O116" s="2514">
        <v>99</v>
      </c>
      <c r="P116" s="2515" t="s">
        <v>173</v>
      </c>
      <c r="Q116" s="2515"/>
      <c r="R116" s="2516"/>
      <c r="S116" s="2514">
        <v>99</v>
      </c>
      <c r="T116" s="2515" t="s">
        <v>154</v>
      </c>
      <c r="U116" s="2515"/>
      <c r="V116" s="2437"/>
      <c r="W116" s="2436"/>
      <c r="X116" s="2437"/>
      <c r="Y116" s="2515"/>
      <c r="Z116" s="2516"/>
      <c r="AA116" s="2436"/>
      <c r="AB116" s="2437"/>
      <c r="AC116" s="2515"/>
      <c r="AD116" s="2516"/>
      <c r="AE116" s="2517">
        <v>28</v>
      </c>
      <c r="AF116" s="2515"/>
      <c r="AG116" s="2515"/>
      <c r="AH116" s="2437"/>
      <c r="AI116" s="2518"/>
    </row>
    <row r="117" spans="1:35" ht="22.15" customHeight="1" thickBot="1" x14ac:dyDescent="0.25">
      <c r="A117" s="173"/>
      <c r="B117" s="2519" t="s">
        <v>174</v>
      </c>
      <c r="C117" s="2520" t="s">
        <v>175</v>
      </c>
      <c r="D117" s="2521" t="s">
        <v>176</v>
      </c>
      <c r="E117" s="2522"/>
      <c r="F117" s="2401"/>
      <c r="G117" s="2520" t="s">
        <v>175</v>
      </c>
      <c r="H117" s="2521" t="s">
        <v>176</v>
      </c>
      <c r="I117" s="2399"/>
      <c r="J117" s="2522"/>
      <c r="K117" s="2520" t="s">
        <v>175</v>
      </c>
      <c r="L117" s="2521" t="s">
        <v>176</v>
      </c>
      <c r="M117" s="2522"/>
      <c r="N117" s="2523"/>
      <c r="O117" s="2520" t="s">
        <v>175</v>
      </c>
      <c r="P117" s="2521" t="s">
        <v>176</v>
      </c>
      <c r="Q117" s="2522"/>
      <c r="R117" s="2521"/>
      <c r="S117" s="2520" t="s">
        <v>175</v>
      </c>
      <c r="T117" s="2403" t="s">
        <v>177</v>
      </c>
      <c r="U117" s="2521"/>
      <c r="V117" s="2523"/>
      <c r="W117" s="2522"/>
      <c r="X117" s="2521"/>
      <c r="Y117" s="2521"/>
      <c r="Z117" s="2521"/>
      <c r="AA117" s="2524"/>
      <c r="AB117" s="2525"/>
      <c r="AC117" s="2521"/>
      <c r="AD117" s="2526"/>
      <c r="AE117" s="2521"/>
      <c r="AF117" s="2521"/>
      <c r="AG117" s="2521"/>
      <c r="AH117" s="2527"/>
      <c r="AI117" s="2528"/>
    </row>
    <row r="118" spans="1:35" ht="22.15" customHeight="1" x14ac:dyDescent="0.2">
      <c r="A118" s="108"/>
      <c r="B118" s="173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4"/>
      <c r="AI118" s="174"/>
    </row>
    <row r="119" spans="1:35" ht="22.15" customHeight="1" thickBot="1" x14ac:dyDescent="0.25">
      <c r="A119" s="2451"/>
      <c r="B119" s="2408" t="s">
        <v>29</v>
      </c>
      <c r="C119" s="2362">
        <v>1</v>
      </c>
      <c r="D119" s="2362">
        <v>2</v>
      </c>
      <c r="E119" s="2362">
        <v>3</v>
      </c>
      <c r="F119" s="2362">
        <v>4</v>
      </c>
      <c r="G119" s="2362">
        <v>5</v>
      </c>
      <c r="H119" s="2363">
        <v>6</v>
      </c>
      <c r="I119" s="2363">
        <v>7</v>
      </c>
      <c r="J119" s="2362">
        <v>8</v>
      </c>
      <c r="K119" s="2362">
        <v>9</v>
      </c>
      <c r="L119" s="2362">
        <v>10</v>
      </c>
      <c r="M119" s="2362">
        <v>11</v>
      </c>
      <c r="N119" s="2362">
        <v>12</v>
      </c>
      <c r="O119" s="2363">
        <v>13</v>
      </c>
      <c r="P119" s="2363">
        <v>14</v>
      </c>
      <c r="Q119" s="2362">
        <v>15</v>
      </c>
      <c r="R119" s="2362">
        <v>16</v>
      </c>
      <c r="S119" s="2362">
        <v>17</v>
      </c>
      <c r="T119" s="2362">
        <v>18</v>
      </c>
      <c r="U119" s="2362">
        <v>19</v>
      </c>
      <c r="V119" s="2363">
        <v>20</v>
      </c>
      <c r="W119" s="2363">
        <v>21</v>
      </c>
      <c r="X119" s="2362">
        <v>22</v>
      </c>
      <c r="Y119" s="2362">
        <v>23</v>
      </c>
      <c r="Z119" s="2362">
        <v>24</v>
      </c>
      <c r="AA119" s="2362">
        <v>25</v>
      </c>
      <c r="AB119" s="2362">
        <v>26</v>
      </c>
      <c r="AC119" s="2363">
        <v>27</v>
      </c>
      <c r="AD119" s="2363">
        <v>28</v>
      </c>
      <c r="AE119" s="2362"/>
      <c r="AF119" s="2362"/>
      <c r="AG119" s="2364"/>
      <c r="AH119" s="184"/>
      <c r="AI119" s="185"/>
    </row>
    <row r="120" spans="1:35" ht="22.15" customHeight="1" x14ac:dyDescent="0.2">
      <c r="A120" s="521">
        <v>1</v>
      </c>
      <c r="B120" s="522" t="s">
        <v>178</v>
      </c>
      <c r="C120" s="477" t="s">
        <v>175</v>
      </c>
      <c r="D120" s="477" t="s">
        <v>175</v>
      </c>
      <c r="E120" s="477" t="s">
        <v>175</v>
      </c>
      <c r="F120" s="477" t="s">
        <v>175</v>
      </c>
      <c r="G120" s="477" t="s">
        <v>175</v>
      </c>
      <c r="H120" s="477"/>
      <c r="I120" s="459"/>
      <c r="J120" s="2374">
        <v>69</v>
      </c>
      <c r="K120" s="2374">
        <v>69</v>
      </c>
      <c r="L120" s="2374">
        <v>69</v>
      </c>
      <c r="M120" s="2374">
        <v>69</v>
      </c>
      <c r="N120" s="2374">
        <v>69</v>
      </c>
      <c r="O120" s="477"/>
      <c r="P120" s="477"/>
      <c r="Q120" s="532">
        <v>79</v>
      </c>
      <c r="R120" s="532">
        <v>79</v>
      </c>
      <c r="S120" s="532">
        <v>79</v>
      </c>
      <c r="T120" s="532">
        <v>79</v>
      </c>
      <c r="U120" s="532">
        <v>79</v>
      </c>
      <c r="V120" s="532"/>
      <c r="W120" s="532"/>
      <c r="X120" s="477">
        <v>89</v>
      </c>
      <c r="Y120" s="477">
        <v>89</v>
      </c>
      <c r="Z120" s="477">
        <v>89</v>
      </c>
      <c r="AA120" s="459">
        <v>89</v>
      </c>
      <c r="AB120" s="477">
        <v>89</v>
      </c>
      <c r="AC120" s="477">
        <v>89</v>
      </c>
      <c r="AD120" s="477"/>
      <c r="AE120" s="459"/>
      <c r="AF120" s="459"/>
      <c r="AG120" s="478"/>
      <c r="AH120" s="215"/>
      <c r="AI120" s="107"/>
    </row>
    <row r="121" spans="1:35" ht="22.15" customHeight="1" x14ac:dyDescent="0.2">
      <c r="A121" s="2529">
        <v>2</v>
      </c>
      <c r="B121" s="2453" t="s">
        <v>179</v>
      </c>
      <c r="C121" s="2374">
        <v>69</v>
      </c>
      <c r="D121" s="2374">
        <v>69</v>
      </c>
      <c r="E121" s="2374">
        <v>69</v>
      </c>
      <c r="F121" s="2374">
        <v>69</v>
      </c>
      <c r="G121" s="2374">
        <v>69</v>
      </c>
      <c r="H121" s="2417"/>
      <c r="I121" s="2417"/>
      <c r="J121" s="2417">
        <v>79</v>
      </c>
      <c r="K121" s="2417">
        <v>79</v>
      </c>
      <c r="L121" s="2373">
        <v>79</v>
      </c>
      <c r="M121" s="2373">
        <v>79</v>
      </c>
      <c r="N121" s="2417">
        <v>79</v>
      </c>
      <c r="O121" s="2417"/>
      <c r="P121" s="2417"/>
      <c r="Q121" s="2417">
        <v>89</v>
      </c>
      <c r="R121" s="2374">
        <v>89</v>
      </c>
      <c r="S121" s="2417">
        <v>89</v>
      </c>
      <c r="T121" s="2373">
        <v>89</v>
      </c>
      <c r="U121" s="2417">
        <v>89</v>
      </c>
      <c r="V121" s="2417">
        <v>89</v>
      </c>
      <c r="W121" s="2417"/>
      <c r="X121" s="2417">
        <v>99</v>
      </c>
      <c r="Y121" s="2417">
        <v>99</v>
      </c>
      <c r="Z121" s="2373">
        <v>99</v>
      </c>
      <c r="AA121" s="2373">
        <v>99</v>
      </c>
      <c r="AB121" s="2374" t="s">
        <v>35</v>
      </c>
      <c r="AC121" s="2417"/>
      <c r="AD121" s="2374"/>
      <c r="AE121" s="2374"/>
      <c r="AF121" s="2417"/>
      <c r="AG121" s="2530"/>
      <c r="AH121" s="216"/>
      <c r="AI121" s="172"/>
    </row>
    <row r="122" spans="1:35" ht="22.15" customHeight="1" x14ac:dyDescent="0.2">
      <c r="A122" s="2529">
        <v>3</v>
      </c>
      <c r="B122" s="2453" t="s">
        <v>121</v>
      </c>
      <c r="C122" s="2531">
        <v>79</v>
      </c>
      <c r="D122" s="2531">
        <v>79</v>
      </c>
      <c r="E122" s="2531">
        <v>79</v>
      </c>
      <c r="F122" s="2531">
        <v>79</v>
      </c>
      <c r="G122" s="2531">
        <v>79</v>
      </c>
      <c r="H122" s="2531"/>
      <c r="I122" s="2531"/>
      <c r="J122" s="2531">
        <v>89</v>
      </c>
      <c r="K122" s="2531">
        <v>89</v>
      </c>
      <c r="L122" s="2531">
        <v>89</v>
      </c>
      <c r="M122" s="2531">
        <v>89</v>
      </c>
      <c r="N122" s="2531">
        <v>89</v>
      </c>
      <c r="O122" s="2531">
        <v>89</v>
      </c>
      <c r="P122" s="2531"/>
      <c r="Q122" s="2531">
        <v>99</v>
      </c>
      <c r="R122" s="2531">
        <v>99</v>
      </c>
      <c r="S122" s="2531">
        <v>99</v>
      </c>
      <c r="T122" s="2531">
        <v>99</v>
      </c>
      <c r="U122" s="2531" t="s">
        <v>35</v>
      </c>
      <c r="V122" s="2531"/>
      <c r="W122" s="2531"/>
      <c r="X122" s="2378" t="s">
        <v>175</v>
      </c>
      <c r="Y122" s="2378" t="s">
        <v>175</v>
      </c>
      <c r="Z122" s="2378" t="s">
        <v>175</v>
      </c>
      <c r="AA122" s="2378" t="s">
        <v>175</v>
      </c>
      <c r="AB122" s="2378" t="s">
        <v>175</v>
      </c>
      <c r="AC122" s="2378"/>
      <c r="AD122" s="2378"/>
      <c r="AE122" s="2531"/>
      <c r="AF122" s="2531"/>
      <c r="AG122" s="2532"/>
      <c r="AH122" s="215"/>
      <c r="AI122" s="107"/>
    </row>
    <row r="123" spans="1:35" ht="22.15" customHeight="1" x14ac:dyDescent="0.2">
      <c r="A123" s="2529">
        <v>4</v>
      </c>
      <c r="B123" s="2453"/>
      <c r="C123" s="2457">
        <v>89</v>
      </c>
      <c r="D123" s="2457">
        <v>89</v>
      </c>
      <c r="E123" s="2457">
        <v>89</v>
      </c>
      <c r="F123" s="2373">
        <v>89</v>
      </c>
      <c r="G123" s="2373">
        <v>89</v>
      </c>
      <c r="H123" s="2373">
        <v>89</v>
      </c>
      <c r="I123" s="2373"/>
      <c r="J123" s="2373">
        <v>99</v>
      </c>
      <c r="K123" s="2417">
        <v>99</v>
      </c>
      <c r="L123" s="2373">
        <v>99</v>
      </c>
      <c r="M123" s="2373">
        <v>99</v>
      </c>
      <c r="N123" s="2373" t="s">
        <v>35</v>
      </c>
      <c r="O123" s="2373"/>
      <c r="P123" s="2373"/>
      <c r="Q123" s="2457" t="s">
        <v>175</v>
      </c>
      <c r="R123" s="2457" t="s">
        <v>175</v>
      </c>
      <c r="S123" s="2373" t="s">
        <v>175</v>
      </c>
      <c r="T123" s="2373" t="s">
        <v>181</v>
      </c>
      <c r="U123" s="2373" t="s">
        <v>181</v>
      </c>
      <c r="V123" s="2373"/>
      <c r="W123" s="2373"/>
      <c r="X123" s="2373">
        <v>69</v>
      </c>
      <c r="Y123" s="2457">
        <v>69</v>
      </c>
      <c r="Z123" s="2491">
        <v>69</v>
      </c>
      <c r="AA123" s="2373">
        <v>69</v>
      </c>
      <c r="AB123" s="2373">
        <v>69</v>
      </c>
      <c r="AC123" s="2373"/>
      <c r="AD123" s="2373"/>
      <c r="AE123" s="2373"/>
      <c r="AF123" s="2457"/>
      <c r="AG123" s="2533"/>
      <c r="AH123" s="215"/>
      <c r="AI123" s="107"/>
    </row>
    <row r="124" spans="1:35" ht="22.15" customHeight="1" thickBot="1" x14ac:dyDescent="0.25">
      <c r="A124" s="2534">
        <v>5</v>
      </c>
      <c r="B124" s="2535" t="s">
        <v>182</v>
      </c>
      <c r="C124" s="2536">
        <v>99</v>
      </c>
      <c r="D124" s="2536">
        <v>99</v>
      </c>
      <c r="E124" s="2536">
        <v>99</v>
      </c>
      <c r="F124" s="2536">
        <v>99</v>
      </c>
      <c r="G124" s="2413" t="s">
        <v>35</v>
      </c>
      <c r="H124" s="2413"/>
      <c r="I124" s="2413"/>
      <c r="J124" s="2413" t="s">
        <v>175</v>
      </c>
      <c r="K124" s="2413" t="s">
        <v>175</v>
      </c>
      <c r="L124" s="2362" t="s">
        <v>175</v>
      </c>
      <c r="M124" s="2362" t="s">
        <v>175</v>
      </c>
      <c r="N124" s="2536" t="s">
        <v>175</v>
      </c>
      <c r="O124" s="2536"/>
      <c r="P124" s="2536"/>
      <c r="Q124" s="2536">
        <v>69</v>
      </c>
      <c r="R124" s="2536">
        <v>69</v>
      </c>
      <c r="S124" s="2362">
        <v>69</v>
      </c>
      <c r="T124" s="2537">
        <v>69</v>
      </c>
      <c r="U124" s="2536">
        <v>69</v>
      </c>
      <c r="V124" s="2536"/>
      <c r="W124" s="2536"/>
      <c r="X124" s="2536">
        <v>79</v>
      </c>
      <c r="Y124" s="2536">
        <v>79</v>
      </c>
      <c r="Z124" s="2538">
        <v>79</v>
      </c>
      <c r="AA124" s="2538">
        <v>79</v>
      </c>
      <c r="AB124" s="2536">
        <v>79</v>
      </c>
      <c r="AC124" s="2536"/>
      <c r="AD124" s="2536"/>
      <c r="AE124" s="2536"/>
      <c r="AF124" s="2536"/>
      <c r="AG124" s="2539"/>
      <c r="AH124" s="215"/>
      <c r="AI124" s="107"/>
    </row>
    <row r="125" spans="1:35" ht="22.15" customHeight="1" x14ac:dyDescent="0.2">
      <c r="A125" s="256"/>
      <c r="B125" s="257"/>
      <c r="C125" s="258"/>
      <c r="D125" s="258"/>
      <c r="E125" s="258"/>
      <c r="F125" s="229"/>
      <c r="G125" s="255"/>
      <c r="H125" s="255"/>
      <c r="I125" s="255"/>
      <c r="J125" s="255"/>
      <c r="K125" s="255"/>
      <c r="L125" s="229"/>
      <c r="M125" s="229"/>
      <c r="N125" s="258"/>
      <c r="O125" s="258"/>
      <c r="P125" s="258"/>
      <c r="Q125" s="258"/>
      <c r="R125" s="258"/>
      <c r="S125" s="229"/>
      <c r="T125" s="259"/>
      <c r="U125" s="258"/>
      <c r="V125" s="258"/>
      <c r="W125" s="258"/>
      <c r="X125" s="258"/>
      <c r="Y125" s="258"/>
      <c r="Z125" s="260"/>
      <c r="AA125" s="260"/>
      <c r="AB125" s="258"/>
      <c r="AC125" s="258"/>
      <c r="AD125" s="258"/>
      <c r="AE125" s="258"/>
      <c r="AF125" s="258"/>
      <c r="AG125" s="260"/>
      <c r="AH125" s="215"/>
      <c r="AI125" s="107"/>
    </row>
    <row r="126" spans="1:35" ht="22.15" customHeight="1" x14ac:dyDescent="0.2">
      <c r="A126" s="109"/>
      <c r="B126" s="110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7"/>
      <c r="AI126" s="107"/>
    </row>
    <row r="127" spans="1:35" ht="22.15" customHeight="1" thickBot="1" x14ac:dyDescent="0.25">
      <c r="A127" s="173" t="s">
        <v>183</v>
      </c>
      <c r="B127" s="174"/>
      <c r="C127" s="174"/>
      <c r="D127" s="175"/>
      <c r="E127" s="175"/>
      <c r="F127" s="175"/>
      <c r="G127" s="10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4"/>
      <c r="AI127" s="174"/>
    </row>
    <row r="128" spans="1:35" ht="22.15" customHeight="1" x14ac:dyDescent="0.2">
      <c r="A128" s="173"/>
      <c r="B128" s="304" t="s">
        <v>167</v>
      </c>
      <c r="C128" s="515"/>
      <c r="D128" s="516" t="s">
        <v>90</v>
      </c>
      <c r="E128" s="517"/>
      <c r="F128" s="518"/>
      <c r="G128" s="515"/>
      <c r="H128" s="516" t="s">
        <v>91</v>
      </c>
      <c r="I128" s="517"/>
      <c r="J128" s="518"/>
      <c r="K128" s="515"/>
      <c r="L128" s="516" t="s">
        <v>92</v>
      </c>
      <c r="M128" s="517"/>
      <c r="N128" s="518"/>
      <c r="O128" s="515"/>
      <c r="P128" s="516" t="s">
        <v>93</v>
      </c>
      <c r="Q128" s="517"/>
      <c r="R128" s="518"/>
      <c r="S128" s="515"/>
      <c r="T128" s="516" t="s">
        <v>94</v>
      </c>
      <c r="U128" s="517"/>
      <c r="V128" s="518"/>
      <c r="W128" s="515"/>
      <c r="X128" s="516" t="s">
        <v>95</v>
      </c>
      <c r="Y128" s="517"/>
      <c r="Z128" s="518"/>
      <c r="AA128" s="515"/>
      <c r="AB128" s="516" t="s">
        <v>96</v>
      </c>
      <c r="AC128" s="517"/>
      <c r="AD128" s="517"/>
      <c r="AE128" s="519" t="s">
        <v>97</v>
      </c>
      <c r="AF128" s="517"/>
      <c r="AG128" s="517"/>
      <c r="AH128" s="517"/>
      <c r="AI128" s="520"/>
    </row>
    <row r="129" spans="1:35" ht="22.15" customHeight="1" x14ac:dyDescent="0.2">
      <c r="A129" s="173"/>
      <c r="B129" s="2506" t="s">
        <v>184</v>
      </c>
      <c r="C129" s="2434" t="s">
        <v>185</v>
      </c>
      <c r="D129" s="2508"/>
      <c r="E129" s="2508"/>
      <c r="F129" s="2509"/>
      <c r="G129" s="2434" t="s">
        <v>185</v>
      </c>
      <c r="H129" s="2508"/>
      <c r="I129" s="2508"/>
      <c r="J129" s="2509"/>
      <c r="K129" s="2434" t="s">
        <v>185</v>
      </c>
      <c r="L129" s="2508"/>
      <c r="M129" s="2508"/>
      <c r="N129" s="2509"/>
      <c r="O129" s="2434" t="s">
        <v>185</v>
      </c>
      <c r="P129" s="2508"/>
      <c r="Q129" s="2508"/>
      <c r="R129" s="2509"/>
      <c r="S129" s="2434" t="s">
        <v>185</v>
      </c>
      <c r="T129" s="2508"/>
      <c r="U129" s="2508"/>
      <c r="V129" s="2509"/>
      <c r="W129" s="2434" t="s">
        <v>186</v>
      </c>
      <c r="X129" s="2510"/>
      <c r="Y129" s="2510"/>
      <c r="Z129" s="2511"/>
      <c r="AA129" s="2434" t="s">
        <v>186</v>
      </c>
      <c r="AB129" s="2508"/>
      <c r="AC129" s="2508"/>
      <c r="AD129" s="2435"/>
      <c r="AE129" s="2512">
        <v>68</v>
      </c>
      <c r="AF129" s="208"/>
      <c r="AG129" s="208"/>
      <c r="AH129" s="208"/>
      <c r="AI129" s="209"/>
    </row>
    <row r="130" spans="1:35" ht="22.15" customHeight="1" x14ac:dyDescent="0.2">
      <c r="A130" s="173"/>
      <c r="B130" s="2506" t="s">
        <v>143</v>
      </c>
      <c r="C130" s="2434" t="s">
        <v>154</v>
      </c>
      <c r="D130" s="2508"/>
      <c r="E130" s="2508"/>
      <c r="F130" s="2509"/>
      <c r="G130" s="2434" t="s">
        <v>154</v>
      </c>
      <c r="H130" s="2508"/>
      <c r="I130" s="2508"/>
      <c r="J130" s="2509"/>
      <c r="K130" s="2434" t="s">
        <v>154</v>
      </c>
      <c r="L130" s="2508"/>
      <c r="M130" s="2508"/>
      <c r="N130" s="2509"/>
      <c r="O130" s="2434" t="s">
        <v>154</v>
      </c>
      <c r="P130" s="2508"/>
      <c r="Q130" s="2508"/>
      <c r="R130" s="2509"/>
      <c r="S130" s="2434" t="s">
        <v>154</v>
      </c>
      <c r="T130" s="2508"/>
      <c r="U130" s="2508"/>
      <c r="V130" s="2509"/>
      <c r="W130" s="2434" t="s">
        <v>154</v>
      </c>
      <c r="X130" s="2508"/>
      <c r="Y130" s="2508"/>
      <c r="Z130" s="2509"/>
      <c r="AA130" s="2508" t="s">
        <v>154</v>
      </c>
      <c r="AB130" s="2508"/>
      <c r="AC130" s="2508"/>
      <c r="AD130" s="2435"/>
      <c r="AE130" s="2512">
        <v>0</v>
      </c>
      <c r="AF130" s="208"/>
      <c r="AG130" s="208"/>
      <c r="AH130" s="208"/>
      <c r="AI130" s="209"/>
    </row>
    <row r="131" spans="1:35" ht="22.15" customHeight="1" x14ac:dyDescent="0.2">
      <c r="A131" s="173"/>
      <c r="B131" s="2506" t="s">
        <v>187</v>
      </c>
      <c r="C131" s="2434" t="s">
        <v>185</v>
      </c>
      <c r="D131" s="2508"/>
      <c r="E131" s="2508"/>
      <c r="F131" s="2509"/>
      <c r="G131" s="2434" t="s">
        <v>185</v>
      </c>
      <c r="H131" s="2508"/>
      <c r="I131" s="2508"/>
      <c r="J131" s="2509"/>
      <c r="K131" s="2434" t="s">
        <v>185</v>
      </c>
      <c r="L131" s="2508"/>
      <c r="M131" s="2508"/>
      <c r="N131" s="2509"/>
      <c r="O131" s="2434" t="s">
        <v>185</v>
      </c>
      <c r="P131" s="2508"/>
      <c r="Q131" s="2508"/>
      <c r="R131" s="2509"/>
      <c r="S131" s="2434" t="s">
        <v>185</v>
      </c>
      <c r="T131" s="2508"/>
      <c r="U131" s="2508"/>
      <c r="V131" s="2509"/>
      <c r="W131" s="2434" t="s">
        <v>186</v>
      </c>
      <c r="X131" s="2510"/>
      <c r="Y131" s="2510"/>
      <c r="Z131" s="2511"/>
      <c r="AA131" s="2434" t="s">
        <v>186</v>
      </c>
      <c r="AB131" s="2508"/>
      <c r="AC131" s="2508"/>
      <c r="AD131" s="2435"/>
      <c r="AE131" s="2512">
        <v>68</v>
      </c>
      <c r="AF131" s="2508"/>
      <c r="AG131" s="2508" t="s">
        <v>0</v>
      </c>
      <c r="AH131" s="2435"/>
      <c r="AI131" s="2513"/>
    </row>
    <row r="132" spans="1:35" ht="22.15" customHeight="1" x14ac:dyDescent="0.2">
      <c r="A132" s="173"/>
      <c r="B132" s="2506" t="s">
        <v>155</v>
      </c>
      <c r="C132" s="2434" t="s">
        <v>154</v>
      </c>
      <c r="D132" s="2508"/>
      <c r="E132" s="2508"/>
      <c r="F132" s="2509"/>
      <c r="G132" s="2434" t="s">
        <v>154</v>
      </c>
      <c r="H132" s="2508"/>
      <c r="I132" s="2508"/>
      <c r="J132" s="2509"/>
      <c r="K132" s="2434" t="s">
        <v>154</v>
      </c>
      <c r="L132" s="2508"/>
      <c r="M132" s="2508"/>
      <c r="N132" s="2509"/>
      <c r="O132" s="2434" t="s">
        <v>154</v>
      </c>
      <c r="P132" s="2508"/>
      <c r="Q132" s="2508"/>
      <c r="R132" s="2509"/>
      <c r="S132" s="2434" t="s">
        <v>154</v>
      </c>
      <c r="T132" s="2508"/>
      <c r="U132" s="2508"/>
      <c r="V132" s="2509"/>
      <c r="W132" s="2434" t="s">
        <v>154</v>
      </c>
      <c r="X132" s="2508"/>
      <c r="Y132" s="2508"/>
      <c r="Z132" s="2509"/>
      <c r="AA132" s="2508" t="s">
        <v>154</v>
      </c>
      <c r="AB132" s="2508"/>
      <c r="AC132" s="2508"/>
      <c r="AD132" s="2435"/>
      <c r="AE132" s="2512">
        <v>0</v>
      </c>
      <c r="AF132" s="2508"/>
      <c r="AG132" s="2508"/>
      <c r="AH132" s="2435"/>
      <c r="AI132" s="2513"/>
    </row>
    <row r="133" spans="1:35" ht="22.15" customHeight="1" x14ac:dyDescent="0.2">
      <c r="A133" s="173"/>
      <c r="B133" s="2506" t="s">
        <v>188</v>
      </c>
      <c r="C133" s="2434" t="s">
        <v>185</v>
      </c>
      <c r="D133" s="2508"/>
      <c r="E133" s="2508"/>
      <c r="F133" s="2509"/>
      <c r="G133" s="2434" t="s">
        <v>185</v>
      </c>
      <c r="H133" s="2508"/>
      <c r="I133" s="2508"/>
      <c r="J133" s="2509"/>
      <c r="K133" s="2434" t="s">
        <v>185</v>
      </c>
      <c r="L133" s="2508"/>
      <c r="M133" s="2508"/>
      <c r="N133" s="2509"/>
      <c r="O133" s="2434" t="s">
        <v>185</v>
      </c>
      <c r="P133" s="2508"/>
      <c r="Q133" s="2508"/>
      <c r="R133" s="2509"/>
      <c r="S133" s="2434" t="s">
        <v>185</v>
      </c>
      <c r="T133" s="2508"/>
      <c r="U133" s="2508"/>
      <c r="V133" s="2509"/>
      <c r="W133" s="2434" t="s">
        <v>189</v>
      </c>
      <c r="X133" s="2515"/>
      <c r="Y133" s="2515"/>
      <c r="Z133" s="2516"/>
      <c r="AA133" s="2434" t="s">
        <v>189</v>
      </c>
      <c r="AB133" s="2515"/>
      <c r="AC133" s="2515"/>
      <c r="AD133" s="2437"/>
      <c r="AE133" s="2512">
        <v>68</v>
      </c>
      <c r="AF133" s="2508"/>
      <c r="AG133" s="2508"/>
      <c r="AH133" s="2435"/>
      <c r="AI133" s="2513"/>
    </row>
    <row r="134" spans="1:35" ht="22.15" customHeight="1" thickBot="1" x14ac:dyDescent="0.25">
      <c r="A134" s="173"/>
      <c r="B134" s="2506" t="s">
        <v>190</v>
      </c>
      <c r="C134" s="2540" t="s">
        <v>154</v>
      </c>
      <c r="D134" s="2541"/>
      <c r="E134" s="2541"/>
      <c r="F134" s="2542"/>
      <c r="G134" s="2540" t="s">
        <v>154</v>
      </c>
      <c r="H134" s="2541"/>
      <c r="I134" s="2541"/>
      <c r="J134" s="2542"/>
      <c r="K134" s="2540" t="s">
        <v>154</v>
      </c>
      <c r="L134" s="2541"/>
      <c r="M134" s="2541"/>
      <c r="N134" s="2542"/>
      <c r="O134" s="2540" t="s">
        <v>154</v>
      </c>
      <c r="P134" s="2541"/>
      <c r="Q134" s="2541"/>
      <c r="R134" s="2542"/>
      <c r="S134" s="2540" t="s">
        <v>154</v>
      </c>
      <c r="T134" s="2541"/>
      <c r="U134" s="2541"/>
      <c r="V134" s="2527"/>
      <c r="W134" s="2540" t="s">
        <v>154</v>
      </c>
      <c r="X134" s="2527"/>
      <c r="Y134" s="2541"/>
      <c r="Z134" s="2542"/>
      <c r="AA134" s="2540" t="s">
        <v>154</v>
      </c>
      <c r="AB134" s="2527"/>
      <c r="AC134" s="2541"/>
      <c r="AD134" s="2542"/>
      <c r="AE134" s="2543" t="s">
        <v>191</v>
      </c>
      <c r="AF134" s="2541"/>
      <c r="AG134" s="2541"/>
      <c r="AH134" s="2527"/>
      <c r="AI134" s="2528"/>
    </row>
    <row r="135" spans="1:35" ht="22.15" customHeight="1" x14ac:dyDescent="0.2">
      <c r="A135" s="108"/>
      <c r="B135" s="173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4"/>
      <c r="AI135" s="174"/>
    </row>
    <row r="136" spans="1:35" ht="22.15" customHeight="1" thickBot="1" x14ac:dyDescent="0.25">
      <c r="A136" s="2451"/>
      <c r="B136" s="2361" t="s">
        <v>29</v>
      </c>
      <c r="C136" s="2362">
        <v>1</v>
      </c>
      <c r="D136" s="2362">
        <v>2</v>
      </c>
      <c r="E136" s="2362">
        <v>3</v>
      </c>
      <c r="F136" s="2362">
        <v>4</v>
      </c>
      <c r="G136" s="2362">
        <v>5</v>
      </c>
      <c r="H136" s="2363">
        <v>6</v>
      </c>
      <c r="I136" s="2363">
        <v>7</v>
      </c>
      <c r="J136" s="2362">
        <v>8</v>
      </c>
      <c r="K136" s="2362">
        <v>9</v>
      </c>
      <c r="L136" s="2362">
        <v>10</v>
      </c>
      <c r="M136" s="2362">
        <v>11</v>
      </c>
      <c r="N136" s="2362">
        <v>12</v>
      </c>
      <c r="O136" s="2363">
        <v>13</v>
      </c>
      <c r="P136" s="2363">
        <v>14</v>
      </c>
      <c r="Q136" s="2362">
        <v>15</v>
      </c>
      <c r="R136" s="2362">
        <v>16</v>
      </c>
      <c r="S136" s="2362">
        <v>17</v>
      </c>
      <c r="T136" s="2362">
        <v>18</v>
      </c>
      <c r="U136" s="2362">
        <v>19</v>
      </c>
      <c r="V136" s="2363">
        <v>20</v>
      </c>
      <c r="W136" s="2363">
        <v>21</v>
      </c>
      <c r="X136" s="2362">
        <v>22</v>
      </c>
      <c r="Y136" s="2362">
        <v>23</v>
      </c>
      <c r="Z136" s="2362">
        <v>24</v>
      </c>
      <c r="AA136" s="2362">
        <v>25</v>
      </c>
      <c r="AB136" s="2362">
        <v>26</v>
      </c>
      <c r="AC136" s="2363">
        <v>27</v>
      </c>
      <c r="AD136" s="2363">
        <v>28</v>
      </c>
      <c r="AE136" s="2362"/>
      <c r="AF136" s="2362"/>
      <c r="AG136" s="2364"/>
      <c r="AH136" s="184"/>
      <c r="AI136" s="185"/>
    </row>
    <row r="137" spans="1:35" ht="22.15" customHeight="1" x14ac:dyDescent="0.2">
      <c r="A137" s="408">
        <v>1</v>
      </c>
      <c r="B137" s="252" t="s">
        <v>192</v>
      </c>
      <c r="C137" s="380">
        <v>23</v>
      </c>
      <c r="D137" s="380">
        <v>23</v>
      </c>
      <c r="E137" s="380">
        <v>23</v>
      </c>
      <c r="F137" s="380">
        <v>23</v>
      </c>
      <c r="G137" s="390">
        <v>23</v>
      </c>
      <c r="H137" s="380">
        <v>23</v>
      </c>
      <c r="I137" s="385">
        <v>23</v>
      </c>
      <c r="J137" s="390" t="s">
        <v>35</v>
      </c>
      <c r="K137" s="380" t="s">
        <v>35</v>
      </c>
      <c r="L137" s="385" t="s">
        <v>35</v>
      </c>
      <c r="M137" s="390" t="s">
        <v>35</v>
      </c>
      <c r="N137" s="390" t="s">
        <v>35</v>
      </c>
      <c r="O137" s="380"/>
      <c r="P137" s="380"/>
      <c r="Q137" s="380">
        <v>21</v>
      </c>
      <c r="R137" s="380">
        <v>21</v>
      </c>
      <c r="S137" s="380">
        <v>21</v>
      </c>
      <c r="T137" s="380">
        <v>21</v>
      </c>
      <c r="U137" s="380">
        <v>21</v>
      </c>
      <c r="V137" s="380">
        <v>21</v>
      </c>
      <c r="W137" s="385">
        <v>21</v>
      </c>
      <c r="X137" s="380" t="s">
        <v>35</v>
      </c>
      <c r="Y137" s="380" t="s">
        <v>35</v>
      </c>
      <c r="Z137" s="385" t="s">
        <v>35</v>
      </c>
      <c r="AA137" s="380" t="s">
        <v>35</v>
      </c>
      <c r="AB137" s="380" t="s">
        <v>35</v>
      </c>
      <c r="AC137" s="380"/>
      <c r="AD137" s="380"/>
      <c r="AE137" s="380"/>
      <c r="AF137" s="380"/>
      <c r="AG137" s="387"/>
      <c r="AH137" s="107"/>
      <c r="AI137" s="107"/>
    </row>
    <row r="138" spans="1:35" ht="22.15" customHeight="1" x14ac:dyDescent="0.2">
      <c r="A138" s="2544">
        <v>2</v>
      </c>
      <c r="B138" s="2545" t="s">
        <v>193</v>
      </c>
      <c r="C138" s="2224">
        <v>21</v>
      </c>
      <c r="D138" s="2224">
        <v>21</v>
      </c>
      <c r="E138" s="2224">
        <v>21</v>
      </c>
      <c r="F138" s="2224">
        <v>21</v>
      </c>
      <c r="G138" s="2224">
        <v>21</v>
      </c>
      <c r="H138" s="2224">
        <v>21</v>
      </c>
      <c r="I138" s="2261">
        <v>21</v>
      </c>
      <c r="J138" s="2224" t="s">
        <v>35</v>
      </c>
      <c r="K138" s="2224" t="s">
        <v>35</v>
      </c>
      <c r="L138" s="2261" t="s">
        <v>35</v>
      </c>
      <c r="M138" s="2230" t="s">
        <v>35</v>
      </c>
      <c r="N138" s="2230" t="s">
        <v>35</v>
      </c>
      <c r="O138" s="2230"/>
      <c r="P138" s="2230"/>
      <c r="Q138" s="2228">
        <v>22</v>
      </c>
      <c r="R138" s="2228">
        <v>22</v>
      </c>
      <c r="S138" s="2228">
        <v>22</v>
      </c>
      <c r="T138" s="2228">
        <v>22</v>
      </c>
      <c r="U138" s="2228">
        <v>22</v>
      </c>
      <c r="V138" s="2228">
        <v>22</v>
      </c>
      <c r="W138" s="2228">
        <v>22</v>
      </c>
      <c r="X138" s="2224" t="s">
        <v>35</v>
      </c>
      <c r="Y138" s="2224" t="s">
        <v>35</v>
      </c>
      <c r="Z138" s="2261" t="s">
        <v>35</v>
      </c>
      <c r="AA138" s="2230" t="s">
        <v>35</v>
      </c>
      <c r="AB138" s="2230" t="s">
        <v>35</v>
      </c>
      <c r="AC138" s="2230"/>
      <c r="AD138" s="2230"/>
      <c r="AE138" s="2230"/>
      <c r="AF138" s="2230"/>
      <c r="AG138" s="2138"/>
      <c r="AH138" s="107"/>
      <c r="AI138" s="107"/>
    </row>
    <row r="139" spans="1:35" ht="22.15" customHeight="1" x14ac:dyDescent="0.2">
      <c r="A139" s="2544">
        <v>3</v>
      </c>
      <c r="B139" s="2545" t="s">
        <v>194</v>
      </c>
      <c r="C139" s="2224">
        <v>22</v>
      </c>
      <c r="D139" s="2224">
        <v>22</v>
      </c>
      <c r="E139" s="2224">
        <v>22</v>
      </c>
      <c r="F139" s="2224">
        <v>22</v>
      </c>
      <c r="G139" s="2230">
        <v>22</v>
      </c>
      <c r="H139" s="2230">
        <v>22</v>
      </c>
      <c r="I139" s="2261">
        <v>22</v>
      </c>
      <c r="J139" s="2224" t="s">
        <v>35</v>
      </c>
      <c r="K139" s="2224" t="s">
        <v>35</v>
      </c>
      <c r="L139" s="2261" t="s">
        <v>35</v>
      </c>
      <c r="M139" s="2224" t="s">
        <v>35</v>
      </c>
      <c r="N139" s="2224" t="s">
        <v>35</v>
      </c>
      <c r="O139" s="2224"/>
      <c r="P139" s="2224"/>
      <c r="Q139" s="2546">
        <v>23</v>
      </c>
      <c r="R139" s="2547">
        <v>23</v>
      </c>
      <c r="S139" s="2141">
        <v>23</v>
      </c>
      <c r="T139" s="2224">
        <v>23</v>
      </c>
      <c r="U139" s="2230">
        <v>23</v>
      </c>
      <c r="V139" s="2230">
        <v>23</v>
      </c>
      <c r="W139" s="2261">
        <v>23</v>
      </c>
      <c r="X139" s="2224" t="s">
        <v>35</v>
      </c>
      <c r="Y139" s="2224" t="s">
        <v>35</v>
      </c>
      <c r="Z139" s="2261" t="s">
        <v>35</v>
      </c>
      <c r="AA139" s="2224" t="s">
        <v>35</v>
      </c>
      <c r="AB139" s="2224" t="s">
        <v>35</v>
      </c>
      <c r="AC139" s="2224"/>
      <c r="AD139" s="2224"/>
      <c r="AE139" s="2224"/>
      <c r="AF139" s="2224"/>
      <c r="AG139" s="2138"/>
      <c r="AH139" s="107"/>
      <c r="AI139" s="107"/>
    </row>
    <row r="140" spans="1:35" ht="22.15" customHeight="1" x14ac:dyDescent="0.2">
      <c r="A140" s="2544">
        <v>4</v>
      </c>
      <c r="B140" s="2545" t="s">
        <v>195</v>
      </c>
      <c r="C140" s="2224" t="s">
        <v>35</v>
      </c>
      <c r="D140" s="2224" t="s">
        <v>35</v>
      </c>
      <c r="E140" s="2261" t="s">
        <v>35</v>
      </c>
      <c r="F140" s="2224" t="s">
        <v>35</v>
      </c>
      <c r="G140" s="2224" t="s">
        <v>35</v>
      </c>
      <c r="H140" s="2224"/>
      <c r="I140" s="2224"/>
      <c r="J140" s="2224">
        <v>23</v>
      </c>
      <c r="K140" s="2224">
        <v>23</v>
      </c>
      <c r="L140" s="2224">
        <v>23</v>
      </c>
      <c r="M140" s="2224">
        <v>23</v>
      </c>
      <c r="N140" s="2224">
        <v>23</v>
      </c>
      <c r="O140" s="2548">
        <v>23</v>
      </c>
      <c r="P140" s="2261">
        <v>23</v>
      </c>
      <c r="Q140" s="2224" t="s">
        <v>35</v>
      </c>
      <c r="R140" s="2224" t="s">
        <v>35</v>
      </c>
      <c r="S140" s="2261" t="s">
        <v>35</v>
      </c>
      <c r="T140" s="2224" t="s">
        <v>35</v>
      </c>
      <c r="U140" s="2224" t="s">
        <v>35</v>
      </c>
      <c r="V140" s="2224"/>
      <c r="W140" s="2224"/>
      <c r="X140" s="2224">
        <v>21</v>
      </c>
      <c r="Y140" s="2224">
        <v>21</v>
      </c>
      <c r="Z140" s="2224">
        <v>21</v>
      </c>
      <c r="AA140" s="2224">
        <v>21</v>
      </c>
      <c r="AB140" s="2224">
        <v>21</v>
      </c>
      <c r="AC140" s="2224">
        <v>21</v>
      </c>
      <c r="AD140" s="2261">
        <v>21</v>
      </c>
      <c r="AE140" s="2224"/>
      <c r="AF140" s="2224"/>
      <c r="AG140" s="2156"/>
      <c r="AH140" s="107"/>
      <c r="AI140" s="107"/>
    </row>
    <row r="141" spans="1:35" ht="22.15" customHeight="1" x14ac:dyDescent="0.2">
      <c r="A141" s="2544">
        <v>5</v>
      </c>
      <c r="B141" s="2545" t="s">
        <v>115</v>
      </c>
      <c r="C141" s="2224" t="s">
        <v>35</v>
      </c>
      <c r="D141" s="2224" t="s">
        <v>35</v>
      </c>
      <c r="E141" s="2261" t="s">
        <v>35</v>
      </c>
      <c r="F141" s="2230" t="s">
        <v>35</v>
      </c>
      <c r="G141" s="2224" t="s">
        <v>35</v>
      </c>
      <c r="H141" s="2222"/>
      <c r="I141" s="2546"/>
      <c r="J141" s="2546">
        <v>21</v>
      </c>
      <c r="K141" s="2546">
        <v>21</v>
      </c>
      <c r="L141" s="2546">
        <v>21</v>
      </c>
      <c r="M141" s="2224">
        <v>21</v>
      </c>
      <c r="N141" s="2224">
        <v>21</v>
      </c>
      <c r="O141" s="2224">
        <v>21</v>
      </c>
      <c r="P141" s="2261">
        <v>21</v>
      </c>
      <c r="Q141" s="2224" t="s">
        <v>35</v>
      </c>
      <c r="R141" s="2224" t="s">
        <v>35</v>
      </c>
      <c r="S141" s="2261" t="s">
        <v>35</v>
      </c>
      <c r="T141" s="2224" t="s">
        <v>35</v>
      </c>
      <c r="U141" s="2224" t="s">
        <v>35</v>
      </c>
      <c r="V141" s="2224"/>
      <c r="W141" s="2224"/>
      <c r="X141" s="2224">
        <v>22</v>
      </c>
      <c r="Y141" s="2224">
        <v>22</v>
      </c>
      <c r="Z141" s="2224">
        <v>22</v>
      </c>
      <c r="AA141" s="2224">
        <v>22</v>
      </c>
      <c r="AB141" s="2224">
        <v>22</v>
      </c>
      <c r="AC141" s="2230">
        <v>22</v>
      </c>
      <c r="AD141" s="2230">
        <v>22</v>
      </c>
      <c r="AE141" s="2230"/>
      <c r="AF141" s="2224"/>
      <c r="AG141" s="2156"/>
      <c r="AH141" s="107"/>
      <c r="AI141" s="107"/>
    </row>
    <row r="142" spans="1:35" ht="22.15" customHeight="1" thickBot="1" x14ac:dyDescent="0.25">
      <c r="A142" s="670">
        <v>6</v>
      </c>
      <c r="B142" s="671" t="s">
        <v>197</v>
      </c>
      <c r="C142" s="690" t="s">
        <v>35</v>
      </c>
      <c r="D142" s="690" t="s">
        <v>35</v>
      </c>
      <c r="E142" s="696" t="s">
        <v>35</v>
      </c>
      <c r="F142" s="690" t="s">
        <v>35</v>
      </c>
      <c r="G142" s="690" t="s">
        <v>35</v>
      </c>
      <c r="H142" s="680"/>
      <c r="I142" s="680"/>
      <c r="J142" s="680">
        <v>22</v>
      </c>
      <c r="K142" s="680">
        <v>22</v>
      </c>
      <c r="L142" s="680">
        <v>22</v>
      </c>
      <c r="M142" s="680">
        <v>22</v>
      </c>
      <c r="N142" s="676">
        <v>22</v>
      </c>
      <c r="O142" s="676">
        <v>22</v>
      </c>
      <c r="P142" s="696">
        <v>22</v>
      </c>
      <c r="Q142" s="690" t="s">
        <v>35</v>
      </c>
      <c r="R142" s="690" t="s">
        <v>35</v>
      </c>
      <c r="S142" s="696" t="s">
        <v>35</v>
      </c>
      <c r="T142" s="690" t="s">
        <v>35</v>
      </c>
      <c r="U142" s="690" t="s">
        <v>35</v>
      </c>
      <c r="V142" s="690"/>
      <c r="W142" s="690"/>
      <c r="X142" s="690">
        <v>23</v>
      </c>
      <c r="Y142" s="690">
        <v>23</v>
      </c>
      <c r="Z142" s="690">
        <v>23</v>
      </c>
      <c r="AA142" s="690">
        <v>23</v>
      </c>
      <c r="AB142" s="676">
        <v>23</v>
      </c>
      <c r="AC142" s="676">
        <v>23</v>
      </c>
      <c r="AD142" s="696">
        <v>23</v>
      </c>
      <c r="AE142" s="690"/>
      <c r="AF142" s="690"/>
      <c r="AG142" s="217"/>
      <c r="AH142" s="107"/>
      <c r="AI142" s="107"/>
    </row>
    <row r="143" spans="1:35" ht="22.15" customHeight="1" x14ac:dyDescent="0.2">
      <c r="A143" s="256"/>
      <c r="B143" s="228"/>
      <c r="C143" s="229"/>
      <c r="D143" s="229"/>
      <c r="E143" s="255"/>
      <c r="F143" s="229"/>
      <c r="G143" s="229"/>
      <c r="H143" s="261"/>
      <c r="I143" s="261"/>
      <c r="J143" s="261"/>
      <c r="K143" s="261"/>
      <c r="L143" s="261"/>
      <c r="M143" s="261"/>
      <c r="N143" s="216"/>
      <c r="O143" s="216"/>
      <c r="P143" s="255"/>
      <c r="Q143" s="229"/>
      <c r="R143" s="229"/>
      <c r="S143" s="255"/>
      <c r="T143" s="229"/>
      <c r="U143" s="229"/>
      <c r="V143" s="229"/>
      <c r="W143" s="229"/>
      <c r="X143" s="229"/>
      <c r="Y143" s="229"/>
      <c r="Z143" s="229"/>
      <c r="AA143" s="229"/>
      <c r="AB143" s="216"/>
      <c r="AC143" s="216"/>
      <c r="AD143" s="255"/>
      <c r="AE143" s="229"/>
      <c r="AF143" s="229"/>
      <c r="AG143" s="255"/>
      <c r="AH143" s="107"/>
      <c r="AI143" s="107"/>
    </row>
    <row r="144" spans="1:35" ht="22.15" customHeight="1" x14ac:dyDescent="0.2">
      <c r="A144" s="109"/>
      <c r="B144" s="110"/>
      <c r="C144" s="206"/>
      <c r="D144" s="206"/>
      <c r="E144" s="172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172"/>
      <c r="Q144" s="206"/>
      <c r="R144" s="206"/>
      <c r="S144" s="172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7"/>
      <c r="AD144" s="207"/>
      <c r="AE144" s="207"/>
      <c r="AF144" s="206"/>
      <c r="AG144" s="172"/>
      <c r="AH144" s="107"/>
      <c r="AI144" s="107"/>
    </row>
    <row r="145" spans="1:35" ht="22.15" customHeight="1" thickBot="1" x14ac:dyDescent="0.25">
      <c r="A145" s="162" t="s">
        <v>198</v>
      </c>
      <c r="D145" s="72"/>
      <c r="E145" s="72"/>
      <c r="F145" s="72"/>
      <c r="G145" s="105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</row>
    <row r="146" spans="1:35" ht="22.15" customHeight="1" x14ac:dyDescent="0.2">
      <c r="A146" s="1"/>
      <c r="B146" s="304" t="s">
        <v>167</v>
      </c>
      <c r="C146" s="500"/>
      <c r="D146" s="516" t="s">
        <v>90</v>
      </c>
      <c r="E146" s="473"/>
      <c r="F146" s="504"/>
      <c r="G146" s="500"/>
      <c r="H146" s="516" t="s">
        <v>91</v>
      </c>
      <c r="I146" s="473"/>
      <c r="J146" s="504"/>
      <c r="K146" s="500"/>
      <c r="L146" s="516" t="s">
        <v>92</v>
      </c>
      <c r="M146" s="473"/>
      <c r="N146" s="504"/>
      <c r="O146" s="500"/>
      <c r="P146" s="516" t="s">
        <v>93</v>
      </c>
      <c r="Q146" s="473"/>
      <c r="R146" s="504"/>
      <c r="S146" s="500"/>
      <c r="T146" s="516" t="s">
        <v>94</v>
      </c>
      <c r="U146" s="473"/>
      <c r="V146" s="504"/>
      <c r="W146" s="500"/>
      <c r="X146" s="516" t="s">
        <v>95</v>
      </c>
      <c r="Y146" s="473"/>
      <c r="Z146" s="504"/>
      <c r="AA146" s="500"/>
      <c r="AB146" s="516" t="s">
        <v>96</v>
      </c>
      <c r="AC146" s="473"/>
      <c r="AD146" s="473"/>
      <c r="AE146" s="519" t="s">
        <v>97</v>
      </c>
      <c r="AF146" s="473"/>
      <c r="AG146" s="473"/>
      <c r="AH146" s="473"/>
      <c r="AI146" s="474"/>
    </row>
    <row r="147" spans="1:35" ht="22.15" customHeight="1" x14ac:dyDescent="0.2">
      <c r="A147" s="1"/>
      <c r="B147" s="2506" t="s">
        <v>139</v>
      </c>
      <c r="C147" s="2434" t="s">
        <v>168</v>
      </c>
      <c r="D147" s="2344"/>
      <c r="E147" s="2344"/>
      <c r="F147" s="2509"/>
      <c r="G147" s="2434" t="s">
        <v>168</v>
      </c>
      <c r="H147" s="2344"/>
      <c r="I147" s="2344"/>
      <c r="J147" s="2509"/>
      <c r="K147" s="2434" t="s">
        <v>168</v>
      </c>
      <c r="L147" s="2344"/>
      <c r="M147" s="2344"/>
      <c r="N147" s="2509"/>
      <c r="O147" s="2434" t="s">
        <v>199</v>
      </c>
      <c r="P147" s="2344"/>
      <c r="Q147" s="2344"/>
      <c r="R147" s="2509"/>
      <c r="S147" s="2434" t="s">
        <v>154</v>
      </c>
      <c r="T147" s="2344"/>
      <c r="U147" s="2344"/>
      <c r="V147" s="2509"/>
      <c r="W147" s="2549"/>
      <c r="X147" s="2550"/>
      <c r="Y147" s="2550"/>
      <c r="Z147" s="2511"/>
      <c r="AA147" s="2507"/>
      <c r="AB147" s="2344"/>
      <c r="AC147" s="2344"/>
      <c r="AD147" s="2435"/>
      <c r="AE147" s="2512">
        <v>27</v>
      </c>
      <c r="AF147" s="2344"/>
      <c r="AG147" s="2344"/>
      <c r="AH147" s="2435"/>
      <c r="AI147" s="2353"/>
    </row>
    <row r="148" spans="1:35" ht="22.15" customHeight="1" x14ac:dyDescent="0.2">
      <c r="A148" s="1"/>
      <c r="B148" s="2506" t="s">
        <v>143</v>
      </c>
      <c r="C148" s="2434" t="s">
        <v>200</v>
      </c>
      <c r="D148" s="2344"/>
      <c r="E148" s="2344"/>
      <c r="F148" s="2509"/>
      <c r="G148" s="2434" t="s">
        <v>200</v>
      </c>
      <c r="H148" s="2344"/>
      <c r="I148" s="2344"/>
      <c r="J148" s="2509"/>
      <c r="K148" s="2434" t="s">
        <v>200</v>
      </c>
      <c r="L148" s="2344"/>
      <c r="M148" s="2344"/>
      <c r="N148" s="2509"/>
      <c r="O148" s="2434" t="s">
        <v>200</v>
      </c>
      <c r="P148" s="2344"/>
      <c r="Q148" s="2344"/>
      <c r="R148" s="2509"/>
      <c r="S148" s="2434" t="s">
        <v>168</v>
      </c>
      <c r="T148" s="2344"/>
      <c r="U148" s="2344"/>
      <c r="V148" s="2509"/>
      <c r="W148" s="2434"/>
      <c r="X148" s="2344"/>
      <c r="Y148" s="2344"/>
      <c r="Z148" s="2509"/>
      <c r="AA148" s="2344"/>
      <c r="AB148" s="2344"/>
      <c r="AC148" s="2344"/>
      <c r="AD148" s="2435"/>
      <c r="AE148" s="2512">
        <v>39</v>
      </c>
      <c r="AF148" s="2344"/>
      <c r="AG148" s="2344"/>
      <c r="AH148" s="2435"/>
      <c r="AI148" s="2353"/>
    </row>
    <row r="149" spans="1:35" ht="22.15" customHeight="1" x14ac:dyDescent="0.2">
      <c r="A149" s="1"/>
      <c r="B149" s="2506" t="s">
        <v>153</v>
      </c>
      <c r="C149" s="2434" t="s">
        <v>200</v>
      </c>
      <c r="D149" s="2344"/>
      <c r="E149" s="2344"/>
      <c r="F149" s="2509"/>
      <c r="G149" s="2434" t="s">
        <v>200</v>
      </c>
      <c r="H149" s="2344"/>
      <c r="I149" s="2344"/>
      <c r="J149" s="2509"/>
      <c r="K149" s="2434" t="s">
        <v>200</v>
      </c>
      <c r="L149" s="2344"/>
      <c r="M149" s="2344"/>
      <c r="N149" s="2509"/>
      <c r="O149" s="2434" t="s">
        <v>200</v>
      </c>
      <c r="P149" s="2344"/>
      <c r="Q149" s="2344"/>
      <c r="R149" s="2509"/>
      <c r="S149" s="2434" t="s">
        <v>200</v>
      </c>
      <c r="T149" s="2344"/>
      <c r="U149" s="2344"/>
      <c r="V149" s="2509"/>
      <c r="W149" s="2436" t="s">
        <v>201</v>
      </c>
      <c r="X149" s="2357"/>
      <c r="Y149" s="2357"/>
      <c r="Z149" s="2516"/>
      <c r="AA149" s="2514"/>
      <c r="AB149" s="2357"/>
      <c r="AC149" s="2357"/>
      <c r="AD149" s="2437"/>
      <c r="AE149" s="2512">
        <v>45</v>
      </c>
      <c r="AF149" s="2344"/>
      <c r="AG149" s="2344"/>
      <c r="AH149" s="2435"/>
      <c r="AI149" s="2353"/>
    </row>
    <row r="150" spans="1:35" ht="22.15" customHeight="1" thickBot="1" x14ac:dyDescent="0.25">
      <c r="A150" s="1"/>
      <c r="B150" s="2551" t="s">
        <v>155</v>
      </c>
      <c r="C150" s="2540"/>
      <c r="D150" s="2399"/>
      <c r="E150" s="2399"/>
      <c r="F150" s="2542"/>
      <c r="G150" s="2540"/>
      <c r="H150" s="2399"/>
      <c r="I150" s="2399"/>
      <c r="J150" s="2542"/>
      <c r="K150" s="2540"/>
      <c r="L150" s="2399"/>
      <c r="M150" s="2399"/>
      <c r="N150" s="2542"/>
      <c r="O150" s="2540"/>
      <c r="P150" s="2399"/>
      <c r="Q150" s="2399"/>
      <c r="R150" s="2542"/>
      <c r="S150" s="2540"/>
      <c r="T150" s="2399"/>
      <c r="U150" s="2399"/>
      <c r="V150" s="2527"/>
      <c r="W150" s="2540"/>
      <c r="X150" s="2527"/>
      <c r="Y150" s="2399"/>
      <c r="Z150" s="2542"/>
      <c r="AA150" s="2540"/>
      <c r="AB150" s="2527"/>
      <c r="AC150" s="2399"/>
      <c r="AD150" s="2542"/>
      <c r="AE150" s="2552"/>
      <c r="AF150" s="2399"/>
      <c r="AG150" s="2399"/>
      <c r="AH150" s="2527"/>
      <c r="AI150" s="2406"/>
    </row>
    <row r="151" spans="1:35" ht="22.15" customHeight="1" x14ac:dyDescent="0.2">
      <c r="A151" s="108"/>
      <c r="B151" s="1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</row>
    <row r="152" spans="1:35" ht="22.15" customHeight="1" thickBot="1" x14ac:dyDescent="0.25">
      <c r="A152" s="2451"/>
      <c r="B152" s="2408" t="s">
        <v>29</v>
      </c>
      <c r="C152" s="2362">
        <v>1</v>
      </c>
      <c r="D152" s="2362">
        <v>2</v>
      </c>
      <c r="E152" s="2362">
        <v>3</v>
      </c>
      <c r="F152" s="2362">
        <v>4</v>
      </c>
      <c r="G152" s="2362">
        <v>5</v>
      </c>
      <c r="H152" s="2363">
        <v>6</v>
      </c>
      <c r="I152" s="2363">
        <v>7</v>
      </c>
      <c r="J152" s="2362">
        <v>8</v>
      </c>
      <c r="K152" s="2362">
        <v>9</v>
      </c>
      <c r="L152" s="2362">
        <v>10</v>
      </c>
      <c r="M152" s="2362">
        <v>11</v>
      </c>
      <c r="N152" s="2362">
        <v>12</v>
      </c>
      <c r="O152" s="2363">
        <v>13</v>
      </c>
      <c r="P152" s="2363">
        <v>14</v>
      </c>
      <c r="Q152" s="2362">
        <v>15</v>
      </c>
      <c r="R152" s="2362">
        <v>16</v>
      </c>
      <c r="S152" s="2362">
        <v>17</v>
      </c>
      <c r="T152" s="2362">
        <v>18</v>
      </c>
      <c r="U152" s="2362">
        <v>19</v>
      </c>
      <c r="V152" s="2363">
        <v>20</v>
      </c>
      <c r="W152" s="2363">
        <v>21</v>
      </c>
      <c r="X152" s="2362">
        <v>22</v>
      </c>
      <c r="Y152" s="2362">
        <v>23</v>
      </c>
      <c r="Z152" s="2362">
        <v>24</v>
      </c>
      <c r="AA152" s="2362">
        <v>25</v>
      </c>
      <c r="AB152" s="2362">
        <v>26</v>
      </c>
      <c r="AC152" s="2363">
        <v>27</v>
      </c>
      <c r="AD152" s="2363">
        <v>28</v>
      </c>
      <c r="AE152" s="2362"/>
      <c r="AF152" s="2362"/>
      <c r="AG152" s="2364"/>
      <c r="AH152" s="184"/>
      <c r="AI152" s="185"/>
    </row>
    <row r="153" spans="1:35" ht="22.15" customHeight="1" x14ac:dyDescent="0.2">
      <c r="A153" s="521">
        <v>1</v>
      </c>
      <c r="B153" s="523" t="s">
        <v>202</v>
      </c>
      <c r="C153" s="459" t="s">
        <v>31</v>
      </c>
      <c r="D153" s="458" t="s">
        <v>31</v>
      </c>
      <c r="E153" s="458" t="s">
        <v>31</v>
      </c>
      <c r="F153" s="458" t="s">
        <v>31</v>
      </c>
      <c r="G153" s="458" t="s">
        <v>31</v>
      </c>
      <c r="H153" s="458"/>
      <c r="I153" s="458"/>
      <c r="J153" s="459" t="s">
        <v>31</v>
      </c>
      <c r="K153" s="458" t="s">
        <v>31</v>
      </c>
      <c r="L153" s="458" t="s">
        <v>31</v>
      </c>
      <c r="M153" s="458" t="s">
        <v>31</v>
      </c>
      <c r="N153" s="458" t="s">
        <v>31</v>
      </c>
      <c r="O153" s="458"/>
      <c r="P153" s="458"/>
      <c r="Q153" s="459" t="s">
        <v>31</v>
      </c>
      <c r="R153" s="458" t="s">
        <v>31</v>
      </c>
      <c r="S153" s="458" t="s">
        <v>31</v>
      </c>
      <c r="T153" s="458" t="s">
        <v>31</v>
      </c>
      <c r="U153" s="458" t="s">
        <v>31</v>
      </c>
      <c r="V153" s="458"/>
      <c r="W153" s="458"/>
      <c r="X153" s="459" t="s">
        <v>31</v>
      </c>
      <c r="Y153" s="458" t="s">
        <v>31</v>
      </c>
      <c r="Z153" s="458" t="s">
        <v>31</v>
      </c>
      <c r="AA153" s="460" t="s">
        <v>31</v>
      </c>
      <c r="AB153" s="459" t="s">
        <v>31</v>
      </c>
      <c r="AC153" s="458"/>
      <c r="AD153" s="458"/>
      <c r="AE153" s="458"/>
      <c r="AF153" s="458"/>
      <c r="AG153" s="464"/>
      <c r="AH153" s="250"/>
      <c r="AI153" s="190"/>
    </row>
    <row r="154" spans="1:35" ht="22.15" customHeight="1" x14ac:dyDescent="0.2">
      <c r="A154" s="2529">
        <v>2</v>
      </c>
      <c r="B154" s="2553" t="s">
        <v>203</v>
      </c>
      <c r="C154" s="2373" t="s">
        <v>204</v>
      </c>
      <c r="D154" s="2417" t="s">
        <v>204</v>
      </c>
      <c r="E154" s="2373" t="s">
        <v>204</v>
      </c>
      <c r="F154" s="2373" t="s">
        <v>204</v>
      </c>
      <c r="G154" s="2373" t="s">
        <v>204</v>
      </c>
      <c r="H154" s="2373" t="s">
        <v>204</v>
      </c>
      <c r="I154" s="2373"/>
      <c r="J154" s="2373" t="s">
        <v>205</v>
      </c>
      <c r="K154" s="2373" t="s">
        <v>205</v>
      </c>
      <c r="L154" s="2373" t="s">
        <v>205</v>
      </c>
      <c r="M154" s="2373" t="s">
        <v>205</v>
      </c>
      <c r="N154" s="2373" t="s">
        <v>35</v>
      </c>
      <c r="O154" s="2373"/>
      <c r="P154" s="2373"/>
      <c r="Q154" s="2373" t="s">
        <v>207</v>
      </c>
      <c r="R154" s="2373" t="s">
        <v>207</v>
      </c>
      <c r="S154" s="2373" t="s">
        <v>207</v>
      </c>
      <c r="T154" s="2373" t="s">
        <v>207</v>
      </c>
      <c r="U154" s="2373" t="s">
        <v>207</v>
      </c>
      <c r="V154" s="2373"/>
      <c r="W154" s="2373"/>
      <c r="X154" s="2373" t="s">
        <v>204</v>
      </c>
      <c r="Y154" s="2417" t="s">
        <v>204</v>
      </c>
      <c r="Z154" s="2373" t="s">
        <v>204</v>
      </c>
      <c r="AA154" s="2373" t="s">
        <v>204</v>
      </c>
      <c r="AB154" s="2373" t="s">
        <v>204</v>
      </c>
      <c r="AC154" s="2373" t="s">
        <v>204</v>
      </c>
      <c r="AD154" s="2373"/>
      <c r="AE154" s="2373"/>
      <c r="AF154" s="2373"/>
      <c r="AG154" s="2410"/>
      <c r="AH154" s="250"/>
      <c r="AI154" s="190"/>
    </row>
    <row r="155" spans="1:35" ht="22.15" customHeight="1" x14ac:dyDescent="0.2">
      <c r="A155" s="2529">
        <v>3</v>
      </c>
      <c r="B155" s="2554" t="s">
        <v>432</v>
      </c>
      <c r="C155" s="2373" t="s">
        <v>205</v>
      </c>
      <c r="D155" s="2373" t="s">
        <v>205</v>
      </c>
      <c r="E155" s="2373" t="s">
        <v>205</v>
      </c>
      <c r="F155" s="2490" t="s">
        <v>205</v>
      </c>
      <c r="G155" s="2490" t="s">
        <v>35</v>
      </c>
      <c r="H155" s="2490"/>
      <c r="I155" s="2490"/>
      <c r="J155" s="2490" t="s">
        <v>207</v>
      </c>
      <c r="K155" s="2490" t="s">
        <v>207</v>
      </c>
      <c r="L155" s="2490" t="s">
        <v>207</v>
      </c>
      <c r="M155" s="2490" t="s">
        <v>207</v>
      </c>
      <c r="N155" s="2490" t="s">
        <v>207</v>
      </c>
      <c r="O155" s="2490"/>
      <c r="P155" s="2490"/>
      <c r="Q155" s="2490" t="s">
        <v>204</v>
      </c>
      <c r="R155" s="2490" t="s">
        <v>204</v>
      </c>
      <c r="S155" s="2490" t="s">
        <v>204</v>
      </c>
      <c r="T155" s="2490" t="s">
        <v>204</v>
      </c>
      <c r="U155" s="2373" t="s">
        <v>204</v>
      </c>
      <c r="V155" s="2373" t="s">
        <v>204</v>
      </c>
      <c r="W155" s="2373"/>
      <c r="X155" s="2373" t="s">
        <v>205</v>
      </c>
      <c r="Y155" s="2373" t="s">
        <v>205</v>
      </c>
      <c r="Z155" s="2373" t="s">
        <v>205</v>
      </c>
      <c r="AA155" s="2491" t="s">
        <v>205</v>
      </c>
      <c r="AB155" s="2491" t="s">
        <v>35</v>
      </c>
      <c r="AC155" s="2491"/>
      <c r="AD155" s="2491"/>
      <c r="AE155" s="2491"/>
      <c r="AF155" s="2491"/>
      <c r="AG155" s="2410"/>
      <c r="AH155" s="250"/>
      <c r="AI155" s="190"/>
    </row>
    <row r="156" spans="1:35" ht="22.15" customHeight="1" x14ac:dyDescent="0.2">
      <c r="A156" s="2529">
        <v>4</v>
      </c>
      <c r="B156" s="2554" t="s">
        <v>209</v>
      </c>
      <c r="C156" s="2373"/>
      <c r="D156" s="2373" t="s">
        <v>32</v>
      </c>
      <c r="E156" s="2373" t="s">
        <v>32</v>
      </c>
      <c r="F156" s="2373"/>
      <c r="G156" s="2373" t="s">
        <v>32</v>
      </c>
      <c r="H156" s="2373"/>
      <c r="I156" s="2373"/>
      <c r="J156" s="2373"/>
      <c r="K156" s="2373" t="s">
        <v>32</v>
      </c>
      <c r="L156" s="2373"/>
      <c r="M156" s="2373"/>
      <c r="N156" s="2373"/>
      <c r="O156" s="2373" t="s">
        <v>204</v>
      </c>
      <c r="P156" s="2373"/>
      <c r="Q156" s="2370"/>
      <c r="R156" s="2370" t="s">
        <v>32</v>
      </c>
      <c r="S156" s="2370" t="s">
        <v>32</v>
      </c>
      <c r="T156" s="2370"/>
      <c r="U156" s="2370" t="s">
        <v>32</v>
      </c>
      <c r="V156" s="2373"/>
      <c r="W156" s="2373"/>
      <c r="X156" s="2373"/>
      <c r="Y156" s="2373" t="s">
        <v>32</v>
      </c>
      <c r="Z156" s="2373" t="s">
        <v>32</v>
      </c>
      <c r="AA156" s="2373"/>
      <c r="AB156" s="2373" t="s">
        <v>32</v>
      </c>
      <c r="AC156" s="2373"/>
      <c r="AD156" s="2373"/>
      <c r="AE156" s="2373"/>
      <c r="AF156" s="2373"/>
      <c r="AG156" s="2410"/>
      <c r="AH156" s="250"/>
      <c r="AI156" s="190"/>
    </row>
    <row r="157" spans="1:35" ht="22.15" customHeight="1" x14ac:dyDescent="0.2">
      <c r="A157" s="2529">
        <v>5</v>
      </c>
      <c r="B157" s="2554" t="s">
        <v>210</v>
      </c>
      <c r="C157" s="2373" t="s">
        <v>32</v>
      </c>
      <c r="D157" s="2373"/>
      <c r="E157" s="2373"/>
      <c r="F157" s="2373" t="s">
        <v>31</v>
      </c>
      <c r="G157" s="2373"/>
      <c r="H157" s="2373"/>
      <c r="I157" s="2373"/>
      <c r="J157" s="2373" t="s">
        <v>32</v>
      </c>
      <c r="K157" s="2373"/>
      <c r="L157" s="2373"/>
      <c r="M157" s="2373" t="s">
        <v>31</v>
      </c>
      <c r="N157" s="2373"/>
      <c r="O157" s="2373"/>
      <c r="P157" s="2373"/>
      <c r="Q157" s="2555" t="s">
        <v>32</v>
      </c>
      <c r="R157" s="2555"/>
      <c r="S157" s="2555"/>
      <c r="T157" s="2555" t="s">
        <v>31</v>
      </c>
      <c r="U157" s="2555"/>
      <c r="V157" s="2373"/>
      <c r="W157" s="2373"/>
      <c r="X157" s="2373" t="s">
        <v>32</v>
      </c>
      <c r="Y157" s="2373"/>
      <c r="Z157" s="2373"/>
      <c r="AA157" s="2373" t="s">
        <v>31</v>
      </c>
      <c r="AB157" s="2373"/>
      <c r="AC157" s="2373"/>
      <c r="AD157" s="2373"/>
      <c r="AE157" s="2373"/>
      <c r="AF157" s="2373"/>
      <c r="AG157" s="2410"/>
      <c r="AH157" s="250"/>
      <c r="AI157" s="190"/>
    </row>
    <row r="158" spans="1:35" ht="22.15" customHeight="1" x14ac:dyDescent="0.2">
      <c r="A158" s="2529">
        <v>6</v>
      </c>
      <c r="B158" s="2377" t="s">
        <v>211</v>
      </c>
      <c r="C158" s="2373" t="s">
        <v>31</v>
      </c>
      <c r="D158" s="2373" t="s">
        <v>31</v>
      </c>
      <c r="E158" s="2373" t="s">
        <v>31</v>
      </c>
      <c r="F158" s="2373" t="s">
        <v>31</v>
      </c>
      <c r="G158" s="2373" t="s">
        <v>31</v>
      </c>
      <c r="H158" s="2373"/>
      <c r="I158" s="2373"/>
      <c r="J158" s="2374" t="s">
        <v>31</v>
      </c>
      <c r="K158" s="2373" t="s">
        <v>31</v>
      </c>
      <c r="L158" s="2373" t="s">
        <v>31</v>
      </c>
      <c r="M158" s="2373" t="s">
        <v>31</v>
      </c>
      <c r="N158" s="2373" t="s">
        <v>31</v>
      </c>
      <c r="O158" s="2373"/>
      <c r="P158" s="2373"/>
      <c r="Q158" s="2373" t="s">
        <v>31</v>
      </c>
      <c r="R158" s="2373" t="s">
        <v>31</v>
      </c>
      <c r="S158" s="2373" t="s">
        <v>31</v>
      </c>
      <c r="T158" s="2370" t="s">
        <v>31</v>
      </c>
      <c r="U158" s="2370" t="s">
        <v>31</v>
      </c>
      <c r="V158" s="2370"/>
      <c r="W158" s="2370"/>
      <c r="X158" s="2370" t="s">
        <v>31</v>
      </c>
      <c r="Y158" s="2373" t="s">
        <v>31</v>
      </c>
      <c r="Z158" s="2373" t="s">
        <v>31</v>
      </c>
      <c r="AA158" s="2373" t="s">
        <v>31</v>
      </c>
      <c r="AB158" s="2373" t="s">
        <v>31</v>
      </c>
      <c r="AC158" s="2373"/>
      <c r="AD158" s="2373"/>
      <c r="AE158" s="2373"/>
      <c r="AF158" s="2373"/>
      <c r="AG158" s="2410"/>
      <c r="AH158" s="215"/>
      <c r="AI158" s="107"/>
    </row>
    <row r="159" spans="1:35" ht="22.15" customHeight="1" thickBot="1" x14ac:dyDescent="0.25">
      <c r="A159" s="2534"/>
      <c r="B159" s="2412" t="s">
        <v>212</v>
      </c>
      <c r="C159" s="2362"/>
      <c r="D159" s="2362"/>
      <c r="E159" s="2362"/>
      <c r="F159" s="2362"/>
      <c r="G159" s="2362"/>
      <c r="H159" s="2362"/>
      <c r="I159" s="2362"/>
      <c r="J159" s="2362"/>
      <c r="K159" s="2362"/>
      <c r="L159" s="2362"/>
      <c r="M159" s="2362"/>
      <c r="N159" s="2362"/>
      <c r="O159" s="2362"/>
      <c r="P159" s="2362"/>
      <c r="Q159" s="2362"/>
      <c r="R159" s="2362"/>
      <c r="S159" s="2362"/>
      <c r="T159" s="2362"/>
      <c r="U159" s="2362"/>
      <c r="V159" s="2362"/>
      <c r="W159" s="2362"/>
      <c r="X159" s="2362"/>
      <c r="Y159" s="2362"/>
      <c r="Z159" s="2362"/>
      <c r="AA159" s="2362"/>
      <c r="AB159" s="2362"/>
      <c r="AC159" s="2362"/>
      <c r="AD159" s="2362"/>
      <c r="AE159" s="2362"/>
      <c r="AF159" s="2362"/>
      <c r="AG159" s="2364"/>
      <c r="AH159" s="107"/>
      <c r="AI159" s="107"/>
    </row>
    <row r="160" spans="1:35" ht="22.15" customHeight="1" x14ac:dyDescent="0.2">
      <c r="A160" s="256"/>
      <c r="B160" s="228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107"/>
      <c r="AI160" s="107"/>
    </row>
    <row r="161" spans="1:36" ht="22.15" customHeight="1" x14ac:dyDescent="0.2">
      <c r="A161" s="256"/>
      <c r="B161" s="228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107"/>
      <c r="AI161" s="107"/>
    </row>
    <row r="162" spans="1:36" ht="22.15" customHeight="1" thickBot="1" x14ac:dyDescent="0.25">
      <c r="A162" s="150" t="s">
        <v>213</v>
      </c>
      <c r="B162" s="72"/>
      <c r="C162" s="106" t="s">
        <v>99</v>
      </c>
      <c r="D162" s="72"/>
      <c r="E162" s="72"/>
      <c r="F162" s="106" t="s">
        <v>99</v>
      </c>
      <c r="G162" s="72"/>
      <c r="H162" s="72"/>
      <c r="I162" s="106" t="s">
        <v>99</v>
      </c>
      <c r="J162" s="106"/>
      <c r="K162" s="72"/>
      <c r="L162" s="106" t="s">
        <v>99</v>
      </c>
      <c r="M162" s="72"/>
      <c r="N162" s="72"/>
      <c r="O162" s="106" t="s">
        <v>99</v>
      </c>
      <c r="P162" s="72"/>
      <c r="Q162" s="106"/>
      <c r="R162" s="106" t="s">
        <v>99</v>
      </c>
      <c r="S162" s="72"/>
      <c r="T162" s="72"/>
      <c r="U162" s="106" t="s">
        <v>99</v>
      </c>
      <c r="V162" s="72"/>
      <c r="W162" s="106"/>
      <c r="X162" s="106"/>
      <c r="Y162" s="72"/>
      <c r="Z162" s="72"/>
      <c r="AA162" s="72"/>
      <c r="AB162" s="72"/>
      <c r="AC162" s="72"/>
      <c r="AD162" s="72"/>
      <c r="AE162" s="106"/>
      <c r="AF162" s="72"/>
      <c r="AG162" s="72"/>
      <c r="AH162" s="107"/>
      <c r="AI162" s="107"/>
    </row>
    <row r="163" spans="1:36" ht="22.15" customHeight="1" x14ac:dyDescent="0.2">
      <c r="A163" s="109"/>
      <c r="B163" s="294" t="s">
        <v>214</v>
      </c>
      <c r="C163" s="295"/>
      <c r="D163" s="296" t="s">
        <v>90</v>
      </c>
      <c r="E163" s="297"/>
      <c r="F163" s="298"/>
      <c r="G163" s="299"/>
      <c r="H163" s="296" t="s">
        <v>91</v>
      </c>
      <c r="I163" s="297"/>
      <c r="J163" s="298"/>
      <c r="K163" s="299"/>
      <c r="L163" s="296" t="s">
        <v>92</v>
      </c>
      <c r="M163" s="297"/>
      <c r="N163" s="298"/>
      <c r="O163" s="299"/>
      <c r="P163" s="296" t="s">
        <v>93</v>
      </c>
      <c r="Q163" s="297"/>
      <c r="R163" s="298"/>
      <c r="S163" s="299"/>
      <c r="T163" s="296" t="s">
        <v>94</v>
      </c>
      <c r="U163" s="297"/>
      <c r="V163" s="298"/>
      <c r="W163" s="299"/>
      <c r="X163" s="296" t="s">
        <v>95</v>
      </c>
      <c r="Y163" s="297"/>
      <c r="Z163" s="298"/>
      <c r="AA163" s="299"/>
      <c r="AB163" s="296" t="s">
        <v>96</v>
      </c>
      <c r="AC163" s="297"/>
      <c r="AD163" s="297"/>
      <c r="AE163" s="300" t="s">
        <v>97</v>
      </c>
      <c r="AF163" s="297"/>
      <c r="AG163" s="297"/>
      <c r="AH163" s="297"/>
      <c r="AI163" s="301"/>
    </row>
    <row r="164" spans="1:36" ht="22.15" customHeight="1" x14ac:dyDescent="0.2">
      <c r="A164" s="109"/>
      <c r="B164" s="1851" t="s">
        <v>215</v>
      </c>
      <c r="C164" s="2273" t="s">
        <v>216</v>
      </c>
      <c r="D164" s="2556" t="s">
        <v>217</v>
      </c>
      <c r="E164" s="2557"/>
      <c r="F164" s="2558"/>
      <c r="G164" s="2559"/>
      <c r="H164" s="2556" t="s">
        <v>217</v>
      </c>
      <c r="I164" s="2557"/>
      <c r="J164" s="2558"/>
      <c r="K164" s="2559"/>
      <c r="L164" s="2556" t="s">
        <v>217</v>
      </c>
      <c r="M164" s="2557"/>
      <c r="N164" s="2558"/>
      <c r="O164" s="2559"/>
      <c r="P164" s="2556" t="s">
        <v>218</v>
      </c>
      <c r="Q164" s="2557"/>
      <c r="R164" s="2558"/>
      <c r="S164" s="2559"/>
      <c r="T164" s="2556" t="s">
        <v>219</v>
      </c>
      <c r="U164" s="2558"/>
      <c r="V164" s="2560"/>
      <c r="W164" s="2561"/>
      <c r="X164" s="2562"/>
      <c r="Y164" s="2562"/>
      <c r="Z164" s="2560"/>
      <c r="AA164" s="2561"/>
      <c r="AB164" s="2562"/>
      <c r="AC164" s="2562"/>
      <c r="AD164" s="2562"/>
      <c r="AE164" s="2561"/>
      <c r="AF164" s="2562"/>
      <c r="AG164" s="2562"/>
      <c r="AH164" s="2563"/>
      <c r="AI164" s="2564"/>
    </row>
    <row r="165" spans="1:36" ht="22.15" customHeight="1" x14ac:dyDescent="0.2">
      <c r="A165" s="109"/>
      <c r="B165" s="1851" t="s">
        <v>215</v>
      </c>
      <c r="C165" s="2273" t="s">
        <v>220</v>
      </c>
      <c r="D165" s="2556" t="s">
        <v>217</v>
      </c>
      <c r="E165" s="2557"/>
      <c r="F165" s="2558"/>
      <c r="G165" s="2559"/>
      <c r="H165" s="2556" t="s">
        <v>217</v>
      </c>
      <c r="I165" s="2557"/>
      <c r="J165" s="2558"/>
      <c r="K165" s="2559"/>
      <c r="L165" s="2556" t="s">
        <v>217</v>
      </c>
      <c r="M165" s="2557"/>
      <c r="N165" s="2558"/>
      <c r="O165" s="2559"/>
      <c r="P165" s="2556" t="s">
        <v>218</v>
      </c>
      <c r="Q165" s="2557"/>
      <c r="R165" s="2558"/>
      <c r="S165" s="2559"/>
      <c r="T165" s="2556" t="s">
        <v>219</v>
      </c>
      <c r="U165" s="2558"/>
      <c r="V165" s="2560"/>
      <c r="W165" s="2561"/>
      <c r="X165" s="2562"/>
      <c r="Y165" s="2562"/>
      <c r="Z165" s="2560"/>
      <c r="AA165" s="2561"/>
      <c r="AB165" s="2562"/>
      <c r="AC165" s="2562"/>
      <c r="AD165" s="2562"/>
      <c r="AE165" s="2561"/>
      <c r="AF165" s="2562"/>
      <c r="AG165" s="2562"/>
      <c r="AH165" s="2563"/>
      <c r="AI165" s="2564"/>
    </row>
    <row r="166" spans="1:36" ht="22.15" customHeight="1" x14ac:dyDescent="0.2">
      <c r="A166" s="109"/>
      <c r="B166" s="1851" t="s">
        <v>221</v>
      </c>
      <c r="C166" s="2273" t="s">
        <v>158</v>
      </c>
      <c r="D166" s="2556" t="s">
        <v>217</v>
      </c>
      <c r="E166" s="2557"/>
      <c r="F166" s="2558"/>
      <c r="G166" s="2559"/>
      <c r="H166" s="2556" t="s">
        <v>217</v>
      </c>
      <c r="I166" s="2557"/>
      <c r="J166" s="2558"/>
      <c r="K166" s="2559"/>
      <c r="L166" s="2556" t="s">
        <v>217</v>
      </c>
      <c r="M166" s="2557"/>
      <c r="N166" s="2558"/>
      <c r="O166" s="2559"/>
      <c r="P166" s="2556" t="s">
        <v>218</v>
      </c>
      <c r="Q166" s="2557"/>
      <c r="R166" s="2558"/>
      <c r="S166" s="2559"/>
      <c r="T166" s="2556" t="s">
        <v>219</v>
      </c>
      <c r="U166" s="2558"/>
      <c r="V166" s="2560"/>
      <c r="W166" s="2561"/>
      <c r="X166" s="2562"/>
      <c r="Y166" s="2562"/>
      <c r="Z166" s="2560"/>
      <c r="AA166" s="2561"/>
      <c r="AB166" s="2562"/>
      <c r="AC166" s="2562"/>
      <c r="AD166" s="2562"/>
      <c r="AE166" s="2561"/>
      <c r="AF166" s="2562"/>
      <c r="AG166" s="2562"/>
      <c r="AH166" s="2563"/>
      <c r="AI166" s="2564"/>
    </row>
    <row r="167" spans="1:36" ht="22.15" customHeight="1" x14ac:dyDescent="0.2">
      <c r="A167" s="109"/>
      <c r="B167" s="1851" t="s">
        <v>222</v>
      </c>
      <c r="C167" s="2273" t="s">
        <v>223</v>
      </c>
      <c r="D167" s="2556" t="s">
        <v>224</v>
      </c>
      <c r="E167" s="2557"/>
      <c r="F167" s="2558"/>
      <c r="G167" s="2559"/>
      <c r="H167" s="2556" t="s">
        <v>224</v>
      </c>
      <c r="I167" s="2557"/>
      <c r="J167" s="2558"/>
      <c r="K167" s="2559"/>
      <c r="L167" s="2556" t="s">
        <v>224</v>
      </c>
      <c r="M167" s="2557"/>
      <c r="N167" s="2558"/>
      <c r="O167" s="2559"/>
      <c r="P167" s="2556" t="s">
        <v>225</v>
      </c>
      <c r="Q167" s="2557"/>
      <c r="R167" s="2558"/>
      <c r="S167" s="2559"/>
      <c r="T167" s="2556" t="s">
        <v>226</v>
      </c>
      <c r="U167" s="2558"/>
      <c r="V167" s="2560"/>
      <c r="W167" s="2561"/>
      <c r="X167" s="2562"/>
      <c r="Y167" s="2562"/>
      <c r="Z167" s="2560"/>
      <c r="AA167" s="2561"/>
      <c r="AB167" s="2562"/>
      <c r="AC167" s="2562"/>
      <c r="AD167" s="2562"/>
      <c r="AE167" s="2561"/>
      <c r="AF167" s="2562"/>
      <c r="AG167" s="2562"/>
      <c r="AH167" s="2563"/>
      <c r="AI167" s="2564"/>
    </row>
    <row r="168" spans="1:36" ht="22.15" customHeight="1" x14ac:dyDescent="0.2">
      <c r="A168" s="109"/>
      <c r="B168" s="1851" t="s">
        <v>227</v>
      </c>
      <c r="C168" s="2273" t="s">
        <v>228</v>
      </c>
      <c r="D168" s="2556" t="s">
        <v>229</v>
      </c>
      <c r="E168" s="2557"/>
      <c r="F168" s="2558"/>
      <c r="G168" s="2559"/>
      <c r="H168" s="2556" t="s">
        <v>229</v>
      </c>
      <c r="I168" s="2557"/>
      <c r="J168" s="2558"/>
      <c r="K168" s="2559"/>
      <c r="L168" s="2556" t="s">
        <v>230</v>
      </c>
      <c r="M168" s="2557"/>
      <c r="N168" s="2558"/>
      <c r="O168" s="2559"/>
      <c r="P168" s="2556" t="s">
        <v>231</v>
      </c>
      <c r="Q168" s="2557"/>
      <c r="R168" s="2558"/>
      <c r="S168" s="2559"/>
      <c r="T168" s="2556" t="s">
        <v>226</v>
      </c>
      <c r="U168" s="2558"/>
      <c r="V168" s="2560"/>
      <c r="W168" s="2561"/>
      <c r="X168" s="2562"/>
      <c r="Y168" s="2562"/>
      <c r="Z168" s="2560"/>
      <c r="AA168" s="2561"/>
      <c r="AB168" s="2562"/>
      <c r="AC168" s="2562"/>
      <c r="AD168" s="2562"/>
      <c r="AE168" s="2561"/>
      <c r="AF168" s="2562"/>
      <c r="AG168" s="2562"/>
      <c r="AH168" s="2563"/>
      <c r="AI168" s="2564"/>
    </row>
    <row r="169" spans="1:36" ht="22.15" customHeight="1" x14ac:dyDescent="0.2">
      <c r="A169" s="109"/>
      <c r="B169" s="1851" t="s">
        <v>232</v>
      </c>
      <c r="C169" s="2273" t="s">
        <v>233</v>
      </c>
      <c r="D169" s="2556" t="s">
        <v>217</v>
      </c>
      <c r="E169" s="2557"/>
      <c r="F169" s="2558"/>
      <c r="G169" s="2559"/>
      <c r="H169" s="2556" t="s">
        <v>217</v>
      </c>
      <c r="I169" s="2557"/>
      <c r="J169" s="2558"/>
      <c r="K169" s="2559"/>
      <c r="L169" s="2556" t="s">
        <v>217</v>
      </c>
      <c r="M169" s="2557"/>
      <c r="N169" s="2558"/>
      <c r="O169" s="2559"/>
      <c r="P169" s="2556" t="s">
        <v>217</v>
      </c>
      <c r="Q169" s="2557"/>
      <c r="R169" s="2558"/>
      <c r="S169" s="2559"/>
      <c r="T169" s="2556" t="s">
        <v>229</v>
      </c>
      <c r="U169" s="2558"/>
      <c r="V169" s="2560"/>
      <c r="W169" s="2561"/>
      <c r="X169" s="2562"/>
      <c r="Y169" s="2562"/>
      <c r="Z169" s="2560"/>
      <c r="AA169" s="2561"/>
      <c r="AB169" s="2562"/>
      <c r="AC169" s="2562"/>
      <c r="AD169" s="2562"/>
      <c r="AE169" s="2561"/>
      <c r="AF169" s="2562"/>
      <c r="AG169" s="2562"/>
      <c r="AH169" s="2563"/>
      <c r="AI169" s="2564"/>
    </row>
    <row r="170" spans="1:36" ht="22.15" customHeight="1" x14ac:dyDescent="0.2">
      <c r="A170" s="109"/>
      <c r="B170" s="1851" t="s">
        <v>234</v>
      </c>
      <c r="C170" s="2273" t="s">
        <v>235</v>
      </c>
      <c r="D170" s="2556" t="s">
        <v>217</v>
      </c>
      <c r="E170" s="2557"/>
      <c r="F170" s="2558"/>
      <c r="G170" s="2559"/>
      <c r="H170" s="2556" t="s">
        <v>217</v>
      </c>
      <c r="I170" s="2557"/>
      <c r="J170" s="2558"/>
      <c r="K170" s="2559"/>
      <c r="L170" s="2556" t="s">
        <v>217</v>
      </c>
      <c r="M170" s="2557"/>
      <c r="N170" s="2558"/>
      <c r="O170" s="2559"/>
      <c r="P170" s="2556" t="s">
        <v>218</v>
      </c>
      <c r="Q170" s="2557"/>
      <c r="R170" s="2558"/>
      <c r="S170" s="2559"/>
      <c r="T170" s="2556" t="s">
        <v>219</v>
      </c>
      <c r="U170" s="2558"/>
      <c r="V170" s="2560"/>
      <c r="W170" s="2561"/>
      <c r="X170" s="2562"/>
      <c r="Y170" s="2562"/>
      <c r="Z170" s="2560"/>
      <c r="AA170" s="2561"/>
      <c r="AB170" s="2562"/>
      <c r="AC170" s="2562"/>
      <c r="AD170" s="2562"/>
      <c r="AE170" s="2561"/>
      <c r="AF170" s="2562"/>
      <c r="AG170" s="2562"/>
      <c r="AH170" s="2563"/>
      <c r="AI170" s="2564"/>
    </row>
    <row r="171" spans="1:36" ht="22.15" customHeight="1" x14ac:dyDescent="0.2">
      <c r="A171" s="109"/>
      <c r="B171" s="1851" t="s">
        <v>234</v>
      </c>
      <c r="C171" s="2273" t="s">
        <v>236</v>
      </c>
      <c r="D171" s="2556" t="s">
        <v>217</v>
      </c>
      <c r="E171" s="2557"/>
      <c r="F171" s="2558"/>
      <c r="G171" s="2559"/>
      <c r="H171" s="2556" t="s">
        <v>217</v>
      </c>
      <c r="I171" s="2557"/>
      <c r="J171" s="2558"/>
      <c r="K171" s="2559"/>
      <c r="L171" s="2556" t="s">
        <v>217</v>
      </c>
      <c r="M171" s="2557"/>
      <c r="N171" s="2558"/>
      <c r="O171" s="2559"/>
      <c r="P171" s="2556" t="s">
        <v>218</v>
      </c>
      <c r="Q171" s="2557"/>
      <c r="R171" s="2558"/>
      <c r="S171" s="2559"/>
      <c r="T171" s="2556" t="s">
        <v>219</v>
      </c>
      <c r="U171" s="2558"/>
      <c r="V171" s="2560"/>
      <c r="W171" s="2561"/>
      <c r="X171" s="2562"/>
      <c r="Y171" s="2562"/>
      <c r="Z171" s="2560"/>
      <c r="AA171" s="2561"/>
      <c r="AB171" s="2562"/>
      <c r="AC171" s="2562"/>
      <c r="AD171" s="2562"/>
      <c r="AE171" s="2561"/>
      <c r="AF171" s="2562"/>
      <c r="AG171" s="2562"/>
      <c r="AH171" s="2563"/>
      <c r="AI171" s="2564"/>
    </row>
    <row r="172" spans="1:36" ht="22.15" customHeight="1" x14ac:dyDescent="0.2">
      <c r="A172" s="109"/>
      <c r="B172" s="1851" t="s">
        <v>237</v>
      </c>
      <c r="C172" s="2273" t="s">
        <v>238</v>
      </c>
      <c r="D172" s="2556" t="s">
        <v>217</v>
      </c>
      <c r="E172" s="2557"/>
      <c r="F172" s="2558"/>
      <c r="G172" s="2559"/>
      <c r="H172" s="2556" t="s">
        <v>217</v>
      </c>
      <c r="I172" s="2557"/>
      <c r="J172" s="2558"/>
      <c r="K172" s="2559"/>
      <c r="L172" s="2556" t="s">
        <v>217</v>
      </c>
      <c r="M172" s="2557"/>
      <c r="N172" s="2558"/>
      <c r="O172" s="2559"/>
      <c r="P172" s="2556" t="s">
        <v>239</v>
      </c>
      <c r="Q172" s="2557"/>
      <c r="R172" s="2558"/>
      <c r="S172" s="2559"/>
      <c r="T172" s="2556" t="s">
        <v>226</v>
      </c>
      <c r="U172" s="2558"/>
      <c r="V172" s="2560"/>
      <c r="W172" s="2561"/>
      <c r="X172" s="2562"/>
      <c r="Y172" s="2562"/>
      <c r="Z172" s="2560"/>
      <c r="AA172" s="2561"/>
      <c r="AB172" s="2562"/>
      <c r="AC172" s="2562"/>
      <c r="AD172" s="2562"/>
      <c r="AE172" s="2561"/>
      <c r="AF172" s="2562"/>
      <c r="AG172" s="2562"/>
      <c r="AH172" s="2563"/>
      <c r="AI172" s="2564"/>
    </row>
    <row r="173" spans="1:36" ht="22.15" customHeight="1" x14ac:dyDescent="0.2">
      <c r="A173" s="109"/>
      <c r="B173" s="2565" t="s">
        <v>240</v>
      </c>
      <c r="C173" s="2273" t="s">
        <v>80</v>
      </c>
      <c r="D173" s="2556" t="s">
        <v>217</v>
      </c>
      <c r="E173" s="2557"/>
      <c r="F173" s="2558"/>
      <c r="G173" s="2559"/>
      <c r="H173" s="2556" t="s">
        <v>217</v>
      </c>
      <c r="I173" s="2557"/>
      <c r="J173" s="2558"/>
      <c r="K173" s="2559"/>
      <c r="L173" s="2556" t="s">
        <v>217</v>
      </c>
      <c r="M173" s="2557"/>
      <c r="N173" s="2558"/>
      <c r="O173" s="2559"/>
      <c r="P173" s="2556" t="s">
        <v>218</v>
      </c>
      <c r="Q173" s="2557"/>
      <c r="R173" s="2558"/>
      <c r="S173" s="2559"/>
      <c r="T173" s="2556" t="s">
        <v>219</v>
      </c>
      <c r="U173" s="2558"/>
      <c r="V173" s="212"/>
      <c r="W173" s="2566"/>
      <c r="X173" s="211"/>
      <c r="Y173" s="211"/>
      <c r="Z173" s="212"/>
      <c r="AA173" s="2566"/>
      <c r="AB173" s="211"/>
      <c r="AC173" s="211"/>
      <c r="AD173" s="211"/>
      <c r="AE173" s="2566"/>
      <c r="AF173" s="211"/>
      <c r="AG173" s="211"/>
      <c r="AH173" s="213"/>
      <c r="AI173" s="2567"/>
      <c r="AJ173" s="214"/>
    </row>
    <row r="174" spans="1:36" ht="22.15" customHeight="1" x14ac:dyDescent="0.2">
      <c r="A174" s="109"/>
      <c r="B174" s="1851" t="s">
        <v>241</v>
      </c>
      <c r="C174" s="2273" t="s">
        <v>132</v>
      </c>
      <c r="D174" s="2556" t="s">
        <v>217</v>
      </c>
      <c r="E174" s="2557"/>
      <c r="F174" s="2558"/>
      <c r="G174" s="2559"/>
      <c r="H174" s="2556" t="s">
        <v>217</v>
      </c>
      <c r="I174" s="2557"/>
      <c r="J174" s="2558"/>
      <c r="K174" s="2559"/>
      <c r="L174" s="2556" t="s">
        <v>217</v>
      </c>
      <c r="M174" s="2557"/>
      <c r="N174" s="2558"/>
      <c r="O174" s="2559"/>
      <c r="P174" s="2556" t="s">
        <v>218</v>
      </c>
      <c r="Q174" s="2557"/>
      <c r="R174" s="2558"/>
      <c r="S174" s="2559"/>
      <c r="T174" s="2556" t="s">
        <v>219</v>
      </c>
      <c r="U174" s="2558"/>
      <c r="V174" s="2562"/>
      <c r="W174" s="2561"/>
      <c r="X174" s="2562"/>
      <c r="Y174" s="2562"/>
      <c r="Z174" s="2562"/>
      <c r="AA174" s="2561"/>
      <c r="AB174" s="2562"/>
      <c r="AC174" s="2562"/>
      <c r="AD174" s="2562"/>
      <c r="AE174" s="2561"/>
      <c r="AF174" s="2562"/>
      <c r="AG174" s="2562"/>
      <c r="AH174" s="2563"/>
      <c r="AI174" s="2564"/>
      <c r="AJ174" s="214"/>
    </row>
    <row r="175" spans="1:36" ht="22.15" customHeight="1" x14ac:dyDescent="0.2">
      <c r="A175" s="109"/>
      <c r="B175" s="1851" t="s">
        <v>242</v>
      </c>
      <c r="C175" s="2568" t="s">
        <v>243</v>
      </c>
      <c r="D175" s="2556" t="s">
        <v>244</v>
      </c>
      <c r="E175" s="2557"/>
      <c r="F175" s="2558"/>
      <c r="G175" s="2559"/>
      <c r="H175" s="2556" t="s">
        <v>244</v>
      </c>
      <c r="I175" s="2557"/>
      <c r="J175" s="2558"/>
      <c r="K175" s="2559"/>
      <c r="L175" s="2556" t="s">
        <v>244</v>
      </c>
      <c r="M175" s="2557"/>
      <c r="N175" s="2557"/>
      <c r="O175" s="2559"/>
      <c r="P175" s="2556" t="s">
        <v>244</v>
      </c>
      <c r="Q175" s="2557"/>
      <c r="R175" s="2557"/>
      <c r="S175" s="2559"/>
      <c r="T175" s="2556" t="s">
        <v>226</v>
      </c>
      <c r="U175" s="2558"/>
      <c r="V175" s="2562"/>
      <c r="W175" s="2569"/>
      <c r="X175" s="2562"/>
      <c r="Y175" s="2562"/>
      <c r="Z175" s="2562"/>
      <c r="AA175" s="2561"/>
      <c r="AB175" s="2562"/>
      <c r="AC175" s="2562"/>
      <c r="AD175" s="2562"/>
      <c r="AE175" s="2561"/>
      <c r="AF175" s="2562"/>
      <c r="AG175" s="2562"/>
      <c r="AH175" s="2563"/>
      <c r="AI175" s="2564"/>
      <c r="AJ175" s="214"/>
    </row>
    <row r="176" spans="1:36" ht="22.15" customHeight="1" x14ac:dyDescent="0.2">
      <c r="A176" s="109"/>
      <c r="B176" s="1851" t="s">
        <v>245</v>
      </c>
      <c r="C176" s="2568" t="s">
        <v>246</v>
      </c>
      <c r="D176" s="2556" t="s">
        <v>244</v>
      </c>
      <c r="E176" s="2557"/>
      <c r="F176" s="2558"/>
      <c r="G176" s="2559"/>
      <c r="H176" s="2556" t="s">
        <v>244</v>
      </c>
      <c r="I176" s="2557"/>
      <c r="J176" s="2558"/>
      <c r="K176" s="2559"/>
      <c r="L176" s="2556" t="s">
        <v>244</v>
      </c>
      <c r="M176" s="2557"/>
      <c r="N176" s="2557"/>
      <c r="O176" s="2559"/>
      <c r="P176" s="2556" t="s">
        <v>244</v>
      </c>
      <c r="Q176" s="2557"/>
      <c r="R176" s="2557"/>
      <c r="S176" s="2559"/>
      <c r="T176" s="2556" t="s">
        <v>226</v>
      </c>
      <c r="U176" s="2558"/>
      <c r="V176" s="2562"/>
      <c r="W176" s="2569"/>
      <c r="X176" s="2562"/>
      <c r="Y176" s="2562"/>
      <c r="Z176" s="2560"/>
      <c r="AA176" s="2570"/>
      <c r="AB176" s="2562"/>
      <c r="AC176" s="2562"/>
      <c r="AD176" s="2562"/>
      <c r="AE176" s="2561"/>
      <c r="AF176" s="2562"/>
      <c r="AG176" s="2562"/>
      <c r="AH176" s="2563"/>
      <c r="AI176" s="2564"/>
      <c r="AJ176" s="214"/>
    </row>
    <row r="177" spans="1:36" ht="22.15" customHeight="1" thickBot="1" x14ac:dyDescent="0.25">
      <c r="A177" s="109"/>
      <c r="B177" s="1851" t="s">
        <v>247</v>
      </c>
      <c r="C177" s="2568" t="s">
        <v>248</v>
      </c>
      <c r="D177" s="2556" t="s">
        <v>244</v>
      </c>
      <c r="E177" s="2557"/>
      <c r="F177" s="2558"/>
      <c r="G177" s="2559"/>
      <c r="H177" s="2556" t="s">
        <v>244</v>
      </c>
      <c r="I177" s="2557"/>
      <c r="J177" s="2558"/>
      <c r="K177" s="2559"/>
      <c r="L177" s="2556" t="s">
        <v>244</v>
      </c>
      <c r="M177" s="2557"/>
      <c r="N177" s="2557"/>
      <c r="O177" s="2559"/>
      <c r="P177" s="2556" t="s">
        <v>244</v>
      </c>
      <c r="Q177" s="2557"/>
      <c r="R177" s="2557"/>
      <c r="S177" s="2559"/>
      <c r="T177" s="2556" t="s">
        <v>226</v>
      </c>
      <c r="U177" s="2558"/>
      <c r="V177" s="2571"/>
      <c r="W177" s="2572"/>
      <c r="X177" s="2571"/>
      <c r="Y177" s="2571"/>
      <c r="Z177" s="2573"/>
      <c r="AA177" s="2574"/>
      <c r="AB177" s="2571"/>
      <c r="AC177" s="2571"/>
      <c r="AD177" s="2571"/>
      <c r="AE177" s="2575"/>
      <c r="AF177" s="2571"/>
      <c r="AG177" s="2571"/>
      <c r="AH177" s="2576"/>
      <c r="AI177" s="2577"/>
      <c r="AJ177" s="214"/>
    </row>
    <row r="178" spans="1:36" ht="22.15" customHeight="1" x14ac:dyDescent="0.2">
      <c r="A178" s="109"/>
      <c r="B178" s="240"/>
      <c r="C178" s="241"/>
      <c r="D178" s="242"/>
      <c r="E178" s="243"/>
      <c r="F178" s="243"/>
      <c r="G178" s="244"/>
      <c r="H178" s="242"/>
      <c r="I178" s="243"/>
      <c r="J178" s="243"/>
      <c r="K178" s="244"/>
      <c r="L178" s="242"/>
      <c r="M178" s="243"/>
      <c r="N178" s="243"/>
      <c r="O178" s="244"/>
      <c r="P178" s="228"/>
      <c r="Q178" s="243"/>
      <c r="R178" s="243"/>
      <c r="S178" s="244"/>
      <c r="T178" s="228"/>
      <c r="U178" s="243"/>
      <c r="V178" s="243"/>
      <c r="W178" s="243"/>
      <c r="X178" s="243"/>
      <c r="Y178" s="243"/>
      <c r="Z178" s="243"/>
      <c r="AA178" s="244"/>
      <c r="AB178" s="243"/>
      <c r="AC178" s="243"/>
      <c r="AD178" s="243"/>
      <c r="AE178" s="244"/>
      <c r="AF178" s="243"/>
      <c r="AG178" s="243"/>
      <c r="AH178" s="215"/>
      <c r="AI178" s="215"/>
      <c r="AJ178" s="214"/>
    </row>
    <row r="179" spans="1:36" ht="22.15" customHeight="1" thickBot="1" x14ac:dyDescent="0.25">
      <c r="A179" s="148"/>
      <c r="B179" s="2578" t="s">
        <v>29</v>
      </c>
      <c r="C179" s="2362">
        <v>1</v>
      </c>
      <c r="D179" s="2362">
        <v>2</v>
      </c>
      <c r="E179" s="2362">
        <v>3</v>
      </c>
      <c r="F179" s="2362">
        <v>4</v>
      </c>
      <c r="G179" s="2362">
        <v>5</v>
      </c>
      <c r="H179" s="2363">
        <v>6</v>
      </c>
      <c r="I179" s="2363">
        <v>7</v>
      </c>
      <c r="J179" s="2362">
        <v>8</v>
      </c>
      <c r="K179" s="2362">
        <v>9</v>
      </c>
      <c r="L179" s="2362">
        <v>10</v>
      </c>
      <c r="M179" s="2362">
        <v>11</v>
      </c>
      <c r="N179" s="2362">
        <v>12</v>
      </c>
      <c r="O179" s="2363">
        <v>13</v>
      </c>
      <c r="P179" s="2363">
        <v>14</v>
      </c>
      <c r="Q179" s="2362">
        <v>15</v>
      </c>
      <c r="R179" s="2362">
        <v>16</v>
      </c>
      <c r="S179" s="2362">
        <v>17</v>
      </c>
      <c r="T179" s="2362">
        <v>18</v>
      </c>
      <c r="U179" s="2362">
        <v>19</v>
      </c>
      <c r="V179" s="2363">
        <v>20</v>
      </c>
      <c r="W179" s="2363">
        <v>21</v>
      </c>
      <c r="X179" s="2362">
        <v>22</v>
      </c>
      <c r="Y179" s="2362">
        <v>23</v>
      </c>
      <c r="Z179" s="2362">
        <v>24</v>
      </c>
      <c r="AA179" s="2362">
        <v>25</v>
      </c>
      <c r="AB179" s="2362">
        <v>26</v>
      </c>
      <c r="AC179" s="2363">
        <v>27</v>
      </c>
      <c r="AD179" s="2363">
        <v>28</v>
      </c>
      <c r="AE179" s="2362"/>
      <c r="AF179" s="2362"/>
      <c r="AG179" s="2364"/>
      <c r="AH179" s="195"/>
      <c r="AI179" s="185"/>
    </row>
    <row r="180" spans="1:36" ht="22.15" customHeight="1" x14ac:dyDescent="0.2">
      <c r="A180" s="109"/>
      <c r="B180" s="411" t="s">
        <v>249</v>
      </c>
      <c r="C180" s="385" t="s">
        <v>216</v>
      </c>
      <c r="D180" s="385" t="s">
        <v>216</v>
      </c>
      <c r="E180" s="385" t="s">
        <v>216</v>
      </c>
      <c r="F180" s="385" t="s">
        <v>216</v>
      </c>
      <c r="G180" s="385" t="s">
        <v>216</v>
      </c>
      <c r="H180" s="385"/>
      <c r="I180" s="385"/>
      <c r="J180" s="385" t="s">
        <v>216</v>
      </c>
      <c r="K180" s="385" t="s">
        <v>216</v>
      </c>
      <c r="L180" s="385" t="s">
        <v>216</v>
      </c>
      <c r="M180" s="385" t="s">
        <v>216</v>
      </c>
      <c r="N180" s="385" t="s">
        <v>216</v>
      </c>
      <c r="O180" s="385"/>
      <c r="P180" s="385"/>
      <c r="Q180" s="385" t="s">
        <v>216</v>
      </c>
      <c r="R180" s="385" t="s">
        <v>216</v>
      </c>
      <c r="S180" s="385" t="s">
        <v>216</v>
      </c>
      <c r="T180" s="385" t="s">
        <v>216</v>
      </c>
      <c r="U180" s="385" t="s">
        <v>216</v>
      </c>
      <c r="V180" s="385"/>
      <c r="W180" s="385"/>
      <c r="X180" s="385" t="s">
        <v>216</v>
      </c>
      <c r="Y180" s="385" t="s">
        <v>216</v>
      </c>
      <c r="Z180" s="385" t="s">
        <v>216</v>
      </c>
      <c r="AA180" s="385" t="s">
        <v>216</v>
      </c>
      <c r="AB180" s="385" t="s">
        <v>216</v>
      </c>
      <c r="AC180" s="385"/>
      <c r="AD180" s="385"/>
      <c r="AE180" s="385"/>
      <c r="AF180" s="385"/>
      <c r="AG180" s="412"/>
      <c r="AH180" s="190"/>
      <c r="AI180" s="190"/>
    </row>
    <row r="181" spans="1:36" ht="22.15" customHeight="1" x14ac:dyDescent="0.2">
      <c r="A181" s="109"/>
      <c r="B181" s="2579" t="s">
        <v>250</v>
      </c>
      <c r="C181" s="2261" t="s">
        <v>216</v>
      </c>
      <c r="D181" s="2261" t="s">
        <v>216</v>
      </c>
      <c r="E181" s="2261" t="s">
        <v>216</v>
      </c>
      <c r="F181" s="2261" t="s">
        <v>216</v>
      </c>
      <c r="G181" s="2261" t="s">
        <v>216</v>
      </c>
      <c r="H181" s="2261"/>
      <c r="I181" s="2261"/>
      <c r="J181" s="2261" t="s">
        <v>216</v>
      </c>
      <c r="K181" s="2261" t="s">
        <v>216</v>
      </c>
      <c r="L181" s="2261" t="s">
        <v>216</v>
      </c>
      <c r="M181" s="2261" t="s">
        <v>216</v>
      </c>
      <c r="N181" s="2261" t="s">
        <v>216</v>
      </c>
      <c r="O181" s="2261"/>
      <c r="P181" s="2261"/>
      <c r="Q181" s="2261" t="s">
        <v>216</v>
      </c>
      <c r="R181" s="2261" t="s">
        <v>216</v>
      </c>
      <c r="S181" s="2261" t="s">
        <v>216</v>
      </c>
      <c r="T181" s="2261" t="s">
        <v>216</v>
      </c>
      <c r="U181" s="2261" t="s">
        <v>216</v>
      </c>
      <c r="V181" s="2261"/>
      <c r="W181" s="2261"/>
      <c r="X181" s="2261" t="s">
        <v>216</v>
      </c>
      <c r="Y181" s="2261" t="s">
        <v>216</v>
      </c>
      <c r="Z181" s="2261" t="s">
        <v>216</v>
      </c>
      <c r="AA181" s="2261" t="s">
        <v>216</v>
      </c>
      <c r="AB181" s="2261" t="s">
        <v>216</v>
      </c>
      <c r="AC181" s="2261"/>
      <c r="AD181" s="2261"/>
      <c r="AE181" s="2261"/>
      <c r="AF181" s="2261"/>
      <c r="AG181" s="2156"/>
      <c r="AH181" s="190"/>
      <c r="AI181" s="190"/>
    </row>
    <row r="182" spans="1:36" ht="22.15" customHeight="1" x14ac:dyDescent="0.2">
      <c r="A182" s="109"/>
      <c r="B182" s="2579" t="s">
        <v>251</v>
      </c>
      <c r="C182" s="2261" t="s">
        <v>220</v>
      </c>
      <c r="D182" s="2261" t="s">
        <v>220</v>
      </c>
      <c r="E182" s="2261" t="s">
        <v>220</v>
      </c>
      <c r="F182" s="2261" t="s">
        <v>220</v>
      </c>
      <c r="G182" s="2261" t="s">
        <v>220</v>
      </c>
      <c r="H182" s="2261"/>
      <c r="I182" s="2261"/>
      <c r="J182" s="2261" t="s">
        <v>220</v>
      </c>
      <c r="K182" s="2261" t="s">
        <v>220</v>
      </c>
      <c r="L182" s="2261" t="s">
        <v>220</v>
      </c>
      <c r="M182" s="2261" t="s">
        <v>220</v>
      </c>
      <c r="N182" s="2261" t="s">
        <v>220</v>
      </c>
      <c r="O182" s="2261"/>
      <c r="P182" s="2261"/>
      <c r="Q182" s="2261" t="s">
        <v>220</v>
      </c>
      <c r="R182" s="2261" t="s">
        <v>220</v>
      </c>
      <c r="S182" s="2261" t="s">
        <v>220</v>
      </c>
      <c r="T182" s="2261" t="s">
        <v>220</v>
      </c>
      <c r="U182" s="2261" t="s">
        <v>220</v>
      </c>
      <c r="V182" s="2261"/>
      <c r="W182" s="2261"/>
      <c r="X182" s="2261" t="s">
        <v>220</v>
      </c>
      <c r="Y182" s="2261" t="s">
        <v>220</v>
      </c>
      <c r="Z182" s="2261" t="s">
        <v>220</v>
      </c>
      <c r="AA182" s="2261" t="s">
        <v>220</v>
      </c>
      <c r="AB182" s="2261" t="s">
        <v>220</v>
      </c>
      <c r="AC182" s="2261"/>
      <c r="AD182" s="2261"/>
      <c r="AE182" s="2261"/>
      <c r="AF182" s="2261"/>
      <c r="AG182" s="2156"/>
      <c r="AH182" s="190"/>
      <c r="AI182" s="190"/>
    </row>
    <row r="183" spans="1:36" ht="22.15" customHeight="1" x14ac:dyDescent="0.2">
      <c r="A183" s="109"/>
      <c r="B183" s="2579" t="s">
        <v>252</v>
      </c>
      <c r="C183" s="2261" t="s">
        <v>158</v>
      </c>
      <c r="D183" s="2261" t="s">
        <v>158</v>
      </c>
      <c r="E183" s="2261" t="s">
        <v>158</v>
      </c>
      <c r="F183" s="2261" t="s">
        <v>158</v>
      </c>
      <c r="G183" s="2261" t="s">
        <v>158</v>
      </c>
      <c r="H183" s="2261"/>
      <c r="I183" s="2261"/>
      <c r="J183" s="2261" t="s">
        <v>158</v>
      </c>
      <c r="K183" s="2261" t="s">
        <v>158</v>
      </c>
      <c r="L183" s="2261" t="s">
        <v>158</v>
      </c>
      <c r="M183" s="2261" t="s">
        <v>158</v>
      </c>
      <c r="N183" s="2261" t="s">
        <v>158</v>
      </c>
      <c r="O183" s="2261"/>
      <c r="P183" s="2261"/>
      <c r="Q183" s="2228" t="s">
        <v>158</v>
      </c>
      <c r="R183" s="2228" t="s">
        <v>158</v>
      </c>
      <c r="S183" s="2228" t="s">
        <v>158</v>
      </c>
      <c r="T183" s="2228" t="s">
        <v>158</v>
      </c>
      <c r="U183" s="2228" t="s">
        <v>158</v>
      </c>
      <c r="V183" s="2228"/>
      <c r="W183" s="2228"/>
      <c r="X183" s="2261" t="s">
        <v>158</v>
      </c>
      <c r="Y183" s="2261" t="s">
        <v>158</v>
      </c>
      <c r="Z183" s="2261" t="s">
        <v>158</v>
      </c>
      <c r="AA183" s="2261" t="s">
        <v>158</v>
      </c>
      <c r="AB183" s="2261" t="s">
        <v>158</v>
      </c>
      <c r="AC183" s="2261"/>
      <c r="AD183" s="2261"/>
      <c r="AE183" s="2261"/>
      <c r="AF183" s="2261"/>
      <c r="AG183" s="2156"/>
      <c r="AH183" s="190"/>
      <c r="AI183" s="190"/>
    </row>
    <row r="184" spans="1:36" ht="22.15" customHeight="1" x14ac:dyDescent="0.2">
      <c r="A184" s="109"/>
      <c r="B184" s="2142" t="s">
        <v>253</v>
      </c>
      <c r="C184" s="2261" t="s">
        <v>223</v>
      </c>
      <c r="D184" s="2261" t="s">
        <v>223</v>
      </c>
      <c r="E184" s="2261" t="s">
        <v>223</v>
      </c>
      <c r="F184" s="2261" t="s">
        <v>223</v>
      </c>
      <c r="G184" s="2261" t="s">
        <v>223</v>
      </c>
      <c r="H184" s="2261"/>
      <c r="I184" s="2261"/>
      <c r="J184" s="2261" t="s">
        <v>223</v>
      </c>
      <c r="K184" s="2261" t="s">
        <v>223</v>
      </c>
      <c r="L184" s="2261" t="s">
        <v>223</v>
      </c>
      <c r="M184" s="2261" t="s">
        <v>223</v>
      </c>
      <c r="N184" s="2261" t="s">
        <v>223</v>
      </c>
      <c r="O184" s="2261"/>
      <c r="P184" s="2261"/>
      <c r="Q184" s="2261" t="s">
        <v>223</v>
      </c>
      <c r="R184" s="2261" t="s">
        <v>223</v>
      </c>
      <c r="S184" s="2261" t="s">
        <v>223</v>
      </c>
      <c r="T184" s="2261" t="s">
        <v>223</v>
      </c>
      <c r="U184" s="2261" t="s">
        <v>223</v>
      </c>
      <c r="V184" s="2261"/>
      <c r="W184" s="2261"/>
      <c r="X184" s="2261" t="s">
        <v>223</v>
      </c>
      <c r="Y184" s="2261" t="s">
        <v>223</v>
      </c>
      <c r="Z184" s="2261" t="s">
        <v>223</v>
      </c>
      <c r="AA184" s="2261" t="s">
        <v>223</v>
      </c>
      <c r="AB184" s="2261" t="s">
        <v>223</v>
      </c>
      <c r="AC184" s="2261"/>
      <c r="AD184" s="2261"/>
      <c r="AE184" s="2261"/>
      <c r="AF184" s="2261"/>
      <c r="AG184" s="2156"/>
      <c r="AH184" s="190"/>
      <c r="AI184" s="190"/>
    </row>
    <row r="185" spans="1:36" ht="22.15" customHeight="1" x14ac:dyDescent="0.2">
      <c r="A185" s="109"/>
      <c r="B185" s="2579" t="s">
        <v>433</v>
      </c>
      <c r="C185" s="2261" t="s">
        <v>228</v>
      </c>
      <c r="D185" s="2261" t="s">
        <v>228</v>
      </c>
      <c r="E185" s="2261" t="s">
        <v>228</v>
      </c>
      <c r="F185" s="2261" t="s">
        <v>228</v>
      </c>
      <c r="G185" s="2261" t="s">
        <v>228</v>
      </c>
      <c r="H185" s="2261"/>
      <c r="I185" s="2261"/>
      <c r="J185" s="2261" t="s">
        <v>228</v>
      </c>
      <c r="K185" s="2261" t="s">
        <v>228</v>
      </c>
      <c r="L185" s="2261" t="s">
        <v>228</v>
      </c>
      <c r="M185" s="2261" t="s">
        <v>228</v>
      </c>
      <c r="N185" s="2261" t="s">
        <v>228</v>
      </c>
      <c r="O185" s="2261"/>
      <c r="P185" s="2261"/>
      <c r="Q185" s="2261" t="s">
        <v>228</v>
      </c>
      <c r="R185" s="2261" t="s">
        <v>228</v>
      </c>
      <c r="S185" s="2261" t="s">
        <v>228</v>
      </c>
      <c r="T185" s="2261" t="s">
        <v>228</v>
      </c>
      <c r="U185" s="2261" t="s">
        <v>228</v>
      </c>
      <c r="V185" s="2261"/>
      <c r="W185" s="2261"/>
      <c r="X185" s="2261" t="s">
        <v>228</v>
      </c>
      <c r="Y185" s="2261" t="s">
        <v>228</v>
      </c>
      <c r="Z185" s="2261" t="s">
        <v>228</v>
      </c>
      <c r="AA185" s="2261" t="s">
        <v>228</v>
      </c>
      <c r="AB185" s="2261" t="s">
        <v>228</v>
      </c>
      <c r="AC185" s="2261"/>
      <c r="AD185" s="2261"/>
      <c r="AE185" s="2261"/>
      <c r="AF185" s="2261"/>
      <c r="AG185" s="2156"/>
      <c r="AH185" s="190"/>
      <c r="AI185" s="190"/>
    </row>
    <row r="186" spans="1:36" ht="22.15" customHeight="1" x14ac:dyDescent="0.2">
      <c r="A186" s="109"/>
      <c r="B186" s="2579" t="s">
        <v>255</v>
      </c>
      <c r="C186" s="2222" t="s">
        <v>233</v>
      </c>
      <c r="D186" s="2222" t="s">
        <v>233</v>
      </c>
      <c r="E186" s="2222" t="s">
        <v>233</v>
      </c>
      <c r="F186" s="2222" t="s">
        <v>233</v>
      </c>
      <c r="G186" s="2222" t="s">
        <v>233</v>
      </c>
      <c r="H186" s="2222"/>
      <c r="I186" s="2222"/>
      <c r="J186" s="2222" t="s">
        <v>233</v>
      </c>
      <c r="K186" s="2222" t="s">
        <v>233</v>
      </c>
      <c r="L186" s="2222" t="s">
        <v>233</v>
      </c>
      <c r="M186" s="2222" t="s">
        <v>233</v>
      </c>
      <c r="N186" s="2222" t="s">
        <v>233</v>
      </c>
      <c r="O186" s="2222"/>
      <c r="P186" s="2222"/>
      <c r="Q186" s="2222" t="s">
        <v>233</v>
      </c>
      <c r="R186" s="2222" t="s">
        <v>233</v>
      </c>
      <c r="S186" s="2222" t="s">
        <v>233</v>
      </c>
      <c r="T186" s="2222" t="s">
        <v>233</v>
      </c>
      <c r="U186" s="2222" t="s">
        <v>233</v>
      </c>
      <c r="V186" s="2222"/>
      <c r="W186" s="2222"/>
      <c r="X186" s="2222" t="s">
        <v>233</v>
      </c>
      <c r="Y186" s="2222" t="s">
        <v>233</v>
      </c>
      <c r="Z186" s="2222" t="s">
        <v>233</v>
      </c>
      <c r="AA186" s="2222" t="s">
        <v>233</v>
      </c>
      <c r="AB186" s="2222" t="s">
        <v>233</v>
      </c>
      <c r="AC186" s="2261"/>
      <c r="AD186" s="2261"/>
      <c r="AE186" s="2261"/>
      <c r="AF186" s="2141"/>
      <c r="AG186" s="2156"/>
      <c r="AH186" s="190"/>
      <c r="AI186" s="190"/>
    </row>
    <row r="187" spans="1:36" ht="22.15" customHeight="1" x14ac:dyDescent="0.2">
      <c r="A187" s="109"/>
      <c r="B187" s="2235" t="s">
        <v>256</v>
      </c>
      <c r="C187" s="2261" t="s">
        <v>235</v>
      </c>
      <c r="D187" s="2261" t="s">
        <v>235</v>
      </c>
      <c r="E187" s="2261" t="s">
        <v>235</v>
      </c>
      <c r="F187" s="2261" t="s">
        <v>235</v>
      </c>
      <c r="G187" s="2261" t="s">
        <v>235</v>
      </c>
      <c r="H187" s="2261"/>
      <c r="I187" s="2261"/>
      <c r="J187" s="2261" t="s">
        <v>235</v>
      </c>
      <c r="K187" s="2261" t="s">
        <v>235</v>
      </c>
      <c r="L187" s="2261" t="s">
        <v>235</v>
      </c>
      <c r="M187" s="2261" t="s">
        <v>235</v>
      </c>
      <c r="N187" s="2261" t="s">
        <v>235</v>
      </c>
      <c r="O187" s="2261"/>
      <c r="P187" s="2261"/>
      <c r="Q187" s="2261" t="s">
        <v>235</v>
      </c>
      <c r="R187" s="2261" t="s">
        <v>235</v>
      </c>
      <c r="S187" s="2261" t="s">
        <v>235</v>
      </c>
      <c r="T187" s="2261" t="s">
        <v>235</v>
      </c>
      <c r="U187" s="2261" t="s">
        <v>235</v>
      </c>
      <c r="V187" s="2261"/>
      <c r="W187" s="2261"/>
      <c r="X187" s="2261" t="s">
        <v>235</v>
      </c>
      <c r="Y187" s="2261" t="s">
        <v>235</v>
      </c>
      <c r="Z187" s="2261" t="s">
        <v>235</v>
      </c>
      <c r="AA187" s="2261" t="s">
        <v>235</v>
      </c>
      <c r="AB187" s="2261" t="s">
        <v>235</v>
      </c>
      <c r="AC187" s="2261"/>
      <c r="AD187" s="2261"/>
      <c r="AE187" s="2261"/>
      <c r="AF187" s="2261"/>
      <c r="AG187" s="2156"/>
      <c r="AH187" s="190"/>
      <c r="AI187" s="190"/>
    </row>
    <row r="188" spans="1:36" ht="22.15" customHeight="1" x14ac:dyDescent="0.2">
      <c r="A188" s="109"/>
      <c r="B188" s="2579" t="s">
        <v>257</v>
      </c>
      <c r="C188" s="2261" t="s">
        <v>236</v>
      </c>
      <c r="D188" s="2261" t="s">
        <v>236</v>
      </c>
      <c r="E188" s="2261" t="s">
        <v>236</v>
      </c>
      <c r="F188" s="2261" t="s">
        <v>236</v>
      </c>
      <c r="G188" s="2261" t="s">
        <v>236</v>
      </c>
      <c r="H188" s="2261"/>
      <c r="I188" s="2261"/>
      <c r="J188" s="2261" t="s">
        <v>236</v>
      </c>
      <c r="K188" s="2261" t="s">
        <v>236</v>
      </c>
      <c r="L188" s="2261" t="s">
        <v>236</v>
      </c>
      <c r="M188" s="2261" t="s">
        <v>236</v>
      </c>
      <c r="N188" s="2261" t="s">
        <v>236</v>
      </c>
      <c r="O188" s="2261"/>
      <c r="P188" s="2261"/>
      <c r="Q188" s="2261" t="s">
        <v>236</v>
      </c>
      <c r="R188" s="2261" t="s">
        <v>236</v>
      </c>
      <c r="S188" s="2261" t="s">
        <v>236</v>
      </c>
      <c r="T188" s="2261" t="s">
        <v>236</v>
      </c>
      <c r="U188" s="2261" t="s">
        <v>236</v>
      </c>
      <c r="V188" s="2261"/>
      <c r="W188" s="2261"/>
      <c r="X188" s="2580" t="s">
        <v>236</v>
      </c>
      <c r="Y188" s="2261" t="s">
        <v>236</v>
      </c>
      <c r="Z188" s="2261" t="s">
        <v>236</v>
      </c>
      <c r="AA188" s="2261" t="s">
        <v>236</v>
      </c>
      <c r="AB188" s="2261" t="s">
        <v>236</v>
      </c>
      <c r="AC188" s="2261"/>
      <c r="AD188" s="2261"/>
      <c r="AE188" s="2261"/>
      <c r="AF188" s="2261"/>
      <c r="AG188" s="2156"/>
      <c r="AH188" s="190"/>
      <c r="AI188" s="190"/>
    </row>
    <row r="189" spans="1:36" ht="22.15" customHeight="1" x14ac:dyDescent="0.2">
      <c r="A189" s="109"/>
      <c r="B189" s="2579" t="s">
        <v>258</v>
      </c>
      <c r="C189" s="2261" t="s">
        <v>238</v>
      </c>
      <c r="D189" s="2261" t="s">
        <v>238</v>
      </c>
      <c r="E189" s="2261" t="s">
        <v>238</v>
      </c>
      <c r="F189" s="2261" t="s">
        <v>238</v>
      </c>
      <c r="G189" s="2261" t="s">
        <v>238</v>
      </c>
      <c r="H189" s="2261"/>
      <c r="I189" s="2261"/>
      <c r="J189" s="2261" t="s">
        <v>238</v>
      </c>
      <c r="K189" s="2261" t="s">
        <v>238</v>
      </c>
      <c r="L189" s="2261" t="s">
        <v>238</v>
      </c>
      <c r="M189" s="2261" t="s">
        <v>238</v>
      </c>
      <c r="N189" s="2261" t="s">
        <v>238</v>
      </c>
      <c r="O189" s="2261"/>
      <c r="P189" s="2261"/>
      <c r="Q189" s="2261" t="s">
        <v>238</v>
      </c>
      <c r="R189" s="2261" t="s">
        <v>238</v>
      </c>
      <c r="S189" s="2261" t="s">
        <v>238</v>
      </c>
      <c r="T189" s="2261" t="s">
        <v>238</v>
      </c>
      <c r="U189" s="2261" t="s">
        <v>238</v>
      </c>
      <c r="V189" s="2261"/>
      <c r="W189" s="2261"/>
      <c r="X189" s="2261" t="s">
        <v>238</v>
      </c>
      <c r="Y189" s="2261" t="s">
        <v>238</v>
      </c>
      <c r="Z189" s="2261" t="s">
        <v>238</v>
      </c>
      <c r="AA189" s="2261" t="s">
        <v>238</v>
      </c>
      <c r="AB189" s="2261" t="s">
        <v>238</v>
      </c>
      <c r="AC189" s="2261"/>
      <c r="AD189" s="2261"/>
      <c r="AE189" s="2261"/>
      <c r="AF189" s="2261"/>
      <c r="AG189" s="2156"/>
      <c r="AH189" s="190"/>
      <c r="AI189" s="190"/>
    </row>
    <row r="190" spans="1:36" ht="22.15" customHeight="1" x14ac:dyDescent="0.2">
      <c r="A190" s="109"/>
      <c r="B190" s="2235" t="s">
        <v>260</v>
      </c>
      <c r="C190" s="2261" t="s">
        <v>80</v>
      </c>
      <c r="D190" s="2261" t="s">
        <v>80</v>
      </c>
      <c r="E190" s="2261" t="s">
        <v>80</v>
      </c>
      <c r="F190" s="2261" t="s">
        <v>80</v>
      </c>
      <c r="G190" s="2261" t="s">
        <v>80</v>
      </c>
      <c r="H190" s="2261"/>
      <c r="I190" s="2261"/>
      <c r="J190" s="2261" t="s">
        <v>80</v>
      </c>
      <c r="K190" s="2261" t="s">
        <v>80</v>
      </c>
      <c r="L190" s="2261" t="s">
        <v>80</v>
      </c>
      <c r="M190" s="2261" t="s">
        <v>80</v>
      </c>
      <c r="N190" s="2261" t="s">
        <v>80</v>
      </c>
      <c r="O190" s="2261"/>
      <c r="P190" s="2261"/>
      <c r="Q190" s="2261" t="s">
        <v>80</v>
      </c>
      <c r="R190" s="2261" t="s">
        <v>80</v>
      </c>
      <c r="S190" s="2261" t="s">
        <v>80</v>
      </c>
      <c r="T190" s="2261" t="s">
        <v>80</v>
      </c>
      <c r="U190" s="2261" t="s">
        <v>80</v>
      </c>
      <c r="V190" s="2261"/>
      <c r="W190" s="2261"/>
      <c r="X190" s="2261" t="s">
        <v>80</v>
      </c>
      <c r="Y190" s="2261" t="s">
        <v>80</v>
      </c>
      <c r="Z190" s="2261" t="s">
        <v>80</v>
      </c>
      <c r="AA190" s="2261" t="s">
        <v>80</v>
      </c>
      <c r="AB190" s="2261" t="s">
        <v>80</v>
      </c>
      <c r="AC190" s="2261"/>
      <c r="AD190" s="2261"/>
      <c r="AE190" s="2230"/>
      <c r="AF190" s="2261"/>
      <c r="AG190" s="2156"/>
      <c r="AH190" s="190"/>
      <c r="AI190" s="190"/>
    </row>
    <row r="191" spans="1:36" ht="22.15" customHeight="1" x14ac:dyDescent="0.2">
      <c r="A191" s="109"/>
      <c r="B191" s="2579" t="s">
        <v>261</v>
      </c>
      <c r="C191" s="2261" t="s">
        <v>132</v>
      </c>
      <c r="D191" s="2261" t="s">
        <v>132</v>
      </c>
      <c r="E191" s="2261" t="s">
        <v>132</v>
      </c>
      <c r="F191" s="2261" t="s">
        <v>132</v>
      </c>
      <c r="G191" s="2261" t="s">
        <v>132</v>
      </c>
      <c r="H191" s="2261"/>
      <c r="I191" s="2261"/>
      <c r="J191" s="2261" t="s">
        <v>132</v>
      </c>
      <c r="K191" s="2261" t="s">
        <v>132</v>
      </c>
      <c r="L191" s="2261" t="s">
        <v>132</v>
      </c>
      <c r="M191" s="2261" t="s">
        <v>132</v>
      </c>
      <c r="N191" s="2261" t="s">
        <v>132</v>
      </c>
      <c r="O191" s="2261"/>
      <c r="P191" s="2261"/>
      <c r="Q191" s="2261" t="s">
        <v>132</v>
      </c>
      <c r="R191" s="2261" t="s">
        <v>132</v>
      </c>
      <c r="S191" s="2261" t="s">
        <v>132</v>
      </c>
      <c r="T191" s="2261" t="s">
        <v>132</v>
      </c>
      <c r="U191" s="2261" t="s">
        <v>132</v>
      </c>
      <c r="V191" s="2261"/>
      <c r="W191" s="2261"/>
      <c r="X191" s="2261" t="s">
        <v>132</v>
      </c>
      <c r="Y191" s="2261" t="s">
        <v>132</v>
      </c>
      <c r="Z191" s="2261" t="s">
        <v>132</v>
      </c>
      <c r="AA191" s="2261" t="s">
        <v>132</v>
      </c>
      <c r="AB191" s="2261" t="s">
        <v>132</v>
      </c>
      <c r="AC191" s="2261"/>
      <c r="AD191" s="2261"/>
      <c r="AE191" s="2261"/>
      <c r="AF191" s="2261"/>
      <c r="AG191" s="2156"/>
      <c r="AH191" s="190"/>
      <c r="AI191" s="190"/>
    </row>
    <row r="192" spans="1:36" ht="22.15" customHeight="1" x14ac:dyDescent="0.2">
      <c r="A192" s="109"/>
      <c r="B192" s="2235" t="s">
        <v>0</v>
      </c>
      <c r="C192" s="2261" t="s">
        <v>243</v>
      </c>
      <c r="D192" s="2261" t="s">
        <v>243</v>
      </c>
      <c r="E192" s="2261" t="s">
        <v>243</v>
      </c>
      <c r="F192" s="2261" t="s">
        <v>243</v>
      </c>
      <c r="G192" s="2261" t="s">
        <v>243</v>
      </c>
      <c r="H192" s="2261"/>
      <c r="I192" s="2261"/>
      <c r="J192" s="2261" t="s">
        <v>243</v>
      </c>
      <c r="K192" s="2261" t="s">
        <v>243</v>
      </c>
      <c r="L192" s="2261" t="s">
        <v>243</v>
      </c>
      <c r="M192" s="2261" t="s">
        <v>243</v>
      </c>
      <c r="N192" s="2261" t="s">
        <v>243</v>
      </c>
      <c r="O192" s="2261"/>
      <c r="P192" s="2261"/>
      <c r="Q192" s="2261" t="s">
        <v>243</v>
      </c>
      <c r="R192" s="2261" t="s">
        <v>243</v>
      </c>
      <c r="S192" s="2261" t="s">
        <v>243</v>
      </c>
      <c r="T192" s="2261" t="s">
        <v>243</v>
      </c>
      <c r="U192" s="2261" t="s">
        <v>243</v>
      </c>
      <c r="V192" s="2261"/>
      <c r="W192" s="2261"/>
      <c r="X192" s="2261" t="s">
        <v>243</v>
      </c>
      <c r="Y192" s="2261" t="s">
        <v>243</v>
      </c>
      <c r="Z192" s="2261" t="s">
        <v>243</v>
      </c>
      <c r="AA192" s="2261" t="s">
        <v>243</v>
      </c>
      <c r="AB192" s="2261" t="s">
        <v>243</v>
      </c>
      <c r="AC192" s="2261"/>
      <c r="AD192" s="2261"/>
      <c r="AE192" s="2261"/>
      <c r="AF192" s="2261"/>
      <c r="AG192" s="2156"/>
      <c r="AH192" s="190"/>
      <c r="AI192" s="190"/>
    </row>
    <row r="193" spans="1:35" ht="22.15" customHeight="1" x14ac:dyDescent="0.2">
      <c r="A193" s="109"/>
      <c r="B193" s="2235" t="s">
        <v>263</v>
      </c>
      <c r="C193" s="2261" t="s">
        <v>246</v>
      </c>
      <c r="D193" s="2261" t="s">
        <v>246</v>
      </c>
      <c r="E193" s="2261" t="s">
        <v>246</v>
      </c>
      <c r="F193" s="2261" t="s">
        <v>246</v>
      </c>
      <c r="G193" s="2261" t="s">
        <v>246</v>
      </c>
      <c r="H193" s="2261"/>
      <c r="I193" s="2261"/>
      <c r="J193" s="2261" t="s">
        <v>246</v>
      </c>
      <c r="K193" s="2261" t="s">
        <v>246</v>
      </c>
      <c r="L193" s="2261" t="s">
        <v>246</v>
      </c>
      <c r="M193" s="2261" t="s">
        <v>246</v>
      </c>
      <c r="N193" s="2261" t="s">
        <v>246</v>
      </c>
      <c r="O193" s="2261"/>
      <c r="P193" s="2261"/>
      <c r="Q193" s="2261" t="s">
        <v>246</v>
      </c>
      <c r="R193" s="2261" t="s">
        <v>246</v>
      </c>
      <c r="S193" s="2261" t="s">
        <v>246</v>
      </c>
      <c r="T193" s="2261" t="s">
        <v>246</v>
      </c>
      <c r="U193" s="2261" t="s">
        <v>246</v>
      </c>
      <c r="V193" s="2261"/>
      <c r="W193" s="2261"/>
      <c r="X193" s="2261" t="s">
        <v>246</v>
      </c>
      <c r="Y193" s="2261" t="s">
        <v>246</v>
      </c>
      <c r="Z193" s="2261" t="s">
        <v>246</v>
      </c>
      <c r="AA193" s="2261" t="s">
        <v>246</v>
      </c>
      <c r="AB193" s="2261" t="s">
        <v>246</v>
      </c>
      <c r="AC193" s="2261"/>
      <c r="AD193" s="2261"/>
      <c r="AE193" s="2261"/>
      <c r="AF193" s="2261"/>
      <c r="AG193" s="2156"/>
      <c r="AH193" s="107"/>
      <c r="AI193" s="107"/>
    </row>
    <row r="194" spans="1:35" ht="21" customHeight="1" thickBot="1" x14ac:dyDescent="0.25">
      <c r="A194" s="148"/>
      <c r="B194" s="692" t="s">
        <v>264</v>
      </c>
      <c r="C194" s="696" t="s">
        <v>248</v>
      </c>
      <c r="D194" s="696" t="s">
        <v>248</v>
      </c>
      <c r="E194" s="696" t="s">
        <v>248</v>
      </c>
      <c r="F194" s="696" t="s">
        <v>248</v>
      </c>
      <c r="G194" s="696" t="s">
        <v>248</v>
      </c>
      <c r="H194" s="696"/>
      <c r="I194" s="696"/>
      <c r="J194" s="696" t="s">
        <v>248</v>
      </c>
      <c r="K194" s="696" t="s">
        <v>248</v>
      </c>
      <c r="L194" s="696" t="s">
        <v>248</v>
      </c>
      <c r="M194" s="696" t="s">
        <v>248</v>
      </c>
      <c r="N194" s="696" t="s">
        <v>248</v>
      </c>
      <c r="O194" s="696"/>
      <c r="P194" s="696"/>
      <c r="Q194" s="2581" t="s">
        <v>248</v>
      </c>
      <c r="R194" s="2581" t="s">
        <v>248</v>
      </c>
      <c r="S194" s="2581" t="s">
        <v>248</v>
      </c>
      <c r="T194" s="2581" t="s">
        <v>248</v>
      </c>
      <c r="U194" s="2581" t="s">
        <v>248</v>
      </c>
      <c r="V194" s="2581"/>
      <c r="W194" s="2581"/>
      <c r="X194" s="696" t="s">
        <v>248</v>
      </c>
      <c r="Y194" s="696" t="s">
        <v>248</v>
      </c>
      <c r="Z194" s="696" t="s">
        <v>248</v>
      </c>
      <c r="AA194" s="696" t="s">
        <v>248</v>
      </c>
      <c r="AB194" s="696" t="s">
        <v>248</v>
      </c>
      <c r="AC194" s="696"/>
      <c r="AD194" s="696"/>
      <c r="AE194" s="696"/>
      <c r="AF194" s="696"/>
      <c r="AG194" s="217"/>
      <c r="AH194" s="115"/>
    </row>
    <row r="195" spans="1:35" ht="21" customHeight="1" x14ac:dyDescent="0.2">
      <c r="A195" s="148"/>
      <c r="B195" s="257"/>
      <c r="C195" s="255"/>
      <c r="D195" s="255"/>
      <c r="E195" s="255"/>
      <c r="F195" s="255"/>
      <c r="G195" s="255"/>
      <c r="H195" s="255"/>
      <c r="I195" s="255"/>
      <c r="J195" s="255"/>
      <c r="K195" s="255"/>
      <c r="L195" s="255"/>
      <c r="M195" s="255"/>
      <c r="N195" s="255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255"/>
      <c r="AC195" s="255"/>
      <c r="AD195" s="255"/>
      <c r="AE195" s="255"/>
      <c r="AF195" s="255"/>
      <c r="AG195" s="255"/>
      <c r="AH195" s="115"/>
    </row>
    <row r="196" spans="1:35" ht="22.15" customHeight="1" x14ac:dyDescent="0.2"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</row>
    <row r="197" spans="1:35" ht="22.15" customHeight="1" thickBot="1" x14ac:dyDescent="0.25">
      <c r="A197" s="1" t="s">
        <v>266</v>
      </c>
      <c r="B197" s="59"/>
    </row>
    <row r="198" spans="1:35" ht="22.15" customHeight="1" x14ac:dyDescent="0.2">
      <c r="A198" s="1"/>
      <c r="B198" s="2582" t="s">
        <v>267</v>
      </c>
      <c r="C198" s="525" t="s">
        <v>90</v>
      </c>
      <c r="D198" s="525"/>
      <c r="E198" s="525"/>
      <c r="F198" s="525"/>
      <c r="G198" s="526" t="s">
        <v>91</v>
      </c>
      <c r="H198" s="525"/>
      <c r="I198" s="525"/>
      <c r="J198" s="525"/>
      <c r="K198" s="526" t="s">
        <v>92</v>
      </c>
      <c r="L198" s="525"/>
      <c r="M198" s="525"/>
      <c r="N198" s="525"/>
      <c r="O198" s="526" t="s">
        <v>93</v>
      </c>
      <c r="P198" s="525"/>
      <c r="Q198" s="525"/>
      <c r="R198" s="525"/>
      <c r="S198" s="526" t="s">
        <v>94</v>
      </c>
      <c r="T198" s="525"/>
      <c r="U198" s="525"/>
      <c r="V198" s="525"/>
      <c r="W198" s="527" t="s">
        <v>95</v>
      </c>
      <c r="X198" s="473"/>
      <c r="Y198" s="525"/>
      <c r="Z198" s="528"/>
      <c r="AA198" s="527" t="s">
        <v>96</v>
      </c>
      <c r="AB198" s="473"/>
      <c r="AC198" s="525"/>
      <c r="AD198" s="528"/>
      <c r="AE198" s="529" t="s">
        <v>97</v>
      </c>
      <c r="AF198" s="525"/>
      <c r="AG198" s="525"/>
      <c r="AH198" s="525"/>
      <c r="AI198" s="474"/>
    </row>
    <row r="199" spans="1:35" ht="22.15" customHeight="1" x14ac:dyDescent="0.2">
      <c r="A199" s="1"/>
      <c r="B199" s="2583">
        <v>3701</v>
      </c>
      <c r="C199" s="110" t="s">
        <v>268</v>
      </c>
      <c r="D199" s="110"/>
      <c r="E199" s="110"/>
      <c r="F199" s="110"/>
      <c r="G199" s="2584" t="s">
        <v>269</v>
      </c>
      <c r="H199" s="110"/>
      <c r="I199" s="110"/>
      <c r="J199" s="110"/>
      <c r="K199" s="2584" t="s">
        <v>269</v>
      </c>
      <c r="L199" s="110"/>
      <c r="M199" s="110"/>
      <c r="N199" s="110"/>
      <c r="O199" s="2584" t="s">
        <v>269</v>
      </c>
      <c r="P199" s="110"/>
      <c r="Q199" s="110"/>
      <c r="R199" s="110"/>
      <c r="S199" s="2584" t="s">
        <v>270</v>
      </c>
      <c r="T199" s="110"/>
      <c r="U199" s="110"/>
      <c r="V199" s="110"/>
      <c r="W199" s="2585"/>
      <c r="X199" s="2586"/>
      <c r="Y199" s="2396"/>
      <c r="Z199" s="2587"/>
      <c r="AA199" s="2585"/>
      <c r="AB199" s="2586"/>
      <c r="AC199" s="2396"/>
      <c r="AD199" s="2587"/>
      <c r="AE199" s="2507"/>
      <c r="AF199" s="2396"/>
      <c r="AG199" s="2396"/>
      <c r="AH199" s="2396"/>
      <c r="AI199" s="2353"/>
    </row>
    <row r="200" spans="1:35" ht="22.15" customHeight="1" x14ac:dyDescent="0.2">
      <c r="A200" s="2588"/>
      <c r="B200" s="2582"/>
      <c r="C200" s="2589"/>
      <c r="D200" s="2590"/>
      <c r="E200" s="2590"/>
      <c r="F200" s="2591"/>
      <c r="G200" s="2589"/>
      <c r="H200" s="2590"/>
      <c r="I200" s="2590"/>
      <c r="J200" s="2591"/>
      <c r="K200" s="2589"/>
      <c r="L200" s="2590"/>
      <c r="M200" s="2590"/>
      <c r="N200" s="2591"/>
      <c r="O200" s="2589"/>
      <c r="P200" s="2590"/>
      <c r="Q200" s="2590"/>
      <c r="R200" s="2591"/>
      <c r="S200" s="2589"/>
      <c r="T200" s="2590"/>
      <c r="U200" s="2590"/>
      <c r="V200" s="2590"/>
      <c r="W200" s="2585"/>
      <c r="X200" s="2586"/>
      <c r="Y200" s="2396"/>
      <c r="Z200" s="2587"/>
      <c r="AA200" s="2585"/>
      <c r="AB200" s="2586"/>
      <c r="AC200" s="2396"/>
      <c r="AD200" s="2587"/>
      <c r="AE200" s="2507"/>
      <c r="AF200" s="2396"/>
      <c r="AG200" s="2396"/>
      <c r="AH200" s="2396"/>
      <c r="AI200" s="2353"/>
    </row>
    <row r="201" spans="1:35" ht="22.15" customHeight="1" x14ac:dyDescent="0.2">
      <c r="A201" s="2588"/>
      <c r="B201" s="2582"/>
      <c r="C201" s="2589"/>
      <c r="D201" s="2590"/>
      <c r="E201" s="2590"/>
      <c r="F201" s="2591"/>
      <c r="G201" s="2589"/>
      <c r="H201" s="2590"/>
      <c r="I201" s="2590"/>
      <c r="J201" s="2591"/>
      <c r="K201" s="2589"/>
      <c r="L201" s="2590"/>
      <c r="M201" s="2590"/>
      <c r="N201" s="2591"/>
      <c r="O201" s="2589"/>
      <c r="P201" s="2590"/>
      <c r="Q201" s="2590"/>
      <c r="R201" s="2591"/>
      <c r="S201" s="2589"/>
      <c r="T201" s="2590"/>
      <c r="U201" s="2590"/>
      <c r="V201" s="2590"/>
      <c r="W201" s="2585"/>
      <c r="X201" s="2586"/>
      <c r="Y201" s="2396"/>
      <c r="Z201" s="2587"/>
      <c r="AA201" s="2585"/>
      <c r="AB201" s="2586"/>
      <c r="AC201" s="2396"/>
      <c r="AD201" s="2587"/>
      <c r="AE201" s="2507"/>
      <c r="AF201" s="2396"/>
      <c r="AG201" s="2396"/>
      <c r="AH201" s="2396"/>
      <c r="AI201" s="2353"/>
    </row>
    <row r="202" spans="1:35" ht="22.15" customHeight="1" thickBot="1" x14ac:dyDescent="0.25">
      <c r="A202" s="2592"/>
      <c r="B202" s="2593"/>
      <c r="C202" s="2594"/>
      <c r="D202" s="2595"/>
      <c r="E202" s="2595"/>
      <c r="F202" s="2596"/>
      <c r="G202" s="2594"/>
      <c r="H202" s="2595"/>
      <c r="I202" s="2595"/>
      <c r="J202" s="2596"/>
      <c r="K202" s="2594"/>
      <c r="L202" s="2595"/>
      <c r="M202" s="2595"/>
      <c r="N202" s="2596"/>
      <c r="O202" s="2594"/>
      <c r="P202" s="2595"/>
      <c r="Q202" s="2595"/>
      <c r="R202" s="2596"/>
      <c r="S202" s="2594"/>
      <c r="T202" s="2595"/>
      <c r="U202" s="2595"/>
      <c r="V202" s="2595"/>
      <c r="W202" s="2597"/>
      <c r="X202" s="2598"/>
      <c r="Y202" s="2599"/>
      <c r="Z202" s="2600"/>
      <c r="AA202" s="2597"/>
      <c r="AB202" s="2598"/>
      <c r="AC202" s="2599"/>
      <c r="AD202" s="2600"/>
      <c r="AE202" s="2520"/>
      <c r="AF202" s="2403"/>
      <c r="AG202" s="2403"/>
      <c r="AH202" s="2403"/>
      <c r="AI202" s="2406"/>
    </row>
    <row r="203" spans="1:35" ht="22.15" customHeight="1" x14ac:dyDescent="0.2">
      <c r="AG203" s="110"/>
      <c r="AH203" s="110"/>
    </row>
    <row r="204" spans="1:35" ht="22.15" customHeight="1" x14ac:dyDescent="0.2">
      <c r="B204" s="2582">
        <v>3700</v>
      </c>
      <c r="C204" s="2396" t="s">
        <v>162</v>
      </c>
      <c r="D204" s="2396"/>
      <c r="E204" s="2396"/>
      <c r="F204" s="2396"/>
      <c r="G204" s="2601" t="s">
        <v>162</v>
      </c>
      <c r="H204" s="2396"/>
      <c r="I204" s="2396"/>
      <c r="J204" s="2396"/>
      <c r="K204" s="2601" t="s">
        <v>162</v>
      </c>
      <c r="L204" s="2396"/>
      <c r="M204" s="2396"/>
      <c r="N204" s="2396"/>
      <c r="O204" s="2601" t="s">
        <v>162</v>
      </c>
      <c r="P204" s="2396"/>
      <c r="Q204" s="2396"/>
      <c r="R204" s="2396"/>
      <c r="S204" s="2601" t="s">
        <v>163</v>
      </c>
      <c r="T204" s="2396"/>
      <c r="U204" s="2396"/>
      <c r="V204" s="2396"/>
      <c r="W204" s="2396"/>
      <c r="X204" s="2601"/>
      <c r="Y204" s="2396"/>
      <c r="Z204" s="2509"/>
      <c r="AA204" s="2507"/>
      <c r="AB204" s="2396"/>
      <c r="AC204" s="2396"/>
      <c r="AD204" s="2435"/>
      <c r="AE204" s="2602"/>
      <c r="AF204" s="2396"/>
      <c r="AG204" s="2396"/>
      <c r="AH204" s="2435"/>
      <c r="AI204" s="2353"/>
    </row>
    <row r="205" spans="1:35" ht="22.15" customHeight="1" x14ac:dyDescent="0.2">
      <c r="A205" s="1"/>
      <c r="B205" s="2582">
        <v>8514</v>
      </c>
      <c r="C205" s="2396" t="s">
        <v>269</v>
      </c>
      <c r="D205" s="2396"/>
      <c r="E205" s="2396"/>
      <c r="F205" s="2396"/>
      <c r="G205" s="2601" t="s">
        <v>269</v>
      </c>
      <c r="H205" s="2396"/>
      <c r="I205" s="2396"/>
      <c r="J205" s="2396"/>
      <c r="K205" s="2601" t="s">
        <v>269</v>
      </c>
      <c r="L205" s="2396"/>
      <c r="M205" s="2396"/>
      <c r="N205" s="2396"/>
      <c r="O205" s="2601" t="s">
        <v>269</v>
      </c>
      <c r="P205" s="2396"/>
      <c r="Q205" s="2396"/>
      <c r="R205" s="2396"/>
      <c r="S205" s="2601" t="s">
        <v>271</v>
      </c>
      <c r="T205" s="2396"/>
      <c r="U205" s="2396"/>
      <c r="V205" s="2396"/>
      <c r="W205" s="2396"/>
      <c r="X205" s="2601"/>
      <c r="Y205" s="2396"/>
      <c r="Z205" s="2509"/>
      <c r="AA205" s="2434"/>
      <c r="AB205" s="2396"/>
      <c r="AC205" s="2396"/>
      <c r="AD205" s="2435"/>
      <c r="AE205" s="2434"/>
      <c r="AF205" s="2396"/>
      <c r="AG205" s="2396"/>
      <c r="AH205" s="2435"/>
      <c r="AI205" s="2353"/>
    </row>
    <row r="206" spans="1:35" ht="22.15" customHeight="1" x14ac:dyDescent="0.2">
      <c r="A206" s="1"/>
      <c r="B206" s="2582">
        <v>8500</v>
      </c>
      <c r="C206" s="166" t="s">
        <v>272</v>
      </c>
      <c r="D206" s="166"/>
      <c r="E206" s="166"/>
      <c r="F206" s="166"/>
      <c r="G206" s="167" t="s">
        <v>272</v>
      </c>
      <c r="H206" s="166"/>
      <c r="I206" s="166"/>
      <c r="J206" s="166"/>
      <c r="K206" s="167" t="s">
        <v>272</v>
      </c>
      <c r="L206" s="166"/>
      <c r="M206" s="166"/>
      <c r="N206" s="166"/>
      <c r="O206" s="167" t="s">
        <v>272</v>
      </c>
      <c r="P206" s="166"/>
      <c r="Q206" s="166"/>
      <c r="R206" s="166"/>
      <c r="S206" s="167" t="s">
        <v>273</v>
      </c>
      <c r="T206" s="166"/>
      <c r="U206" s="166"/>
      <c r="V206" s="166"/>
      <c r="W206" s="166"/>
      <c r="X206" s="167"/>
      <c r="Y206" s="166"/>
      <c r="Z206" s="121"/>
      <c r="AA206" s="120"/>
      <c r="AB206" s="166"/>
      <c r="AC206" s="166"/>
      <c r="AD206" s="121"/>
      <c r="AE206" s="120"/>
      <c r="AF206" s="166"/>
      <c r="AG206" s="166"/>
      <c r="AH206" s="113"/>
      <c r="AI206" s="119"/>
    </row>
    <row r="207" spans="1:35" ht="22.15" customHeight="1" x14ac:dyDescent="0.2">
      <c r="A207" s="1"/>
      <c r="B207" s="2582">
        <v>8514</v>
      </c>
      <c r="C207" s="169" t="s">
        <v>269</v>
      </c>
      <c r="D207" s="169"/>
      <c r="E207" s="169"/>
      <c r="F207" s="169"/>
      <c r="G207" s="170" t="s">
        <v>269</v>
      </c>
      <c r="H207" s="169"/>
      <c r="I207" s="169"/>
      <c r="J207" s="169"/>
      <c r="K207" s="170" t="s">
        <v>269</v>
      </c>
      <c r="L207" s="169"/>
      <c r="M207" s="169"/>
      <c r="N207" s="169"/>
      <c r="O207" s="170" t="s">
        <v>269</v>
      </c>
      <c r="P207" s="169"/>
      <c r="Q207" s="169"/>
      <c r="R207" s="169"/>
      <c r="S207" s="170" t="s">
        <v>271</v>
      </c>
      <c r="T207" s="169"/>
      <c r="U207" s="169"/>
      <c r="V207" s="169"/>
      <c r="W207" s="169"/>
      <c r="X207" s="149"/>
      <c r="Y207" s="166"/>
      <c r="Z207" s="168"/>
      <c r="AA207" s="156"/>
      <c r="AB207" s="117"/>
      <c r="AC207" s="166"/>
      <c r="AD207" s="166"/>
      <c r="AE207" s="118"/>
      <c r="AF207" s="166"/>
      <c r="AG207" s="166"/>
      <c r="AH207" s="166"/>
      <c r="AI207" s="119"/>
    </row>
    <row r="208" spans="1:35" ht="22.15" customHeight="1" thickBot="1" x14ac:dyDescent="0.25">
      <c r="A208" s="1"/>
      <c r="B208" s="2603" t="s">
        <v>274</v>
      </c>
      <c r="C208" s="2403" t="s">
        <v>275</v>
      </c>
      <c r="D208" s="2403"/>
      <c r="E208" s="2403"/>
      <c r="F208" s="2403"/>
      <c r="G208" s="2604" t="s">
        <v>275</v>
      </c>
      <c r="H208" s="2403"/>
      <c r="I208" s="2403"/>
      <c r="J208" s="2403"/>
      <c r="K208" s="2605" t="s">
        <v>275</v>
      </c>
      <c r="L208" s="2403"/>
      <c r="M208" s="2403"/>
      <c r="N208" s="2403"/>
      <c r="O208" s="2604" t="s">
        <v>275</v>
      </c>
      <c r="P208" s="2403"/>
      <c r="Q208" s="2403"/>
      <c r="R208" s="2403"/>
      <c r="S208" s="2604" t="s">
        <v>276</v>
      </c>
      <c r="T208" s="2403"/>
      <c r="U208" s="2403"/>
      <c r="V208" s="2403"/>
      <c r="W208" s="2403"/>
      <c r="X208" s="2604"/>
      <c r="Y208" s="2403"/>
      <c r="Z208" s="2542"/>
      <c r="AA208" s="2520"/>
      <c r="AB208" s="2403"/>
      <c r="AC208" s="2403"/>
      <c r="AD208" s="2527"/>
      <c r="AE208" s="2606"/>
      <c r="AF208" s="2403"/>
      <c r="AG208" s="2403"/>
      <c r="AH208" s="2527"/>
      <c r="AI208" s="2406"/>
    </row>
    <row r="209" spans="1:35" ht="22.1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15" customHeight="1" x14ac:dyDescent="0.2">
      <c r="A210" s="1" t="s">
        <v>277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15" customHeight="1" thickBot="1" x14ac:dyDescent="0.25">
      <c r="A211" s="2451"/>
      <c r="B211" s="2408" t="s">
        <v>29</v>
      </c>
      <c r="C211" s="2362">
        <v>1</v>
      </c>
      <c r="D211" s="2362">
        <v>2</v>
      </c>
      <c r="E211" s="2362">
        <v>3</v>
      </c>
      <c r="F211" s="2362">
        <v>4</v>
      </c>
      <c r="G211" s="2362">
        <v>5</v>
      </c>
      <c r="H211" s="2363">
        <v>6</v>
      </c>
      <c r="I211" s="2363">
        <v>7</v>
      </c>
      <c r="J211" s="2362">
        <v>8</v>
      </c>
      <c r="K211" s="2362">
        <v>9</v>
      </c>
      <c r="L211" s="2362">
        <v>10</v>
      </c>
      <c r="M211" s="2362">
        <v>11</v>
      </c>
      <c r="N211" s="2362">
        <v>12</v>
      </c>
      <c r="O211" s="2363">
        <v>13</v>
      </c>
      <c r="P211" s="2363">
        <v>14</v>
      </c>
      <c r="Q211" s="2362">
        <v>15</v>
      </c>
      <c r="R211" s="2362">
        <v>16</v>
      </c>
      <c r="S211" s="2362">
        <v>17</v>
      </c>
      <c r="T211" s="2362">
        <v>18</v>
      </c>
      <c r="U211" s="2362">
        <v>19</v>
      </c>
      <c r="V211" s="2363">
        <v>20</v>
      </c>
      <c r="W211" s="2363">
        <v>21</v>
      </c>
      <c r="X211" s="2362">
        <v>22</v>
      </c>
      <c r="Y211" s="2362">
        <v>23</v>
      </c>
      <c r="Z211" s="2362">
        <v>24</v>
      </c>
      <c r="AA211" s="2362">
        <v>25</v>
      </c>
      <c r="AB211" s="2362">
        <v>26</v>
      </c>
      <c r="AC211" s="2363">
        <v>27</v>
      </c>
      <c r="AD211" s="2363">
        <v>28</v>
      </c>
      <c r="AE211" s="2362"/>
      <c r="AF211" s="2362"/>
      <c r="AG211" s="2364"/>
      <c r="AH211" s="184"/>
      <c r="AI211" s="185"/>
    </row>
    <row r="212" spans="1:35" ht="22.15" customHeight="1" x14ac:dyDescent="0.2">
      <c r="A212" s="305"/>
      <c r="B212" s="306" t="s">
        <v>278</v>
      </c>
      <c r="C212" s="2228" t="s">
        <v>31</v>
      </c>
      <c r="D212" s="2228" t="s">
        <v>31</v>
      </c>
      <c r="E212" s="2228" t="s">
        <v>31</v>
      </c>
      <c r="F212" s="2228" t="s">
        <v>31</v>
      </c>
      <c r="G212" s="2228" t="s">
        <v>31</v>
      </c>
      <c r="H212" s="2222"/>
      <c r="I212" s="2222"/>
      <c r="J212" s="2222" t="s">
        <v>31</v>
      </c>
      <c r="K212" s="2222" t="s">
        <v>31</v>
      </c>
      <c r="L212" s="2222" t="s">
        <v>31</v>
      </c>
      <c r="M212" s="2222" t="s">
        <v>31</v>
      </c>
      <c r="N212" s="2229" t="s">
        <v>31</v>
      </c>
      <c r="O212" s="2229"/>
      <c r="P212" s="2229"/>
      <c r="Q212" s="2230" t="s">
        <v>31</v>
      </c>
      <c r="R212" s="2229" t="s">
        <v>31</v>
      </c>
      <c r="S212" s="2222" t="s">
        <v>31</v>
      </c>
      <c r="T212" s="2222" t="s">
        <v>31</v>
      </c>
      <c r="U212" s="2229" t="s">
        <v>31</v>
      </c>
      <c r="V212" s="2229"/>
      <c r="W212" s="2229"/>
      <c r="X212" s="2222" t="s">
        <v>31</v>
      </c>
      <c r="Y212" s="2229" t="s">
        <v>31</v>
      </c>
      <c r="Z212" s="2222" t="s">
        <v>31</v>
      </c>
      <c r="AA212" s="2222" t="s">
        <v>31</v>
      </c>
      <c r="AB212" s="2222" t="s">
        <v>31</v>
      </c>
      <c r="AC212" s="2222"/>
      <c r="AD212" s="2224"/>
      <c r="AE212" s="2222"/>
      <c r="AF212" s="2224"/>
      <c r="AG212" s="274"/>
      <c r="AH212" s="184"/>
      <c r="AI212" s="185"/>
    </row>
    <row r="213" spans="1:35" ht="22.15" customHeight="1" x14ac:dyDescent="0.2">
      <c r="A213" s="2607"/>
      <c r="B213" s="2608" t="s">
        <v>279</v>
      </c>
      <c r="C213" s="2222" t="s">
        <v>31</v>
      </c>
      <c r="D213" s="2222" t="s">
        <v>31</v>
      </c>
      <c r="E213" s="2222" t="s">
        <v>31</v>
      </c>
      <c r="F213" s="2224" t="s">
        <v>31</v>
      </c>
      <c r="G213" s="2222" t="s">
        <v>31</v>
      </c>
      <c r="H213" s="2222"/>
      <c r="I213" s="2222"/>
      <c r="J213" s="2222" t="s">
        <v>31</v>
      </c>
      <c r="K213" s="2222" t="s">
        <v>31</v>
      </c>
      <c r="L213" s="2222" t="s">
        <v>31</v>
      </c>
      <c r="M213" s="2222" t="s">
        <v>31</v>
      </c>
      <c r="N213" s="2229" t="s">
        <v>31</v>
      </c>
      <c r="O213" s="2229"/>
      <c r="P213" s="2229"/>
      <c r="Q213" s="2230" t="s">
        <v>31</v>
      </c>
      <c r="R213" s="2229" t="s">
        <v>31</v>
      </c>
      <c r="S213" s="2222" t="s">
        <v>31</v>
      </c>
      <c r="T213" s="2222" t="s">
        <v>31</v>
      </c>
      <c r="U213" s="2229" t="s">
        <v>31</v>
      </c>
      <c r="V213" s="2229"/>
      <c r="W213" s="2229"/>
      <c r="X213" s="2222" t="s">
        <v>31</v>
      </c>
      <c r="Y213" s="2229" t="s">
        <v>31</v>
      </c>
      <c r="Z213" s="2222" t="s">
        <v>31</v>
      </c>
      <c r="AA213" s="2222" t="s">
        <v>31</v>
      </c>
      <c r="AB213" s="2222" t="s">
        <v>31</v>
      </c>
      <c r="AC213" s="2222"/>
      <c r="AD213" s="2224"/>
      <c r="AE213" s="2222"/>
      <c r="AF213" s="2224"/>
      <c r="AG213" s="2609"/>
      <c r="AH213" s="184"/>
      <c r="AI213" s="185"/>
    </row>
    <row r="214" spans="1:35" ht="22.15" customHeight="1" x14ac:dyDescent="0.2">
      <c r="A214" s="2610">
        <v>8514</v>
      </c>
      <c r="B214" s="2142" t="s">
        <v>280</v>
      </c>
      <c r="C214" s="2222" t="s">
        <v>31</v>
      </c>
      <c r="D214" s="2222" t="s">
        <v>31</v>
      </c>
      <c r="E214" s="2222" t="s">
        <v>31</v>
      </c>
      <c r="F214" s="2224" t="s">
        <v>31</v>
      </c>
      <c r="G214" s="2222" t="s">
        <v>31</v>
      </c>
      <c r="H214" s="2222"/>
      <c r="I214" s="2222"/>
      <c r="J214" s="2222" t="s">
        <v>31</v>
      </c>
      <c r="K214" s="2222" t="s">
        <v>31</v>
      </c>
      <c r="L214" s="2222" t="s">
        <v>31</v>
      </c>
      <c r="M214" s="2222" t="s">
        <v>31</v>
      </c>
      <c r="N214" s="2229" t="s">
        <v>31</v>
      </c>
      <c r="O214" s="2229"/>
      <c r="P214" s="2229"/>
      <c r="Q214" s="2230" t="s">
        <v>31</v>
      </c>
      <c r="R214" s="2229" t="s">
        <v>31</v>
      </c>
      <c r="S214" s="2222" t="s">
        <v>31</v>
      </c>
      <c r="T214" s="2222" t="s">
        <v>31</v>
      </c>
      <c r="U214" s="2229" t="s">
        <v>31</v>
      </c>
      <c r="V214" s="2229"/>
      <c r="W214" s="2229"/>
      <c r="X214" s="2222" t="s">
        <v>31</v>
      </c>
      <c r="Y214" s="2229" t="s">
        <v>31</v>
      </c>
      <c r="Z214" s="2222" t="s">
        <v>31</v>
      </c>
      <c r="AA214" s="2222" t="s">
        <v>31</v>
      </c>
      <c r="AB214" s="2222" t="s">
        <v>31</v>
      </c>
      <c r="AC214" s="2222"/>
      <c r="AD214" s="2224"/>
      <c r="AE214" s="2222"/>
      <c r="AF214" s="2224"/>
      <c r="AG214" s="2609"/>
      <c r="AH214" s="189"/>
      <c r="AI214" s="190"/>
    </row>
    <row r="215" spans="1:35" ht="21" customHeight="1" x14ac:dyDescent="0.2">
      <c r="A215" s="2610">
        <v>3701</v>
      </c>
      <c r="B215" s="2142" t="s">
        <v>281</v>
      </c>
      <c r="C215" s="2222" t="s">
        <v>31</v>
      </c>
      <c r="D215" s="2222" t="s">
        <v>31</v>
      </c>
      <c r="E215" s="2222" t="s">
        <v>31</v>
      </c>
      <c r="F215" s="2224" t="s">
        <v>31</v>
      </c>
      <c r="G215" s="2222" t="s">
        <v>31</v>
      </c>
      <c r="H215" s="2222"/>
      <c r="I215" s="2222"/>
      <c r="J215" s="2222" t="s">
        <v>31</v>
      </c>
      <c r="K215" s="2222" t="s">
        <v>31</v>
      </c>
      <c r="L215" s="2222" t="s">
        <v>31</v>
      </c>
      <c r="M215" s="2222" t="s">
        <v>31</v>
      </c>
      <c r="N215" s="2229" t="s">
        <v>31</v>
      </c>
      <c r="O215" s="2229"/>
      <c r="P215" s="2229"/>
      <c r="Q215" s="2230" t="s">
        <v>31</v>
      </c>
      <c r="R215" s="2229" t="s">
        <v>31</v>
      </c>
      <c r="S215" s="2222" t="s">
        <v>31</v>
      </c>
      <c r="T215" s="2222" t="s">
        <v>31</v>
      </c>
      <c r="U215" s="2229" t="s">
        <v>31</v>
      </c>
      <c r="V215" s="2229"/>
      <c r="W215" s="2229"/>
      <c r="X215" s="2222" t="s">
        <v>31</v>
      </c>
      <c r="Y215" s="2229" t="s">
        <v>31</v>
      </c>
      <c r="Z215" s="2222" t="s">
        <v>31</v>
      </c>
      <c r="AA215" s="2222" t="s">
        <v>31</v>
      </c>
      <c r="AB215" s="2222" t="s">
        <v>31</v>
      </c>
      <c r="AC215" s="2222"/>
      <c r="AD215" s="2224"/>
      <c r="AE215" s="2222"/>
      <c r="AF215" s="2224"/>
      <c r="AG215" s="2609"/>
      <c r="AH215" s="189"/>
      <c r="AI215" s="190"/>
    </row>
    <row r="216" spans="1:35" ht="21" customHeight="1" x14ac:dyDescent="0.2">
      <c r="A216" s="2610">
        <v>3701</v>
      </c>
      <c r="B216" s="2142" t="s">
        <v>282</v>
      </c>
      <c r="C216" s="2222" t="s">
        <v>31</v>
      </c>
      <c r="D216" s="2222" t="s">
        <v>31</v>
      </c>
      <c r="E216" s="2222" t="s">
        <v>31</v>
      </c>
      <c r="F216" s="2224" t="s">
        <v>31</v>
      </c>
      <c r="G216" s="2222" t="s">
        <v>31</v>
      </c>
      <c r="H216" s="2222"/>
      <c r="I216" s="2222"/>
      <c r="J216" s="2222" t="s">
        <v>31</v>
      </c>
      <c r="K216" s="2222" t="s">
        <v>31</v>
      </c>
      <c r="L216" s="2222" t="s">
        <v>31</v>
      </c>
      <c r="M216" s="2222" t="s">
        <v>31</v>
      </c>
      <c r="N216" s="2229" t="s">
        <v>31</v>
      </c>
      <c r="O216" s="2229"/>
      <c r="P216" s="2229"/>
      <c r="Q216" s="2230" t="s">
        <v>31</v>
      </c>
      <c r="R216" s="2229" t="s">
        <v>31</v>
      </c>
      <c r="S216" s="2222" t="s">
        <v>31</v>
      </c>
      <c r="T216" s="2222" t="s">
        <v>31</v>
      </c>
      <c r="U216" s="2229" t="s">
        <v>31</v>
      </c>
      <c r="V216" s="2229"/>
      <c r="W216" s="2229"/>
      <c r="X216" s="2222" t="s">
        <v>31</v>
      </c>
      <c r="Y216" s="2229" t="s">
        <v>31</v>
      </c>
      <c r="Z216" s="2222" t="s">
        <v>31</v>
      </c>
      <c r="AA216" s="2222" t="s">
        <v>31</v>
      </c>
      <c r="AB216" s="2222" t="s">
        <v>31</v>
      </c>
      <c r="AC216" s="2222"/>
      <c r="AD216" s="2224"/>
      <c r="AE216" s="2222"/>
      <c r="AF216" s="2224"/>
      <c r="AG216" s="2609"/>
      <c r="AH216" s="189"/>
      <c r="AI216" s="190"/>
    </row>
    <row r="217" spans="1:35" ht="21" customHeight="1" x14ac:dyDescent="0.2">
      <c r="A217" s="2610">
        <v>3701</v>
      </c>
      <c r="B217" s="2142" t="s">
        <v>283</v>
      </c>
      <c r="C217" s="2222" t="s">
        <v>31</v>
      </c>
      <c r="D217" s="2222" t="s">
        <v>31</v>
      </c>
      <c r="E217" s="2222" t="s">
        <v>31</v>
      </c>
      <c r="F217" s="2224" t="s">
        <v>31</v>
      </c>
      <c r="G217" s="2222" t="s">
        <v>31</v>
      </c>
      <c r="H217" s="2222"/>
      <c r="I217" s="2222"/>
      <c r="J217" s="2222" t="s">
        <v>31</v>
      </c>
      <c r="K217" s="2222" t="s">
        <v>31</v>
      </c>
      <c r="L217" s="2222" t="s">
        <v>31</v>
      </c>
      <c r="M217" s="2222" t="s">
        <v>31</v>
      </c>
      <c r="N217" s="2229" t="s">
        <v>31</v>
      </c>
      <c r="O217" s="2229"/>
      <c r="P217" s="2229"/>
      <c r="Q217" s="2230" t="s">
        <v>31</v>
      </c>
      <c r="R217" s="2229" t="s">
        <v>31</v>
      </c>
      <c r="S217" s="2222" t="s">
        <v>31</v>
      </c>
      <c r="T217" s="2222" t="s">
        <v>31</v>
      </c>
      <c r="U217" s="2229" t="s">
        <v>31</v>
      </c>
      <c r="V217" s="2229"/>
      <c r="W217" s="2229"/>
      <c r="X217" s="2222" t="s">
        <v>31</v>
      </c>
      <c r="Y217" s="2229" t="s">
        <v>31</v>
      </c>
      <c r="Z217" s="2222" t="s">
        <v>31</v>
      </c>
      <c r="AA217" s="2222" t="s">
        <v>31</v>
      </c>
      <c r="AB217" s="2222" t="s">
        <v>31</v>
      </c>
      <c r="AC217" s="2222"/>
      <c r="AD217" s="2224"/>
      <c r="AE217" s="2222"/>
      <c r="AF217" s="2224"/>
      <c r="AG217" s="2609"/>
      <c r="AH217" s="189"/>
      <c r="AI217" s="190"/>
    </row>
    <row r="218" spans="1:35" ht="21" customHeight="1" x14ac:dyDescent="0.2">
      <c r="A218" s="2610">
        <v>3701</v>
      </c>
      <c r="B218" s="2142" t="s">
        <v>284</v>
      </c>
      <c r="C218" s="2222" t="s">
        <v>31</v>
      </c>
      <c r="D218" s="2222" t="s">
        <v>31</v>
      </c>
      <c r="E218" s="2222" t="s">
        <v>31</v>
      </c>
      <c r="F218" s="2224" t="s">
        <v>31</v>
      </c>
      <c r="G218" s="2222" t="s">
        <v>31</v>
      </c>
      <c r="H218" s="2222"/>
      <c r="I218" s="2222"/>
      <c r="J218" s="2222" t="s">
        <v>31</v>
      </c>
      <c r="K218" s="2222" t="s">
        <v>31</v>
      </c>
      <c r="L218" s="2222" t="s">
        <v>31</v>
      </c>
      <c r="M218" s="2222" t="s">
        <v>31</v>
      </c>
      <c r="N218" s="2229" t="s">
        <v>31</v>
      </c>
      <c r="O218" s="2229"/>
      <c r="P218" s="2229"/>
      <c r="Q218" s="2230" t="s">
        <v>31</v>
      </c>
      <c r="R218" s="2229" t="s">
        <v>31</v>
      </c>
      <c r="S218" s="2222" t="s">
        <v>31</v>
      </c>
      <c r="T218" s="2222" t="s">
        <v>31</v>
      </c>
      <c r="U218" s="2229" t="s">
        <v>31</v>
      </c>
      <c r="V218" s="2229"/>
      <c r="W218" s="2229"/>
      <c r="X218" s="2222" t="s">
        <v>31</v>
      </c>
      <c r="Y218" s="2229" t="s">
        <v>31</v>
      </c>
      <c r="Z218" s="2222" t="s">
        <v>31</v>
      </c>
      <c r="AA218" s="2222" t="s">
        <v>31</v>
      </c>
      <c r="AB218" s="2222" t="s">
        <v>31</v>
      </c>
      <c r="AC218" s="2222"/>
      <c r="AD218" s="2224"/>
      <c r="AE218" s="2222"/>
      <c r="AF218" s="2224"/>
      <c r="AG218" s="2609"/>
      <c r="AH218" s="189"/>
      <c r="AI218" s="190"/>
    </row>
    <row r="219" spans="1:35" ht="22.15" customHeight="1" x14ac:dyDescent="0.2">
      <c r="A219" s="2610">
        <v>3701</v>
      </c>
      <c r="B219" s="2142" t="s">
        <v>285</v>
      </c>
      <c r="C219" s="2222" t="s">
        <v>31</v>
      </c>
      <c r="D219" s="2222" t="s">
        <v>31</v>
      </c>
      <c r="E219" s="2222" t="s">
        <v>31</v>
      </c>
      <c r="F219" s="2224" t="s">
        <v>31</v>
      </c>
      <c r="G219" s="2222" t="s">
        <v>31</v>
      </c>
      <c r="H219" s="2222"/>
      <c r="I219" s="2222"/>
      <c r="J219" s="2222" t="s">
        <v>31</v>
      </c>
      <c r="K219" s="2222" t="s">
        <v>31</v>
      </c>
      <c r="L219" s="2222" t="s">
        <v>31</v>
      </c>
      <c r="M219" s="2222" t="s">
        <v>31</v>
      </c>
      <c r="N219" s="2229" t="s">
        <v>31</v>
      </c>
      <c r="O219" s="2229"/>
      <c r="P219" s="2229"/>
      <c r="Q219" s="2230" t="s">
        <v>31</v>
      </c>
      <c r="R219" s="2229" t="s">
        <v>31</v>
      </c>
      <c r="S219" s="2222" t="s">
        <v>31</v>
      </c>
      <c r="T219" s="2222" t="s">
        <v>31</v>
      </c>
      <c r="U219" s="2229" t="s">
        <v>31</v>
      </c>
      <c r="V219" s="2229"/>
      <c r="W219" s="2229"/>
      <c r="X219" s="2222" t="s">
        <v>31</v>
      </c>
      <c r="Y219" s="2229" t="s">
        <v>31</v>
      </c>
      <c r="Z219" s="2222" t="s">
        <v>31</v>
      </c>
      <c r="AA219" s="2222" t="s">
        <v>31</v>
      </c>
      <c r="AB219" s="2222" t="s">
        <v>31</v>
      </c>
      <c r="AC219" s="2222"/>
      <c r="AD219" s="2224"/>
      <c r="AE219" s="2222"/>
      <c r="AF219" s="2224"/>
      <c r="AG219" s="2609"/>
      <c r="AH219" s="189"/>
      <c r="AI219" s="190"/>
    </row>
    <row r="220" spans="1:35" ht="22.15" customHeight="1" x14ac:dyDescent="0.2">
      <c r="A220" s="2610">
        <v>3701</v>
      </c>
      <c r="B220" s="2142" t="s">
        <v>286</v>
      </c>
      <c r="C220" s="2222" t="s">
        <v>31</v>
      </c>
      <c r="D220" s="2222" t="s">
        <v>31</v>
      </c>
      <c r="E220" s="2222" t="s">
        <v>31</v>
      </c>
      <c r="F220" s="2224" t="s">
        <v>31</v>
      </c>
      <c r="G220" s="2222" t="s">
        <v>31</v>
      </c>
      <c r="H220" s="2222"/>
      <c r="I220" s="2222"/>
      <c r="J220" s="2222" t="s">
        <v>31</v>
      </c>
      <c r="K220" s="2222" t="s">
        <v>31</v>
      </c>
      <c r="L220" s="2222" t="s">
        <v>31</v>
      </c>
      <c r="M220" s="2222" t="s">
        <v>31</v>
      </c>
      <c r="N220" s="2229" t="s">
        <v>31</v>
      </c>
      <c r="O220" s="2229"/>
      <c r="P220" s="2229"/>
      <c r="Q220" s="2230" t="s">
        <v>31</v>
      </c>
      <c r="R220" s="2229" t="s">
        <v>31</v>
      </c>
      <c r="S220" s="2222" t="s">
        <v>31</v>
      </c>
      <c r="T220" s="2222" t="s">
        <v>31</v>
      </c>
      <c r="U220" s="2229" t="s">
        <v>31</v>
      </c>
      <c r="V220" s="2229"/>
      <c r="W220" s="2229"/>
      <c r="X220" s="2222" t="s">
        <v>31</v>
      </c>
      <c r="Y220" s="2229" t="s">
        <v>31</v>
      </c>
      <c r="Z220" s="2222" t="s">
        <v>31</v>
      </c>
      <c r="AA220" s="2222" t="s">
        <v>31</v>
      </c>
      <c r="AB220" s="2222" t="s">
        <v>31</v>
      </c>
      <c r="AC220" s="2222"/>
      <c r="AD220" s="2224"/>
      <c r="AE220" s="2222"/>
      <c r="AF220" s="2224"/>
      <c r="AG220" s="2609"/>
      <c r="AH220" s="189"/>
      <c r="AI220" s="190"/>
    </row>
    <row r="221" spans="1:35" ht="22.15" customHeight="1" x14ac:dyDescent="0.2">
      <c r="A221" s="2610">
        <v>3701</v>
      </c>
      <c r="B221" s="2142" t="s">
        <v>287</v>
      </c>
      <c r="C221" s="2222" t="s">
        <v>31</v>
      </c>
      <c r="D221" s="2222" t="s">
        <v>31</v>
      </c>
      <c r="E221" s="2222" t="s">
        <v>31</v>
      </c>
      <c r="F221" s="2224" t="s">
        <v>31</v>
      </c>
      <c r="G221" s="2222" t="s">
        <v>31</v>
      </c>
      <c r="H221" s="2222"/>
      <c r="I221" s="2222"/>
      <c r="J221" s="2222" t="s">
        <v>31</v>
      </c>
      <c r="K221" s="2222" t="s">
        <v>31</v>
      </c>
      <c r="L221" s="2222" t="s">
        <v>31</v>
      </c>
      <c r="M221" s="2222" t="s">
        <v>31</v>
      </c>
      <c r="N221" s="2229" t="s">
        <v>31</v>
      </c>
      <c r="O221" s="2229"/>
      <c r="P221" s="2229"/>
      <c r="Q221" s="2230" t="s">
        <v>31</v>
      </c>
      <c r="R221" s="2229" t="s">
        <v>31</v>
      </c>
      <c r="S221" s="2222" t="s">
        <v>31</v>
      </c>
      <c r="T221" s="2222" t="s">
        <v>31</v>
      </c>
      <c r="U221" s="2229" t="s">
        <v>31</v>
      </c>
      <c r="V221" s="2229"/>
      <c r="W221" s="2229"/>
      <c r="X221" s="2222" t="s">
        <v>31</v>
      </c>
      <c r="Y221" s="2229" t="s">
        <v>31</v>
      </c>
      <c r="Z221" s="2222" t="s">
        <v>31</v>
      </c>
      <c r="AA221" s="2222" t="s">
        <v>31</v>
      </c>
      <c r="AB221" s="2222" t="s">
        <v>31</v>
      </c>
      <c r="AC221" s="2222"/>
      <c r="AD221" s="2224"/>
      <c r="AE221" s="2222"/>
      <c r="AF221" s="2224"/>
      <c r="AG221" s="2609"/>
      <c r="AH221" s="189"/>
      <c r="AI221" s="190"/>
    </row>
    <row r="222" spans="1:35" ht="22.15" customHeight="1" x14ac:dyDescent="0.2">
      <c r="A222" s="2611">
        <v>3701</v>
      </c>
      <c r="B222" s="2142" t="s">
        <v>290</v>
      </c>
      <c r="C222" s="2222" t="s">
        <v>31</v>
      </c>
      <c r="D222" s="2222" t="s">
        <v>31</v>
      </c>
      <c r="E222" s="2222" t="s">
        <v>31</v>
      </c>
      <c r="F222" s="2224" t="s">
        <v>31</v>
      </c>
      <c r="G222" s="2222" t="s">
        <v>31</v>
      </c>
      <c r="H222" s="2222"/>
      <c r="I222" s="2222"/>
      <c r="J222" s="2222" t="s">
        <v>31</v>
      </c>
      <c r="K222" s="2222" t="s">
        <v>31</v>
      </c>
      <c r="L222" s="2222" t="s">
        <v>31</v>
      </c>
      <c r="M222" s="2222" t="s">
        <v>31</v>
      </c>
      <c r="N222" s="2229" t="s">
        <v>31</v>
      </c>
      <c r="O222" s="2229"/>
      <c r="P222" s="2229"/>
      <c r="Q222" s="2230" t="s">
        <v>31</v>
      </c>
      <c r="R222" s="2229" t="s">
        <v>31</v>
      </c>
      <c r="S222" s="2222" t="s">
        <v>31</v>
      </c>
      <c r="T222" s="2222" t="s">
        <v>31</v>
      </c>
      <c r="U222" s="2229" t="s">
        <v>31</v>
      </c>
      <c r="V222" s="2229"/>
      <c r="W222" s="2229"/>
      <c r="X222" s="2222" t="s">
        <v>31</v>
      </c>
      <c r="Y222" s="2229" t="s">
        <v>31</v>
      </c>
      <c r="Z222" s="2222" t="s">
        <v>31</v>
      </c>
      <c r="AA222" s="2222" t="s">
        <v>31</v>
      </c>
      <c r="AB222" s="2222" t="s">
        <v>31</v>
      </c>
      <c r="AC222" s="2222"/>
      <c r="AD222" s="2224"/>
      <c r="AE222" s="2222"/>
      <c r="AF222" s="2224"/>
      <c r="AG222" s="2609"/>
      <c r="AH222" s="189"/>
      <c r="AI222" s="190"/>
    </row>
    <row r="223" spans="1:35" ht="22.15" customHeight="1" x14ac:dyDescent="0.2">
      <c r="A223" s="2610">
        <v>3701</v>
      </c>
      <c r="B223" s="2142" t="s">
        <v>291</v>
      </c>
      <c r="C223" s="2222" t="s">
        <v>31</v>
      </c>
      <c r="D223" s="2222" t="s">
        <v>31</v>
      </c>
      <c r="E223" s="2222" t="s">
        <v>31</v>
      </c>
      <c r="F223" s="2224" t="s">
        <v>31</v>
      </c>
      <c r="G223" s="2222" t="s">
        <v>31</v>
      </c>
      <c r="H223" s="2222"/>
      <c r="I223" s="2222"/>
      <c r="J223" s="2222" t="s">
        <v>31</v>
      </c>
      <c r="K223" s="2222" t="s">
        <v>31</v>
      </c>
      <c r="L223" s="2222" t="s">
        <v>31</v>
      </c>
      <c r="M223" s="2222" t="s">
        <v>31</v>
      </c>
      <c r="N223" s="2229" t="s">
        <v>31</v>
      </c>
      <c r="O223" s="2229"/>
      <c r="P223" s="2229"/>
      <c r="Q223" s="2230" t="s">
        <v>31</v>
      </c>
      <c r="R223" s="2229" t="s">
        <v>31</v>
      </c>
      <c r="S223" s="2222" t="s">
        <v>31</v>
      </c>
      <c r="T223" s="2222" t="s">
        <v>31</v>
      </c>
      <c r="U223" s="2229" t="s">
        <v>31</v>
      </c>
      <c r="V223" s="2229"/>
      <c r="W223" s="2229"/>
      <c r="X223" s="2222" t="s">
        <v>31</v>
      </c>
      <c r="Y223" s="2229" t="s">
        <v>31</v>
      </c>
      <c r="Z223" s="2222" t="s">
        <v>31</v>
      </c>
      <c r="AA223" s="2222" t="s">
        <v>31</v>
      </c>
      <c r="AB223" s="2222" t="s">
        <v>31</v>
      </c>
      <c r="AC223" s="2222"/>
      <c r="AD223" s="2224"/>
      <c r="AE223" s="2222"/>
      <c r="AF223" s="2224"/>
      <c r="AG223" s="2612"/>
      <c r="AH223" s="189"/>
      <c r="AI223" s="190"/>
    </row>
    <row r="224" spans="1:35" ht="22.15" customHeight="1" x14ac:dyDescent="0.2">
      <c r="A224" s="2610">
        <v>3701</v>
      </c>
      <c r="B224" s="2142" t="s">
        <v>292</v>
      </c>
      <c r="C224" s="2222" t="s">
        <v>31</v>
      </c>
      <c r="D224" s="2222" t="s">
        <v>31</v>
      </c>
      <c r="E224" s="2222" t="s">
        <v>31</v>
      </c>
      <c r="F224" s="2224" t="s">
        <v>31</v>
      </c>
      <c r="G224" s="2222" t="s">
        <v>31</v>
      </c>
      <c r="H224" s="2222"/>
      <c r="I224" s="2222"/>
      <c r="J224" s="2222" t="s">
        <v>31</v>
      </c>
      <c r="K224" s="2222" t="s">
        <v>31</v>
      </c>
      <c r="L224" s="2222" t="s">
        <v>31</v>
      </c>
      <c r="M224" s="2222" t="s">
        <v>31</v>
      </c>
      <c r="N224" s="2229" t="s">
        <v>31</v>
      </c>
      <c r="O224" s="2229"/>
      <c r="P224" s="2229"/>
      <c r="Q224" s="2230" t="s">
        <v>31</v>
      </c>
      <c r="R224" s="2229" t="s">
        <v>31</v>
      </c>
      <c r="S224" s="2222" t="s">
        <v>31</v>
      </c>
      <c r="T224" s="2222" t="s">
        <v>31</v>
      </c>
      <c r="U224" s="2229" t="s">
        <v>31</v>
      </c>
      <c r="V224" s="2229"/>
      <c r="W224" s="2229"/>
      <c r="X224" s="2222" t="s">
        <v>31</v>
      </c>
      <c r="Y224" s="2229" t="s">
        <v>31</v>
      </c>
      <c r="Z224" s="2222" t="s">
        <v>31</v>
      </c>
      <c r="AA224" s="2222" t="s">
        <v>31</v>
      </c>
      <c r="AB224" s="2222" t="s">
        <v>31</v>
      </c>
      <c r="AC224" s="2222"/>
      <c r="AD224" s="2224"/>
      <c r="AE224" s="2222"/>
      <c r="AF224" s="2224"/>
      <c r="AG224" s="2613"/>
      <c r="AH224" s="189"/>
      <c r="AI224" s="190"/>
    </row>
    <row r="225" spans="1:35" ht="22.15" customHeight="1" x14ac:dyDescent="0.2">
      <c r="A225" s="2610"/>
      <c r="B225" s="2614" t="s">
        <v>393</v>
      </c>
      <c r="C225" s="2222" t="s">
        <v>31</v>
      </c>
      <c r="D225" s="2222" t="s">
        <v>31</v>
      </c>
      <c r="E225" s="2222" t="s">
        <v>31</v>
      </c>
      <c r="F225" s="2224" t="s">
        <v>31</v>
      </c>
      <c r="G225" s="2222" t="s">
        <v>31</v>
      </c>
      <c r="H225" s="2222"/>
      <c r="I225" s="2222"/>
      <c r="J225" s="2222" t="s">
        <v>31</v>
      </c>
      <c r="K225" s="2222" t="s">
        <v>31</v>
      </c>
      <c r="L225" s="2222" t="s">
        <v>31</v>
      </c>
      <c r="M225" s="2222" t="s">
        <v>31</v>
      </c>
      <c r="N225" s="2229" t="s">
        <v>31</v>
      </c>
      <c r="O225" s="2229"/>
      <c r="P225" s="2229"/>
      <c r="Q225" s="2230" t="s">
        <v>31</v>
      </c>
      <c r="R225" s="2229" t="s">
        <v>31</v>
      </c>
      <c r="S225" s="2222" t="s">
        <v>31</v>
      </c>
      <c r="T225" s="2222" t="s">
        <v>31</v>
      </c>
      <c r="U225" s="2229" t="s">
        <v>31</v>
      </c>
      <c r="V225" s="2229"/>
      <c r="W225" s="2229"/>
      <c r="X225" s="2222" t="s">
        <v>31</v>
      </c>
      <c r="Y225" s="2229" t="s">
        <v>31</v>
      </c>
      <c r="Z225" s="2222" t="s">
        <v>31</v>
      </c>
      <c r="AA225" s="2222" t="s">
        <v>31</v>
      </c>
      <c r="AB225" s="2222" t="s">
        <v>31</v>
      </c>
      <c r="AC225" s="2222"/>
      <c r="AD225" s="2224"/>
      <c r="AE225" s="2222"/>
      <c r="AF225" s="2224"/>
      <c r="AG225" s="2609"/>
      <c r="AH225" s="189"/>
      <c r="AI225" s="190"/>
    </row>
    <row r="226" spans="1:35" ht="22.15" customHeight="1" x14ac:dyDescent="0.2">
      <c r="A226" s="2610"/>
      <c r="B226" s="2142" t="s">
        <v>293</v>
      </c>
      <c r="C226" s="2222" t="s">
        <v>31</v>
      </c>
      <c r="D226" s="2222" t="s">
        <v>31</v>
      </c>
      <c r="E226" s="2222" t="s">
        <v>31</v>
      </c>
      <c r="F226" s="2224" t="s">
        <v>31</v>
      </c>
      <c r="G226" s="2222" t="s">
        <v>31</v>
      </c>
      <c r="H226" s="2222"/>
      <c r="I226" s="2222"/>
      <c r="J226" s="2222" t="s">
        <v>31</v>
      </c>
      <c r="K226" s="2222" t="s">
        <v>31</v>
      </c>
      <c r="L226" s="2222" t="s">
        <v>31</v>
      </c>
      <c r="M226" s="2222" t="s">
        <v>31</v>
      </c>
      <c r="N226" s="2229" t="s">
        <v>31</v>
      </c>
      <c r="O226" s="2229"/>
      <c r="P226" s="2229"/>
      <c r="Q226" s="2230" t="s">
        <v>31</v>
      </c>
      <c r="R226" s="2229" t="s">
        <v>31</v>
      </c>
      <c r="S226" s="2222" t="s">
        <v>31</v>
      </c>
      <c r="T226" s="2222" t="s">
        <v>31</v>
      </c>
      <c r="U226" s="2229" t="s">
        <v>31</v>
      </c>
      <c r="V226" s="2229"/>
      <c r="W226" s="2229"/>
      <c r="X226" s="2222" t="s">
        <v>31</v>
      </c>
      <c r="Y226" s="2229" t="s">
        <v>31</v>
      </c>
      <c r="Z226" s="2222" t="s">
        <v>31</v>
      </c>
      <c r="AA226" s="2222" t="s">
        <v>31</v>
      </c>
      <c r="AB226" s="2222" t="s">
        <v>31</v>
      </c>
      <c r="AC226" s="2222"/>
      <c r="AD226" s="2224"/>
      <c r="AE226" s="2222"/>
      <c r="AF226" s="2224"/>
      <c r="AG226" s="2609"/>
      <c r="AH226" s="189"/>
      <c r="AI226" s="190"/>
    </row>
    <row r="227" spans="1:35" ht="22.15" customHeight="1" x14ac:dyDescent="0.2">
      <c r="A227" s="2610"/>
      <c r="B227" s="2142" t="s">
        <v>294</v>
      </c>
      <c r="C227" s="2222" t="s">
        <v>31</v>
      </c>
      <c r="D227" s="2222" t="s">
        <v>31</v>
      </c>
      <c r="E227" s="2222" t="s">
        <v>31</v>
      </c>
      <c r="F227" s="2224" t="s">
        <v>31</v>
      </c>
      <c r="G227" s="2222" t="s">
        <v>31</v>
      </c>
      <c r="H227" s="2222"/>
      <c r="I227" s="2222"/>
      <c r="J227" s="2222" t="s">
        <v>31</v>
      </c>
      <c r="K227" s="2222" t="s">
        <v>31</v>
      </c>
      <c r="L227" s="2222" t="s">
        <v>31</v>
      </c>
      <c r="M227" s="2222" t="s">
        <v>31</v>
      </c>
      <c r="N227" s="2229" t="s">
        <v>31</v>
      </c>
      <c r="O227" s="2229"/>
      <c r="P227" s="2229"/>
      <c r="Q227" s="2230" t="s">
        <v>31</v>
      </c>
      <c r="R227" s="2229" t="s">
        <v>31</v>
      </c>
      <c r="S227" s="2222" t="s">
        <v>31</v>
      </c>
      <c r="T227" s="2222" t="s">
        <v>31</v>
      </c>
      <c r="U227" s="2229" t="s">
        <v>31</v>
      </c>
      <c r="V227" s="2229"/>
      <c r="W227" s="2229"/>
      <c r="X227" s="2222" t="s">
        <v>31</v>
      </c>
      <c r="Y227" s="2229" t="s">
        <v>31</v>
      </c>
      <c r="Z227" s="2222" t="s">
        <v>31</v>
      </c>
      <c r="AA227" s="2222" t="s">
        <v>31</v>
      </c>
      <c r="AB227" s="2222" t="s">
        <v>31</v>
      </c>
      <c r="AC227" s="2222"/>
      <c r="AD227" s="2224"/>
      <c r="AE227" s="2222"/>
      <c r="AF227" s="2224"/>
      <c r="AG227" s="2609"/>
      <c r="AH227" s="189"/>
      <c r="AI227" s="190"/>
    </row>
    <row r="228" spans="1:35" ht="22.15" customHeight="1" x14ac:dyDescent="0.2">
      <c r="A228" s="2610"/>
      <c r="B228" s="2142" t="s">
        <v>295</v>
      </c>
      <c r="C228" s="2222" t="s">
        <v>31</v>
      </c>
      <c r="D228" s="2222" t="s">
        <v>31</v>
      </c>
      <c r="E228" s="2222" t="s">
        <v>31</v>
      </c>
      <c r="F228" s="2224" t="s">
        <v>31</v>
      </c>
      <c r="G228" s="2222" t="s">
        <v>31</v>
      </c>
      <c r="H228" s="2222"/>
      <c r="I228" s="2222"/>
      <c r="J228" s="2222" t="s">
        <v>31</v>
      </c>
      <c r="K228" s="2222" t="s">
        <v>31</v>
      </c>
      <c r="L228" s="2222" t="s">
        <v>31</v>
      </c>
      <c r="M228" s="2222" t="s">
        <v>31</v>
      </c>
      <c r="N228" s="2229" t="s">
        <v>31</v>
      </c>
      <c r="O228" s="2229"/>
      <c r="P228" s="2229"/>
      <c r="Q228" s="2230" t="s">
        <v>31</v>
      </c>
      <c r="R228" s="2229" t="s">
        <v>31</v>
      </c>
      <c r="S228" s="2222" t="s">
        <v>31</v>
      </c>
      <c r="T228" s="2222" t="s">
        <v>31</v>
      </c>
      <c r="U228" s="2229" t="s">
        <v>31</v>
      </c>
      <c r="V228" s="2229"/>
      <c r="W228" s="2229"/>
      <c r="X228" s="2222" t="s">
        <v>31</v>
      </c>
      <c r="Y228" s="2229" t="s">
        <v>31</v>
      </c>
      <c r="Z228" s="2222" t="s">
        <v>31</v>
      </c>
      <c r="AA228" s="2222" t="s">
        <v>31</v>
      </c>
      <c r="AB228" s="2222" t="s">
        <v>31</v>
      </c>
      <c r="AC228" s="2222"/>
      <c r="AD228" s="2224"/>
      <c r="AE228" s="2222"/>
      <c r="AF228" s="2224"/>
      <c r="AG228" s="2609"/>
      <c r="AH228" s="189"/>
      <c r="AI228" s="190"/>
    </row>
    <row r="229" spans="1:35" ht="22.15" customHeight="1" x14ac:dyDescent="0.2">
      <c r="A229" s="2610"/>
      <c r="B229" s="2142" t="s">
        <v>296</v>
      </c>
      <c r="C229" s="2222" t="s">
        <v>31</v>
      </c>
      <c r="D229" s="2222" t="s">
        <v>31</v>
      </c>
      <c r="E229" s="2222" t="s">
        <v>31</v>
      </c>
      <c r="F229" s="2224" t="s">
        <v>31</v>
      </c>
      <c r="G229" s="2222" t="s">
        <v>31</v>
      </c>
      <c r="H229" s="2222"/>
      <c r="I229" s="2222"/>
      <c r="J229" s="2222" t="s">
        <v>31</v>
      </c>
      <c r="K229" s="2222" t="s">
        <v>31</v>
      </c>
      <c r="L229" s="2222" t="s">
        <v>31</v>
      </c>
      <c r="M229" s="2222" t="s">
        <v>31</v>
      </c>
      <c r="N229" s="2229" t="s">
        <v>31</v>
      </c>
      <c r="O229" s="2229"/>
      <c r="P229" s="2229"/>
      <c r="Q229" s="2230" t="s">
        <v>31</v>
      </c>
      <c r="R229" s="2229" t="s">
        <v>31</v>
      </c>
      <c r="S229" s="2222" t="s">
        <v>31</v>
      </c>
      <c r="T229" s="2222" t="s">
        <v>31</v>
      </c>
      <c r="U229" s="2229" t="s">
        <v>31</v>
      </c>
      <c r="V229" s="2229"/>
      <c r="W229" s="2229"/>
      <c r="X229" s="2222" t="s">
        <v>31</v>
      </c>
      <c r="Y229" s="2229" t="s">
        <v>31</v>
      </c>
      <c r="Z229" s="2222" t="s">
        <v>31</v>
      </c>
      <c r="AA229" s="2222" t="s">
        <v>31</v>
      </c>
      <c r="AB229" s="2222" t="s">
        <v>31</v>
      </c>
      <c r="AC229" s="2222"/>
      <c r="AD229" s="2224"/>
      <c r="AE229" s="2222"/>
      <c r="AF229" s="2224"/>
      <c r="AG229" s="2612"/>
      <c r="AH229" s="189"/>
      <c r="AI229" s="190"/>
    </row>
    <row r="230" spans="1:35" ht="22.15" customHeight="1" x14ac:dyDescent="0.2">
      <c r="A230" s="2610"/>
      <c r="B230" s="2615" t="s">
        <v>297</v>
      </c>
      <c r="C230" s="2224"/>
      <c r="D230" s="2224"/>
      <c r="E230" s="2224"/>
      <c r="F230" s="2261"/>
      <c r="G230" s="2229"/>
      <c r="H230" s="2229"/>
      <c r="I230" s="2224"/>
      <c r="J230" s="2224"/>
      <c r="K230" s="2224"/>
      <c r="L230" s="2224"/>
      <c r="M230" s="2224"/>
      <c r="N230" s="2222"/>
      <c r="O230" s="2224"/>
      <c r="P230" s="2224"/>
      <c r="Q230" s="2224"/>
      <c r="R230" s="2224"/>
      <c r="S230" s="2224"/>
      <c r="T230" s="2224"/>
      <c r="U230" s="2224"/>
      <c r="V230" s="2224"/>
      <c r="W230" s="2224"/>
      <c r="X230" s="2224"/>
      <c r="Y230" s="2230"/>
      <c r="Z230" s="2230"/>
      <c r="AA230" s="2230"/>
      <c r="AB230" s="2224"/>
      <c r="AC230" s="2224"/>
      <c r="AD230" s="2224"/>
      <c r="AE230" s="2224"/>
      <c r="AF230" s="2222"/>
      <c r="AG230" s="2609"/>
      <c r="AH230" s="186"/>
      <c r="AI230" s="107"/>
    </row>
    <row r="231" spans="1:35" ht="22.15" customHeight="1" x14ac:dyDescent="0.2">
      <c r="A231" s="2610"/>
      <c r="B231" s="2142"/>
      <c r="C231" s="2224"/>
      <c r="D231" s="2224"/>
      <c r="E231" s="2224"/>
      <c r="F231" s="2261"/>
      <c r="G231" s="2229"/>
      <c r="H231" s="2229"/>
      <c r="I231" s="2224"/>
      <c r="J231" s="2224"/>
      <c r="K231" s="2224"/>
      <c r="L231" s="2224"/>
      <c r="M231" s="2224"/>
      <c r="N231" s="2222"/>
      <c r="O231" s="2224"/>
      <c r="P231" s="2224"/>
      <c r="Q231" s="2224"/>
      <c r="R231" s="2224"/>
      <c r="S231" s="2224"/>
      <c r="T231" s="2224"/>
      <c r="U231" s="2224"/>
      <c r="V231" s="2224"/>
      <c r="W231" s="2224"/>
      <c r="X231" s="2224"/>
      <c r="Y231" s="2230"/>
      <c r="Z231" s="2230"/>
      <c r="AA231" s="2230"/>
      <c r="AB231" s="2224"/>
      <c r="AC231" s="2224"/>
      <c r="AD231" s="2224"/>
      <c r="AE231" s="2224"/>
      <c r="AF231" s="2222"/>
      <c r="AG231" s="2616"/>
      <c r="AH231" s="186"/>
      <c r="AI231" s="107"/>
    </row>
    <row r="232" spans="1:35" ht="22.15" customHeight="1" x14ac:dyDescent="0.2">
      <c r="A232" s="2617"/>
      <c r="B232" s="2618" t="s">
        <v>298</v>
      </c>
      <c r="C232" s="2224"/>
      <c r="D232" s="2224"/>
      <c r="E232" s="2224"/>
      <c r="F232" s="2224"/>
      <c r="G232" s="2224"/>
      <c r="H232" s="2224"/>
      <c r="I232" s="2224"/>
      <c r="J232" s="2224"/>
      <c r="K232" s="2224"/>
      <c r="L232" s="2224"/>
      <c r="M232" s="2224"/>
      <c r="N232" s="2224"/>
      <c r="O232" s="2224"/>
      <c r="P232" s="2224"/>
      <c r="Q232" s="2224"/>
      <c r="R232" s="2224"/>
      <c r="S232" s="2224"/>
      <c r="T232" s="2224"/>
      <c r="U232" s="2224"/>
      <c r="V232" s="2224"/>
      <c r="W232" s="2224"/>
      <c r="X232" s="2224"/>
      <c r="Y232" s="2224"/>
      <c r="Z232" s="2224"/>
      <c r="AA232" s="2224"/>
      <c r="AB232" s="2224"/>
      <c r="AC232" s="2224"/>
      <c r="AD232" s="2224"/>
      <c r="AE232" s="2224"/>
      <c r="AF232" s="2224"/>
      <c r="AG232" s="2609"/>
      <c r="AH232" s="186"/>
      <c r="AI232" s="107"/>
    </row>
    <row r="233" spans="1:35" ht="22.15" customHeight="1" x14ac:dyDescent="0.2">
      <c r="A233" s="2617"/>
      <c r="B233" s="2142" t="s">
        <v>299</v>
      </c>
      <c r="C233" s="2222" t="s">
        <v>31</v>
      </c>
      <c r="D233" s="2222" t="s">
        <v>31</v>
      </c>
      <c r="E233" s="2222" t="s">
        <v>31</v>
      </c>
      <c r="F233" s="2224" t="s">
        <v>31</v>
      </c>
      <c r="G233" s="2222" t="s">
        <v>31</v>
      </c>
      <c r="H233" s="2222"/>
      <c r="I233" s="2222"/>
      <c r="J233" s="2222" t="s">
        <v>31</v>
      </c>
      <c r="K233" s="2222" t="s">
        <v>31</v>
      </c>
      <c r="L233" s="2222" t="s">
        <v>31</v>
      </c>
      <c r="M233" s="2222" t="s">
        <v>31</v>
      </c>
      <c r="N233" s="2229" t="s">
        <v>31</v>
      </c>
      <c r="O233" s="2229"/>
      <c r="P233" s="2229"/>
      <c r="Q233" s="2230" t="s">
        <v>31</v>
      </c>
      <c r="R233" s="2229" t="s">
        <v>31</v>
      </c>
      <c r="S233" s="2222" t="s">
        <v>31</v>
      </c>
      <c r="T233" s="2222" t="s">
        <v>31</v>
      </c>
      <c r="U233" s="2229" t="s">
        <v>31</v>
      </c>
      <c r="V233" s="2229"/>
      <c r="W233" s="2229"/>
      <c r="X233" s="2222" t="s">
        <v>31</v>
      </c>
      <c r="Y233" s="2229" t="s">
        <v>31</v>
      </c>
      <c r="Z233" s="2222" t="s">
        <v>31</v>
      </c>
      <c r="AA233" s="2222" t="s">
        <v>31</v>
      </c>
      <c r="AB233" s="2222" t="s">
        <v>31</v>
      </c>
      <c r="AC233" s="2222"/>
      <c r="AD233" s="2224"/>
      <c r="AE233" s="2222"/>
      <c r="AF233" s="2224"/>
      <c r="AG233" s="2616"/>
      <c r="AH233" s="186"/>
      <c r="AI233" s="107"/>
    </row>
    <row r="234" spans="1:35" ht="22.15" customHeight="1" x14ac:dyDescent="0.2">
      <c r="A234" s="2617"/>
      <c r="B234" s="2617"/>
      <c r="C234" s="2224"/>
      <c r="D234" s="2224"/>
      <c r="E234" s="2224"/>
      <c r="F234" s="2224"/>
      <c r="G234" s="2224"/>
      <c r="H234" s="2224"/>
      <c r="I234" s="2224"/>
      <c r="J234" s="2224"/>
      <c r="K234" s="2224"/>
      <c r="L234" s="2224"/>
      <c r="M234" s="2224"/>
      <c r="N234" s="2224"/>
      <c r="O234" s="2224"/>
      <c r="P234" s="2224"/>
      <c r="Q234" s="2224"/>
      <c r="R234" s="2224"/>
      <c r="S234" s="2224"/>
      <c r="T234" s="2224"/>
      <c r="U234" s="2224"/>
      <c r="V234" s="2224"/>
      <c r="W234" s="2224"/>
      <c r="X234" s="2224"/>
      <c r="Y234" s="2224"/>
      <c r="Z234" s="2224"/>
      <c r="AA234" s="2224"/>
      <c r="AB234" s="2224"/>
      <c r="AC234" s="2224"/>
      <c r="AD234" s="2224"/>
      <c r="AE234" s="2224"/>
      <c r="AF234" s="2224"/>
      <c r="AG234" s="2609"/>
      <c r="AH234" s="186"/>
      <c r="AI234" s="107"/>
    </row>
    <row r="235" spans="1:35" ht="22.15" customHeight="1" x14ac:dyDescent="0.2">
      <c r="A235" s="2617"/>
      <c r="B235" s="2617"/>
      <c r="C235" s="2224"/>
      <c r="D235" s="2224"/>
      <c r="E235" s="2224"/>
      <c r="F235" s="2224"/>
      <c r="G235" s="2224"/>
      <c r="H235" s="2619"/>
      <c r="I235" s="2224"/>
      <c r="J235" s="2224"/>
      <c r="K235" s="2224"/>
      <c r="L235" s="2224"/>
      <c r="M235" s="2224"/>
      <c r="N235" s="2224"/>
      <c r="O235" s="2224"/>
      <c r="P235" s="2224"/>
      <c r="Q235" s="2224"/>
      <c r="R235" s="2224"/>
      <c r="S235" s="2224"/>
      <c r="T235" s="2224"/>
      <c r="U235" s="2224"/>
      <c r="V235" s="2224"/>
      <c r="W235" s="2224"/>
      <c r="X235" s="2224"/>
      <c r="Y235" s="2224"/>
      <c r="Z235" s="2224"/>
      <c r="AA235" s="2224"/>
      <c r="AB235" s="2224"/>
      <c r="AC235" s="2224"/>
      <c r="AD235" s="2224"/>
      <c r="AE235" s="2224"/>
      <c r="AF235" s="2224"/>
      <c r="AG235" s="2616"/>
      <c r="AH235" s="186"/>
      <c r="AI235" s="107"/>
    </row>
    <row r="236" spans="1:35" ht="22.15" customHeight="1" x14ac:dyDescent="0.2">
      <c r="A236" s="2610"/>
      <c r="B236" s="2614"/>
      <c r="C236" s="2224"/>
      <c r="D236" s="2224"/>
      <c r="E236" s="2224"/>
      <c r="F236" s="2224"/>
      <c r="G236" s="2224"/>
      <c r="H236" s="2224"/>
      <c r="I236" s="2224"/>
      <c r="J236" s="2224"/>
      <c r="K236" s="2224"/>
      <c r="L236" s="2224"/>
      <c r="M236" s="2224"/>
      <c r="N236" s="2224"/>
      <c r="O236" s="2224"/>
      <c r="P236" s="2224"/>
      <c r="Q236" s="2224"/>
      <c r="R236" s="2224"/>
      <c r="S236" s="2224"/>
      <c r="T236" s="2224"/>
      <c r="U236" s="2224"/>
      <c r="V236" s="2224"/>
      <c r="W236" s="2224"/>
      <c r="X236" s="2224"/>
      <c r="Y236" s="2224"/>
      <c r="Z236" s="2224"/>
      <c r="AA236" s="2224"/>
      <c r="AB236" s="2224"/>
      <c r="AC236" s="2224"/>
      <c r="AD236" s="2224"/>
      <c r="AE236" s="2224"/>
      <c r="AF236" s="2224"/>
      <c r="AG236" s="2616"/>
      <c r="AH236" s="186"/>
      <c r="AI236" s="107"/>
    </row>
    <row r="237" spans="1:35" ht="22.15" customHeight="1" x14ac:dyDescent="0.2">
      <c r="A237" s="2610"/>
      <c r="B237" s="2620"/>
      <c r="C237" s="2224"/>
      <c r="D237" s="2224"/>
      <c r="E237" s="2224"/>
      <c r="F237" s="2224"/>
      <c r="G237" s="2224"/>
      <c r="H237" s="2224"/>
      <c r="I237" s="2224"/>
      <c r="J237" s="2224"/>
      <c r="K237" s="2224"/>
      <c r="L237" s="2224"/>
      <c r="M237" s="2224"/>
      <c r="N237" s="2224"/>
      <c r="O237" s="2224"/>
      <c r="P237" s="2224"/>
      <c r="Q237" s="2224"/>
      <c r="R237" s="2224"/>
      <c r="S237" s="2224"/>
      <c r="T237" s="2224"/>
      <c r="U237" s="2224"/>
      <c r="V237" s="2224"/>
      <c r="W237" s="2224"/>
      <c r="X237" s="2224"/>
      <c r="Y237" s="2224"/>
      <c r="Z237" s="2224"/>
      <c r="AA237" s="2224"/>
      <c r="AB237" s="2224"/>
      <c r="AC237" s="2224"/>
      <c r="AD237" s="2224"/>
      <c r="AE237" s="2224"/>
      <c r="AF237" s="2224"/>
      <c r="AG237" s="2616"/>
      <c r="AH237" s="186"/>
      <c r="AI237" s="107"/>
    </row>
    <row r="238" spans="1:35" ht="22.15" customHeight="1" x14ac:dyDescent="0.2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2" spans="1:35" ht="21" customHeight="1" thickBot="1" x14ac:dyDescent="0.25">
      <c r="A242" s="162" t="s">
        <v>300</v>
      </c>
    </row>
    <row r="243" spans="1:35" ht="21" customHeight="1" x14ac:dyDescent="0.2">
      <c r="B243" s="530" t="s">
        <v>267</v>
      </c>
      <c r="C243" s="500"/>
      <c r="D243" s="516" t="s">
        <v>90</v>
      </c>
      <c r="E243" s="473"/>
      <c r="F243" s="504"/>
      <c r="G243" s="500"/>
      <c r="H243" s="516" t="s">
        <v>91</v>
      </c>
      <c r="I243" s="473"/>
      <c r="J243" s="504"/>
      <c r="K243" s="500"/>
      <c r="L243" s="516" t="s">
        <v>92</v>
      </c>
      <c r="M243" s="473"/>
      <c r="N243" s="504"/>
      <c r="O243" s="500"/>
      <c r="P243" s="516" t="s">
        <v>93</v>
      </c>
      <c r="Q243" s="473"/>
      <c r="R243" s="504"/>
      <c r="S243" s="500"/>
      <c r="T243" s="516" t="s">
        <v>94</v>
      </c>
      <c r="U243" s="473"/>
      <c r="V243" s="504"/>
      <c r="W243" s="500"/>
      <c r="X243" s="516" t="s">
        <v>95</v>
      </c>
      <c r="Y243" s="473"/>
      <c r="Z243" s="504"/>
      <c r="AA243" s="500"/>
      <c r="AB243" s="516" t="s">
        <v>96</v>
      </c>
      <c r="AC243" s="473"/>
      <c r="AD243" s="473"/>
      <c r="AE243" s="519" t="s">
        <v>97</v>
      </c>
      <c r="AF243" s="473"/>
      <c r="AG243" s="473"/>
      <c r="AH243" s="473"/>
      <c r="AI243" s="474"/>
    </row>
    <row r="244" spans="1:35" ht="21" customHeight="1" x14ac:dyDescent="0.2">
      <c r="B244" s="3"/>
      <c r="C244" s="156"/>
      <c r="D244" s="117"/>
      <c r="E244" s="166"/>
      <c r="F244" s="168"/>
      <c r="G244" s="156"/>
      <c r="H244" s="117"/>
      <c r="I244" s="166"/>
      <c r="J244" s="168"/>
      <c r="K244" s="156"/>
      <c r="L244" s="117"/>
      <c r="M244" s="166"/>
      <c r="N244" s="168"/>
      <c r="O244" s="156"/>
      <c r="P244" s="117"/>
      <c r="Q244" s="166"/>
      <c r="R244" s="168"/>
      <c r="S244" s="156"/>
      <c r="T244" s="117"/>
      <c r="U244" s="166"/>
      <c r="V244" s="168"/>
      <c r="W244" s="156"/>
      <c r="X244" s="117"/>
      <c r="Y244" s="166"/>
      <c r="Z244" s="168"/>
      <c r="AA244" s="156"/>
      <c r="AB244" s="117"/>
      <c r="AC244" s="166"/>
      <c r="AD244" s="166"/>
      <c r="AE244" s="118"/>
      <c r="AF244" s="166"/>
      <c r="AG244" s="14"/>
      <c r="AH244" s="14"/>
      <c r="AI244" s="119"/>
    </row>
    <row r="245" spans="1:35" ht="21" customHeight="1" x14ac:dyDescent="0.2">
      <c r="A245" s="110"/>
      <c r="B245" s="2621">
        <v>3701</v>
      </c>
      <c r="C245" s="2434" t="s">
        <v>272</v>
      </c>
      <c r="D245" s="2435"/>
      <c r="E245" s="166"/>
      <c r="F245" s="168"/>
      <c r="G245" s="2434" t="s">
        <v>272</v>
      </c>
      <c r="H245" s="117"/>
      <c r="I245" s="166"/>
      <c r="J245" s="168"/>
      <c r="K245" s="2434" t="s">
        <v>272</v>
      </c>
      <c r="L245" s="117"/>
      <c r="M245" s="166"/>
      <c r="N245" s="168"/>
      <c r="O245" s="2434" t="s">
        <v>272</v>
      </c>
      <c r="P245" s="117"/>
      <c r="Q245" s="166"/>
      <c r="R245" s="168"/>
      <c r="S245" s="156" t="s">
        <v>273</v>
      </c>
      <c r="T245" s="117"/>
      <c r="U245" s="166"/>
      <c r="V245" s="168"/>
      <c r="W245" s="156"/>
      <c r="X245" s="117"/>
      <c r="Y245" s="166"/>
      <c r="Z245" s="168"/>
      <c r="AA245" s="156"/>
      <c r="AB245" s="117"/>
      <c r="AC245" s="166"/>
      <c r="AD245" s="166"/>
      <c r="AE245" s="118"/>
      <c r="AF245" s="166"/>
      <c r="AG245" s="14"/>
      <c r="AH245" s="14"/>
      <c r="AI245" s="119"/>
    </row>
    <row r="246" spans="1:35" ht="21" customHeight="1" x14ac:dyDescent="0.2">
      <c r="B246" s="2621"/>
      <c r="C246" s="2434"/>
      <c r="D246" s="2435"/>
      <c r="E246" s="166"/>
      <c r="F246" s="168"/>
      <c r="G246" s="2434"/>
      <c r="H246" s="117"/>
      <c r="I246" s="166"/>
      <c r="J246" s="168"/>
      <c r="K246" s="2434"/>
      <c r="L246" s="117"/>
      <c r="M246" s="166"/>
      <c r="N246" s="168"/>
      <c r="O246" s="2434"/>
      <c r="P246" s="117"/>
      <c r="Q246" s="166"/>
      <c r="R246" s="168"/>
      <c r="S246" s="2434"/>
      <c r="T246" s="117"/>
      <c r="U246" s="166"/>
      <c r="V246" s="168"/>
      <c r="W246" s="156"/>
      <c r="X246" s="117"/>
      <c r="Y246" s="166"/>
      <c r="Z246" s="168"/>
      <c r="AA246" s="156"/>
      <c r="AB246" s="117"/>
      <c r="AC246" s="166"/>
      <c r="AD246" s="166"/>
      <c r="AE246" s="118"/>
      <c r="AF246" s="166"/>
      <c r="AG246" s="14"/>
      <c r="AH246" s="14"/>
      <c r="AI246" s="119"/>
    </row>
    <row r="247" spans="1:35" ht="21" customHeight="1" x14ac:dyDescent="0.2">
      <c r="B247" s="2621">
        <v>3702</v>
      </c>
      <c r="C247" s="2434" t="s">
        <v>301</v>
      </c>
      <c r="D247" s="2435"/>
      <c r="E247" s="166"/>
      <c r="F247" s="168"/>
      <c r="G247" s="2434" t="s">
        <v>301</v>
      </c>
      <c r="H247" s="2435"/>
      <c r="I247" s="166"/>
      <c r="J247" s="168"/>
      <c r="K247" s="2434" t="s">
        <v>301</v>
      </c>
      <c r="L247" s="2435"/>
      <c r="M247" s="166"/>
      <c r="N247" s="168"/>
      <c r="O247" s="2434" t="s">
        <v>301</v>
      </c>
      <c r="P247" s="2435"/>
      <c r="Q247" s="166"/>
      <c r="R247" s="168"/>
      <c r="S247" s="2434" t="s">
        <v>302</v>
      </c>
      <c r="T247" s="2435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B248" s="2621"/>
      <c r="C248" s="2507"/>
      <c r="D248" s="2435"/>
      <c r="E248" s="166"/>
      <c r="F248" s="168"/>
      <c r="G248" s="117"/>
      <c r="H248" s="117"/>
      <c r="I248" s="166"/>
      <c r="J248" s="168"/>
      <c r="K248" s="117"/>
      <c r="L248" s="117"/>
      <c r="M248" s="166"/>
      <c r="N248" s="168"/>
      <c r="O248" s="117"/>
      <c r="P248" s="117"/>
      <c r="Q248" s="166"/>
      <c r="R248" s="168"/>
      <c r="S248" s="117"/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2621" t="s">
        <v>139</v>
      </c>
      <c r="C249" s="2507" t="s">
        <v>303</v>
      </c>
      <c r="D249" s="2435"/>
      <c r="E249" s="166"/>
      <c r="F249" s="168"/>
      <c r="G249" s="2507" t="s">
        <v>303</v>
      </c>
      <c r="H249" s="2435"/>
      <c r="I249" s="166"/>
      <c r="J249" s="168"/>
      <c r="K249" s="2507" t="s">
        <v>303</v>
      </c>
      <c r="L249" s="2435"/>
      <c r="M249" s="166"/>
      <c r="N249" s="168"/>
      <c r="O249" s="2507" t="s">
        <v>303</v>
      </c>
      <c r="P249" s="2435"/>
      <c r="Q249" s="166"/>
      <c r="R249" s="168"/>
      <c r="S249" s="117" t="s">
        <v>304</v>
      </c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x14ac:dyDescent="0.2">
      <c r="B250" s="2621" t="s">
        <v>143</v>
      </c>
      <c r="C250" s="2507" t="s">
        <v>305</v>
      </c>
      <c r="D250" s="2435"/>
      <c r="E250" s="166"/>
      <c r="F250" s="168"/>
      <c r="G250" s="2507" t="s">
        <v>305</v>
      </c>
      <c r="H250" s="2435"/>
      <c r="I250" s="166"/>
      <c r="J250" s="168"/>
      <c r="K250" s="2507" t="s">
        <v>305</v>
      </c>
      <c r="L250" s="2435"/>
      <c r="M250" s="166"/>
      <c r="N250" s="168"/>
      <c r="O250" s="2507" t="s">
        <v>305</v>
      </c>
      <c r="P250" s="2435"/>
      <c r="Q250" s="166"/>
      <c r="R250" s="168"/>
      <c r="S250" s="117" t="s">
        <v>306</v>
      </c>
      <c r="T250" s="117"/>
      <c r="U250" s="166"/>
      <c r="V250" s="168"/>
      <c r="W250" s="156"/>
      <c r="X250" s="117"/>
      <c r="Y250" s="166"/>
      <c r="Z250" s="168"/>
      <c r="AA250" s="156"/>
      <c r="AB250" s="117"/>
      <c r="AC250" s="166"/>
      <c r="AD250" s="166"/>
      <c r="AE250" s="118"/>
      <c r="AF250" s="166"/>
      <c r="AG250" s="14"/>
      <c r="AH250" s="14"/>
      <c r="AI250" s="119"/>
    </row>
    <row r="251" spans="1:35" ht="21" customHeight="1" thickBot="1" x14ac:dyDescent="0.25">
      <c r="B251" s="2622" t="s">
        <v>153</v>
      </c>
      <c r="C251" s="2520" t="s">
        <v>307</v>
      </c>
      <c r="D251" s="2623"/>
      <c r="E251" s="2624"/>
      <c r="F251" s="2625"/>
      <c r="G251" s="2520" t="s">
        <v>307</v>
      </c>
      <c r="H251" s="2623"/>
      <c r="I251" s="2624"/>
      <c r="J251" s="2625"/>
      <c r="K251" s="2520" t="s">
        <v>307</v>
      </c>
      <c r="L251" s="2623"/>
      <c r="M251" s="2624"/>
      <c r="N251" s="2625"/>
      <c r="O251" s="2520" t="s">
        <v>307</v>
      </c>
      <c r="P251" s="2623"/>
      <c r="Q251" s="2624"/>
      <c r="R251" s="2625"/>
      <c r="S251" s="2626" t="s">
        <v>308</v>
      </c>
      <c r="T251" s="2626"/>
      <c r="U251" s="2624"/>
      <c r="V251" s="2625"/>
      <c r="W251" s="2627"/>
      <c r="X251" s="2626"/>
      <c r="Y251" s="2628"/>
      <c r="Z251" s="2629"/>
      <c r="AA251" s="2630"/>
      <c r="AB251" s="2626"/>
      <c r="AC251" s="2628"/>
      <c r="AD251" s="2628"/>
      <c r="AE251" s="2631"/>
      <c r="AF251" s="2628"/>
      <c r="AG251" s="2624"/>
      <c r="AH251" s="2624"/>
      <c r="AI251" s="2632"/>
    </row>
    <row r="252" spans="1:35" ht="21" customHeight="1" x14ac:dyDescent="0.2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 x14ac:dyDescent="0.2">
      <c r="A253" s="123" t="s">
        <v>309</v>
      </c>
    </row>
    <row r="254" spans="1:35" ht="21" customHeight="1" thickBot="1" x14ac:dyDescent="0.25">
      <c r="A254" s="2451"/>
      <c r="B254" s="2408" t="s">
        <v>29</v>
      </c>
      <c r="C254" s="2362">
        <v>1</v>
      </c>
      <c r="D254" s="2362">
        <v>2</v>
      </c>
      <c r="E254" s="2362">
        <v>3</v>
      </c>
      <c r="F254" s="2362">
        <v>4</v>
      </c>
      <c r="G254" s="2362">
        <v>5</v>
      </c>
      <c r="H254" s="2363">
        <v>6</v>
      </c>
      <c r="I254" s="2363">
        <v>7</v>
      </c>
      <c r="J254" s="2362">
        <v>8</v>
      </c>
      <c r="K254" s="2362">
        <v>9</v>
      </c>
      <c r="L254" s="2362">
        <v>10</v>
      </c>
      <c r="M254" s="2362">
        <v>11</v>
      </c>
      <c r="N254" s="2362">
        <v>12</v>
      </c>
      <c r="O254" s="2363">
        <v>13</v>
      </c>
      <c r="P254" s="2363">
        <v>14</v>
      </c>
      <c r="Q254" s="2362">
        <v>15</v>
      </c>
      <c r="R254" s="2362">
        <v>16</v>
      </c>
      <c r="S254" s="2362">
        <v>17</v>
      </c>
      <c r="T254" s="2362">
        <v>18</v>
      </c>
      <c r="U254" s="2362">
        <v>19</v>
      </c>
      <c r="V254" s="2363">
        <v>20</v>
      </c>
      <c r="W254" s="2363">
        <v>21</v>
      </c>
      <c r="X254" s="2362">
        <v>22</v>
      </c>
      <c r="Y254" s="2362">
        <v>23</v>
      </c>
      <c r="Z254" s="2362">
        <v>24</v>
      </c>
      <c r="AA254" s="2362">
        <v>25</v>
      </c>
      <c r="AB254" s="2362">
        <v>26</v>
      </c>
      <c r="AC254" s="2363">
        <v>27</v>
      </c>
      <c r="AD254" s="2363">
        <v>28</v>
      </c>
      <c r="AE254" s="2362"/>
      <c r="AF254" s="2362"/>
      <c r="AG254" s="2364"/>
      <c r="AH254" s="184"/>
      <c r="AI254" s="185"/>
    </row>
    <row r="255" spans="1:35" ht="21" customHeight="1" x14ac:dyDescent="0.2">
      <c r="A255" s="531">
        <v>3701</v>
      </c>
      <c r="B255" s="476"/>
      <c r="C255" s="2222" t="s">
        <v>31</v>
      </c>
      <c r="D255" s="2222" t="s">
        <v>31</v>
      </c>
      <c r="E255" s="2222" t="s">
        <v>31</v>
      </c>
      <c r="F255" s="2224" t="s">
        <v>31</v>
      </c>
      <c r="G255" s="2222" t="s">
        <v>31</v>
      </c>
      <c r="H255" s="2222"/>
      <c r="I255" s="2222"/>
      <c r="J255" s="2222" t="s">
        <v>31</v>
      </c>
      <c r="K255" s="2222" t="s">
        <v>31</v>
      </c>
      <c r="L255" s="2222" t="s">
        <v>31</v>
      </c>
      <c r="M255" s="2222" t="s">
        <v>31</v>
      </c>
      <c r="N255" s="2229" t="s">
        <v>31</v>
      </c>
      <c r="O255" s="2229"/>
      <c r="P255" s="2229"/>
      <c r="Q255" s="2230" t="s">
        <v>31</v>
      </c>
      <c r="R255" s="2229" t="s">
        <v>31</v>
      </c>
      <c r="S255" s="2222" t="s">
        <v>31</v>
      </c>
      <c r="T255" s="2222" t="s">
        <v>31</v>
      </c>
      <c r="U255" s="2229" t="s">
        <v>31</v>
      </c>
      <c r="V255" s="2229"/>
      <c r="W255" s="2229"/>
      <c r="X255" s="2222" t="s">
        <v>31</v>
      </c>
      <c r="Y255" s="2229" t="s">
        <v>31</v>
      </c>
      <c r="Z255" s="2222" t="s">
        <v>31</v>
      </c>
      <c r="AA255" s="2222" t="s">
        <v>31</v>
      </c>
      <c r="AB255" s="2222" t="s">
        <v>31</v>
      </c>
      <c r="AC255" s="2222"/>
      <c r="AD255" s="2224"/>
      <c r="AE255" s="2222"/>
      <c r="AF255" s="2224"/>
      <c r="AG255" s="478"/>
      <c r="AH255" s="189"/>
      <c r="AI255" s="190"/>
    </row>
    <row r="256" spans="1:35" ht="21" customHeight="1" x14ac:dyDescent="0.2">
      <c r="A256" s="2633">
        <v>3702</v>
      </c>
      <c r="B256" s="2377" t="s">
        <v>310</v>
      </c>
      <c r="C256" s="2222" t="s">
        <v>31</v>
      </c>
      <c r="D256" s="2222" t="s">
        <v>31</v>
      </c>
      <c r="E256" s="2222" t="s">
        <v>31</v>
      </c>
      <c r="F256" s="2224" t="s">
        <v>31</v>
      </c>
      <c r="G256" s="2222" t="s">
        <v>31</v>
      </c>
      <c r="H256" s="2222"/>
      <c r="I256" s="2222"/>
      <c r="J256" s="2222" t="s">
        <v>31</v>
      </c>
      <c r="K256" s="2222" t="s">
        <v>31</v>
      </c>
      <c r="L256" s="2222" t="s">
        <v>31</v>
      </c>
      <c r="M256" s="2222" t="s">
        <v>31</v>
      </c>
      <c r="N256" s="2229" t="s">
        <v>31</v>
      </c>
      <c r="O256" s="2229"/>
      <c r="P256" s="2229"/>
      <c r="Q256" s="2230" t="s">
        <v>31</v>
      </c>
      <c r="R256" s="2229" t="s">
        <v>31</v>
      </c>
      <c r="S256" s="2222" t="s">
        <v>31</v>
      </c>
      <c r="T256" s="2222" t="s">
        <v>31</v>
      </c>
      <c r="U256" s="2229" t="s">
        <v>31</v>
      </c>
      <c r="V256" s="2229"/>
      <c r="W256" s="2229"/>
      <c r="X256" s="2222" t="s">
        <v>31</v>
      </c>
      <c r="Y256" s="2229" t="s">
        <v>31</v>
      </c>
      <c r="Z256" s="2222" t="s">
        <v>31</v>
      </c>
      <c r="AA256" s="2222" t="s">
        <v>31</v>
      </c>
      <c r="AB256" s="2222" t="s">
        <v>31</v>
      </c>
      <c r="AC256" s="2222"/>
      <c r="AD256" s="2224"/>
      <c r="AE256" s="2222"/>
      <c r="AF256" s="2224"/>
      <c r="AG256" s="2419"/>
      <c r="AH256" s="189"/>
      <c r="AI256" s="190"/>
    </row>
    <row r="257" spans="1:35" ht="21" customHeight="1" x14ac:dyDescent="0.2">
      <c r="A257" s="2633"/>
      <c r="B257" s="2377"/>
      <c r="C257" s="2417"/>
      <c r="D257" s="2417"/>
      <c r="E257" s="2417"/>
      <c r="F257" s="2417"/>
      <c r="G257" s="2417"/>
      <c r="H257" s="2417"/>
      <c r="I257" s="2417"/>
      <c r="J257" s="2417"/>
      <c r="K257" s="2417"/>
      <c r="L257" s="2417"/>
      <c r="M257" s="2634"/>
      <c r="N257" s="2417"/>
      <c r="O257" s="2417"/>
      <c r="P257" s="2417"/>
      <c r="Q257" s="2417"/>
      <c r="R257" s="2417"/>
      <c r="S257" s="2417"/>
      <c r="T257" s="2417"/>
      <c r="U257" s="2417"/>
      <c r="V257" s="2417"/>
      <c r="W257" s="2417"/>
      <c r="X257" s="2417"/>
      <c r="Y257" s="2417"/>
      <c r="Z257" s="2417"/>
      <c r="AA257" s="2417"/>
      <c r="AB257" s="2417"/>
      <c r="AC257" s="2417"/>
      <c r="AD257" s="2417"/>
      <c r="AE257" s="2417"/>
      <c r="AF257" s="2417"/>
      <c r="AG257" s="2419"/>
      <c r="AH257" s="189"/>
      <c r="AI257" s="190"/>
    </row>
    <row r="258" spans="1:35" ht="21" customHeight="1" thickBot="1" x14ac:dyDescent="0.25">
      <c r="A258" s="2635"/>
      <c r="B258" s="2636"/>
      <c r="C258" s="2362"/>
      <c r="D258" s="2362"/>
      <c r="E258" s="2362"/>
      <c r="F258" s="2362"/>
      <c r="G258" s="2362"/>
      <c r="H258" s="2362"/>
      <c r="I258" s="2362"/>
      <c r="J258" s="2362"/>
      <c r="K258" s="2362"/>
      <c r="L258" s="2362"/>
      <c r="M258" s="2362"/>
      <c r="N258" s="2362"/>
      <c r="O258" s="2362"/>
      <c r="P258" s="2362"/>
      <c r="Q258" s="2362"/>
      <c r="R258" s="2362"/>
      <c r="S258" s="2362"/>
      <c r="T258" s="2362"/>
      <c r="U258" s="2362"/>
      <c r="V258" s="2362"/>
      <c r="W258" s="2362"/>
      <c r="X258" s="2362"/>
      <c r="Y258" s="2362"/>
      <c r="Z258" s="2362"/>
      <c r="AA258" s="2362"/>
      <c r="AB258" s="2362"/>
      <c r="AC258" s="2362"/>
      <c r="AD258" s="2362"/>
      <c r="AE258" s="2362"/>
      <c r="AF258" s="2362"/>
      <c r="AG258" s="2364"/>
      <c r="AH258" s="189"/>
      <c r="AI258" s="190"/>
    </row>
    <row r="259" spans="1:35" ht="21" customHeight="1" x14ac:dyDescent="0.2">
      <c r="A259" s="251"/>
      <c r="B259" s="2289" t="s">
        <v>311</v>
      </c>
      <c r="C259" s="2290"/>
      <c r="D259" s="2290"/>
      <c r="E259" s="2290"/>
      <c r="F259" s="2290"/>
      <c r="G259" s="2290"/>
      <c r="H259" s="2290"/>
      <c r="I259" s="2290"/>
      <c r="J259" s="2290"/>
      <c r="K259" s="2290"/>
      <c r="L259" s="2290"/>
      <c r="M259" s="2290"/>
      <c r="N259" s="2290"/>
      <c r="O259" s="2290"/>
      <c r="P259" s="2290"/>
      <c r="Q259" s="2290"/>
      <c r="R259" s="2290"/>
      <c r="S259" s="2290"/>
      <c r="T259" s="2290"/>
      <c r="U259" s="2290"/>
      <c r="V259" s="2290"/>
      <c r="W259" s="2290"/>
      <c r="X259" s="2290"/>
      <c r="Y259" s="2290"/>
      <c r="Z259" s="2290"/>
      <c r="AA259" s="2290"/>
      <c r="AB259" s="2290"/>
      <c r="AC259" s="2290"/>
      <c r="AD259" s="2290"/>
      <c r="AE259" s="2290"/>
      <c r="AF259" s="2290"/>
      <c r="AG259" s="2291"/>
      <c r="AH259" s="187"/>
      <c r="AI259" s="188"/>
    </row>
    <row r="260" spans="1:35" ht="21" customHeight="1" x14ac:dyDescent="0.2">
      <c r="A260" s="2633">
        <v>3702</v>
      </c>
      <c r="B260" s="2589" t="s">
        <v>312</v>
      </c>
      <c r="C260" s="2417" t="s">
        <v>313</v>
      </c>
      <c r="D260" s="2417" t="s">
        <v>313</v>
      </c>
      <c r="E260" s="2417" t="s">
        <v>313</v>
      </c>
      <c r="F260" s="2417" t="s">
        <v>313</v>
      </c>
      <c r="G260" s="2417" t="s">
        <v>313</v>
      </c>
      <c r="H260" s="2417"/>
      <c r="I260" s="2417"/>
      <c r="J260" s="2417" t="s">
        <v>313</v>
      </c>
      <c r="K260" s="2417" t="s">
        <v>313</v>
      </c>
      <c r="L260" s="2417" t="s">
        <v>313</v>
      </c>
      <c r="M260" s="2417" t="s">
        <v>313</v>
      </c>
      <c r="N260" s="2417" t="s">
        <v>313</v>
      </c>
      <c r="O260" s="2417"/>
      <c r="P260" s="2417"/>
      <c r="Q260" s="2417" t="s">
        <v>313</v>
      </c>
      <c r="R260" s="2417" t="s">
        <v>313</v>
      </c>
      <c r="S260" s="2417" t="s">
        <v>313</v>
      </c>
      <c r="T260" s="2417" t="s">
        <v>313</v>
      </c>
      <c r="U260" s="2417" t="s">
        <v>313</v>
      </c>
      <c r="V260" s="2417"/>
      <c r="W260" s="2417"/>
      <c r="X260" s="2417" t="s">
        <v>313</v>
      </c>
      <c r="Y260" s="2417" t="s">
        <v>313</v>
      </c>
      <c r="Z260" s="2417" t="s">
        <v>313</v>
      </c>
      <c r="AA260" s="2417" t="s">
        <v>313</v>
      </c>
      <c r="AB260" s="2417" t="s">
        <v>313</v>
      </c>
      <c r="AC260" s="2417"/>
      <c r="AD260" s="2417"/>
      <c r="AE260" s="2417"/>
      <c r="AF260" s="2417"/>
      <c r="AG260" s="2637"/>
      <c r="AH260" s="189"/>
      <c r="AI260" s="190"/>
    </row>
    <row r="261" spans="1:35" ht="21" customHeight="1" x14ac:dyDescent="0.2">
      <c r="A261" s="2633"/>
      <c r="B261" s="2585" t="s">
        <v>314</v>
      </c>
      <c r="C261" s="2417" t="s">
        <v>315</v>
      </c>
      <c r="D261" s="2417" t="s">
        <v>315</v>
      </c>
      <c r="E261" s="2417" t="s">
        <v>315</v>
      </c>
      <c r="F261" s="2417" t="s">
        <v>315</v>
      </c>
      <c r="G261" s="2417" t="s">
        <v>315</v>
      </c>
      <c r="H261" s="2417"/>
      <c r="I261" s="2417"/>
      <c r="J261" s="2417" t="s">
        <v>315</v>
      </c>
      <c r="K261" s="2417" t="s">
        <v>315</v>
      </c>
      <c r="L261" s="2417" t="s">
        <v>315</v>
      </c>
      <c r="M261" s="2417" t="s">
        <v>315</v>
      </c>
      <c r="N261" s="2417" t="s">
        <v>315</v>
      </c>
      <c r="O261" s="2417"/>
      <c r="P261" s="2417"/>
      <c r="Q261" s="2417" t="s">
        <v>315</v>
      </c>
      <c r="R261" s="2417" t="s">
        <v>315</v>
      </c>
      <c r="S261" s="2417" t="s">
        <v>315</v>
      </c>
      <c r="T261" s="2417" t="s">
        <v>315</v>
      </c>
      <c r="U261" s="2417" t="s">
        <v>315</v>
      </c>
      <c r="V261" s="2417"/>
      <c r="W261" s="2417"/>
      <c r="X261" s="2417" t="s">
        <v>315</v>
      </c>
      <c r="Y261" s="2417" t="s">
        <v>315</v>
      </c>
      <c r="Z261" s="2417" t="s">
        <v>315</v>
      </c>
      <c r="AA261" s="2417" t="s">
        <v>315</v>
      </c>
      <c r="AB261" s="2417" t="s">
        <v>315</v>
      </c>
      <c r="AC261" s="2417"/>
      <c r="AD261" s="2417"/>
      <c r="AE261" s="2417"/>
      <c r="AF261" s="2417"/>
      <c r="AG261" s="2637"/>
      <c r="AH261" s="189"/>
      <c r="AI261" s="190"/>
    </row>
    <row r="262" spans="1:35" ht="21" customHeight="1" thickBot="1" x14ac:dyDescent="0.25">
      <c r="A262" s="2638"/>
      <c r="B262" s="2597" t="s">
        <v>316</v>
      </c>
      <c r="C262" s="2413" t="s">
        <v>317</v>
      </c>
      <c r="D262" s="2413" t="s">
        <v>317</v>
      </c>
      <c r="E262" s="2413" t="s">
        <v>317</v>
      </c>
      <c r="F262" s="2413" t="s">
        <v>317</v>
      </c>
      <c r="G262" s="2413" t="s">
        <v>317</v>
      </c>
      <c r="H262" s="2413"/>
      <c r="I262" s="2413"/>
      <c r="J262" s="2413" t="s">
        <v>317</v>
      </c>
      <c r="K262" s="2413" t="s">
        <v>317</v>
      </c>
      <c r="L262" s="2413" t="s">
        <v>317</v>
      </c>
      <c r="M262" s="2413" t="s">
        <v>317</v>
      </c>
      <c r="N262" s="2413" t="s">
        <v>317</v>
      </c>
      <c r="O262" s="2413"/>
      <c r="P262" s="2413"/>
      <c r="Q262" s="2413" t="s">
        <v>317</v>
      </c>
      <c r="R262" s="2413" t="s">
        <v>317</v>
      </c>
      <c r="S262" s="2413" t="s">
        <v>317</v>
      </c>
      <c r="T262" s="2413" t="s">
        <v>317</v>
      </c>
      <c r="U262" s="2413" t="s">
        <v>317</v>
      </c>
      <c r="V262" s="2413"/>
      <c r="W262" s="2413"/>
      <c r="X262" s="2413" t="s">
        <v>317</v>
      </c>
      <c r="Y262" s="2413" t="s">
        <v>317</v>
      </c>
      <c r="Z262" s="2413" t="s">
        <v>317</v>
      </c>
      <c r="AA262" s="2413" t="s">
        <v>317</v>
      </c>
      <c r="AB262" s="2413" t="s">
        <v>317</v>
      </c>
      <c r="AC262" s="2413"/>
      <c r="AD262" s="2639"/>
      <c r="AE262" s="2413"/>
      <c r="AF262" s="2413"/>
      <c r="AG262" s="2640"/>
      <c r="AH262" s="189"/>
      <c r="AI262" s="190"/>
    </row>
    <row r="263" spans="1:35" ht="21" customHeight="1" x14ac:dyDescent="0.2"/>
    <row r="264" spans="1:35" ht="21" customHeight="1" x14ac:dyDescent="0.2"/>
    <row r="265" spans="1:35" ht="21" customHeight="1" thickBot="1" x14ac:dyDescent="0.25">
      <c r="A265" s="162" t="s">
        <v>318</v>
      </c>
    </row>
    <row r="266" spans="1:35" ht="21" customHeight="1" x14ac:dyDescent="0.2">
      <c r="B266" s="530" t="s">
        <v>267</v>
      </c>
      <c r="C266" s="500"/>
      <c r="D266" s="516" t="s">
        <v>90</v>
      </c>
      <c r="E266" s="473"/>
      <c r="F266" s="504"/>
      <c r="G266" s="500"/>
      <c r="H266" s="516" t="s">
        <v>91</v>
      </c>
      <c r="I266" s="473"/>
      <c r="J266" s="504"/>
      <c r="K266" s="500"/>
      <c r="L266" s="516" t="s">
        <v>92</v>
      </c>
      <c r="M266" s="473"/>
      <c r="N266" s="504"/>
      <c r="O266" s="500"/>
      <c r="P266" s="516" t="s">
        <v>93</v>
      </c>
      <c r="Q266" s="473"/>
      <c r="R266" s="504"/>
      <c r="S266" s="500"/>
      <c r="T266" s="516" t="s">
        <v>94</v>
      </c>
      <c r="U266" s="473"/>
      <c r="V266" s="504"/>
      <c r="W266" s="500"/>
      <c r="X266" s="516" t="s">
        <v>95</v>
      </c>
      <c r="Y266" s="473"/>
      <c r="Z266" s="504"/>
      <c r="AA266" s="500"/>
      <c r="AB266" s="516" t="s">
        <v>96</v>
      </c>
      <c r="AC266" s="473"/>
      <c r="AD266" s="473"/>
      <c r="AE266" s="519" t="s">
        <v>97</v>
      </c>
      <c r="AF266" s="473"/>
      <c r="AG266" s="473"/>
      <c r="AH266" s="473"/>
      <c r="AI266" s="474"/>
    </row>
    <row r="267" spans="1:35" ht="21" customHeight="1" x14ac:dyDescent="0.2">
      <c r="B267" s="3">
        <v>8500</v>
      </c>
      <c r="C267" s="2434" t="s">
        <v>319</v>
      </c>
      <c r="D267" s="117"/>
      <c r="E267" s="14"/>
      <c r="F267" s="116"/>
      <c r="G267" s="2434" t="s">
        <v>319</v>
      </c>
      <c r="H267" s="117"/>
      <c r="I267" s="14"/>
      <c r="J267" s="116"/>
      <c r="K267" s="2434" t="s">
        <v>319</v>
      </c>
      <c r="L267" s="117"/>
      <c r="M267" s="14"/>
      <c r="N267" s="116"/>
      <c r="O267" s="2434" t="s">
        <v>319</v>
      </c>
      <c r="P267" s="117"/>
      <c r="Q267" s="14"/>
      <c r="R267" s="116"/>
      <c r="S267" s="2434" t="s">
        <v>320</v>
      </c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 thickBot="1" x14ac:dyDescent="0.25">
      <c r="A268" s="110"/>
      <c r="B268" s="2641"/>
      <c r="C268" s="2642"/>
      <c r="D268" s="2643"/>
      <c r="E268" s="2624"/>
      <c r="F268" s="2625"/>
      <c r="G268" s="2642"/>
      <c r="H268" s="2626"/>
      <c r="I268" s="2624"/>
      <c r="J268" s="2625"/>
      <c r="K268" s="2642"/>
      <c r="L268" s="2626"/>
      <c r="M268" s="2624"/>
      <c r="N268" s="2625"/>
      <c r="O268" s="2642"/>
      <c r="P268" s="2626"/>
      <c r="Q268" s="2624"/>
      <c r="R268" s="2625"/>
      <c r="S268" s="2642"/>
      <c r="T268" s="2626"/>
      <c r="U268" s="2624"/>
      <c r="V268" s="2625"/>
      <c r="W268" s="2627"/>
      <c r="X268" s="2626"/>
      <c r="Y268" s="2624"/>
      <c r="Z268" s="2625"/>
      <c r="AA268" s="2627"/>
      <c r="AB268" s="2626"/>
      <c r="AC268" s="2624"/>
      <c r="AD268" s="2624"/>
      <c r="AE268" s="2631"/>
      <c r="AF268" s="2624"/>
      <c r="AG268" s="2624"/>
      <c r="AH268" s="2624"/>
      <c r="AI268" s="2632"/>
    </row>
    <row r="269" spans="1:35" ht="21" customHeight="1" x14ac:dyDescent="0.2">
      <c r="A269" s="16" t="s">
        <v>321</v>
      </c>
    </row>
    <row r="270" spans="1:35" ht="21" customHeight="1" thickBot="1" x14ac:dyDescent="0.25">
      <c r="A270" s="2644"/>
      <c r="B270" s="2645" t="s">
        <v>29</v>
      </c>
      <c r="C270" s="2362">
        <v>1</v>
      </c>
      <c r="D270" s="2362">
        <v>2</v>
      </c>
      <c r="E270" s="2362">
        <v>3</v>
      </c>
      <c r="F270" s="2362">
        <v>4</v>
      </c>
      <c r="G270" s="2362">
        <v>5</v>
      </c>
      <c r="H270" s="2363">
        <v>6</v>
      </c>
      <c r="I270" s="2363">
        <v>7</v>
      </c>
      <c r="J270" s="2362">
        <v>8</v>
      </c>
      <c r="K270" s="2362">
        <v>9</v>
      </c>
      <c r="L270" s="2362">
        <v>10</v>
      </c>
      <c r="M270" s="2362">
        <v>11</v>
      </c>
      <c r="N270" s="2362">
        <v>12</v>
      </c>
      <c r="O270" s="2363">
        <v>13</v>
      </c>
      <c r="P270" s="2363">
        <v>14</v>
      </c>
      <c r="Q270" s="2362">
        <v>15</v>
      </c>
      <c r="R270" s="2362">
        <v>16</v>
      </c>
      <c r="S270" s="2362">
        <v>17</v>
      </c>
      <c r="T270" s="2362">
        <v>18</v>
      </c>
      <c r="U270" s="2362">
        <v>19</v>
      </c>
      <c r="V270" s="2363">
        <v>20</v>
      </c>
      <c r="W270" s="2363">
        <v>21</v>
      </c>
      <c r="X270" s="2362">
        <v>22</v>
      </c>
      <c r="Y270" s="2362">
        <v>23</v>
      </c>
      <c r="Z270" s="2362">
        <v>24</v>
      </c>
      <c r="AA270" s="2362">
        <v>25</v>
      </c>
      <c r="AB270" s="2362">
        <v>26</v>
      </c>
      <c r="AC270" s="2363">
        <v>27</v>
      </c>
      <c r="AD270" s="2363">
        <v>28</v>
      </c>
      <c r="AE270" s="2362"/>
      <c r="AF270" s="2362"/>
      <c r="AG270" s="2364"/>
      <c r="AH270" s="184"/>
      <c r="AI270" s="185"/>
    </row>
    <row r="271" spans="1:35" ht="21" customHeight="1" x14ac:dyDescent="0.2">
      <c r="A271" s="8">
        <v>8500</v>
      </c>
      <c r="B271" s="157" t="s">
        <v>322</v>
      </c>
      <c r="C271" s="2222" t="s">
        <v>31</v>
      </c>
      <c r="D271" s="2222" t="s">
        <v>31</v>
      </c>
      <c r="E271" s="2222" t="s">
        <v>31</v>
      </c>
      <c r="F271" s="2224" t="s">
        <v>31</v>
      </c>
      <c r="G271" s="2222" t="s">
        <v>31</v>
      </c>
      <c r="H271" s="2222"/>
      <c r="I271" s="2222"/>
      <c r="J271" s="2222" t="s">
        <v>31</v>
      </c>
      <c r="K271" s="2222" t="s">
        <v>31</v>
      </c>
      <c r="L271" s="2222" t="s">
        <v>31</v>
      </c>
      <c r="M271" s="2222" t="s">
        <v>31</v>
      </c>
      <c r="N271" s="2229" t="s">
        <v>31</v>
      </c>
      <c r="O271" s="2229"/>
      <c r="P271" s="2229"/>
      <c r="Q271" s="2230" t="s">
        <v>31</v>
      </c>
      <c r="R271" s="2229" t="s">
        <v>31</v>
      </c>
      <c r="S271" s="2222" t="s">
        <v>31</v>
      </c>
      <c r="T271" s="2222" t="s">
        <v>31</v>
      </c>
      <c r="U271" s="2229" t="s">
        <v>31</v>
      </c>
      <c r="V271" s="2229"/>
      <c r="W271" s="2229"/>
      <c r="X271" s="2222" t="s">
        <v>31</v>
      </c>
      <c r="Y271" s="2229" t="s">
        <v>31</v>
      </c>
      <c r="Z271" s="2222" t="s">
        <v>31</v>
      </c>
      <c r="AA271" s="2222" t="s">
        <v>31</v>
      </c>
      <c r="AB271" s="2222" t="s">
        <v>31</v>
      </c>
      <c r="AC271" s="2222"/>
      <c r="AD271" s="2224"/>
      <c r="AE271" s="2222"/>
      <c r="AF271" s="2224"/>
      <c r="AG271" s="2224"/>
      <c r="AH271" s="196"/>
      <c r="AI271" s="197"/>
    </row>
    <row r="272" spans="1:35" ht="21" customHeight="1" x14ac:dyDescent="0.2">
      <c r="A272" s="2368"/>
      <c r="B272" s="2646" t="s">
        <v>323</v>
      </c>
      <c r="C272" s="2222" t="s">
        <v>31</v>
      </c>
      <c r="D272" s="2222" t="s">
        <v>31</v>
      </c>
      <c r="E272" s="2222" t="s">
        <v>31</v>
      </c>
      <c r="F272" s="2224" t="s">
        <v>31</v>
      </c>
      <c r="G272" s="2222" t="s">
        <v>31</v>
      </c>
      <c r="H272" s="2222"/>
      <c r="I272" s="2222"/>
      <c r="J272" s="2222" t="s">
        <v>31</v>
      </c>
      <c r="K272" s="2222" t="s">
        <v>31</v>
      </c>
      <c r="L272" s="2222" t="s">
        <v>31</v>
      </c>
      <c r="M272" s="2222" t="s">
        <v>31</v>
      </c>
      <c r="N272" s="2229" t="s">
        <v>31</v>
      </c>
      <c r="O272" s="2229"/>
      <c r="P272" s="2229"/>
      <c r="Q272" s="2230" t="s">
        <v>31</v>
      </c>
      <c r="R272" s="2229" t="s">
        <v>31</v>
      </c>
      <c r="S272" s="2222" t="s">
        <v>31</v>
      </c>
      <c r="T272" s="2222" t="s">
        <v>31</v>
      </c>
      <c r="U272" s="2229" t="s">
        <v>31</v>
      </c>
      <c r="V272" s="2229"/>
      <c r="W272" s="2229"/>
      <c r="X272" s="2222" t="s">
        <v>31</v>
      </c>
      <c r="Y272" s="2229" t="s">
        <v>31</v>
      </c>
      <c r="Z272" s="2222" t="s">
        <v>31</v>
      </c>
      <c r="AA272" s="2222" t="s">
        <v>31</v>
      </c>
      <c r="AB272" s="2222" t="s">
        <v>31</v>
      </c>
      <c r="AC272" s="2222"/>
      <c r="AD272" s="2224"/>
      <c r="AE272" s="2222"/>
      <c r="AF272" s="2224"/>
      <c r="AG272" s="2224"/>
      <c r="AH272" s="196"/>
      <c r="AI272" s="197"/>
    </row>
    <row r="273" spans="1:35" ht="22.15" customHeight="1" x14ac:dyDescent="0.2">
      <c r="A273" s="2647"/>
      <c r="B273" s="2646" t="s">
        <v>324</v>
      </c>
      <c r="C273" s="2222" t="s">
        <v>31</v>
      </c>
      <c r="D273" s="2222" t="s">
        <v>31</v>
      </c>
      <c r="E273" s="2222" t="s">
        <v>31</v>
      </c>
      <c r="F273" s="2224" t="s">
        <v>31</v>
      </c>
      <c r="G273" s="2222" t="s">
        <v>31</v>
      </c>
      <c r="H273" s="2222"/>
      <c r="I273" s="2222"/>
      <c r="J273" s="2222" t="s">
        <v>31</v>
      </c>
      <c r="K273" s="2222" t="s">
        <v>31</v>
      </c>
      <c r="L273" s="2222" t="s">
        <v>31</v>
      </c>
      <c r="M273" s="2222" t="s">
        <v>31</v>
      </c>
      <c r="N273" s="2229" t="s">
        <v>31</v>
      </c>
      <c r="O273" s="2229"/>
      <c r="P273" s="2229"/>
      <c r="Q273" s="2230" t="s">
        <v>31</v>
      </c>
      <c r="R273" s="2229" t="s">
        <v>31</v>
      </c>
      <c r="S273" s="2222" t="s">
        <v>31</v>
      </c>
      <c r="T273" s="2222" t="s">
        <v>31</v>
      </c>
      <c r="U273" s="2229" t="s">
        <v>31</v>
      </c>
      <c r="V273" s="2229"/>
      <c r="W273" s="2229"/>
      <c r="X273" s="2222" t="s">
        <v>31</v>
      </c>
      <c r="Y273" s="2229" t="s">
        <v>31</v>
      </c>
      <c r="Z273" s="2222" t="s">
        <v>31</v>
      </c>
      <c r="AA273" s="2222" t="s">
        <v>31</v>
      </c>
      <c r="AB273" s="2222" t="s">
        <v>31</v>
      </c>
      <c r="AC273" s="2222"/>
      <c r="AD273" s="2224"/>
      <c r="AE273" s="2222"/>
      <c r="AF273" s="2224"/>
      <c r="AG273" s="2224"/>
      <c r="AH273" s="196"/>
      <c r="AI273" s="197"/>
    </row>
    <row r="274" spans="1:35" ht="22.15" customHeight="1" x14ac:dyDescent="0.2">
      <c r="A274" s="102"/>
      <c r="B274" s="2648"/>
      <c r="C274" s="2224"/>
      <c r="D274" s="2224"/>
      <c r="E274" s="2224"/>
      <c r="F274" s="2224"/>
      <c r="G274" s="2224"/>
      <c r="H274" s="2224"/>
      <c r="I274" s="2224"/>
      <c r="J274" s="2224"/>
      <c r="K274" s="2224"/>
      <c r="L274" s="2224"/>
      <c r="M274" s="2224"/>
      <c r="N274" s="2224"/>
      <c r="O274" s="2224"/>
      <c r="P274" s="2224"/>
      <c r="Q274" s="2224"/>
      <c r="R274" s="2224"/>
      <c r="S274" s="2224"/>
      <c r="T274" s="2224"/>
      <c r="U274" s="2224"/>
      <c r="V274" s="2224"/>
      <c r="W274" s="2224"/>
      <c r="X274" s="2224"/>
      <c r="Y274" s="2224"/>
      <c r="Z274" s="2224"/>
      <c r="AA274" s="2224"/>
      <c r="AB274" s="2224"/>
      <c r="AC274" s="2224"/>
      <c r="AD274" s="2224"/>
      <c r="AE274" s="2224"/>
      <c r="AF274" s="2224"/>
      <c r="AG274" s="2140"/>
      <c r="AH274" s="196"/>
      <c r="AI274" s="197"/>
    </row>
    <row r="275" spans="1:35" ht="21" customHeight="1" x14ac:dyDescent="0.2">
      <c r="A275" s="1851"/>
      <c r="B275" s="2648"/>
      <c r="C275" s="2417"/>
      <c r="D275" s="2417"/>
      <c r="E275" s="2417"/>
      <c r="F275" s="2417"/>
      <c r="G275" s="2417"/>
      <c r="H275" s="2417"/>
      <c r="I275" s="2417"/>
      <c r="J275" s="2417"/>
      <c r="K275" s="2417"/>
      <c r="L275" s="2417"/>
      <c r="M275" s="2417"/>
      <c r="N275" s="2373"/>
      <c r="O275" s="2373"/>
      <c r="P275" s="2417"/>
      <c r="Q275" s="2417"/>
      <c r="R275" s="2417"/>
      <c r="S275" s="2417"/>
      <c r="T275" s="2417"/>
      <c r="U275" s="2417"/>
      <c r="V275" s="2417"/>
      <c r="W275" s="2417"/>
      <c r="X275" s="2417"/>
      <c r="Y275" s="2417"/>
      <c r="Z275" s="2417"/>
      <c r="AA275" s="2417"/>
      <c r="AB275" s="2373"/>
      <c r="AC275" s="2373"/>
      <c r="AD275" s="2417"/>
      <c r="AE275" s="2417"/>
      <c r="AF275" s="2417"/>
      <c r="AG275" s="2417"/>
      <c r="AH275" s="198"/>
      <c r="AI275" s="199"/>
    </row>
    <row r="276" spans="1:35" ht="22.15" customHeight="1" x14ac:dyDescent="0.2">
      <c r="A276" s="2649"/>
      <c r="B276" s="2650"/>
      <c r="C276" s="2417"/>
      <c r="D276" s="2417"/>
      <c r="E276" s="2417"/>
      <c r="F276" s="2417"/>
      <c r="G276" s="2417"/>
      <c r="H276" s="2417"/>
      <c r="I276" s="2417"/>
      <c r="J276" s="2417"/>
      <c r="K276" s="2417"/>
      <c r="L276" s="2417"/>
      <c r="M276" s="2417"/>
      <c r="N276" s="2373"/>
      <c r="O276" s="2373"/>
      <c r="P276" s="2417"/>
      <c r="Q276" s="2417"/>
      <c r="R276" s="2417"/>
      <c r="S276" s="2417"/>
      <c r="T276" s="2417"/>
      <c r="U276" s="2417"/>
      <c r="V276" s="2417"/>
      <c r="W276" s="2417"/>
      <c r="X276" s="2417"/>
      <c r="Y276" s="2417"/>
      <c r="Z276" s="2417"/>
      <c r="AA276" s="2417"/>
      <c r="AB276" s="2373"/>
      <c r="AC276" s="2373"/>
      <c r="AD276" s="2417"/>
      <c r="AE276" s="2417"/>
      <c r="AF276" s="2417"/>
      <c r="AG276" s="2417"/>
      <c r="AH276" s="198"/>
      <c r="AI276" s="199"/>
    </row>
    <row r="277" spans="1:35" ht="22.15" customHeight="1" thickBot="1" x14ac:dyDescent="0.25">
      <c r="A277" s="688"/>
      <c r="B277" s="2651"/>
      <c r="C277" s="2652"/>
      <c r="D277" s="2653"/>
      <c r="E277" s="2653"/>
      <c r="F277" s="2653"/>
      <c r="G277" s="2653"/>
      <c r="H277" s="2653"/>
      <c r="I277" s="2653"/>
      <c r="J277" s="2653"/>
      <c r="K277" s="2653"/>
      <c r="L277" s="2653"/>
      <c r="M277" s="2653"/>
      <c r="N277" s="2654"/>
      <c r="O277" s="2654"/>
      <c r="P277" s="2653"/>
      <c r="Q277" s="2653"/>
      <c r="R277" s="2653"/>
      <c r="S277" s="2653"/>
      <c r="T277" s="2653"/>
      <c r="U277" s="2653"/>
      <c r="V277" s="2653"/>
      <c r="W277" s="2653"/>
      <c r="X277" s="2653"/>
      <c r="Y277" s="2653"/>
      <c r="Z277" s="2653"/>
      <c r="AA277" s="2653"/>
      <c r="AB277" s="2654"/>
      <c r="AC277" s="2654"/>
      <c r="AD277" s="2653"/>
      <c r="AE277" s="2653"/>
      <c r="AF277" s="2653"/>
      <c r="AG277" s="2655"/>
      <c r="AH277" s="198"/>
      <c r="AI277" s="199"/>
    </row>
    <row r="278" spans="1:35" ht="22.15" customHeight="1" x14ac:dyDescent="0.2">
      <c r="A278" s="262"/>
      <c r="B278" s="263"/>
      <c r="C278" s="255"/>
      <c r="D278" s="255"/>
      <c r="E278" s="255"/>
      <c r="F278" s="255"/>
      <c r="G278" s="255"/>
      <c r="H278" s="255"/>
      <c r="I278" s="255"/>
      <c r="J278" s="255"/>
      <c r="K278" s="255"/>
      <c r="L278" s="255"/>
      <c r="M278" s="255"/>
      <c r="N278" s="229"/>
      <c r="O278" s="229"/>
      <c r="P278" s="255"/>
      <c r="Q278" s="255"/>
      <c r="R278" s="255"/>
      <c r="S278" s="255"/>
      <c r="T278" s="255"/>
      <c r="U278" s="255"/>
      <c r="V278" s="255"/>
      <c r="W278" s="255"/>
      <c r="X278" s="255"/>
      <c r="Y278" s="255"/>
      <c r="Z278" s="255"/>
      <c r="AA278" s="255"/>
      <c r="AB278" s="229"/>
      <c r="AC278" s="229"/>
      <c r="AD278" s="255"/>
      <c r="AE278" s="255"/>
      <c r="AF278" s="255"/>
      <c r="AG278" s="255"/>
      <c r="AH278" s="264"/>
      <c r="AI278" s="199"/>
    </row>
    <row r="279" spans="1:35" ht="24" customHeight="1" x14ac:dyDescent="0.2"/>
    <row r="280" spans="1:35" ht="25.5" customHeight="1" thickBot="1" x14ac:dyDescent="0.25">
      <c r="A280" s="162" t="s">
        <v>325</v>
      </c>
    </row>
    <row r="281" spans="1:35" ht="21" customHeight="1" x14ac:dyDescent="0.2">
      <c r="A281" s="1"/>
      <c r="B281" s="530" t="s">
        <v>267</v>
      </c>
      <c r="C281" s="500"/>
      <c r="D281" s="516" t="s">
        <v>90</v>
      </c>
      <c r="E281" s="473"/>
      <c r="F281" s="504"/>
      <c r="G281" s="500"/>
      <c r="H281" s="516" t="s">
        <v>91</v>
      </c>
      <c r="I281" s="473"/>
      <c r="J281" s="504"/>
      <c r="K281" s="500"/>
      <c r="L281" s="516" t="s">
        <v>92</v>
      </c>
      <c r="M281" s="473"/>
      <c r="N281" s="504"/>
      <c r="O281" s="500"/>
      <c r="P281" s="516" t="s">
        <v>93</v>
      </c>
      <c r="Q281" s="473"/>
      <c r="R281" s="504"/>
      <c r="S281" s="500"/>
      <c r="T281" s="516" t="s">
        <v>94</v>
      </c>
      <c r="U281" s="473"/>
      <c r="V281" s="504"/>
      <c r="W281" s="500"/>
      <c r="X281" s="516" t="s">
        <v>95</v>
      </c>
      <c r="Y281" s="473"/>
      <c r="Z281" s="504"/>
      <c r="AA281" s="500"/>
      <c r="AB281" s="516" t="s">
        <v>96</v>
      </c>
      <c r="AC281" s="473"/>
      <c r="AD281" s="473"/>
      <c r="AE281" s="519" t="s">
        <v>97</v>
      </c>
      <c r="AF281" s="473"/>
      <c r="AG281" s="473"/>
      <c r="AH281" s="473"/>
      <c r="AI281" s="474"/>
    </row>
    <row r="282" spans="1:35" ht="21" customHeight="1" x14ac:dyDescent="0.2">
      <c r="A282" s="1"/>
      <c r="B282" s="3"/>
      <c r="C282" s="8"/>
      <c r="D282" s="117"/>
      <c r="E282" s="14"/>
      <c r="F282" s="116"/>
      <c r="G282" s="8"/>
      <c r="H282" s="117"/>
      <c r="I282" s="14"/>
      <c r="J282" s="116"/>
      <c r="K282" s="8"/>
      <c r="L282" s="117"/>
      <c r="M282" s="14"/>
      <c r="N282" s="116"/>
      <c r="O282" s="8"/>
      <c r="P282" s="117"/>
      <c r="Q282" s="14"/>
      <c r="R282" s="116"/>
      <c r="S282" s="8"/>
      <c r="T282" s="117"/>
      <c r="U282" s="14"/>
      <c r="V282" s="116"/>
      <c r="W282" s="8"/>
      <c r="X282" s="117"/>
      <c r="Y282" s="14"/>
      <c r="Z282" s="116"/>
      <c r="AA282" s="8"/>
      <c r="AB282" s="117"/>
      <c r="AC282" s="14"/>
      <c r="AD282" s="14"/>
      <c r="AE282" s="118"/>
      <c r="AF282" s="14"/>
      <c r="AG282" s="14"/>
      <c r="AH282" s="14"/>
      <c r="AI282" s="119"/>
    </row>
    <row r="283" spans="1:35" ht="21" customHeight="1" x14ac:dyDescent="0.2">
      <c r="A283" s="110"/>
      <c r="B283" s="2621"/>
      <c r="C283" s="2434"/>
      <c r="D283" s="2344"/>
      <c r="E283" s="2344"/>
      <c r="F283" s="2509"/>
      <c r="G283" s="2434"/>
      <c r="H283" s="2344"/>
      <c r="I283" s="2344"/>
      <c r="J283" s="2509"/>
      <c r="K283" s="2434"/>
      <c r="L283" s="2344"/>
      <c r="M283" s="2344"/>
      <c r="N283" s="2509"/>
      <c r="O283" s="2434"/>
      <c r="P283" s="2344"/>
      <c r="Q283" s="2344"/>
      <c r="R283" s="2509"/>
      <c r="S283" s="2434"/>
      <c r="T283" s="2344"/>
      <c r="U283" s="2344"/>
      <c r="V283" s="2509"/>
      <c r="W283" s="2434"/>
      <c r="X283" s="2344"/>
      <c r="Y283" s="2344"/>
      <c r="Z283" s="2509"/>
      <c r="AA283" s="2507"/>
      <c r="AB283" s="2344"/>
      <c r="AC283" s="2344"/>
      <c r="AD283" s="2435"/>
      <c r="AE283" s="2656"/>
      <c r="AF283" s="2344"/>
      <c r="AG283" s="2344"/>
      <c r="AH283" s="2435"/>
      <c r="AI283" s="2353"/>
    </row>
    <row r="284" spans="1:35" ht="21" customHeight="1" thickBot="1" x14ac:dyDescent="0.25">
      <c r="A284" s="1"/>
      <c r="B284" s="2519"/>
      <c r="C284" s="2520"/>
      <c r="D284" s="2399"/>
      <c r="E284" s="2399"/>
      <c r="F284" s="2542"/>
      <c r="G284" s="2520"/>
      <c r="H284" s="2399"/>
      <c r="I284" s="2399"/>
      <c r="J284" s="2542"/>
      <c r="K284" s="2520"/>
      <c r="L284" s="2399"/>
      <c r="M284" s="2399"/>
      <c r="N284" s="2542"/>
      <c r="O284" s="2520"/>
      <c r="P284" s="2399"/>
      <c r="Q284" s="2399"/>
      <c r="R284" s="2542"/>
      <c r="S284" s="2520"/>
      <c r="T284" s="2399"/>
      <c r="U284" s="2399"/>
      <c r="V284" s="2542"/>
      <c r="W284" s="2540"/>
      <c r="X284" s="2399"/>
      <c r="Y284" s="2399"/>
      <c r="Z284" s="2542"/>
      <c r="AA284" s="2540"/>
      <c r="AB284" s="2399"/>
      <c r="AC284" s="2399"/>
      <c r="AD284" s="2527"/>
      <c r="AE284" s="2540"/>
      <c r="AF284" s="2399"/>
      <c r="AG284" s="2399"/>
      <c r="AH284" s="2527"/>
      <c r="AI284" s="2406"/>
    </row>
    <row r="285" spans="1:35" ht="21" customHeight="1" x14ac:dyDescent="0.2">
      <c r="A285" s="1"/>
      <c r="B285" s="18"/>
      <c r="C285" s="64"/>
      <c r="F285" s="69"/>
      <c r="G285" s="64"/>
      <c r="J285" s="69"/>
      <c r="K285" s="64"/>
      <c r="N285" s="69"/>
      <c r="O285" s="64"/>
      <c r="R285" s="69"/>
      <c r="S285" s="64"/>
      <c r="V285" s="69"/>
      <c r="W285" s="69"/>
      <c r="Z285" s="69"/>
      <c r="AA285" s="69"/>
      <c r="AD285" s="69"/>
      <c r="AE285" s="69"/>
      <c r="AH285" s="69"/>
    </row>
    <row r="286" spans="1:35" ht="33" customHeight="1" x14ac:dyDescent="0.2">
      <c r="A286" s="162" t="s">
        <v>326</v>
      </c>
      <c r="B286" s="18"/>
      <c r="C286" s="64"/>
      <c r="F286" s="69"/>
      <c r="G286" s="64"/>
      <c r="J286" s="69"/>
      <c r="K286" s="64"/>
      <c r="N286" s="69"/>
      <c r="O286" s="64"/>
      <c r="R286" s="69"/>
      <c r="S286" s="64"/>
      <c r="V286" s="69"/>
      <c r="W286" s="69"/>
      <c r="Z286" s="69"/>
      <c r="AA286" s="69"/>
      <c r="AD286" s="69"/>
      <c r="AE286" s="69"/>
      <c r="AH286" s="69"/>
    </row>
    <row r="287" spans="1:35" ht="21" customHeight="1" thickBot="1" x14ac:dyDescent="0.25">
      <c r="A287" s="2657" t="s">
        <v>28</v>
      </c>
      <c r="B287" s="2645" t="s">
        <v>29</v>
      </c>
      <c r="C287" s="2362">
        <v>1</v>
      </c>
      <c r="D287" s="2362">
        <v>2</v>
      </c>
      <c r="E287" s="2362">
        <v>3</v>
      </c>
      <c r="F287" s="2362">
        <v>4</v>
      </c>
      <c r="G287" s="2362">
        <v>5</v>
      </c>
      <c r="H287" s="2363">
        <v>6</v>
      </c>
      <c r="I287" s="2363">
        <v>7</v>
      </c>
      <c r="J287" s="2362">
        <v>8</v>
      </c>
      <c r="K287" s="2362">
        <v>9</v>
      </c>
      <c r="L287" s="2362">
        <v>10</v>
      </c>
      <c r="M287" s="2362">
        <v>11</v>
      </c>
      <c r="N287" s="2362">
        <v>12</v>
      </c>
      <c r="O287" s="2363">
        <v>13</v>
      </c>
      <c r="P287" s="2363">
        <v>14</v>
      </c>
      <c r="Q287" s="2362">
        <v>15</v>
      </c>
      <c r="R287" s="2362">
        <v>16</v>
      </c>
      <c r="S287" s="2362">
        <v>17</v>
      </c>
      <c r="T287" s="2362">
        <v>18</v>
      </c>
      <c r="U287" s="2362">
        <v>19</v>
      </c>
      <c r="V287" s="2363">
        <v>20</v>
      </c>
      <c r="W287" s="2363">
        <v>21</v>
      </c>
      <c r="X287" s="2362">
        <v>22</v>
      </c>
      <c r="Y287" s="2362">
        <v>23</v>
      </c>
      <c r="Z287" s="2362">
        <v>24</v>
      </c>
      <c r="AA287" s="2362">
        <v>25</v>
      </c>
      <c r="AB287" s="2362">
        <v>26</v>
      </c>
      <c r="AC287" s="2363">
        <v>27</v>
      </c>
      <c r="AD287" s="2363">
        <v>28</v>
      </c>
      <c r="AE287" s="2362"/>
      <c r="AF287" s="2362"/>
      <c r="AG287" s="2364"/>
      <c r="AH287" s="200"/>
      <c r="AI287" s="185"/>
    </row>
    <row r="288" spans="1:35" ht="21" customHeight="1" x14ac:dyDescent="0.2">
      <c r="A288" s="88"/>
      <c r="B288" s="158" t="s">
        <v>327</v>
      </c>
      <c r="C288" s="2222" t="s">
        <v>31</v>
      </c>
      <c r="D288" s="2222" t="s">
        <v>31</v>
      </c>
      <c r="E288" s="2222" t="s">
        <v>31</v>
      </c>
      <c r="F288" s="2224" t="s">
        <v>31</v>
      </c>
      <c r="G288" s="2222" t="s">
        <v>31</v>
      </c>
      <c r="H288" s="2222"/>
      <c r="I288" s="2222"/>
      <c r="J288" s="2222" t="s">
        <v>31</v>
      </c>
      <c r="K288" s="2222" t="s">
        <v>31</v>
      </c>
      <c r="L288" s="2222" t="s">
        <v>31</v>
      </c>
      <c r="M288" s="2222" t="s">
        <v>31</v>
      </c>
      <c r="N288" s="2229" t="s">
        <v>31</v>
      </c>
      <c r="O288" s="2229"/>
      <c r="P288" s="2229"/>
      <c r="Q288" s="2230" t="s">
        <v>31</v>
      </c>
      <c r="R288" s="2229" t="s">
        <v>31</v>
      </c>
      <c r="S288" s="2222" t="s">
        <v>31</v>
      </c>
      <c r="T288" s="2222" t="s">
        <v>31</v>
      </c>
      <c r="U288" s="2229" t="s">
        <v>31</v>
      </c>
      <c r="V288" s="2229"/>
      <c r="W288" s="2229"/>
      <c r="X288" s="2222" t="s">
        <v>31</v>
      </c>
      <c r="Y288" s="2229" t="s">
        <v>31</v>
      </c>
      <c r="Z288" s="2222" t="s">
        <v>31</v>
      </c>
      <c r="AA288" s="2222" t="s">
        <v>31</v>
      </c>
      <c r="AB288" s="2222" t="s">
        <v>31</v>
      </c>
      <c r="AC288" s="2222"/>
      <c r="AD288" s="2224"/>
      <c r="AE288" s="2222"/>
      <c r="AF288" s="2224"/>
      <c r="AG288" s="2224"/>
      <c r="AH288" s="201"/>
      <c r="AI288" s="197"/>
    </row>
    <row r="289" spans="1:35" ht="21" customHeight="1" x14ac:dyDescent="0.2">
      <c r="A289" s="2658"/>
      <c r="B289" s="2659" t="s">
        <v>328</v>
      </c>
      <c r="C289" s="2222" t="s">
        <v>31</v>
      </c>
      <c r="D289" s="2222" t="s">
        <v>31</v>
      </c>
      <c r="E289" s="2222" t="s">
        <v>31</v>
      </c>
      <c r="F289" s="2224" t="s">
        <v>31</v>
      </c>
      <c r="G289" s="2222" t="s">
        <v>31</v>
      </c>
      <c r="H289" s="2222"/>
      <c r="I289" s="2222"/>
      <c r="J289" s="2222" t="s">
        <v>31</v>
      </c>
      <c r="K289" s="2222" t="s">
        <v>31</v>
      </c>
      <c r="L289" s="2222" t="s">
        <v>31</v>
      </c>
      <c r="M289" s="2222" t="s">
        <v>31</v>
      </c>
      <c r="N289" s="2229" t="s">
        <v>31</v>
      </c>
      <c r="O289" s="2229"/>
      <c r="P289" s="2229"/>
      <c r="Q289" s="2230" t="s">
        <v>31</v>
      </c>
      <c r="R289" s="2229" t="s">
        <v>31</v>
      </c>
      <c r="S289" s="2222" t="s">
        <v>31</v>
      </c>
      <c r="T289" s="2222" t="s">
        <v>31</v>
      </c>
      <c r="U289" s="2229" t="s">
        <v>31</v>
      </c>
      <c r="V289" s="2229"/>
      <c r="W289" s="2229"/>
      <c r="X289" s="2222" t="s">
        <v>31</v>
      </c>
      <c r="Y289" s="2229" t="s">
        <v>31</v>
      </c>
      <c r="Z289" s="2222" t="s">
        <v>31</v>
      </c>
      <c r="AA289" s="2222" t="s">
        <v>31</v>
      </c>
      <c r="AB289" s="2222" t="s">
        <v>31</v>
      </c>
      <c r="AC289" s="2222"/>
      <c r="AD289" s="2224"/>
      <c r="AE289" s="2222"/>
      <c r="AF289" s="2224"/>
      <c r="AG289" s="2224"/>
      <c r="AH289" s="201"/>
      <c r="AI289" s="197"/>
    </row>
    <row r="290" spans="1:35" ht="21" customHeight="1" x14ac:dyDescent="0.2">
      <c r="A290" s="2633"/>
      <c r="B290" s="2659" t="s">
        <v>329</v>
      </c>
      <c r="C290" s="2222" t="s">
        <v>31</v>
      </c>
      <c r="D290" s="2222" t="s">
        <v>31</v>
      </c>
      <c r="E290" s="2222" t="s">
        <v>31</v>
      </c>
      <c r="F290" s="2224" t="s">
        <v>31</v>
      </c>
      <c r="G290" s="2222" t="s">
        <v>31</v>
      </c>
      <c r="H290" s="2222"/>
      <c r="I290" s="2222"/>
      <c r="J290" s="2222" t="s">
        <v>31</v>
      </c>
      <c r="K290" s="2222" t="s">
        <v>31</v>
      </c>
      <c r="L290" s="2222" t="s">
        <v>31</v>
      </c>
      <c r="M290" s="2222" t="s">
        <v>31</v>
      </c>
      <c r="N290" s="2229" t="s">
        <v>31</v>
      </c>
      <c r="O290" s="2229"/>
      <c r="P290" s="2229"/>
      <c r="Q290" s="2230" t="s">
        <v>31</v>
      </c>
      <c r="R290" s="2229" t="s">
        <v>31</v>
      </c>
      <c r="S290" s="2222" t="s">
        <v>31</v>
      </c>
      <c r="T290" s="2222" t="s">
        <v>31</v>
      </c>
      <c r="U290" s="2229" t="s">
        <v>31</v>
      </c>
      <c r="V290" s="2229"/>
      <c r="W290" s="2229"/>
      <c r="X290" s="2222" t="s">
        <v>31</v>
      </c>
      <c r="Y290" s="2229" t="s">
        <v>31</v>
      </c>
      <c r="Z290" s="2222" t="s">
        <v>31</v>
      </c>
      <c r="AA290" s="2222" t="s">
        <v>31</v>
      </c>
      <c r="AB290" s="2222" t="s">
        <v>31</v>
      </c>
      <c r="AC290" s="2222"/>
      <c r="AD290" s="2224"/>
      <c r="AE290" s="2222"/>
      <c r="AF290" s="2224"/>
      <c r="AG290" s="2224"/>
      <c r="AH290" s="201"/>
      <c r="AI290" s="197"/>
    </row>
    <row r="291" spans="1:35" ht="21" customHeight="1" x14ac:dyDescent="0.2">
      <c r="A291" s="2633"/>
      <c r="B291" s="2659" t="s">
        <v>330</v>
      </c>
      <c r="C291" s="2222" t="s">
        <v>31</v>
      </c>
      <c r="D291" s="2222" t="s">
        <v>31</v>
      </c>
      <c r="E291" s="2222" t="s">
        <v>31</v>
      </c>
      <c r="F291" s="2224" t="s">
        <v>31</v>
      </c>
      <c r="G291" s="2222" t="s">
        <v>31</v>
      </c>
      <c r="H291" s="2222"/>
      <c r="I291" s="2222"/>
      <c r="J291" s="2222" t="s">
        <v>31</v>
      </c>
      <c r="K291" s="2222" t="s">
        <v>31</v>
      </c>
      <c r="L291" s="2222" t="s">
        <v>31</v>
      </c>
      <c r="M291" s="2222" t="s">
        <v>31</v>
      </c>
      <c r="N291" s="2229" t="s">
        <v>31</v>
      </c>
      <c r="O291" s="2229"/>
      <c r="P291" s="2229"/>
      <c r="Q291" s="2230" t="s">
        <v>31</v>
      </c>
      <c r="R291" s="2229" t="s">
        <v>31</v>
      </c>
      <c r="S291" s="2222" t="s">
        <v>31</v>
      </c>
      <c r="T291" s="2222" t="s">
        <v>31</v>
      </c>
      <c r="U291" s="2229" t="s">
        <v>31</v>
      </c>
      <c r="V291" s="2229"/>
      <c r="W291" s="2229"/>
      <c r="X291" s="2222" t="s">
        <v>31</v>
      </c>
      <c r="Y291" s="2229" t="s">
        <v>31</v>
      </c>
      <c r="Z291" s="2222" t="s">
        <v>31</v>
      </c>
      <c r="AA291" s="2222" t="s">
        <v>31</v>
      </c>
      <c r="AB291" s="2222" t="s">
        <v>31</v>
      </c>
      <c r="AC291" s="2222"/>
      <c r="AD291" s="2224"/>
      <c r="AE291" s="2222"/>
      <c r="AF291" s="2224"/>
      <c r="AG291" s="2224"/>
      <c r="AH291" s="201"/>
      <c r="AI291" s="197"/>
    </row>
    <row r="292" spans="1:35" ht="21" customHeight="1" x14ac:dyDescent="0.2">
      <c r="A292" s="2633"/>
      <c r="B292" s="2659" t="s">
        <v>331</v>
      </c>
      <c r="C292" s="2222" t="s">
        <v>31</v>
      </c>
      <c r="D292" s="2222" t="s">
        <v>31</v>
      </c>
      <c r="E292" s="2222" t="s">
        <v>31</v>
      </c>
      <c r="F292" s="2224" t="s">
        <v>31</v>
      </c>
      <c r="G292" s="2222" t="s">
        <v>31</v>
      </c>
      <c r="H292" s="2222"/>
      <c r="I292" s="2222"/>
      <c r="J292" s="2222" t="s">
        <v>31</v>
      </c>
      <c r="K292" s="2222" t="s">
        <v>31</v>
      </c>
      <c r="L292" s="2222" t="s">
        <v>31</v>
      </c>
      <c r="M292" s="2222" t="s">
        <v>31</v>
      </c>
      <c r="N292" s="2229" t="s">
        <v>31</v>
      </c>
      <c r="O292" s="2229"/>
      <c r="P292" s="2229"/>
      <c r="Q292" s="2230" t="s">
        <v>31</v>
      </c>
      <c r="R292" s="2229" t="s">
        <v>31</v>
      </c>
      <c r="S292" s="2222" t="s">
        <v>31</v>
      </c>
      <c r="T292" s="2222" t="s">
        <v>31</v>
      </c>
      <c r="U292" s="2229" t="s">
        <v>31</v>
      </c>
      <c r="V292" s="2229"/>
      <c r="W292" s="2229"/>
      <c r="X292" s="2222" t="s">
        <v>31</v>
      </c>
      <c r="Y292" s="2229" t="s">
        <v>31</v>
      </c>
      <c r="Z292" s="2222" t="s">
        <v>31</v>
      </c>
      <c r="AA292" s="2222" t="s">
        <v>31</v>
      </c>
      <c r="AB292" s="2222" t="s">
        <v>31</v>
      </c>
      <c r="AC292" s="2222"/>
      <c r="AD292" s="2224"/>
      <c r="AE292" s="2222"/>
      <c r="AF292" s="2224"/>
      <c r="AG292" s="2417"/>
      <c r="AH292" s="201"/>
      <c r="AI292" s="197"/>
    </row>
    <row r="293" spans="1:35" ht="21" customHeight="1" x14ac:dyDescent="0.2">
      <c r="A293" s="2633"/>
      <c r="B293" s="2659" t="s">
        <v>332</v>
      </c>
      <c r="C293" s="2222" t="s">
        <v>31</v>
      </c>
      <c r="D293" s="2222" t="s">
        <v>31</v>
      </c>
      <c r="E293" s="2222" t="s">
        <v>31</v>
      </c>
      <c r="F293" s="2224" t="s">
        <v>31</v>
      </c>
      <c r="G293" s="2222" t="s">
        <v>31</v>
      </c>
      <c r="H293" s="2222"/>
      <c r="I293" s="2222"/>
      <c r="J293" s="2222" t="s">
        <v>31</v>
      </c>
      <c r="K293" s="2222" t="s">
        <v>31</v>
      </c>
      <c r="L293" s="2222" t="s">
        <v>31</v>
      </c>
      <c r="M293" s="2222" t="s">
        <v>31</v>
      </c>
      <c r="N293" s="2229" t="s">
        <v>31</v>
      </c>
      <c r="O293" s="2229"/>
      <c r="P293" s="2229"/>
      <c r="Q293" s="2230" t="s">
        <v>31</v>
      </c>
      <c r="R293" s="2229" t="s">
        <v>31</v>
      </c>
      <c r="S293" s="2222" t="s">
        <v>31</v>
      </c>
      <c r="T293" s="2222" t="s">
        <v>31</v>
      </c>
      <c r="U293" s="2229" t="s">
        <v>31</v>
      </c>
      <c r="V293" s="2229"/>
      <c r="W293" s="2229"/>
      <c r="X293" s="2222" t="s">
        <v>31</v>
      </c>
      <c r="Y293" s="2229" t="s">
        <v>31</v>
      </c>
      <c r="Z293" s="2222" t="s">
        <v>31</v>
      </c>
      <c r="AA293" s="2222" t="s">
        <v>31</v>
      </c>
      <c r="AB293" s="2222" t="s">
        <v>31</v>
      </c>
      <c r="AC293" s="2222"/>
      <c r="AD293" s="2224"/>
      <c r="AE293" s="2222"/>
      <c r="AF293" s="2224"/>
      <c r="AG293" s="2417"/>
      <c r="AH293" s="201"/>
      <c r="AI293" s="197"/>
    </row>
    <row r="294" spans="1:35" ht="21" customHeight="1" x14ac:dyDescent="0.2">
      <c r="A294" s="2633"/>
      <c r="B294" s="2659" t="s">
        <v>333</v>
      </c>
      <c r="C294" s="2222" t="s">
        <v>31</v>
      </c>
      <c r="D294" s="2222" t="s">
        <v>31</v>
      </c>
      <c r="E294" s="2222" t="s">
        <v>31</v>
      </c>
      <c r="F294" s="2224" t="s">
        <v>31</v>
      </c>
      <c r="G294" s="2222" t="s">
        <v>31</v>
      </c>
      <c r="H294" s="2222"/>
      <c r="I294" s="2222"/>
      <c r="J294" s="2222" t="s">
        <v>31</v>
      </c>
      <c r="K294" s="2222" t="s">
        <v>31</v>
      </c>
      <c r="L294" s="2222" t="s">
        <v>31</v>
      </c>
      <c r="M294" s="2222" t="s">
        <v>31</v>
      </c>
      <c r="N294" s="2229" t="s">
        <v>31</v>
      </c>
      <c r="O294" s="2229"/>
      <c r="P294" s="2229"/>
      <c r="Q294" s="2230" t="s">
        <v>31</v>
      </c>
      <c r="R294" s="2229" t="s">
        <v>31</v>
      </c>
      <c r="S294" s="2222" t="s">
        <v>31</v>
      </c>
      <c r="T294" s="2222" t="s">
        <v>31</v>
      </c>
      <c r="U294" s="2229" t="s">
        <v>31</v>
      </c>
      <c r="V294" s="2229"/>
      <c r="W294" s="2229"/>
      <c r="X294" s="2222" t="s">
        <v>31</v>
      </c>
      <c r="Y294" s="2229" t="s">
        <v>31</v>
      </c>
      <c r="Z294" s="2222" t="s">
        <v>31</v>
      </c>
      <c r="AA294" s="2222" t="s">
        <v>31</v>
      </c>
      <c r="AB294" s="2222" t="s">
        <v>31</v>
      </c>
      <c r="AC294" s="2222"/>
      <c r="AD294" s="2224"/>
      <c r="AE294" s="2222"/>
      <c r="AF294" s="2224"/>
      <c r="AG294" s="2417"/>
      <c r="AH294" s="201"/>
      <c r="AI294" s="197"/>
    </row>
    <row r="295" spans="1:35" ht="21" customHeight="1" x14ac:dyDescent="0.2">
      <c r="A295" s="2633"/>
      <c r="B295" s="2659" t="s">
        <v>334</v>
      </c>
      <c r="C295" s="2222" t="s">
        <v>31</v>
      </c>
      <c r="D295" s="2222" t="s">
        <v>31</v>
      </c>
      <c r="E295" s="2222" t="s">
        <v>31</v>
      </c>
      <c r="F295" s="2224" t="s">
        <v>31</v>
      </c>
      <c r="G295" s="2222" t="s">
        <v>31</v>
      </c>
      <c r="H295" s="2222"/>
      <c r="I295" s="2222"/>
      <c r="J295" s="2222" t="s">
        <v>31</v>
      </c>
      <c r="K295" s="2222" t="s">
        <v>31</v>
      </c>
      <c r="L295" s="2222" t="s">
        <v>31</v>
      </c>
      <c r="M295" s="2222" t="s">
        <v>31</v>
      </c>
      <c r="N295" s="2229" t="s">
        <v>31</v>
      </c>
      <c r="O295" s="2229"/>
      <c r="P295" s="2229"/>
      <c r="Q295" s="2230" t="s">
        <v>31</v>
      </c>
      <c r="R295" s="2229" t="s">
        <v>31</v>
      </c>
      <c r="S295" s="2222" t="s">
        <v>31</v>
      </c>
      <c r="T295" s="2222" t="s">
        <v>31</v>
      </c>
      <c r="U295" s="2229" t="s">
        <v>31</v>
      </c>
      <c r="V295" s="2229"/>
      <c r="W295" s="2229"/>
      <c r="X295" s="2222" t="s">
        <v>31</v>
      </c>
      <c r="Y295" s="2229" t="s">
        <v>31</v>
      </c>
      <c r="Z295" s="2222" t="s">
        <v>31</v>
      </c>
      <c r="AA295" s="2222" t="s">
        <v>31</v>
      </c>
      <c r="AB295" s="2222" t="s">
        <v>31</v>
      </c>
      <c r="AC295" s="2222"/>
      <c r="AD295" s="2224"/>
      <c r="AE295" s="2222"/>
      <c r="AF295" s="2224"/>
      <c r="AG295" s="2417"/>
      <c r="AH295" s="201"/>
      <c r="AI295" s="197"/>
    </row>
    <row r="296" spans="1:35" ht="21" customHeight="1" x14ac:dyDescent="0.2">
      <c r="A296" s="2633"/>
      <c r="B296" s="2646" t="s">
        <v>400</v>
      </c>
      <c r="C296" s="2222" t="s">
        <v>31</v>
      </c>
      <c r="D296" s="2222" t="s">
        <v>31</v>
      </c>
      <c r="E296" s="2222" t="s">
        <v>31</v>
      </c>
      <c r="F296" s="2224" t="s">
        <v>31</v>
      </c>
      <c r="G296" s="2222" t="s">
        <v>31</v>
      </c>
      <c r="H296" s="2222"/>
      <c r="I296" s="2222"/>
      <c r="J296" s="2222" t="s">
        <v>31</v>
      </c>
      <c r="K296" s="2222" t="s">
        <v>31</v>
      </c>
      <c r="L296" s="2222" t="s">
        <v>31</v>
      </c>
      <c r="M296" s="2222" t="s">
        <v>31</v>
      </c>
      <c r="N296" s="2229" t="s">
        <v>31</v>
      </c>
      <c r="O296" s="2229"/>
      <c r="P296" s="2229"/>
      <c r="Q296" s="2230" t="s">
        <v>31</v>
      </c>
      <c r="R296" s="2229" t="s">
        <v>31</v>
      </c>
      <c r="S296" s="2222" t="s">
        <v>31</v>
      </c>
      <c r="T296" s="2222" t="s">
        <v>31</v>
      </c>
      <c r="U296" s="2229" t="s">
        <v>31</v>
      </c>
      <c r="V296" s="2229"/>
      <c r="W296" s="2229"/>
      <c r="X296" s="2222" t="s">
        <v>31</v>
      </c>
      <c r="Y296" s="2229" t="s">
        <v>31</v>
      </c>
      <c r="Z296" s="2222" t="s">
        <v>31</v>
      </c>
      <c r="AA296" s="2222" t="s">
        <v>31</v>
      </c>
      <c r="AB296" s="2222" t="s">
        <v>31</v>
      </c>
      <c r="AC296" s="2222"/>
      <c r="AD296" s="2224"/>
      <c r="AE296" s="2222"/>
      <c r="AF296" s="2224"/>
      <c r="AG296" s="2417"/>
      <c r="AH296" s="201"/>
      <c r="AI296" s="197"/>
    </row>
    <row r="297" spans="1:35" ht="21" customHeight="1" x14ac:dyDescent="0.2">
      <c r="A297" s="2633"/>
      <c r="B297" s="2660" t="s">
        <v>335</v>
      </c>
      <c r="C297" s="2222" t="s">
        <v>31</v>
      </c>
      <c r="D297" s="2222" t="s">
        <v>31</v>
      </c>
      <c r="E297" s="2222" t="s">
        <v>31</v>
      </c>
      <c r="F297" s="2224" t="s">
        <v>31</v>
      </c>
      <c r="G297" s="2222" t="s">
        <v>31</v>
      </c>
      <c r="H297" s="2222"/>
      <c r="I297" s="2222"/>
      <c r="J297" s="2222" t="s">
        <v>31</v>
      </c>
      <c r="K297" s="2222" t="s">
        <v>31</v>
      </c>
      <c r="L297" s="2222" t="s">
        <v>31</v>
      </c>
      <c r="M297" s="2222" t="s">
        <v>31</v>
      </c>
      <c r="N297" s="2229" t="s">
        <v>31</v>
      </c>
      <c r="O297" s="2229"/>
      <c r="P297" s="2229"/>
      <c r="Q297" s="2230" t="s">
        <v>31</v>
      </c>
      <c r="R297" s="2229" t="s">
        <v>31</v>
      </c>
      <c r="S297" s="2222" t="s">
        <v>31</v>
      </c>
      <c r="T297" s="2222" t="s">
        <v>31</v>
      </c>
      <c r="U297" s="2229" t="s">
        <v>31</v>
      </c>
      <c r="V297" s="2229"/>
      <c r="W297" s="2229"/>
      <c r="X297" s="2222" t="s">
        <v>31</v>
      </c>
      <c r="Y297" s="2229" t="s">
        <v>31</v>
      </c>
      <c r="Z297" s="2222" t="s">
        <v>31</v>
      </c>
      <c r="AA297" s="2222" t="s">
        <v>31</v>
      </c>
      <c r="AB297" s="2222" t="s">
        <v>31</v>
      </c>
      <c r="AC297" s="2222"/>
      <c r="AD297" s="2224"/>
      <c r="AE297" s="2222"/>
      <c r="AF297" s="2224"/>
      <c r="AG297" s="2417"/>
      <c r="AH297" s="201"/>
      <c r="AI297" s="197"/>
    </row>
    <row r="298" spans="1:35" ht="21" customHeight="1" x14ac:dyDescent="0.2">
      <c r="A298" s="2633"/>
      <c r="B298" s="2142" t="s">
        <v>336</v>
      </c>
      <c r="C298" s="2222" t="s">
        <v>31</v>
      </c>
      <c r="D298" s="2222" t="s">
        <v>31</v>
      </c>
      <c r="E298" s="2222" t="s">
        <v>31</v>
      </c>
      <c r="F298" s="2224" t="s">
        <v>31</v>
      </c>
      <c r="G298" s="2222" t="s">
        <v>31</v>
      </c>
      <c r="H298" s="2222"/>
      <c r="I298" s="2222"/>
      <c r="J298" s="2222" t="s">
        <v>31</v>
      </c>
      <c r="K298" s="2222" t="s">
        <v>31</v>
      </c>
      <c r="L298" s="2222" t="s">
        <v>31</v>
      </c>
      <c r="M298" s="2222" t="s">
        <v>31</v>
      </c>
      <c r="N298" s="2229" t="s">
        <v>31</v>
      </c>
      <c r="O298" s="2229"/>
      <c r="P298" s="2229"/>
      <c r="Q298" s="2230" t="s">
        <v>31</v>
      </c>
      <c r="R298" s="2229" t="s">
        <v>31</v>
      </c>
      <c r="S298" s="2222" t="s">
        <v>31</v>
      </c>
      <c r="T298" s="2222" t="s">
        <v>31</v>
      </c>
      <c r="U298" s="2229" t="s">
        <v>31</v>
      </c>
      <c r="V298" s="2229"/>
      <c r="W298" s="2229"/>
      <c r="X298" s="2222" t="s">
        <v>31</v>
      </c>
      <c r="Y298" s="2229" t="s">
        <v>31</v>
      </c>
      <c r="Z298" s="2222" t="s">
        <v>31</v>
      </c>
      <c r="AA298" s="2222" t="s">
        <v>31</v>
      </c>
      <c r="AB298" s="2222" t="s">
        <v>31</v>
      </c>
      <c r="AC298" s="2222"/>
      <c r="AD298" s="2224"/>
      <c r="AE298" s="2222"/>
      <c r="AF298" s="2224"/>
      <c r="AG298" s="2417"/>
      <c r="AH298" s="201"/>
      <c r="AI298" s="197"/>
    </row>
    <row r="299" spans="1:35" ht="21" customHeight="1" x14ac:dyDescent="0.2">
      <c r="A299" s="2633"/>
      <c r="B299" s="2660"/>
      <c r="C299" s="2224"/>
      <c r="D299" s="2661"/>
      <c r="E299" s="2224"/>
      <c r="F299" s="2224"/>
      <c r="G299" s="2224"/>
      <c r="H299" s="2224"/>
      <c r="I299" s="2224"/>
      <c r="J299" s="2224"/>
      <c r="K299" s="2224"/>
      <c r="L299" s="2224"/>
      <c r="M299" s="2224"/>
      <c r="N299" s="2224"/>
      <c r="O299" s="2224"/>
      <c r="P299" s="2224"/>
      <c r="Q299" s="2224"/>
      <c r="R299" s="2224"/>
      <c r="S299" s="2224"/>
      <c r="T299" s="2224"/>
      <c r="U299" s="2224"/>
      <c r="V299" s="2224"/>
      <c r="W299" s="2224"/>
      <c r="X299" s="2224"/>
      <c r="Y299" s="2224"/>
      <c r="Z299" s="2224"/>
      <c r="AA299" s="2224"/>
      <c r="AB299" s="2224"/>
      <c r="AC299" s="2224"/>
      <c r="AD299" s="2224"/>
      <c r="AE299" s="2224"/>
      <c r="AF299" s="2224"/>
      <c r="AG299" s="2417"/>
      <c r="AH299" s="201"/>
      <c r="AI299" s="197"/>
    </row>
    <row r="300" spans="1:35" ht="21" customHeight="1" x14ac:dyDescent="0.2">
      <c r="A300" s="2428"/>
      <c r="B300" s="2660"/>
      <c r="C300" s="2417"/>
      <c r="D300" s="2417"/>
      <c r="E300" s="2417"/>
      <c r="F300" s="2417"/>
      <c r="G300" s="2417"/>
      <c r="H300" s="2417"/>
      <c r="I300" s="2417"/>
      <c r="J300" s="2417"/>
      <c r="K300" s="2417"/>
      <c r="L300" s="2417"/>
      <c r="M300" s="2417"/>
      <c r="N300" s="2373"/>
      <c r="O300" s="2373"/>
      <c r="P300" s="2417"/>
      <c r="Q300" s="2417"/>
      <c r="R300" s="2417"/>
      <c r="S300" s="2417"/>
      <c r="T300" s="2417"/>
      <c r="U300" s="2417"/>
      <c r="V300" s="2417"/>
      <c r="W300" s="2417"/>
      <c r="X300" s="2417"/>
      <c r="Y300" s="2417"/>
      <c r="Z300" s="2417"/>
      <c r="AA300" s="2417"/>
      <c r="AB300" s="2373"/>
      <c r="AC300" s="2373"/>
      <c r="AD300" s="2417"/>
      <c r="AE300" s="2417"/>
      <c r="AF300" s="2417"/>
      <c r="AG300" s="2417"/>
      <c r="AH300" s="201"/>
      <c r="AI300" s="199"/>
    </row>
    <row r="301" spans="1:35" ht="21" customHeight="1" thickBot="1" x14ac:dyDescent="0.25">
      <c r="A301" s="686"/>
      <c r="B301" s="687"/>
      <c r="C301" s="2652"/>
      <c r="D301" s="2653"/>
      <c r="E301" s="2653"/>
      <c r="F301" s="2653"/>
      <c r="G301" s="2653"/>
      <c r="H301" s="2653"/>
      <c r="I301" s="2653"/>
      <c r="J301" s="2653"/>
      <c r="K301" s="2653"/>
      <c r="L301" s="2653"/>
      <c r="M301" s="2653"/>
      <c r="N301" s="2654"/>
      <c r="O301" s="2654"/>
      <c r="P301" s="2653"/>
      <c r="Q301" s="2653"/>
      <c r="R301" s="2653"/>
      <c r="S301" s="2653"/>
      <c r="T301" s="2653"/>
      <c r="U301" s="2653"/>
      <c r="V301" s="2653"/>
      <c r="W301" s="2653"/>
      <c r="X301" s="2653"/>
      <c r="Y301" s="2653"/>
      <c r="Z301" s="2653"/>
      <c r="AA301" s="2653"/>
      <c r="AB301" s="2654"/>
      <c r="AC301" s="2654"/>
      <c r="AD301" s="2653"/>
      <c r="AE301" s="2653"/>
      <c r="AF301" s="2653"/>
      <c r="AG301" s="2653"/>
      <c r="AH301" s="201"/>
      <c r="AI301" s="199"/>
    </row>
  </sheetData>
  <protectedRanges>
    <protectedRange sqref="B226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5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" name="Område1_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AFCDB-015E-4D52-91CE-171A6881F6F2}">
  <sheetPr codeName="Ark73"/>
  <dimension ref="A1:AL301"/>
  <sheetViews>
    <sheetView zoomScale="90" zoomScaleNormal="90" workbookViewId="0">
      <pane xSplit="2" ySplit="3" topLeftCell="F45" activePane="bottomRight" state="frozen"/>
      <selection pane="topRight" activeCell="AM167" sqref="AM167"/>
      <selection pane="bottomLeft" activeCell="AM167" sqref="AM167"/>
      <selection pane="bottomRight" activeCell="AL270" sqref="AL270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2662" t="s">
        <v>2</v>
      </c>
      <c r="C2" s="2663" t="s">
        <v>3</v>
      </c>
      <c r="D2" s="2664"/>
      <c r="E2" s="2665" t="s">
        <v>4</v>
      </c>
      <c r="F2" s="2666"/>
      <c r="G2" s="2667"/>
      <c r="H2" s="2667"/>
      <c r="I2" s="2667"/>
      <c r="J2" s="2667"/>
      <c r="K2" s="2668"/>
      <c r="L2" s="2669" t="s">
        <v>5</v>
      </c>
      <c r="M2" s="2670"/>
      <c r="N2" s="2671"/>
      <c r="O2" s="2672" t="s">
        <v>6</v>
      </c>
      <c r="P2" s="2673"/>
      <c r="Q2" s="2674"/>
      <c r="R2" s="2675"/>
      <c r="S2" s="2676" t="s">
        <v>7</v>
      </c>
      <c r="T2" s="2677"/>
      <c r="U2" s="2678"/>
      <c r="V2" s="2677"/>
      <c r="W2" s="2679" t="s">
        <v>8</v>
      </c>
      <c r="X2" s="2680"/>
      <c r="Y2" s="2681"/>
      <c r="Z2" s="164" t="s">
        <v>9</v>
      </c>
      <c r="AA2" s="2682"/>
      <c r="AB2" s="2683"/>
      <c r="AC2" s="2684"/>
      <c r="AD2" s="2685" t="s">
        <v>10</v>
      </c>
      <c r="AE2" s="2686"/>
      <c r="AF2" s="2686"/>
      <c r="AG2" s="2687"/>
    </row>
    <row r="3" spans="1:35" ht="13.35" customHeight="1" x14ac:dyDescent="0.2">
      <c r="A3" s="1"/>
      <c r="B3" s="2688" t="s">
        <v>11</v>
      </c>
      <c r="C3" s="2689" t="s">
        <v>12</v>
      </c>
      <c r="D3" s="2690"/>
      <c r="E3" s="91"/>
      <c r="F3" s="92"/>
      <c r="G3" s="92"/>
      <c r="H3" s="165" t="s">
        <v>13</v>
      </c>
      <c r="I3" s="93"/>
      <c r="J3" s="93"/>
      <c r="K3" s="94"/>
      <c r="L3" s="2691" t="s">
        <v>14</v>
      </c>
      <c r="M3" s="2692"/>
      <c r="N3" s="2693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2692"/>
      <c r="AA3" s="2692"/>
      <c r="AB3" s="2694"/>
      <c r="AC3" s="2695"/>
      <c r="AD3" s="2696" t="s">
        <v>17</v>
      </c>
      <c r="AE3" s="2697"/>
      <c r="AF3" s="2697"/>
      <c r="AG3" s="2698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2699" t="s">
        <v>20</v>
      </c>
      <c r="B6" s="2692"/>
      <c r="C6" s="2700"/>
      <c r="D6" s="2699" t="s">
        <v>21</v>
      </c>
      <c r="E6" s="2692"/>
      <c r="F6" s="2692"/>
      <c r="G6" s="2692"/>
      <c r="H6" s="2701"/>
      <c r="I6" s="2692"/>
      <c r="J6" s="2692"/>
      <c r="K6" s="2692"/>
      <c r="L6" s="2702" t="s">
        <v>22</v>
      </c>
      <c r="M6" s="2692"/>
      <c r="N6" s="2692"/>
      <c r="O6" s="2692"/>
      <c r="P6" s="2692"/>
      <c r="Q6" s="2692"/>
      <c r="R6" s="2692"/>
      <c r="S6" s="2700"/>
      <c r="T6" s="2703"/>
      <c r="U6" s="2692"/>
      <c r="V6" s="2692"/>
      <c r="W6" s="2692"/>
      <c r="X6" s="2692"/>
      <c r="Y6" s="2692"/>
      <c r="Z6" s="2692"/>
      <c r="AA6" s="2700"/>
      <c r="AB6" s="2704"/>
      <c r="AC6" s="2705"/>
      <c r="AD6" s="2705"/>
      <c r="AE6" s="2705"/>
      <c r="AF6" s="2705"/>
      <c r="AG6" s="2706"/>
    </row>
    <row r="7" spans="1:35" ht="22.15" customHeight="1" x14ac:dyDescent="0.2">
      <c r="A7" s="2699" t="s">
        <v>23</v>
      </c>
      <c r="B7" s="2692"/>
      <c r="C7" s="2692"/>
      <c r="D7" s="2692"/>
      <c r="E7" s="2692"/>
      <c r="F7" s="2692"/>
      <c r="G7" s="2692"/>
      <c r="H7" s="2692"/>
      <c r="I7" s="2692"/>
      <c r="J7" s="2692"/>
      <c r="K7" s="2700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692"/>
      <c r="V7" s="2692"/>
      <c r="W7" s="2692"/>
      <c r="X7" s="2692"/>
      <c r="Y7" s="2692"/>
      <c r="Z7" s="2692"/>
      <c r="AA7" s="2692"/>
      <c r="AB7" s="2707"/>
      <c r="AC7" s="2692"/>
      <c r="AD7" s="2692"/>
      <c r="AE7" s="2692"/>
      <c r="AF7" s="2692"/>
      <c r="AG7" s="2700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5" ht="22.15" customHeight="1" thickBot="1" x14ac:dyDescent="0.25">
      <c r="A11" s="2708" t="s">
        <v>28</v>
      </c>
      <c r="B11" s="2709" t="s">
        <v>29</v>
      </c>
      <c r="C11" s="2710">
        <v>1</v>
      </c>
      <c r="D11" s="2710">
        <v>2</v>
      </c>
      <c r="E11" s="2710">
        <v>3</v>
      </c>
      <c r="F11" s="2710">
        <v>4</v>
      </c>
      <c r="G11" s="2710">
        <v>5</v>
      </c>
      <c r="H11" s="2711">
        <v>6</v>
      </c>
      <c r="I11" s="2711">
        <v>7</v>
      </c>
      <c r="J11" s="2710">
        <v>8</v>
      </c>
      <c r="K11" s="2710">
        <v>9</v>
      </c>
      <c r="L11" s="2710">
        <v>10</v>
      </c>
      <c r="M11" s="2710">
        <v>11</v>
      </c>
      <c r="N11" s="2710">
        <v>12</v>
      </c>
      <c r="O11" s="2711">
        <v>13</v>
      </c>
      <c r="P11" s="2711">
        <v>14</v>
      </c>
      <c r="Q11" s="2710">
        <v>15</v>
      </c>
      <c r="R11" s="2710">
        <v>16</v>
      </c>
      <c r="S11" s="2710">
        <v>17</v>
      </c>
      <c r="T11" s="2710">
        <v>18</v>
      </c>
      <c r="U11" s="2710">
        <v>19</v>
      </c>
      <c r="V11" s="2711">
        <v>20</v>
      </c>
      <c r="W11" s="2711">
        <v>21</v>
      </c>
      <c r="X11" s="2710">
        <v>22</v>
      </c>
      <c r="Y11" s="2710">
        <v>23</v>
      </c>
      <c r="Z11" s="2710">
        <v>24</v>
      </c>
      <c r="AA11" s="2710">
        <v>25</v>
      </c>
      <c r="AB11" s="2710">
        <v>26</v>
      </c>
      <c r="AC11" s="2711">
        <v>27</v>
      </c>
      <c r="AD11" s="2711">
        <v>28</v>
      </c>
      <c r="AE11" s="2710">
        <v>29</v>
      </c>
      <c r="AF11" s="2710">
        <v>30</v>
      </c>
      <c r="AG11" s="2712">
        <v>31</v>
      </c>
      <c r="AH11" s="184"/>
      <c r="AI11" s="185"/>
    </row>
    <row r="12" spans="1:35" ht="22.15" customHeight="1" x14ac:dyDescent="0.2">
      <c r="A12" s="456">
        <v>8500</v>
      </c>
      <c r="B12" s="457" t="s">
        <v>30</v>
      </c>
      <c r="C12" s="458" t="s">
        <v>31</v>
      </c>
      <c r="D12" s="458" t="s">
        <v>31</v>
      </c>
      <c r="E12" s="458" t="s">
        <v>31</v>
      </c>
      <c r="F12" s="459" t="s">
        <v>31</v>
      </c>
      <c r="G12" s="459" t="s">
        <v>31</v>
      </c>
      <c r="H12" s="459"/>
      <c r="I12" s="460"/>
      <c r="J12" s="459" t="s">
        <v>31</v>
      </c>
      <c r="K12" s="458" t="s">
        <v>31</v>
      </c>
      <c r="L12" s="458" t="s">
        <v>31</v>
      </c>
      <c r="M12" s="458" t="s">
        <v>31</v>
      </c>
      <c r="N12" s="458" t="s">
        <v>31</v>
      </c>
      <c r="O12" s="458"/>
      <c r="P12" s="458"/>
      <c r="Q12" s="458" t="s">
        <v>31</v>
      </c>
      <c r="R12" s="458" t="s">
        <v>31</v>
      </c>
      <c r="S12" s="458" t="s">
        <v>31</v>
      </c>
      <c r="T12" s="458" t="s">
        <v>31</v>
      </c>
      <c r="U12" s="458" t="s">
        <v>31</v>
      </c>
      <c r="V12" s="458"/>
      <c r="W12" s="458"/>
      <c r="X12" s="459" t="s">
        <v>31</v>
      </c>
      <c r="Y12" s="458" t="s">
        <v>31</v>
      </c>
      <c r="Z12" s="458" t="s">
        <v>31</v>
      </c>
      <c r="AA12" s="458" t="s">
        <v>31</v>
      </c>
      <c r="AB12" s="458" t="s">
        <v>31</v>
      </c>
      <c r="AC12" s="458"/>
      <c r="AD12" s="458"/>
      <c r="AE12" s="532" t="s">
        <v>31</v>
      </c>
      <c r="AF12" s="532" t="s">
        <v>31</v>
      </c>
      <c r="AG12" s="554" t="s">
        <v>31</v>
      </c>
      <c r="AH12" s="190"/>
      <c r="AI12" s="190"/>
    </row>
    <row r="13" spans="1:35" ht="22.15" customHeight="1" x14ac:dyDescent="0.2">
      <c r="A13" s="2713" t="s">
        <v>33</v>
      </c>
      <c r="B13" s="2714"/>
      <c r="C13" s="2714"/>
      <c r="D13" s="2714"/>
      <c r="E13" s="2714"/>
      <c r="F13" s="2714"/>
      <c r="G13" s="2714"/>
      <c r="H13" s="2714"/>
      <c r="I13" s="2714"/>
      <c r="J13" s="2714"/>
      <c r="K13" s="2714"/>
      <c r="L13" s="2714"/>
      <c r="M13" s="2714"/>
      <c r="N13" s="2714"/>
      <c r="O13" s="2714"/>
      <c r="P13" s="2714"/>
      <c r="Q13" s="2714"/>
      <c r="R13" s="2714"/>
      <c r="S13" s="2714"/>
      <c r="T13" s="2714"/>
      <c r="U13" s="2714"/>
      <c r="V13" s="2714"/>
      <c r="W13" s="2714"/>
      <c r="X13" s="2714"/>
      <c r="Y13" s="2714"/>
      <c r="Z13" s="2714"/>
      <c r="AA13" s="2714"/>
      <c r="AB13" s="2714"/>
      <c r="AC13" s="2714"/>
      <c r="AD13" s="2714"/>
      <c r="AE13" s="2714"/>
      <c r="AF13" s="2714"/>
      <c r="AG13" s="2715"/>
      <c r="AH13" s="188"/>
      <c r="AI13" s="188"/>
    </row>
    <row r="14" spans="1:35" ht="22.15" customHeight="1" x14ac:dyDescent="0.2">
      <c r="A14" s="2716">
        <v>8546</v>
      </c>
      <c r="B14" s="2717" t="s">
        <v>34</v>
      </c>
      <c r="C14" s="2718">
        <v>4</v>
      </c>
      <c r="D14" s="2718">
        <v>4</v>
      </c>
      <c r="E14" s="2718">
        <v>4</v>
      </c>
      <c r="F14" s="2718">
        <v>4</v>
      </c>
      <c r="G14" s="2718">
        <v>4</v>
      </c>
      <c r="H14" s="2719" t="s">
        <v>37</v>
      </c>
      <c r="I14" s="2719" t="s">
        <v>37</v>
      </c>
      <c r="J14" s="2719" t="s">
        <v>35</v>
      </c>
      <c r="K14" s="2720" t="s">
        <v>35</v>
      </c>
      <c r="L14" s="2719" t="s">
        <v>35</v>
      </c>
      <c r="M14" s="2721" t="s">
        <v>35</v>
      </c>
      <c r="N14" s="2718" t="s">
        <v>35</v>
      </c>
      <c r="O14" s="2718"/>
      <c r="P14" s="2722"/>
      <c r="Q14" s="2722">
        <v>1</v>
      </c>
      <c r="R14" s="2719">
        <v>1</v>
      </c>
      <c r="S14" s="2723">
        <v>1</v>
      </c>
      <c r="T14" s="2722">
        <v>1</v>
      </c>
      <c r="U14" s="2722">
        <v>1</v>
      </c>
      <c r="V14" s="2719"/>
      <c r="W14" s="2719"/>
      <c r="X14" s="2719">
        <v>2</v>
      </c>
      <c r="Y14" s="2719">
        <v>2</v>
      </c>
      <c r="Z14" s="2719">
        <v>2</v>
      </c>
      <c r="AA14" s="2719">
        <v>2</v>
      </c>
      <c r="AB14" s="2719">
        <v>2</v>
      </c>
      <c r="AC14" s="2719" t="s">
        <v>36</v>
      </c>
      <c r="AD14" s="2722" t="s">
        <v>36</v>
      </c>
      <c r="AE14" s="2719" t="s">
        <v>35</v>
      </c>
      <c r="AF14" s="2719" t="s">
        <v>35</v>
      </c>
      <c r="AG14" s="2724" t="s">
        <v>35</v>
      </c>
      <c r="AH14" s="190"/>
      <c r="AI14" s="190"/>
    </row>
    <row r="15" spans="1:35" ht="22.15" customHeight="1" x14ac:dyDescent="0.2">
      <c r="A15" s="2716">
        <v>8546</v>
      </c>
      <c r="B15" s="2725" t="s">
        <v>38</v>
      </c>
      <c r="C15" s="2720" t="s">
        <v>35</v>
      </c>
      <c r="D15" s="2719" t="s">
        <v>35</v>
      </c>
      <c r="E15" s="2719" t="s">
        <v>35</v>
      </c>
      <c r="F15" s="2722" t="s">
        <v>35</v>
      </c>
      <c r="G15" s="2722" t="s">
        <v>35</v>
      </c>
      <c r="H15" s="2722"/>
      <c r="I15" s="2719"/>
      <c r="J15" s="2720">
        <v>4</v>
      </c>
      <c r="K15" s="2722">
        <v>4</v>
      </c>
      <c r="L15" s="2719">
        <v>4</v>
      </c>
      <c r="M15" s="2719">
        <v>4</v>
      </c>
      <c r="N15" s="2719">
        <v>4</v>
      </c>
      <c r="O15" s="2719" t="s">
        <v>37</v>
      </c>
      <c r="P15" s="2719" t="s">
        <v>37</v>
      </c>
      <c r="Q15" s="2719" t="s">
        <v>35</v>
      </c>
      <c r="R15" s="2719" t="s">
        <v>35</v>
      </c>
      <c r="S15" s="2719" t="s">
        <v>35</v>
      </c>
      <c r="T15" s="2719" t="s">
        <v>35</v>
      </c>
      <c r="U15" s="2719" t="s">
        <v>35</v>
      </c>
      <c r="V15" s="2719"/>
      <c r="W15" s="2719"/>
      <c r="X15" s="2719">
        <v>1</v>
      </c>
      <c r="Y15" s="2719">
        <v>1</v>
      </c>
      <c r="Z15" s="2719">
        <v>1</v>
      </c>
      <c r="AA15" s="2719">
        <v>1</v>
      </c>
      <c r="AB15" s="2719">
        <v>1</v>
      </c>
      <c r="AC15" s="2719"/>
      <c r="AD15" s="2719"/>
      <c r="AE15" s="2719">
        <v>2</v>
      </c>
      <c r="AF15" s="2719">
        <v>2</v>
      </c>
      <c r="AG15" s="2724">
        <v>2</v>
      </c>
      <c r="AH15" s="190"/>
      <c r="AI15" s="190"/>
    </row>
    <row r="16" spans="1:35" ht="22.15" customHeight="1" x14ac:dyDescent="0.2">
      <c r="A16" s="2716">
        <v>8546</v>
      </c>
      <c r="B16" s="2717" t="s">
        <v>39</v>
      </c>
      <c r="C16" s="2722">
        <v>1</v>
      </c>
      <c r="D16" s="2719">
        <v>1</v>
      </c>
      <c r="E16" s="2719">
        <v>1</v>
      </c>
      <c r="F16" s="2719">
        <v>1</v>
      </c>
      <c r="G16" s="2719">
        <v>1</v>
      </c>
      <c r="H16" s="2719"/>
      <c r="I16" s="2719"/>
      <c r="J16" s="2719">
        <v>2</v>
      </c>
      <c r="K16" s="2719">
        <v>2</v>
      </c>
      <c r="L16" s="2719">
        <v>2</v>
      </c>
      <c r="M16" s="2719">
        <v>2</v>
      </c>
      <c r="N16" s="2722">
        <v>2</v>
      </c>
      <c r="O16" s="2722" t="s">
        <v>36</v>
      </c>
      <c r="P16" s="2722" t="s">
        <v>36</v>
      </c>
      <c r="Q16" s="2722" t="s">
        <v>35</v>
      </c>
      <c r="R16" s="2722" t="s">
        <v>35</v>
      </c>
      <c r="S16" s="2719" t="s">
        <v>35</v>
      </c>
      <c r="T16" s="2719" t="s">
        <v>35</v>
      </c>
      <c r="U16" s="2719" t="s">
        <v>35</v>
      </c>
      <c r="V16" s="2719"/>
      <c r="W16" s="2720"/>
      <c r="X16" s="2719">
        <v>4</v>
      </c>
      <c r="Y16" s="2722">
        <v>4</v>
      </c>
      <c r="Z16" s="2722">
        <v>4</v>
      </c>
      <c r="AA16" s="2722">
        <v>4</v>
      </c>
      <c r="AB16" s="2722">
        <v>4</v>
      </c>
      <c r="AC16" s="2722" t="s">
        <v>37</v>
      </c>
      <c r="AD16" s="2719" t="s">
        <v>37</v>
      </c>
      <c r="AE16" s="2719" t="s">
        <v>35</v>
      </c>
      <c r="AF16" s="2719" t="s">
        <v>35</v>
      </c>
      <c r="AG16" s="2724" t="s">
        <v>35</v>
      </c>
      <c r="AH16" s="190"/>
      <c r="AI16" s="190"/>
    </row>
    <row r="17" spans="1:37" ht="22.15" customHeight="1" x14ac:dyDescent="0.2">
      <c r="A17" s="2716">
        <v>8546</v>
      </c>
      <c r="B17" s="2725" t="s">
        <v>40</v>
      </c>
      <c r="C17" s="2719" t="s">
        <v>35</v>
      </c>
      <c r="D17" s="2720" t="s">
        <v>35</v>
      </c>
      <c r="E17" s="2719" t="s">
        <v>35</v>
      </c>
      <c r="F17" s="2722" t="s">
        <v>35</v>
      </c>
      <c r="G17" s="2719" t="s">
        <v>35</v>
      </c>
      <c r="H17" s="2719"/>
      <c r="I17" s="2719"/>
      <c r="J17" s="2719">
        <v>1</v>
      </c>
      <c r="K17" s="2719">
        <v>1</v>
      </c>
      <c r="L17" s="2719">
        <v>1</v>
      </c>
      <c r="M17" s="2718">
        <v>1</v>
      </c>
      <c r="N17" s="2718">
        <v>1</v>
      </c>
      <c r="O17" s="2718"/>
      <c r="P17" s="2718"/>
      <c r="Q17" s="2718">
        <v>2</v>
      </c>
      <c r="R17" s="2718">
        <v>2</v>
      </c>
      <c r="S17" s="2718">
        <v>2</v>
      </c>
      <c r="T17" s="2719">
        <v>2</v>
      </c>
      <c r="U17" s="2719">
        <v>2</v>
      </c>
      <c r="V17" s="2719" t="s">
        <v>36</v>
      </c>
      <c r="W17" s="2719" t="s">
        <v>36</v>
      </c>
      <c r="X17" s="2720" t="s">
        <v>35</v>
      </c>
      <c r="Y17" s="2719" t="s">
        <v>35</v>
      </c>
      <c r="Z17" s="2719" t="s">
        <v>35</v>
      </c>
      <c r="AA17" s="2726" t="s">
        <v>35</v>
      </c>
      <c r="AB17" s="2726" t="s">
        <v>35</v>
      </c>
      <c r="AC17" s="2726"/>
      <c r="AD17" s="2726"/>
      <c r="AE17" s="2726">
        <v>4</v>
      </c>
      <c r="AF17" s="2726">
        <v>4</v>
      </c>
      <c r="AG17" s="2724">
        <v>4</v>
      </c>
      <c r="AH17" s="190"/>
      <c r="AI17" s="190"/>
    </row>
    <row r="18" spans="1:37" ht="22.15" customHeight="1" x14ac:dyDescent="0.2">
      <c r="A18" s="2716">
        <v>8546</v>
      </c>
      <c r="B18" s="2717" t="s">
        <v>41</v>
      </c>
      <c r="C18" s="2719">
        <v>2</v>
      </c>
      <c r="D18" s="2720">
        <v>2</v>
      </c>
      <c r="E18" s="2719">
        <v>2</v>
      </c>
      <c r="F18" s="2719">
        <v>2</v>
      </c>
      <c r="G18" s="2719">
        <v>2</v>
      </c>
      <c r="H18" s="2719" t="s">
        <v>36</v>
      </c>
      <c r="I18" s="2719" t="s">
        <v>36</v>
      </c>
      <c r="J18" s="2722" t="s">
        <v>35</v>
      </c>
      <c r="K18" s="2722" t="s">
        <v>35</v>
      </c>
      <c r="L18" s="2719" t="s">
        <v>35</v>
      </c>
      <c r="M18" s="2722" t="s">
        <v>35</v>
      </c>
      <c r="N18" s="2722" t="s">
        <v>35</v>
      </c>
      <c r="O18" s="2719"/>
      <c r="P18" s="2719"/>
      <c r="Q18" s="2719">
        <v>4</v>
      </c>
      <c r="R18" s="2719">
        <v>4</v>
      </c>
      <c r="S18" s="2719">
        <v>4</v>
      </c>
      <c r="T18" s="2719">
        <v>4</v>
      </c>
      <c r="U18" s="2722">
        <v>4</v>
      </c>
      <c r="V18" s="2722" t="s">
        <v>37</v>
      </c>
      <c r="W18" s="2719" t="s">
        <v>37</v>
      </c>
      <c r="X18" s="2719" t="s">
        <v>35</v>
      </c>
      <c r="Y18" s="2719" t="s">
        <v>35</v>
      </c>
      <c r="Z18" s="2719" t="s">
        <v>35</v>
      </c>
      <c r="AA18" s="2719" t="s">
        <v>35</v>
      </c>
      <c r="AB18" s="2719" t="s">
        <v>35</v>
      </c>
      <c r="AC18" s="2727"/>
      <c r="AD18" s="2719"/>
      <c r="AE18" s="2719">
        <v>1</v>
      </c>
      <c r="AF18" s="2719">
        <v>1</v>
      </c>
      <c r="AG18" s="2724">
        <v>1</v>
      </c>
      <c r="AH18" s="190"/>
      <c r="AI18" s="190"/>
    </row>
    <row r="19" spans="1:37" ht="22.15" customHeight="1" thickBot="1" x14ac:dyDescent="0.25">
      <c r="A19" s="2728" t="s">
        <v>42</v>
      </c>
      <c r="B19" s="2729"/>
      <c r="C19" s="2730"/>
      <c r="D19" s="2730"/>
      <c r="E19" s="2730"/>
      <c r="F19" s="2730"/>
      <c r="G19" s="2730"/>
      <c r="H19" s="2730"/>
      <c r="I19" s="2730"/>
      <c r="J19" s="2730"/>
      <c r="K19" s="2730"/>
      <c r="L19" s="2730"/>
      <c r="M19" s="2730"/>
      <c r="N19" s="2730"/>
      <c r="O19" s="2730"/>
      <c r="P19" s="2730"/>
      <c r="Q19" s="2730"/>
      <c r="R19" s="2730"/>
      <c r="S19" s="2730"/>
      <c r="T19" s="2730"/>
      <c r="U19" s="2730"/>
      <c r="V19" s="2730"/>
      <c r="W19" s="2730"/>
      <c r="X19" s="2730"/>
      <c r="Y19" s="2730"/>
      <c r="Z19" s="2730"/>
      <c r="AA19" s="2730"/>
      <c r="AB19" s="2730"/>
      <c r="AC19" s="2730"/>
      <c r="AD19" s="2730"/>
      <c r="AE19" s="2730"/>
      <c r="AF19" s="2730"/>
      <c r="AG19" s="2731"/>
      <c r="AH19" s="188"/>
      <c r="AI19" s="188"/>
    </row>
    <row r="20" spans="1:37" ht="22.15" customHeight="1" x14ac:dyDescent="0.2">
      <c r="A20" s="465">
        <v>8500</v>
      </c>
      <c r="B20" s="466" t="s">
        <v>43</v>
      </c>
      <c r="C20" s="534" t="s">
        <v>31</v>
      </c>
      <c r="D20" s="534" t="s">
        <v>31</v>
      </c>
      <c r="E20" s="534" t="s">
        <v>31</v>
      </c>
      <c r="F20" s="534" t="s">
        <v>31</v>
      </c>
      <c r="G20" s="534" t="s">
        <v>31</v>
      </c>
      <c r="H20" s="534"/>
      <c r="I20" s="535"/>
      <c r="J20" s="534" t="s">
        <v>31</v>
      </c>
      <c r="K20" s="534" t="s">
        <v>31</v>
      </c>
      <c r="L20" s="534" t="s">
        <v>31</v>
      </c>
      <c r="M20" s="552" t="s">
        <v>31</v>
      </c>
      <c r="N20" s="534" t="s">
        <v>31</v>
      </c>
      <c r="O20" s="534"/>
      <c r="P20" s="534"/>
      <c r="Q20" s="534" t="s">
        <v>31</v>
      </c>
      <c r="R20" s="534" t="s">
        <v>31</v>
      </c>
      <c r="S20" s="534" t="s">
        <v>31</v>
      </c>
      <c r="T20" s="535" t="s">
        <v>31</v>
      </c>
      <c r="U20" s="535" t="s">
        <v>31</v>
      </c>
      <c r="V20" s="535"/>
      <c r="W20" s="535"/>
      <c r="X20" s="535" t="s">
        <v>31</v>
      </c>
      <c r="Y20" s="534" t="s">
        <v>31</v>
      </c>
      <c r="Z20" s="536" t="s">
        <v>31</v>
      </c>
      <c r="AA20" s="535" t="s">
        <v>31</v>
      </c>
      <c r="AB20" s="535" t="s">
        <v>31</v>
      </c>
      <c r="AC20" s="535"/>
      <c r="AD20" s="535"/>
      <c r="AE20" s="535" t="s">
        <v>31</v>
      </c>
      <c r="AF20" s="535" t="s">
        <v>31</v>
      </c>
      <c r="AG20" s="537" t="s">
        <v>31</v>
      </c>
      <c r="AH20" s="190"/>
      <c r="AI20" s="190"/>
    </row>
    <row r="21" spans="1:37" ht="22.15" customHeight="1" x14ac:dyDescent="0.2">
      <c r="A21" s="2732">
        <v>8500</v>
      </c>
      <c r="B21" s="2733" t="s">
        <v>44</v>
      </c>
      <c r="C21" s="2734" t="s">
        <v>31</v>
      </c>
      <c r="D21" s="2734" t="s">
        <v>31</v>
      </c>
      <c r="E21" s="2734" t="s">
        <v>31</v>
      </c>
      <c r="F21" s="2734" t="s">
        <v>31</v>
      </c>
      <c r="G21" s="2734" t="s">
        <v>31</v>
      </c>
      <c r="H21" s="2735"/>
      <c r="I21" s="2735"/>
      <c r="J21" s="2734" t="s">
        <v>31</v>
      </c>
      <c r="K21" s="2734" t="s">
        <v>31</v>
      </c>
      <c r="L21" s="2736" t="s">
        <v>31</v>
      </c>
      <c r="M21" s="2734" t="s">
        <v>31</v>
      </c>
      <c r="N21" s="2735" t="s">
        <v>31</v>
      </c>
      <c r="O21" s="2734"/>
      <c r="P21" s="2734"/>
      <c r="Q21" s="2734" t="s">
        <v>31</v>
      </c>
      <c r="R21" s="2734" t="s">
        <v>31</v>
      </c>
      <c r="S21" s="2734" t="s">
        <v>31</v>
      </c>
      <c r="T21" s="2734" t="s">
        <v>31</v>
      </c>
      <c r="U21" s="2734" t="s">
        <v>31</v>
      </c>
      <c r="V21" s="2734"/>
      <c r="W21" s="2734"/>
      <c r="X21" s="2734" t="s">
        <v>31</v>
      </c>
      <c r="Y21" s="2737" t="s">
        <v>31</v>
      </c>
      <c r="Z21" s="2737" t="s">
        <v>31</v>
      </c>
      <c r="AA21" s="2738" t="s">
        <v>31</v>
      </c>
      <c r="AB21" s="2734" t="s">
        <v>31</v>
      </c>
      <c r="AC21" s="2734"/>
      <c r="AD21" s="2734"/>
      <c r="AE21" s="2735" t="s">
        <v>31</v>
      </c>
      <c r="AF21" s="2735" t="s">
        <v>31</v>
      </c>
      <c r="AG21" s="2138" t="s">
        <v>31</v>
      </c>
      <c r="AH21" s="190"/>
      <c r="AI21" s="190"/>
    </row>
    <row r="22" spans="1:37" ht="22.15" customHeight="1" x14ac:dyDescent="0.2">
      <c r="A22" s="2732">
        <v>8500</v>
      </c>
      <c r="B22" s="2739" t="s">
        <v>45</v>
      </c>
      <c r="C22" s="2734" t="s">
        <v>31</v>
      </c>
      <c r="D22" s="2734" t="s">
        <v>31</v>
      </c>
      <c r="E22" s="2734" t="s">
        <v>31</v>
      </c>
      <c r="F22" s="2735" t="s">
        <v>31</v>
      </c>
      <c r="G22" s="2734" t="s">
        <v>31</v>
      </c>
      <c r="H22" s="2734"/>
      <c r="I22" s="2734"/>
      <c r="J22" s="2734" t="s">
        <v>31</v>
      </c>
      <c r="K22" s="2734" t="s">
        <v>31</v>
      </c>
      <c r="L22" s="2734" t="s">
        <v>31</v>
      </c>
      <c r="M22" s="2734" t="s">
        <v>31</v>
      </c>
      <c r="N22" s="2740" t="s">
        <v>31</v>
      </c>
      <c r="O22" s="2740"/>
      <c r="P22" s="2740"/>
      <c r="Q22" s="2736" t="s">
        <v>31</v>
      </c>
      <c r="R22" s="2740" t="s">
        <v>31</v>
      </c>
      <c r="S22" s="2734" t="s">
        <v>31</v>
      </c>
      <c r="T22" s="2734" t="s">
        <v>31</v>
      </c>
      <c r="U22" s="2740" t="s">
        <v>31</v>
      </c>
      <c r="V22" s="2740"/>
      <c r="W22" s="2740"/>
      <c r="X22" s="2734" t="s">
        <v>31</v>
      </c>
      <c r="Y22" s="2740" t="s">
        <v>31</v>
      </c>
      <c r="Z22" s="2734" t="s">
        <v>31</v>
      </c>
      <c r="AA22" s="2734" t="s">
        <v>31</v>
      </c>
      <c r="AB22" s="2734" t="s">
        <v>31</v>
      </c>
      <c r="AC22" s="2734"/>
      <c r="AD22" s="2735"/>
      <c r="AE22" s="2734" t="s">
        <v>31</v>
      </c>
      <c r="AF22" s="2735" t="s">
        <v>31</v>
      </c>
      <c r="AG22" s="2138" t="s">
        <v>31</v>
      </c>
      <c r="AH22" s="190"/>
      <c r="AI22" s="190"/>
    </row>
    <row r="23" spans="1:37" ht="22.15" customHeight="1" x14ac:dyDescent="0.2">
      <c r="A23" s="2732"/>
      <c r="B23" s="2741"/>
      <c r="C23" s="2735"/>
      <c r="D23" s="2736"/>
      <c r="E23" s="2734"/>
      <c r="F23" s="2734"/>
      <c r="G23" s="2734"/>
      <c r="H23" s="2734"/>
      <c r="I23" s="2735"/>
      <c r="J23" s="2735"/>
      <c r="K23" s="2735"/>
      <c r="L23" s="2735"/>
      <c r="M23" s="2735"/>
      <c r="N23" s="2735"/>
      <c r="O23" s="2742"/>
      <c r="P23" s="2735"/>
      <c r="Q23" s="2735"/>
      <c r="R23" s="2743"/>
      <c r="S23" s="2743"/>
      <c r="T23" s="2735"/>
      <c r="U23" s="2735"/>
      <c r="V23" s="2735"/>
      <c r="W23" s="2735"/>
      <c r="X23" s="2735"/>
      <c r="Y23" s="2735"/>
      <c r="Z23" s="2735"/>
      <c r="AA23" s="2735"/>
      <c r="AB23" s="2735"/>
      <c r="AC23" s="2740"/>
      <c r="AD23" s="2740"/>
      <c r="AE23" s="2740"/>
      <c r="AF23" s="2740"/>
      <c r="AG23" s="2138"/>
    </row>
    <row r="24" spans="1:37" ht="22.15" customHeight="1" thickBot="1" x14ac:dyDescent="0.25">
      <c r="A24" s="688"/>
      <c r="B24" s="689" t="s">
        <v>338</v>
      </c>
      <c r="C24" s="690"/>
      <c r="D24" s="690"/>
      <c r="E24" s="690"/>
      <c r="F24" s="690"/>
      <c r="G24" s="690" t="s">
        <v>0</v>
      </c>
      <c r="H24" s="690"/>
      <c r="I24" s="690"/>
      <c r="J24" s="690"/>
      <c r="K24" s="690"/>
      <c r="L24" s="690" t="s">
        <v>0</v>
      </c>
      <c r="M24" s="690"/>
      <c r="N24" s="690" t="s">
        <v>0</v>
      </c>
      <c r="O24" s="690" t="s">
        <v>0</v>
      </c>
      <c r="P24" s="690"/>
      <c r="Q24" s="690"/>
      <c r="R24" s="690"/>
      <c r="S24" s="690"/>
      <c r="T24" s="690"/>
      <c r="U24" s="690" t="s">
        <v>0</v>
      </c>
      <c r="V24" s="690"/>
      <c r="W24" s="690"/>
      <c r="X24" s="690"/>
      <c r="Y24" s="690"/>
      <c r="Z24" s="690"/>
      <c r="AA24" s="690"/>
      <c r="AB24" s="690"/>
      <c r="AC24" s="690"/>
      <c r="AD24" s="690"/>
      <c r="AE24" s="690"/>
      <c r="AF24" s="690"/>
      <c r="AG24" s="218"/>
    </row>
    <row r="25" spans="1:37" ht="22.15" customHeight="1" x14ac:dyDescent="0.2">
      <c r="A25" s="102"/>
    </row>
    <row r="26" spans="1:37" ht="22.15" customHeight="1" x14ac:dyDescent="0.2">
      <c r="A26" s="102"/>
    </row>
    <row r="27" spans="1:37" ht="22.15" customHeight="1" x14ac:dyDescent="0.2">
      <c r="A27" s="102"/>
    </row>
    <row r="28" spans="1:37" ht="22.15" customHeight="1" x14ac:dyDescent="0.2">
      <c r="A28" s="102"/>
    </row>
    <row r="29" spans="1:37" ht="22.15" customHeight="1" x14ac:dyDescent="0.2">
      <c r="A29" s="102"/>
    </row>
    <row r="30" spans="1:37" ht="12.75" customHeight="1" thickBot="1" x14ac:dyDescent="0.25">
      <c r="A30" s="162" t="s">
        <v>48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37" ht="28.5" customHeight="1" x14ac:dyDescent="0.2">
      <c r="A31" s="302" t="s">
        <v>49</v>
      </c>
      <c r="B31" s="404"/>
      <c r="C31" s="404"/>
      <c r="D31" s="471" t="s">
        <v>50</v>
      </c>
      <c r="E31" s="405"/>
      <c r="F31" s="405"/>
      <c r="G31" s="405"/>
      <c r="H31" s="405"/>
      <c r="I31" s="405"/>
      <c r="J31" s="405"/>
      <c r="K31" s="405"/>
      <c r="L31" s="405"/>
      <c r="M31" s="406" t="s">
        <v>51</v>
      </c>
      <c r="N31" s="405"/>
      <c r="O31" s="405"/>
      <c r="P31" s="405"/>
      <c r="Q31" s="405"/>
      <c r="R31" s="405"/>
      <c r="S31" s="407"/>
      <c r="T31" s="3653" t="s">
        <v>52</v>
      </c>
      <c r="U31" s="3654"/>
      <c r="V31" s="3654"/>
      <c r="W31" s="3654"/>
      <c r="X31" s="3654"/>
      <c r="Y31" s="3654"/>
      <c r="Z31" s="3655"/>
      <c r="AA31" s="472" t="s">
        <v>53</v>
      </c>
      <c r="AB31" s="473"/>
      <c r="AC31" s="473"/>
      <c r="AD31" s="473"/>
      <c r="AE31" s="473"/>
      <c r="AF31" s="473"/>
      <c r="AG31" s="474"/>
      <c r="AK31" s="1"/>
    </row>
    <row r="32" spans="1:37" ht="22.15" customHeight="1" x14ac:dyDescent="0.2">
      <c r="A32" s="2744" t="s">
        <v>54</v>
      </c>
      <c r="B32" s="2705"/>
      <c r="C32" s="2705"/>
      <c r="D32" s="2745" t="s">
        <v>55</v>
      </c>
      <c r="E32" s="2746"/>
      <c r="F32" s="2692"/>
      <c r="G32" s="2692"/>
      <c r="H32" s="2692"/>
      <c r="I32" s="2692"/>
      <c r="J32" s="2692"/>
      <c r="K32" s="2692"/>
      <c r="L32" s="2700"/>
      <c r="M32" s="2747" t="s">
        <v>56</v>
      </c>
      <c r="N32" s="2705"/>
      <c r="O32" s="2748"/>
      <c r="P32" s="2705"/>
      <c r="Q32" s="2705"/>
      <c r="R32" s="2705"/>
      <c r="S32" s="2749"/>
      <c r="T32" s="2745" t="s">
        <v>57</v>
      </c>
      <c r="U32" s="2692"/>
      <c r="V32" s="2746"/>
      <c r="W32" s="2692"/>
      <c r="X32" s="2692"/>
      <c r="Y32" s="2692"/>
      <c r="Z32" s="2700"/>
      <c r="AA32" s="163" t="s">
        <v>58</v>
      </c>
      <c r="AD32" s="100"/>
      <c r="AG32" s="103"/>
      <c r="AK32" s="1"/>
    </row>
    <row r="33" spans="1:38" ht="22.15" customHeight="1" x14ac:dyDescent="0.2">
      <c r="A33" s="2750" t="s">
        <v>59</v>
      </c>
      <c r="B33" s="2692"/>
      <c r="C33" s="2692"/>
      <c r="D33" s="2751"/>
      <c r="E33" s="2692"/>
      <c r="F33" s="2692"/>
      <c r="G33" s="2700"/>
      <c r="H33" s="2707" t="s">
        <v>60</v>
      </c>
      <c r="I33" s="2692"/>
      <c r="J33" s="2692"/>
      <c r="K33" s="2692"/>
      <c r="L33" s="2692"/>
      <c r="M33" s="2752"/>
      <c r="N33" s="2692"/>
      <c r="O33" s="2692"/>
      <c r="P33" s="2692"/>
      <c r="Q33" s="2692"/>
      <c r="R33" s="2692"/>
      <c r="S33" s="2692"/>
      <c r="T33" s="2751"/>
      <c r="U33" s="162" t="s">
        <v>61</v>
      </c>
      <c r="AA33" s="2748"/>
      <c r="AB33" s="2705"/>
      <c r="AC33" s="2705"/>
      <c r="AD33" s="2705"/>
      <c r="AE33" s="2705"/>
      <c r="AF33" s="2705"/>
      <c r="AG33" s="2753"/>
      <c r="AK33" s="64"/>
    </row>
    <row r="34" spans="1:38" ht="22.15" customHeight="1" thickBot="1" x14ac:dyDescent="0.25">
      <c r="A34" s="2754" t="s">
        <v>62</v>
      </c>
      <c r="B34" s="2755"/>
      <c r="C34" s="2755"/>
      <c r="D34" s="2756"/>
      <c r="E34" s="2755"/>
      <c r="F34" s="2755"/>
      <c r="G34" s="2757"/>
      <c r="H34" s="2758" t="s">
        <v>63</v>
      </c>
      <c r="I34" s="2757"/>
      <c r="J34" s="2755"/>
      <c r="K34" s="2755"/>
      <c r="L34" s="2755"/>
      <c r="M34" s="2759"/>
      <c r="N34" s="2755"/>
      <c r="O34" s="2755"/>
      <c r="P34" s="2755"/>
      <c r="Q34" s="2760"/>
      <c r="R34" s="2760"/>
      <c r="S34" s="2760"/>
      <c r="T34" s="2756"/>
      <c r="U34" s="2761" t="s">
        <v>64</v>
      </c>
      <c r="V34" s="2755"/>
      <c r="W34" s="2755"/>
      <c r="X34" s="2755"/>
      <c r="Y34" s="2755"/>
      <c r="Z34" s="2755"/>
      <c r="AA34" s="2755"/>
      <c r="AB34" s="2755"/>
      <c r="AC34" s="2755"/>
      <c r="AD34" s="2755"/>
      <c r="AE34" s="2755"/>
      <c r="AF34" s="2755"/>
      <c r="AG34" s="2762"/>
      <c r="AK34" s="1"/>
    </row>
    <row r="35" spans="1:38" ht="22.1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  <c r="AJ35" s="177"/>
    </row>
    <row r="36" spans="1:38" ht="22.15" customHeight="1" thickBot="1" x14ac:dyDescent="0.25">
      <c r="A36" s="2763" t="s">
        <v>28</v>
      </c>
      <c r="B36" s="2764" t="s">
        <v>29</v>
      </c>
      <c r="C36" s="2710">
        <v>1</v>
      </c>
      <c r="D36" s="2710">
        <v>2</v>
      </c>
      <c r="E36" s="2710">
        <v>3</v>
      </c>
      <c r="F36" s="2710">
        <v>4</v>
      </c>
      <c r="G36" s="2710">
        <v>5</v>
      </c>
      <c r="H36" s="2711">
        <v>6</v>
      </c>
      <c r="I36" s="2711">
        <v>7</v>
      </c>
      <c r="J36" s="2710">
        <v>8</v>
      </c>
      <c r="K36" s="2710">
        <v>9</v>
      </c>
      <c r="L36" s="2710">
        <v>10</v>
      </c>
      <c r="M36" s="2710">
        <v>11</v>
      </c>
      <c r="N36" s="2710">
        <v>12</v>
      </c>
      <c r="O36" s="2711">
        <v>13</v>
      </c>
      <c r="P36" s="2711">
        <v>14</v>
      </c>
      <c r="Q36" s="2710">
        <v>15</v>
      </c>
      <c r="R36" s="2710">
        <v>16</v>
      </c>
      <c r="S36" s="2710">
        <v>17</v>
      </c>
      <c r="T36" s="2710">
        <v>18</v>
      </c>
      <c r="U36" s="2710">
        <v>19</v>
      </c>
      <c r="V36" s="2711">
        <v>20</v>
      </c>
      <c r="W36" s="2711">
        <v>21</v>
      </c>
      <c r="X36" s="2710">
        <v>22</v>
      </c>
      <c r="Y36" s="2710">
        <v>23</v>
      </c>
      <c r="Z36" s="2710">
        <v>24</v>
      </c>
      <c r="AA36" s="2710">
        <v>25</v>
      </c>
      <c r="AB36" s="2710">
        <v>26</v>
      </c>
      <c r="AC36" s="2711">
        <v>27</v>
      </c>
      <c r="AD36" s="2711">
        <v>28</v>
      </c>
      <c r="AE36" s="2710">
        <v>29</v>
      </c>
      <c r="AF36" s="2710">
        <v>30</v>
      </c>
      <c r="AG36" s="2712">
        <v>31</v>
      </c>
      <c r="AH36" s="184"/>
      <c r="AI36" s="185"/>
      <c r="AL36" t="s">
        <v>0</v>
      </c>
    </row>
    <row r="37" spans="1:38" ht="22.15" customHeight="1" x14ac:dyDescent="0.2">
      <c r="A37" s="475">
        <v>1</v>
      </c>
      <c r="B37" s="476" t="s">
        <v>65</v>
      </c>
      <c r="C37" s="477">
        <v>1</v>
      </c>
      <c r="D37" s="458">
        <v>1</v>
      </c>
      <c r="E37" s="477">
        <v>1</v>
      </c>
      <c r="F37" s="477">
        <v>1</v>
      </c>
      <c r="G37" s="477">
        <v>1</v>
      </c>
      <c r="H37" s="477"/>
      <c r="I37" s="477"/>
      <c r="J37" s="458">
        <v>9</v>
      </c>
      <c r="K37" s="477">
        <v>9</v>
      </c>
      <c r="L37" s="477">
        <v>9</v>
      </c>
      <c r="M37" s="477">
        <v>9</v>
      </c>
      <c r="N37" s="477">
        <v>9</v>
      </c>
      <c r="O37" s="458" t="s">
        <v>66</v>
      </c>
      <c r="P37" s="477" t="s">
        <v>67</v>
      </c>
      <c r="Q37" s="459" t="s">
        <v>35</v>
      </c>
      <c r="R37" s="458" t="s">
        <v>35</v>
      </c>
      <c r="S37" s="477" t="s">
        <v>35</v>
      </c>
      <c r="T37" s="477" t="s">
        <v>35</v>
      </c>
      <c r="U37" s="477" t="s">
        <v>35</v>
      </c>
      <c r="V37" s="477" t="s">
        <v>68</v>
      </c>
      <c r="W37" s="477" t="s">
        <v>69</v>
      </c>
      <c r="X37" s="459">
        <v>6</v>
      </c>
      <c r="Y37" s="459">
        <v>6</v>
      </c>
      <c r="Z37" s="477">
        <v>6</v>
      </c>
      <c r="AA37" s="477">
        <v>6</v>
      </c>
      <c r="AB37" s="459">
        <v>6</v>
      </c>
      <c r="AC37" s="459"/>
      <c r="AD37" s="459"/>
      <c r="AE37" s="477" t="s">
        <v>35</v>
      </c>
      <c r="AF37" s="477" t="s">
        <v>35</v>
      </c>
      <c r="AG37" s="478" t="s">
        <v>35</v>
      </c>
      <c r="AH37" s="189"/>
      <c r="AI37" s="190"/>
    </row>
    <row r="38" spans="1:38" ht="22.15" customHeight="1" x14ac:dyDescent="0.2">
      <c r="A38" s="2765">
        <v>6</v>
      </c>
      <c r="B38" s="2766" t="s">
        <v>180</v>
      </c>
      <c r="C38" s="2718">
        <v>5</v>
      </c>
      <c r="D38" s="2718">
        <v>5</v>
      </c>
      <c r="E38" s="2718">
        <v>5</v>
      </c>
      <c r="F38" s="2718">
        <v>5</v>
      </c>
      <c r="G38" s="2718">
        <v>5</v>
      </c>
      <c r="H38" s="2718"/>
      <c r="I38" s="2718"/>
      <c r="J38" s="2718">
        <v>10</v>
      </c>
      <c r="K38" s="2718">
        <v>10</v>
      </c>
      <c r="L38" s="2718">
        <v>10</v>
      </c>
      <c r="M38" s="2718">
        <v>10</v>
      </c>
      <c r="N38" s="2718">
        <v>10</v>
      </c>
      <c r="O38" s="2718" t="s">
        <v>67</v>
      </c>
      <c r="P38" s="2718" t="s">
        <v>67</v>
      </c>
      <c r="Q38" s="2718" t="s">
        <v>35</v>
      </c>
      <c r="R38" s="2718" t="s">
        <v>35</v>
      </c>
      <c r="S38" s="2718" t="s">
        <v>35</v>
      </c>
      <c r="T38" s="2718" t="s">
        <v>35</v>
      </c>
      <c r="U38" s="2718" t="s">
        <v>35</v>
      </c>
      <c r="V38" s="2718" t="s">
        <v>71</v>
      </c>
      <c r="W38" s="2718" t="s">
        <v>71</v>
      </c>
      <c r="X38" s="2718">
        <v>7</v>
      </c>
      <c r="Y38" s="2718">
        <v>7</v>
      </c>
      <c r="Z38" s="2718">
        <v>7</v>
      </c>
      <c r="AA38" s="2718">
        <v>7</v>
      </c>
      <c r="AB38" s="2718">
        <v>7</v>
      </c>
      <c r="AC38" s="2718"/>
      <c r="AD38" s="2718"/>
      <c r="AE38" s="2767">
        <v>4</v>
      </c>
      <c r="AF38" s="2767">
        <v>4</v>
      </c>
      <c r="AG38" s="2768">
        <v>4</v>
      </c>
      <c r="AH38" s="189"/>
      <c r="AI38" s="190"/>
    </row>
    <row r="39" spans="1:38" ht="22.15" customHeight="1" thickBot="1" x14ac:dyDescent="0.25">
      <c r="A39" s="2769">
        <v>11</v>
      </c>
      <c r="B39" s="2770" t="s">
        <v>72</v>
      </c>
      <c r="C39" s="2710">
        <v>3</v>
      </c>
      <c r="D39" s="2771">
        <v>3</v>
      </c>
      <c r="E39" s="2771">
        <v>3</v>
      </c>
      <c r="F39" s="2771">
        <v>3</v>
      </c>
      <c r="G39" s="2771">
        <v>3</v>
      </c>
      <c r="H39" s="2771"/>
      <c r="I39" s="2771"/>
      <c r="J39" s="2771">
        <v>11</v>
      </c>
      <c r="K39" s="2771">
        <v>11</v>
      </c>
      <c r="L39" s="2771">
        <v>11</v>
      </c>
      <c r="M39" s="2771">
        <v>11</v>
      </c>
      <c r="N39" s="2771">
        <v>11</v>
      </c>
      <c r="O39" s="2710" t="s">
        <v>73</v>
      </c>
      <c r="P39" s="2771" t="s">
        <v>73</v>
      </c>
      <c r="Q39" s="2710" t="s">
        <v>35</v>
      </c>
      <c r="R39" s="2710" t="s">
        <v>35</v>
      </c>
      <c r="S39" s="2771" t="s">
        <v>35</v>
      </c>
      <c r="T39" s="2772" t="s">
        <v>35</v>
      </c>
      <c r="U39" s="2772" t="s">
        <v>35</v>
      </c>
      <c r="V39" s="2772" t="s">
        <v>69</v>
      </c>
      <c r="W39" s="2772" t="s">
        <v>69</v>
      </c>
      <c r="X39" s="2772">
        <v>8</v>
      </c>
      <c r="Y39" s="2771">
        <v>8</v>
      </c>
      <c r="Z39" s="2771">
        <v>8</v>
      </c>
      <c r="AA39" s="2771">
        <v>8</v>
      </c>
      <c r="AB39" s="2773">
        <v>8</v>
      </c>
      <c r="AC39" s="2773"/>
      <c r="AD39" s="2773"/>
      <c r="AE39" s="2771" t="s">
        <v>35</v>
      </c>
      <c r="AF39" s="2771" t="s">
        <v>35</v>
      </c>
      <c r="AG39" s="2774" t="s">
        <v>35</v>
      </c>
      <c r="AH39" s="189"/>
      <c r="AI39" s="190"/>
    </row>
    <row r="40" spans="1:38" ht="22.15" customHeight="1" x14ac:dyDescent="0.2">
      <c r="A40" s="475">
        <v>2</v>
      </c>
      <c r="B40" s="183" t="s">
        <v>74</v>
      </c>
      <c r="C40" s="458">
        <v>9</v>
      </c>
      <c r="D40" s="458">
        <v>9</v>
      </c>
      <c r="E40" s="458">
        <v>9</v>
      </c>
      <c r="F40" s="458">
        <v>9</v>
      </c>
      <c r="G40" s="458">
        <v>9</v>
      </c>
      <c r="H40" s="477" t="s">
        <v>66</v>
      </c>
      <c r="I40" s="477" t="s">
        <v>67</v>
      </c>
      <c r="J40" s="458" t="s">
        <v>35</v>
      </c>
      <c r="K40" s="458" t="s">
        <v>35</v>
      </c>
      <c r="L40" s="477" t="s">
        <v>35</v>
      </c>
      <c r="M40" s="477" t="s">
        <v>35</v>
      </c>
      <c r="N40" s="477" t="s">
        <v>35</v>
      </c>
      <c r="O40" s="459" t="s">
        <v>68</v>
      </c>
      <c r="P40" s="477" t="s">
        <v>69</v>
      </c>
      <c r="Q40" s="459">
        <v>6</v>
      </c>
      <c r="R40" s="459">
        <v>6</v>
      </c>
      <c r="S40" s="458">
        <v>6</v>
      </c>
      <c r="T40" s="459">
        <v>6</v>
      </c>
      <c r="U40" s="459">
        <v>6</v>
      </c>
      <c r="V40" s="459"/>
      <c r="W40" s="459"/>
      <c r="X40" s="459" t="s">
        <v>35</v>
      </c>
      <c r="Y40" s="477" t="s">
        <v>35</v>
      </c>
      <c r="Z40" s="477" t="s">
        <v>35</v>
      </c>
      <c r="AA40" s="477" t="s">
        <v>35</v>
      </c>
      <c r="AB40" s="477" t="s">
        <v>35</v>
      </c>
      <c r="AC40" s="459"/>
      <c r="AD40" s="459"/>
      <c r="AE40" s="477">
        <v>5</v>
      </c>
      <c r="AF40" s="477">
        <v>5</v>
      </c>
      <c r="AG40" s="478">
        <v>5</v>
      </c>
      <c r="AH40" s="189"/>
      <c r="AI40" s="190"/>
    </row>
    <row r="41" spans="1:38" ht="22.15" customHeight="1" x14ac:dyDescent="0.2">
      <c r="A41" s="2765">
        <v>7</v>
      </c>
      <c r="B41" s="2725" t="s">
        <v>75</v>
      </c>
      <c r="C41" s="2721">
        <v>10</v>
      </c>
      <c r="D41" s="2721">
        <v>10</v>
      </c>
      <c r="E41" s="2775">
        <v>10</v>
      </c>
      <c r="F41" s="2775">
        <v>10</v>
      </c>
      <c r="G41" s="2775">
        <v>10</v>
      </c>
      <c r="H41" s="2775" t="s">
        <v>67</v>
      </c>
      <c r="I41" s="2775" t="s">
        <v>67</v>
      </c>
      <c r="J41" s="2721" t="s">
        <v>35</v>
      </c>
      <c r="K41" s="2776" t="s">
        <v>35</v>
      </c>
      <c r="L41" s="2776" t="s">
        <v>35</v>
      </c>
      <c r="M41" s="2776" t="s">
        <v>35</v>
      </c>
      <c r="N41" s="2775" t="s">
        <v>35</v>
      </c>
      <c r="O41" s="2775" t="s">
        <v>71</v>
      </c>
      <c r="P41" s="2775" t="s">
        <v>71</v>
      </c>
      <c r="Q41" s="2721">
        <v>7</v>
      </c>
      <c r="R41" s="2775">
        <v>7</v>
      </c>
      <c r="S41" s="2775">
        <v>7</v>
      </c>
      <c r="T41" s="2776">
        <v>7</v>
      </c>
      <c r="U41" s="2776">
        <v>7</v>
      </c>
      <c r="V41" s="2776"/>
      <c r="W41" s="2776"/>
      <c r="X41" s="2767">
        <v>4</v>
      </c>
      <c r="Y41" s="2767">
        <v>4</v>
      </c>
      <c r="Z41" s="2767">
        <v>4</v>
      </c>
      <c r="AA41" s="2767">
        <v>4</v>
      </c>
      <c r="AB41" s="2767">
        <v>4</v>
      </c>
      <c r="AC41" s="2767"/>
      <c r="AD41" s="2767"/>
      <c r="AE41" s="2775">
        <v>3</v>
      </c>
      <c r="AF41" s="2775">
        <v>3</v>
      </c>
      <c r="AG41" s="2777">
        <v>3</v>
      </c>
      <c r="AH41" s="189"/>
      <c r="AI41" s="190"/>
    </row>
    <row r="42" spans="1:38" ht="22.15" customHeight="1" thickBot="1" x14ac:dyDescent="0.25">
      <c r="A42" s="2769">
        <v>12</v>
      </c>
      <c r="B42" s="2778" t="s">
        <v>76</v>
      </c>
      <c r="C42" s="2771">
        <v>11</v>
      </c>
      <c r="D42" s="2773">
        <v>11</v>
      </c>
      <c r="E42" s="2771">
        <v>11</v>
      </c>
      <c r="F42" s="2771">
        <v>11</v>
      </c>
      <c r="G42" s="2771">
        <v>11</v>
      </c>
      <c r="H42" s="2771" t="s">
        <v>73</v>
      </c>
      <c r="I42" s="2771" t="s">
        <v>73</v>
      </c>
      <c r="J42" s="2771" t="s">
        <v>35</v>
      </c>
      <c r="K42" s="2710" t="s">
        <v>35</v>
      </c>
      <c r="L42" s="2771" t="s">
        <v>35</v>
      </c>
      <c r="M42" s="2771" t="s">
        <v>35</v>
      </c>
      <c r="N42" s="2771" t="s">
        <v>35</v>
      </c>
      <c r="O42" s="2771" t="s">
        <v>69</v>
      </c>
      <c r="P42" s="2771" t="s">
        <v>69</v>
      </c>
      <c r="Q42" s="2779">
        <v>8</v>
      </c>
      <c r="R42" s="2779">
        <v>8</v>
      </c>
      <c r="S42" s="2779">
        <v>8</v>
      </c>
      <c r="T42" s="2779">
        <v>8</v>
      </c>
      <c r="U42" s="2779">
        <v>8</v>
      </c>
      <c r="V42" s="2779"/>
      <c r="W42" s="2779"/>
      <c r="X42" s="2771" t="s">
        <v>35</v>
      </c>
      <c r="Y42" s="2771" t="s">
        <v>35</v>
      </c>
      <c r="Z42" s="2771" t="s">
        <v>35</v>
      </c>
      <c r="AA42" s="2771" t="s">
        <v>35</v>
      </c>
      <c r="AB42" s="2771" t="s">
        <v>35</v>
      </c>
      <c r="AC42" s="2710"/>
      <c r="AD42" s="2710"/>
      <c r="AE42" s="2710">
        <v>1</v>
      </c>
      <c r="AF42" s="2710">
        <v>1</v>
      </c>
      <c r="AG42" s="2712">
        <v>1</v>
      </c>
      <c r="AH42" s="189"/>
      <c r="AI42" s="190"/>
    </row>
    <row r="43" spans="1:38" ht="22.15" customHeight="1" x14ac:dyDescent="0.2">
      <c r="A43" s="475">
        <v>3</v>
      </c>
      <c r="B43" s="479" t="s">
        <v>77</v>
      </c>
      <c r="C43" s="480" t="s">
        <v>35</v>
      </c>
      <c r="D43" s="459" t="s">
        <v>35</v>
      </c>
      <c r="E43" s="477" t="s">
        <v>35</v>
      </c>
      <c r="F43" s="477" t="s">
        <v>35</v>
      </c>
      <c r="G43" s="477" t="s">
        <v>35</v>
      </c>
      <c r="H43" s="477" t="s">
        <v>68</v>
      </c>
      <c r="I43" s="477" t="s">
        <v>69</v>
      </c>
      <c r="J43" s="468">
        <v>6</v>
      </c>
      <c r="K43" s="468">
        <v>6</v>
      </c>
      <c r="L43" s="468">
        <v>6</v>
      </c>
      <c r="M43" s="468">
        <v>6</v>
      </c>
      <c r="N43" s="468">
        <v>6</v>
      </c>
      <c r="O43" s="468"/>
      <c r="P43" s="468"/>
      <c r="Q43" s="459" t="s">
        <v>35</v>
      </c>
      <c r="R43" s="477" t="s">
        <v>35</v>
      </c>
      <c r="S43" s="477" t="s">
        <v>35</v>
      </c>
      <c r="T43" s="477" t="s">
        <v>35</v>
      </c>
      <c r="U43" s="477" t="s">
        <v>35</v>
      </c>
      <c r="V43" s="459"/>
      <c r="W43" s="459"/>
      <c r="X43" s="546">
        <v>5</v>
      </c>
      <c r="Y43" s="624">
        <v>5</v>
      </c>
      <c r="Z43" s="624">
        <v>5</v>
      </c>
      <c r="AA43" s="624">
        <v>5</v>
      </c>
      <c r="AB43" s="624">
        <v>5</v>
      </c>
      <c r="AC43" s="482"/>
      <c r="AD43" s="477"/>
      <c r="AE43" s="477">
        <v>10</v>
      </c>
      <c r="AF43" s="477">
        <v>10</v>
      </c>
      <c r="AG43" s="478">
        <v>10</v>
      </c>
      <c r="AH43" s="189"/>
      <c r="AI43" s="190"/>
    </row>
    <row r="44" spans="1:38" ht="22.15" customHeight="1" x14ac:dyDescent="0.2">
      <c r="A44" s="2765">
        <v>8</v>
      </c>
      <c r="B44" s="2725" t="s">
        <v>111</v>
      </c>
      <c r="C44" s="2722" t="s">
        <v>35</v>
      </c>
      <c r="D44" s="2722" t="s">
        <v>35</v>
      </c>
      <c r="E44" s="2722" t="s">
        <v>35</v>
      </c>
      <c r="F44" s="2722" t="s">
        <v>35</v>
      </c>
      <c r="G44" s="2722" t="s">
        <v>35</v>
      </c>
      <c r="H44" s="2722" t="s">
        <v>71</v>
      </c>
      <c r="I44" s="2775" t="s">
        <v>71</v>
      </c>
      <c r="J44" s="2721">
        <v>7</v>
      </c>
      <c r="K44" s="2718">
        <v>7</v>
      </c>
      <c r="L44" s="2718">
        <v>7</v>
      </c>
      <c r="M44" s="2718">
        <v>7</v>
      </c>
      <c r="N44" s="2722">
        <v>7</v>
      </c>
      <c r="O44" s="2775"/>
      <c r="P44" s="2775"/>
      <c r="Q44" s="2775">
        <v>4</v>
      </c>
      <c r="R44" s="2775">
        <v>4</v>
      </c>
      <c r="S44" s="2775">
        <v>4</v>
      </c>
      <c r="T44" s="2775">
        <v>4</v>
      </c>
      <c r="U44" s="2775">
        <v>4</v>
      </c>
      <c r="V44" s="2775"/>
      <c r="W44" s="2775"/>
      <c r="X44" s="2721">
        <v>3</v>
      </c>
      <c r="Y44" s="2775">
        <v>3</v>
      </c>
      <c r="Z44" s="2775">
        <v>3</v>
      </c>
      <c r="AA44" s="2775">
        <v>3</v>
      </c>
      <c r="AB44" s="2775">
        <v>3</v>
      </c>
      <c r="AC44" s="2775"/>
      <c r="AD44" s="2722"/>
      <c r="AE44" s="2722">
        <v>11</v>
      </c>
      <c r="AF44" s="2723">
        <v>11</v>
      </c>
      <c r="AG44" s="2777">
        <v>11</v>
      </c>
      <c r="AH44" s="189"/>
      <c r="AI44" s="190"/>
    </row>
    <row r="45" spans="1:38" ht="22.15" customHeight="1" thickBot="1" x14ac:dyDescent="0.25">
      <c r="A45" s="2769">
        <v>13</v>
      </c>
      <c r="B45" s="2770" t="s">
        <v>79</v>
      </c>
      <c r="C45" s="2710" t="s">
        <v>35</v>
      </c>
      <c r="D45" s="2710" t="s">
        <v>35</v>
      </c>
      <c r="E45" s="2771" t="s">
        <v>35</v>
      </c>
      <c r="F45" s="2771" t="s">
        <v>35</v>
      </c>
      <c r="G45" s="2771" t="s">
        <v>35</v>
      </c>
      <c r="H45" s="2771" t="s">
        <v>69</v>
      </c>
      <c r="I45" s="2771" t="s">
        <v>69</v>
      </c>
      <c r="J45" s="2710">
        <v>8</v>
      </c>
      <c r="K45" s="2771">
        <v>8</v>
      </c>
      <c r="L45" s="2773">
        <v>8</v>
      </c>
      <c r="M45" s="2771">
        <v>8</v>
      </c>
      <c r="N45" s="2773">
        <v>8</v>
      </c>
      <c r="O45" s="2773"/>
      <c r="P45" s="2773"/>
      <c r="Q45" s="2771" t="s">
        <v>35</v>
      </c>
      <c r="R45" s="2771" t="s">
        <v>35</v>
      </c>
      <c r="S45" s="2771" t="s">
        <v>35</v>
      </c>
      <c r="T45" s="2771" t="s">
        <v>35</v>
      </c>
      <c r="U45" s="2771" t="s">
        <v>35</v>
      </c>
      <c r="V45" s="2771"/>
      <c r="W45" s="2771"/>
      <c r="X45" s="2771">
        <v>1</v>
      </c>
      <c r="Y45" s="2710">
        <v>1</v>
      </c>
      <c r="Z45" s="2771">
        <v>1</v>
      </c>
      <c r="AA45" s="2771">
        <v>1</v>
      </c>
      <c r="AB45" s="2771">
        <v>1</v>
      </c>
      <c r="AC45" s="2771"/>
      <c r="AD45" s="2771"/>
      <c r="AE45" s="2710">
        <v>9</v>
      </c>
      <c r="AF45" s="2771">
        <v>9</v>
      </c>
      <c r="AG45" s="2774">
        <v>9</v>
      </c>
      <c r="AH45" s="189"/>
      <c r="AI45" s="190"/>
    </row>
    <row r="46" spans="1:38" ht="22.15" customHeight="1" x14ac:dyDescent="0.2">
      <c r="A46" s="475">
        <v>4</v>
      </c>
      <c r="B46" s="476" t="s">
        <v>403</v>
      </c>
      <c r="C46" s="459">
        <v>6</v>
      </c>
      <c r="D46" s="459">
        <v>6</v>
      </c>
      <c r="E46" s="477">
        <v>6</v>
      </c>
      <c r="F46" s="458">
        <v>6</v>
      </c>
      <c r="G46" s="458">
        <v>6</v>
      </c>
      <c r="H46" s="458"/>
      <c r="I46" s="458"/>
      <c r="J46" s="458" t="s">
        <v>35</v>
      </c>
      <c r="K46" s="458" t="s">
        <v>35</v>
      </c>
      <c r="L46" s="458" t="s">
        <v>35</v>
      </c>
      <c r="M46" s="458" t="s">
        <v>35</v>
      </c>
      <c r="N46" s="458" t="s">
        <v>35</v>
      </c>
      <c r="O46" s="458"/>
      <c r="P46" s="458"/>
      <c r="Q46" s="458">
        <v>5</v>
      </c>
      <c r="R46" s="458">
        <v>5</v>
      </c>
      <c r="S46" s="458">
        <v>5</v>
      </c>
      <c r="T46" s="477">
        <v>5</v>
      </c>
      <c r="U46" s="477">
        <v>5</v>
      </c>
      <c r="V46" s="482"/>
      <c r="W46" s="477"/>
      <c r="X46" s="532">
        <v>10</v>
      </c>
      <c r="Y46" s="532">
        <v>10</v>
      </c>
      <c r="Z46" s="532">
        <v>10</v>
      </c>
      <c r="AA46" s="532">
        <v>10</v>
      </c>
      <c r="AB46" s="532">
        <v>10</v>
      </c>
      <c r="AC46" s="532" t="s">
        <v>67</v>
      </c>
      <c r="AD46" s="532" t="s">
        <v>67</v>
      </c>
      <c r="AE46" s="459" t="s">
        <v>35</v>
      </c>
      <c r="AF46" s="477" t="s">
        <v>35</v>
      </c>
      <c r="AG46" s="478" t="s">
        <v>35</v>
      </c>
      <c r="AH46" s="189"/>
      <c r="AI46" s="190"/>
    </row>
    <row r="47" spans="1:38" ht="22.15" customHeight="1" x14ac:dyDescent="0.2">
      <c r="A47" s="2765">
        <v>9</v>
      </c>
      <c r="B47" s="2725" t="s">
        <v>84</v>
      </c>
      <c r="C47" s="2721">
        <v>7</v>
      </c>
      <c r="D47" s="2775">
        <v>7</v>
      </c>
      <c r="E47" s="2775">
        <v>7</v>
      </c>
      <c r="F47" s="2775">
        <v>7</v>
      </c>
      <c r="G47" s="2775">
        <v>7</v>
      </c>
      <c r="H47" s="2775"/>
      <c r="I47" s="2775"/>
      <c r="J47" s="2775">
        <v>4</v>
      </c>
      <c r="K47" s="2775">
        <v>4</v>
      </c>
      <c r="L47" s="2775">
        <v>4</v>
      </c>
      <c r="M47" s="2775">
        <v>4</v>
      </c>
      <c r="N47" s="2775">
        <v>4</v>
      </c>
      <c r="O47" s="2775"/>
      <c r="P47" s="2775"/>
      <c r="Q47" s="2721">
        <v>3</v>
      </c>
      <c r="R47" s="2775">
        <v>3</v>
      </c>
      <c r="S47" s="2775">
        <v>3</v>
      </c>
      <c r="T47" s="2775">
        <v>3</v>
      </c>
      <c r="U47" s="2775">
        <v>3</v>
      </c>
      <c r="V47" s="2775"/>
      <c r="W47" s="2775"/>
      <c r="X47" s="2775">
        <v>11</v>
      </c>
      <c r="Y47" s="2775">
        <v>11</v>
      </c>
      <c r="Z47" s="2775">
        <v>11</v>
      </c>
      <c r="AA47" s="2775">
        <v>11</v>
      </c>
      <c r="AB47" s="2775">
        <v>11</v>
      </c>
      <c r="AC47" s="2775" t="s">
        <v>73</v>
      </c>
      <c r="AD47" s="2775" t="s">
        <v>73</v>
      </c>
      <c r="AE47" s="2775" t="s">
        <v>35</v>
      </c>
      <c r="AF47" s="2775" t="s">
        <v>35</v>
      </c>
      <c r="AG47" s="2777" t="s">
        <v>35</v>
      </c>
      <c r="AH47" s="189"/>
      <c r="AI47" s="190"/>
    </row>
    <row r="48" spans="1:38" ht="22.15" customHeight="1" thickBot="1" x14ac:dyDescent="0.25">
      <c r="A48" s="2769">
        <v>14</v>
      </c>
      <c r="B48" s="2770" t="s">
        <v>85</v>
      </c>
      <c r="C48" s="2710">
        <v>8</v>
      </c>
      <c r="D48" s="2771">
        <v>8</v>
      </c>
      <c r="E48" s="2771">
        <v>8</v>
      </c>
      <c r="F48" s="2771">
        <v>8</v>
      </c>
      <c r="G48" s="2773">
        <v>8</v>
      </c>
      <c r="H48" s="2773"/>
      <c r="I48" s="2773"/>
      <c r="J48" s="2771" t="s">
        <v>35</v>
      </c>
      <c r="K48" s="2771" t="s">
        <v>35</v>
      </c>
      <c r="L48" s="2771" t="s">
        <v>35</v>
      </c>
      <c r="M48" s="2771" t="s">
        <v>35</v>
      </c>
      <c r="N48" s="2771" t="s">
        <v>35</v>
      </c>
      <c r="O48" s="2710"/>
      <c r="P48" s="2771"/>
      <c r="Q48" s="2779">
        <v>1</v>
      </c>
      <c r="R48" s="2779">
        <v>1</v>
      </c>
      <c r="S48" s="2779">
        <v>1</v>
      </c>
      <c r="T48" s="2779">
        <v>1</v>
      </c>
      <c r="U48" s="2779">
        <v>1</v>
      </c>
      <c r="V48" s="2779"/>
      <c r="W48" s="2779"/>
      <c r="X48" s="2710">
        <v>9</v>
      </c>
      <c r="Y48" s="2771">
        <v>9</v>
      </c>
      <c r="Z48" s="2771">
        <v>9</v>
      </c>
      <c r="AA48" s="2771">
        <v>9</v>
      </c>
      <c r="AB48" s="2771">
        <v>9</v>
      </c>
      <c r="AC48" s="2710" t="s">
        <v>66</v>
      </c>
      <c r="AD48" s="2771" t="s">
        <v>67</v>
      </c>
      <c r="AE48" s="2771" t="s">
        <v>35</v>
      </c>
      <c r="AF48" s="2710" t="s">
        <v>35</v>
      </c>
      <c r="AG48" s="2712" t="s">
        <v>35</v>
      </c>
      <c r="AH48" s="189"/>
      <c r="AI48" s="190"/>
    </row>
    <row r="49" spans="1:35" ht="22.15" customHeight="1" x14ac:dyDescent="0.2">
      <c r="A49" s="475">
        <v>5</v>
      </c>
      <c r="B49" s="2725" t="s">
        <v>86</v>
      </c>
      <c r="C49" s="459" t="s">
        <v>35</v>
      </c>
      <c r="D49" s="477" t="s">
        <v>35</v>
      </c>
      <c r="E49" s="477" t="s">
        <v>35</v>
      </c>
      <c r="F49" s="459" t="s">
        <v>35</v>
      </c>
      <c r="G49" s="459" t="s">
        <v>35</v>
      </c>
      <c r="H49" s="459"/>
      <c r="I49" s="459"/>
      <c r="J49" s="532">
        <v>5</v>
      </c>
      <c r="K49" s="532">
        <v>5</v>
      </c>
      <c r="L49" s="532">
        <v>5</v>
      </c>
      <c r="M49" s="532">
        <v>5</v>
      </c>
      <c r="N49" s="532">
        <v>5</v>
      </c>
      <c r="O49" s="532"/>
      <c r="P49" s="532"/>
      <c r="Q49" s="477">
        <v>10</v>
      </c>
      <c r="R49" s="458">
        <v>10</v>
      </c>
      <c r="S49" s="477">
        <v>10</v>
      </c>
      <c r="T49" s="477">
        <v>10</v>
      </c>
      <c r="U49" s="459">
        <v>10</v>
      </c>
      <c r="V49" s="459" t="s">
        <v>67</v>
      </c>
      <c r="W49" s="459" t="s">
        <v>67</v>
      </c>
      <c r="X49" s="459" t="s">
        <v>35</v>
      </c>
      <c r="Y49" s="460" t="s">
        <v>35</v>
      </c>
      <c r="Z49" s="459" t="s">
        <v>35</v>
      </c>
      <c r="AA49" s="459" t="s">
        <v>35</v>
      </c>
      <c r="AB49" s="459" t="s">
        <v>35</v>
      </c>
      <c r="AC49" s="667" t="s">
        <v>71</v>
      </c>
      <c r="AD49" s="477" t="s">
        <v>71</v>
      </c>
      <c r="AE49" s="477">
        <v>7</v>
      </c>
      <c r="AF49" s="480">
        <v>7</v>
      </c>
      <c r="AG49" s="486">
        <v>7</v>
      </c>
      <c r="AH49" s="189"/>
      <c r="AI49" s="190"/>
    </row>
    <row r="50" spans="1:35" ht="22.15" customHeight="1" x14ac:dyDescent="0.2">
      <c r="A50" s="2765">
        <v>10</v>
      </c>
      <c r="B50" s="2725" t="s">
        <v>87</v>
      </c>
      <c r="C50" s="2775">
        <v>4</v>
      </c>
      <c r="D50" s="2775">
        <v>4</v>
      </c>
      <c r="E50" s="2775">
        <v>4</v>
      </c>
      <c r="F50" s="2722">
        <v>4</v>
      </c>
      <c r="G50" s="2718">
        <v>4</v>
      </c>
      <c r="H50" s="2718"/>
      <c r="I50" s="2718"/>
      <c r="J50" s="2718">
        <v>3</v>
      </c>
      <c r="K50" s="2718">
        <v>3</v>
      </c>
      <c r="L50" s="2718">
        <v>3</v>
      </c>
      <c r="M50" s="2718">
        <v>3</v>
      </c>
      <c r="N50" s="2718">
        <v>3</v>
      </c>
      <c r="O50" s="2718"/>
      <c r="P50" s="2718"/>
      <c r="Q50" s="2718">
        <v>11</v>
      </c>
      <c r="R50" s="2718">
        <v>11</v>
      </c>
      <c r="S50" s="2718">
        <v>11</v>
      </c>
      <c r="T50" s="2718">
        <v>11</v>
      </c>
      <c r="U50" s="2718">
        <v>11</v>
      </c>
      <c r="V50" s="2718" t="s">
        <v>73</v>
      </c>
      <c r="W50" s="2722" t="s">
        <v>73</v>
      </c>
      <c r="X50" s="2775" t="s">
        <v>35</v>
      </c>
      <c r="Y50" s="2721" t="s">
        <v>35</v>
      </c>
      <c r="Z50" s="2775" t="s">
        <v>35</v>
      </c>
      <c r="AA50" s="2775" t="s">
        <v>35</v>
      </c>
      <c r="AB50" s="2775" t="s">
        <v>35</v>
      </c>
      <c r="AC50" s="2775" t="s">
        <v>69</v>
      </c>
      <c r="AD50" s="2775" t="s">
        <v>69</v>
      </c>
      <c r="AE50" s="2775">
        <v>8</v>
      </c>
      <c r="AF50" s="2775">
        <v>8</v>
      </c>
      <c r="AG50" s="2777">
        <v>8</v>
      </c>
      <c r="AH50" s="189"/>
      <c r="AI50" s="190"/>
    </row>
    <row r="51" spans="1:35" ht="22.15" customHeight="1" thickBot="1" x14ac:dyDescent="0.25">
      <c r="A51" s="2769">
        <v>15</v>
      </c>
      <c r="B51" s="2770" t="s">
        <v>88</v>
      </c>
      <c r="C51" s="2771" t="s">
        <v>35</v>
      </c>
      <c r="D51" s="2771" t="s">
        <v>35</v>
      </c>
      <c r="E51" s="2771" t="s">
        <v>35</v>
      </c>
      <c r="F51" s="2773" t="s">
        <v>35</v>
      </c>
      <c r="G51" s="2773" t="s">
        <v>35</v>
      </c>
      <c r="H51" s="2773"/>
      <c r="I51" s="2773"/>
      <c r="J51" s="2773">
        <v>1</v>
      </c>
      <c r="K51" s="2710">
        <v>1</v>
      </c>
      <c r="L51" s="2771">
        <v>1</v>
      </c>
      <c r="M51" s="2771">
        <v>1</v>
      </c>
      <c r="N51" s="2771">
        <v>1</v>
      </c>
      <c r="O51" s="2771"/>
      <c r="P51" s="2771"/>
      <c r="Q51" s="2710">
        <v>9</v>
      </c>
      <c r="R51" s="2771">
        <v>9</v>
      </c>
      <c r="S51" s="2771">
        <v>9</v>
      </c>
      <c r="T51" s="2771">
        <v>9</v>
      </c>
      <c r="U51" s="2771">
        <v>9</v>
      </c>
      <c r="V51" s="2771" t="s">
        <v>66</v>
      </c>
      <c r="W51" s="2771" t="s">
        <v>67</v>
      </c>
      <c r="X51" s="2771" t="s">
        <v>35</v>
      </c>
      <c r="Y51" s="2710" t="s">
        <v>35</v>
      </c>
      <c r="Z51" s="2771" t="s">
        <v>35</v>
      </c>
      <c r="AA51" s="2771" t="s">
        <v>35</v>
      </c>
      <c r="AB51" s="2771" t="s">
        <v>35</v>
      </c>
      <c r="AC51" s="2771" t="s">
        <v>68</v>
      </c>
      <c r="AD51" s="2771" t="s">
        <v>69</v>
      </c>
      <c r="AE51" s="2710">
        <v>6</v>
      </c>
      <c r="AF51" s="2773">
        <v>6</v>
      </c>
      <c r="AG51" s="2780">
        <v>6</v>
      </c>
      <c r="AH51" s="189"/>
      <c r="AI51" s="190"/>
    </row>
    <row r="52" spans="1:35" ht="22.1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35" ht="22.15" customHeight="1" x14ac:dyDescent="0.2">
      <c r="A53" s="109"/>
      <c r="B53" s="64" t="s">
        <v>89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35" ht="22.15" customHeight="1" x14ac:dyDescent="0.2">
      <c r="A54" s="2781" t="s">
        <v>28</v>
      </c>
      <c r="B54" s="2781"/>
      <c r="C54" s="2782"/>
      <c r="D54" s="2781" t="s">
        <v>90</v>
      </c>
      <c r="E54" s="2783"/>
      <c r="F54" s="2782"/>
      <c r="G54" s="2781" t="s">
        <v>91</v>
      </c>
      <c r="H54" s="2783"/>
      <c r="I54" s="2782"/>
      <c r="J54" s="2781" t="s">
        <v>92</v>
      </c>
      <c r="K54" s="2783"/>
      <c r="L54" s="2782"/>
      <c r="M54" s="2781" t="s">
        <v>93</v>
      </c>
      <c r="N54" s="2783"/>
      <c r="O54" s="2782"/>
      <c r="P54" s="2781" t="s">
        <v>94</v>
      </c>
      <c r="Q54" s="2783"/>
      <c r="R54" s="2784"/>
      <c r="S54" s="2785" t="s">
        <v>95</v>
      </c>
      <c r="T54" s="2783"/>
      <c r="U54" s="2782"/>
      <c r="V54" s="2781" t="s">
        <v>96</v>
      </c>
      <c r="W54" s="2783"/>
      <c r="X54" s="2786" t="s">
        <v>97</v>
      </c>
      <c r="Y54" s="2783"/>
      <c r="Z54" s="2783"/>
      <c r="AA54" s="2787"/>
      <c r="AB54" s="2694"/>
      <c r="AC54" s="2694"/>
      <c r="AD54" s="2694"/>
      <c r="AE54" s="2694"/>
      <c r="AF54" s="2694"/>
      <c r="AG54" s="2695"/>
      <c r="AH54" s="1"/>
    </row>
    <row r="55" spans="1:35" ht="22.15" customHeight="1" x14ac:dyDescent="0.2">
      <c r="A55" s="2788">
        <v>8517</v>
      </c>
      <c r="B55" s="2789" t="s">
        <v>98</v>
      </c>
      <c r="C55" s="2790" t="s">
        <v>99</v>
      </c>
      <c r="D55" s="2791"/>
      <c r="E55" s="2693"/>
      <c r="F55" s="2790" t="s">
        <v>99</v>
      </c>
      <c r="G55" s="2791"/>
      <c r="H55" s="2693"/>
      <c r="I55" s="2790" t="s">
        <v>99</v>
      </c>
      <c r="J55" s="2791"/>
      <c r="K55" s="2693"/>
      <c r="L55" s="2790" t="s">
        <v>99</v>
      </c>
      <c r="M55" s="2791"/>
      <c r="N55" s="2693"/>
      <c r="O55" s="2790" t="s">
        <v>100</v>
      </c>
      <c r="P55" s="2791"/>
      <c r="Q55" s="2693"/>
      <c r="R55" s="2790" t="s">
        <v>99</v>
      </c>
      <c r="S55" s="2791"/>
      <c r="T55" s="2693"/>
      <c r="U55" s="2790" t="s">
        <v>99</v>
      </c>
      <c r="V55" s="2791"/>
      <c r="W55" s="2693"/>
      <c r="X55" s="2691"/>
      <c r="Y55" s="2694"/>
      <c r="Z55" s="2694"/>
      <c r="AA55" s="2694"/>
      <c r="AB55" s="2694"/>
      <c r="AC55" s="2694"/>
      <c r="AD55" s="2694"/>
      <c r="AE55" s="2694"/>
      <c r="AF55" s="2694"/>
      <c r="AG55" s="2695"/>
      <c r="AH55" s="1"/>
    </row>
    <row r="56" spans="1:35" ht="22.15" customHeight="1" x14ac:dyDescent="0.2">
      <c r="B56" s="2716" t="s">
        <v>101</v>
      </c>
      <c r="C56" s="2792" t="s">
        <v>102</v>
      </c>
      <c r="D56" s="2793"/>
      <c r="E56" s="2794"/>
      <c r="F56" s="2792" t="s">
        <v>102</v>
      </c>
      <c r="G56" s="2795"/>
      <c r="H56" s="2794"/>
      <c r="I56" s="2790" t="s">
        <v>102</v>
      </c>
      <c r="J56" s="2791"/>
      <c r="K56" s="2796"/>
      <c r="L56" s="2790" t="s">
        <v>102</v>
      </c>
      <c r="M56" s="2791"/>
      <c r="N56" s="2796"/>
      <c r="O56" s="2790" t="s">
        <v>103</v>
      </c>
      <c r="P56" s="2791"/>
      <c r="Q56" s="2693"/>
      <c r="R56" s="2797" t="s">
        <v>0</v>
      </c>
      <c r="S56" s="2791"/>
      <c r="T56" s="2796"/>
      <c r="U56" s="2791" t="s">
        <v>0</v>
      </c>
      <c r="V56" s="2791"/>
      <c r="W56" s="2693"/>
      <c r="X56" s="2798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35" ht="22.15" customHeight="1" x14ac:dyDescent="0.2">
      <c r="A57" s="2799"/>
      <c r="B57" s="2789" t="s">
        <v>104</v>
      </c>
      <c r="C57" s="2790" t="s">
        <v>105</v>
      </c>
      <c r="D57" s="2791"/>
      <c r="E57" s="2693"/>
      <c r="F57" s="2790" t="s">
        <v>105</v>
      </c>
      <c r="G57" s="2791"/>
      <c r="H57" s="2796"/>
      <c r="I57" s="2790" t="s">
        <v>105</v>
      </c>
      <c r="J57" s="2791"/>
      <c r="K57" s="2796"/>
      <c r="L57" s="2790" t="s">
        <v>105</v>
      </c>
      <c r="M57" s="2791"/>
      <c r="N57" s="2796"/>
      <c r="O57" s="2790" t="s">
        <v>106</v>
      </c>
      <c r="P57" s="2791"/>
      <c r="Q57" s="2693"/>
      <c r="R57" s="112"/>
      <c r="S57" s="113"/>
      <c r="T57" s="2796"/>
      <c r="U57" s="2791"/>
      <c r="V57" s="2791"/>
      <c r="W57" s="2693"/>
      <c r="X57" s="2691"/>
      <c r="Y57" s="2694"/>
      <c r="Z57" s="2694"/>
      <c r="AA57" s="2694"/>
      <c r="AB57" s="2694"/>
      <c r="AC57" s="2694"/>
      <c r="AD57" s="2694"/>
      <c r="AE57" s="2694"/>
      <c r="AF57" s="2694"/>
      <c r="AG57" s="2695"/>
      <c r="AH57" s="1"/>
    </row>
    <row r="58" spans="1:35" ht="22.15" customHeight="1" x14ac:dyDescent="0.2">
      <c r="A58" s="2781"/>
      <c r="B58" s="2716" t="s">
        <v>107</v>
      </c>
      <c r="C58" s="2800" t="s">
        <v>108</v>
      </c>
      <c r="D58" s="2800"/>
      <c r="E58" s="2801"/>
      <c r="F58" s="2800" t="s">
        <v>108</v>
      </c>
      <c r="G58" s="2800"/>
      <c r="H58" s="2801"/>
      <c r="I58" s="2800" t="s">
        <v>108</v>
      </c>
      <c r="J58" s="2800"/>
      <c r="K58" s="2801"/>
      <c r="L58" s="2800" t="s">
        <v>108</v>
      </c>
      <c r="M58" s="2800"/>
      <c r="N58" s="2801"/>
      <c r="O58" s="2800" t="s">
        <v>108</v>
      </c>
      <c r="P58" s="2800"/>
      <c r="Q58" s="2801"/>
      <c r="R58" s="2800" t="s">
        <v>108</v>
      </c>
      <c r="S58" s="2800"/>
      <c r="T58" s="2801"/>
      <c r="U58" s="2800" t="s">
        <v>108</v>
      </c>
      <c r="V58" s="2800"/>
      <c r="W58" s="2801"/>
      <c r="X58" s="2691"/>
      <c r="Y58" s="2694"/>
      <c r="Z58" s="2694"/>
      <c r="AA58" s="2694"/>
      <c r="AB58" s="2694"/>
      <c r="AC58" s="2694"/>
      <c r="AD58" s="2694"/>
      <c r="AE58" s="2694"/>
      <c r="AF58" s="2694"/>
      <c r="AG58" s="2695"/>
      <c r="AH58" s="1"/>
    </row>
    <row r="59" spans="1:35" ht="22.1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35" ht="22.15" customHeight="1" thickBot="1" x14ac:dyDescent="0.25">
      <c r="A60" s="2802"/>
      <c r="B60" s="2709" t="s">
        <v>29</v>
      </c>
      <c r="C60" s="2710">
        <v>1</v>
      </c>
      <c r="D60" s="2710">
        <v>2</v>
      </c>
      <c r="E60" s="2710">
        <v>3</v>
      </c>
      <c r="F60" s="2710">
        <v>4</v>
      </c>
      <c r="G60" s="2710">
        <v>5</v>
      </c>
      <c r="H60" s="2711">
        <v>6</v>
      </c>
      <c r="I60" s="2711">
        <v>7</v>
      </c>
      <c r="J60" s="2710">
        <v>8</v>
      </c>
      <c r="K60" s="2710">
        <v>9</v>
      </c>
      <c r="L60" s="2710">
        <v>10</v>
      </c>
      <c r="M60" s="2710">
        <v>11</v>
      </c>
      <c r="N60" s="2710">
        <v>12</v>
      </c>
      <c r="O60" s="2711">
        <v>13</v>
      </c>
      <c r="P60" s="2711">
        <v>14</v>
      </c>
      <c r="Q60" s="2710">
        <v>15</v>
      </c>
      <c r="R60" s="2710">
        <v>16</v>
      </c>
      <c r="S60" s="2710">
        <v>17</v>
      </c>
      <c r="T60" s="2710">
        <v>18</v>
      </c>
      <c r="U60" s="2710">
        <v>19</v>
      </c>
      <c r="V60" s="2711">
        <v>20</v>
      </c>
      <c r="W60" s="2711">
        <v>21</v>
      </c>
      <c r="X60" s="2710">
        <v>22</v>
      </c>
      <c r="Y60" s="2710">
        <v>23</v>
      </c>
      <c r="Z60" s="2710">
        <v>24</v>
      </c>
      <c r="AA60" s="2710">
        <v>25</v>
      </c>
      <c r="AB60" s="2710">
        <v>26</v>
      </c>
      <c r="AC60" s="2711">
        <v>27</v>
      </c>
      <c r="AD60" s="2711">
        <v>28</v>
      </c>
      <c r="AE60" s="2710">
        <v>29</v>
      </c>
      <c r="AF60" s="2710">
        <v>30</v>
      </c>
      <c r="AG60" s="2712">
        <v>31</v>
      </c>
      <c r="AH60" s="1"/>
    </row>
    <row r="61" spans="1:35" ht="22.15" customHeight="1" thickBot="1" x14ac:dyDescent="0.25">
      <c r="A61" s="252"/>
      <c r="B61" s="265" t="s">
        <v>109</v>
      </c>
      <c r="C61" s="271" t="s">
        <v>31</v>
      </c>
      <c r="D61" s="271" t="s">
        <v>31</v>
      </c>
      <c r="E61" s="271" t="s">
        <v>31</v>
      </c>
      <c r="F61" s="266" t="s">
        <v>31</v>
      </c>
      <c r="G61" s="271" t="s">
        <v>31</v>
      </c>
      <c r="H61" s="271"/>
      <c r="I61" s="271"/>
      <c r="J61" s="271" t="s">
        <v>31</v>
      </c>
      <c r="K61" s="271" t="s">
        <v>31</v>
      </c>
      <c r="L61" s="271" t="s">
        <v>31</v>
      </c>
      <c r="M61" s="271" t="s">
        <v>31</v>
      </c>
      <c r="N61" s="272" t="s">
        <v>31</v>
      </c>
      <c r="O61" s="272"/>
      <c r="P61" s="272"/>
      <c r="Q61" s="267" t="s">
        <v>31</v>
      </c>
      <c r="R61" s="272" t="s">
        <v>31</v>
      </c>
      <c r="S61" s="271" t="s">
        <v>31</v>
      </c>
      <c r="T61" s="271" t="s">
        <v>31</v>
      </c>
      <c r="U61" s="272" t="s">
        <v>31</v>
      </c>
      <c r="V61" s="272"/>
      <c r="W61" s="272"/>
      <c r="X61" s="271" t="s">
        <v>31</v>
      </c>
      <c r="Y61" s="272" t="s">
        <v>31</v>
      </c>
      <c r="Z61" s="271" t="s">
        <v>31</v>
      </c>
      <c r="AA61" s="271" t="s">
        <v>31</v>
      </c>
      <c r="AB61" s="271" t="s">
        <v>31</v>
      </c>
      <c r="AC61" s="271"/>
      <c r="AD61" s="266"/>
      <c r="AE61" s="271" t="s">
        <v>31</v>
      </c>
      <c r="AF61" s="266" t="s">
        <v>31</v>
      </c>
      <c r="AG61" s="270" t="s">
        <v>31</v>
      </c>
      <c r="AH61" s="1"/>
    </row>
    <row r="62" spans="1:35" ht="22.15" customHeight="1" x14ac:dyDescent="0.2">
      <c r="A62" s="2803"/>
      <c r="B62" s="2766" t="s">
        <v>113</v>
      </c>
      <c r="C62" s="459">
        <v>6</v>
      </c>
      <c r="D62" s="459">
        <v>6</v>
      </c>
      <c r="E62" s="477">
        <v>6</v>
      </c>
      <c r="F62" s="458">
        <v>6</v>
      </c>
      <c r="G62" s="458">
        <v>6</v>
      </c>
      <c r="H62" s="458"/>
      <c r="I62" s="458"/>
      <c r="J62" s="458" t="s">
        <v>35</v>
      </c>
      <c r="K62" s="458" t="s">
        <v>35</v>
      </c>
      <c r="L62" s="458" t="s">
        <v>35</v>
      </c>
      <c r="M62" s="458" t="s">
        <v>35</v>
      </c>
      <c r="N62" s="458" t="s">
        <v>35</v>
      </c>
      <c r="O62" s="2740"/>
      <c r="P62" s="2740"/>
      <c r="Q62" s="2804" t="s">
        <v>205</v>
      </c>
      <c r="R62" s="2804" t="s">
        <v>205</v>
      </c>
      <c r="S62" s="2804" t="s">
        <v>205</v>
      </c>
      <c r="T62" s="2804" t="s">
        <v>205</v>
      </c>
      <c r="U62" s="2721" t="s">
        <v>35</v>
      </c>
      <c r="V62" s="2721"/>
      <c r="W62" s="2721"/>
      <c r="X62" s="2721" t="s">
        <v>207</v>
      </c>
      <c r="Y62" s="2721" t="s">
        <v>207</v>
      </c>
      <c r="Z62" s="2721" t="s">
        <v>207</v>
      </c>
      <c r="AA62" s="2805" t="s">
        <v>207</v>
      </c>
      <c r="AB62" s="2805" t="s">
        <v>207</v>
      </c>
      <c r="AC62" s="2805"/>
      <c r="AD62" s="2805"/>
      <c r="AE62" s="2805" t="s">
        <v>204</v>
      </c>
      <c r="AF62" s="2805" t="s">
        <v>204</v>
      </c>
      <c r="AG62" s="2806" t="s">
        <v>204</v>
      </c>
      <c r="AH62" s="1"/>
    </row>
    <row r="63" spans="1:35" ht="22.15" customHeight="1" x14ac:dyDescent="0.2">
      <c r="A63" s="2739"/>
      <c r="B63" s="2807" t="s">
        <v>114</v>
      </c>
      <c r="C63" s="2808" t="s">
        <v>31</v>
      </c>
      <c r="D63" s="2808" t="s">
        <v>31</v>
      </c>
      <c r="E63" s="2808" t="s">
        <v>31</v>
      </c>
      <c r="F63" s="2809" t="s">
        <v>31</v>
      </c>
      <c r="G63" s="2808" t="s">
        <v>31</v>
      </c>
      <c r="H63" s="2808"/>
      <c r="I63" s="2808"/>
      <c r="J63" s="2734" t="s">
        <v>31</v>
      </c>
      <c r="K63" s="2734" t="s">
        <v>31</v>
      </c>
      <c r="L63" s="2734" t="s">
        <v>31</v>
      </c>
      <c r="M63" s="2734" t="s">
        <v>31</v>
      </c>
      <c r="N63" s="2740" t="s">
        <v>31</v>
      </c>
      <c r="O63" s="2740"/>
      <c r="P63" s="2740"/>
      <c r="Q63" s="2736" t="s">
        <v>31</v>
      </c>
      <c r="R63" s="2740" t="s">
        <v>31</v>
      </c>
      <c r="S63" s="2734" t="s">
        <v>31</v>
      </c>
      <c r="T63" s="2734" t="s">
        <v>31</v>
      </c>
      <c r="U63" s="2740" t="s">
        <v>31</v>
      </c>
      <c r="V63" s="2740"/>
      <c r="W63" s="2740"/>
      <c r="X63" s="2734" t="s">
        <v>31</v>
      </c>
      <c r="Y63" s="2740" t="s">
        <v>31</v>
      </c>
      <c r="Z63" s="2734" t="s">
        <v>31</v>
      </c>
      <c r="AA63" s="2734" t="s">
        <v>31</v>
      </c>
      <c r="AB63" s="2734" t="s">
        <v>31</v>
      </c>
      <c r="AC63" s="2734"/>
      <c r="AD63" s="2735"/>
      <c r="AE63" s="2734" t="s">
        <v>31</v>
      </c>
      <c r="AF63" s="2735" t="s">
        <v>31</v>
      </c>
      <c r="AG63" s="2138" t="s">
        <v>31</v>
      </c>
      <c r="AH63" s="1"/>
    </row>
    <row r="64" spans="1:35" ht="22.15" customHeight="1" x14ac:dyDescent="0.2">
      <c r="A64" s="2766"/>
      <c r="B64" s="2766" t="s">
        <v>117</v>
      </c>
      <c r="C64" s="2734" t="s">
        <v>31</v>
      </c>
      <c r="D64" s="2734" t="s">
        <v>31</v>
      </c>
      <c r="E64" s="2734" t="s">
        <v>31</v>
      </c>
      <c r="F64" s="2735" t="s">
        <v>31</v>
      </c>
      <c r="G64" s="2734" t="s">
        <v>31</v>
      </c>
      <c r="H64" s="2734"/>
      <c r="I64" s="2734"/>
      <c r="J64" s="2734" t="s">
        <v>31</v>
      </c>
      <c r="K64" s="2734" t="s">
        <v>31</v>
      </c>
      <c r="L64" s="2734" t="s">
        <v>31</v>
      </c>
      <c r="M64" s="2734" t="s">
        <v>31</v>
      </c>
      <c r="N64" s="2740" t="s">
        <v>31</v>
      </c>
      <c r="O64" s="2740"/>
      <c r="P64" s="2740"/>
      <c r="Q64" s="2736" t="s">
        <v>31</v>
      </c>
      <c r="R64" s="2740" t="s">
        <v>31</v>
      </c>
      <c r="S64" s="2734" t="s">
        <v>31</v>
      </c>
      <c r="T64" s="2734" t="s">
        <v>31</v>
      </c>
      <c r="U64" s="2740" t="s">
        <v>31</v>
      </c>
      <c r="V64" s="2740"/>
      <c r="W64" s="2740"/>
      <c r="X64" s="2734" t="s">
        <v>31</v>
      </c>
      <c r="Y64" s="2740" t="s">
        <v>31</v>
      </c>
      <c r="Z64" s="2734" t="s">
        <v>31</v>
      </c>
      <c r="AA64" s="2734" t="s">
        <v>31</v>
      </c>
      <c r="AB64" s="2734" t="s">
        <v>31</v>
      </c>
      <c r="AC64" s="2734"/>
      <c r="AD64" s="2735"/>
      <c r="AE64" s="2734" t="s">
        <v>31</v>
      </c>
      <c r="AF64" s="2735" t="s">
        <v>31</v>
      </c>
      <c r="AG64" s="2138" t="s">
        <v>31</v>
      </c>
      <c r="AH64" s="1"/>
    </row>
    <row r="65" spans="1:34" ht="22.15" customHeight="1" x14ac:dyDescent="0.2">
      <c r="A65" s="2766"/>
      <c r="B65" s="2810" t="s">
        <v>404</v>
      </c>
      <c r="C65" s="2734" t="s">
        <v>31</v>
      </c>
      <c r="D65" s="2734" t="s">
        <v>31</v>
      </c>
      <c r="E65" s="2734" t="s">
        <v>31</v>
      </c>
      <c r="F65" s="2735" t="s">
        <v>31</v>
      </c>
      <c r="G65" s="2734" t="s">
        <v>31</v>
      </c>
      <c r="H65" s="2734"/>
      <c r="I65" s="2734"/>
      <c r="J65" s="2734" t="s">
        <v>31</v>
      </c>
      <c r="K65" s="2734" t="s">
        <v>31</v>
      </c>
      <c r="L65" s="2734" t="s">
        <v>31</v>
      </c>
      <c r="M65" s="2734" t="s">
        <v>31</v>
      </c>
      <c r="N65" s="2740" t="s">
        <v>31</v>
      </c>
      <c r="O65" s="2740"/>
      <c r="P65" s="2740"/>
      <c r="Q65" s="2736" t="s">
        <v>31</v>
      </c>
      <c r="R65" s="2740" t="s">
        <v>31</v>
      </c>
      <c r="S65" s="2734" t="s">
        <v>31</v>
      </c>
      <c r="T65" s="2734" t="s">
        <v>31</v>
      </c>
      <c r="U65" s="2740" t="s">
        <v>31</v>
      </c>
      <c r="V65" s="2740"/>
      <c r="W65" s="2740"/>
      <c r="X65" s="2734" t="s">
        <v>31</v>
      </c>
      <c r="Y65" s="2740" t="s">
        <v>31</v>
      </c>
      <c r="Z65" s="2734" t="s">
        <v>31</v>
      </c>
      <c r="AA65" s="2734" t="s">
        <v>31</v>
      </c>
      <c r="AB65" s="2734" t="s">
        <v>31</v>
      </c>
      <c r="AC65" s="2734"/>
      <c r="AD65" s="2735"/>
      <c r="AE65" s="2734" t="s">
        <v>31</v>
      </c>
      <c r="AF65" s="2735" t="s">
        <v>31</v>
      </c>
      <c r="AG65" s="2138" t="s">
        <v>31</v>
      </c>
      <c r="AH65" s="1"/>
    </row>
    <row r="66" spans="1:34" ht="22.15" customHeight="1" x14ac:dyDescent="0.2">
      <c r="A66" s="2766"/>
      <c r="B66" s="2807" t="s">
        <v>119</v>
      </c>
      <c r="C66" s="2734" t="s">
        <v>31</v>
      </c>
      <c r="D66" s="2734" t="s">
        <v>31</v>
      </c>
      <c r="E66" s="2734" t="s">
        <v>31</v>
      </c>
      <c r="F66" s="2735" t="s">
        <v>31</v>
      </c>
      <c r="G66" s="2734" t="s">
        <v>31</v>
      </c>
      <c r="H66" s="2734"/>
      <c r="I66" s="2734"/>
      <c r="J66" s="2734" t="s">
        <v>31</v>
      </c>
      <c r="K66" s="2734" t="s">
        <v>31</v>
      </c>
      <c r="L66" s="2734" t="s">
        <v>31</v>
      </c>
      <c r="M66" s="2734" t="s">
        <v>31</v>
      </c>
      <c r="N66" s="2740" t="s">
        <v>31</v>
      </c>
      <c r="O66" s="2740"/>
      <c r="P66" s="2740"/>
      <c r="Q66" s="2736" t="s">
        <v>31</v>
      </c>
      <c r="R66" s="2740" t="s">
        <v>31</v>
      </c>
      <c r="S66" s="2734" t="s">
        <v>31</v>
      </c>
      <c r="T66" s="2734" t="s">
        <v>31</v>
      </c>
      <c r="U66" s="2740" t="s">
        <v>31</v>
      </c>
      <c r="V66" s="2740"/>
      <c r="W66" s="2740"/>
      <c r="X66" s="2734" t="s">
        <v>31</v>
      </c>
      <c r="Y66" s="2740" t="s">
        <v>31</v>
      </c>
      <c r="Z66" s="2734" t="s">
        <v>31</v>
      </c>
      <c r="AA66" s="2734" t="s">
        <v>31</v>
      </c>
      <c r="AB66" s="2734" t="s">
        <v>31</v>
      </c>
      <c r="AC66" s="2734"/>
      <c r="AD66" s="2735"/>
      <c r="AE66" s="2734" t="s">
        <v>31</v>
      </c>
      <c r="AF66" s="2735" t="s">
        <v>31</v>
      </c>
      <c r="AG66" s="2138" t="s">
        <v>31</v>
      </c>
      <c r="AH66" s="1"/>
    </row>
    <row r="67" spans="1:34" ht="22.15" customHeight="1" x14ac:dyDescent="0.2">
      <c r="A67" s="2766"/>
      <c r="B67" s="2807" t="s">
        <v>120</v>
      </c>
      <c r="C67" s="2734" t="s">
        <v>31</v>
      </c>
      <c r="D67" s="2734" t="s">
        <v>31</v>
      </c>
      <c r="E67" s="2734" t="s">
        <v>31</v>
      </c>
      <c r="F67" s="2735" t="s">
        <v>31</v>
      </c>
      <c r="G67" s="2734" t="s">
        <v>31</v>
      </c>
      <c r="H67" s="2734"/>
      <c r="I67" s="2734"/>
      <c r="J67" s="2734" t="s">
        <v>31</v>
      </c>
      <c r="K67" s="2734" t="s">
        <v>31</v>
      </c>
      <c r="L67" s="2734" t="s">
        <v>31</v>
      </c>
      <c r="M67" s="2734" t="s">
        <v>31</v>
      </c>
      <c r="N67" s="2740" t="s">
        <v>31</v>
      </c>
      <c r="O67" s="2740"/>
      <c r="P67" s="2740"/>
      <c r="Q67" s="2736" t="s">
        <v>31</v>
      </c>
      <c r="R67" s="2740" t="s">
        <v>31</v>
      </c>
      <c r="S67" s="2734" t="s">
        <v>31</v>
      </c>
      <c r="T67" s="2734" t="s">
        <v>31</v>
      </c>
      <c r="U67" s="2740" t="s">
        <v>31</v>
      </c>
      <c r="V67" s="2740"/>
      <c r="W67" s="2740"/>
      <c r="X67" s="2734" t="s">
        <v>31</v>
      </c>
      <c r="Y67" s="2740" t="s">
        <v>31</v>
      </c>
      <c r="Z67" s="2734" t="s">
        <v>31</v>
      </c>
      <c r="AA67" s="2734" t="s">
        <v>31</v>
      </c>
      <c r="AB67" s="2734" t="s">
        <v>31</v>
      </c>
      <c r="AC67" s="2734"/>
      <c r="AD67" s="2735"/>
      <c r="AE67" s="2734" t="s">
        <v>31</v>
      </c>
      <c r="AF67" s="2735" t="s">
        <v>31</v>
      </c>
      <c r="AG67" s="2138" t="s">
        <v>31</v>
      </c>
      <c r="AH67" s="1"/>
    </row>
    <row r="68" spans="1:34" ht="22.15" customHeight="1" x14ac:dyDescent="0.2">
      <c r="A68" s="2766"/>
      <c r="B68" s="2811" t="s">
        <v>372</v>
      </c>
      <c r="C68" s="2734" t="s">
        <v>31</v>
      </c>
      <c r="D68" s="2734" t="s">
        <v>31</v>
      </c>
      <c r="E68" s="2734" t="s">
        <v>31</v>
      </c>
      <c r="F68" s="2735" t="s">
        <v>31</v>
      </c>
      <c r="G68" s="2734" t="s">
        <v>31</v>
      </c>
      <c r="H68" s="2734"/>
      <c r="I68" s="2734"/>
      <c r="J68" s="2734" t="s">
        <v>31</v>
      </c>
      <c r="K68" s="2734" t="s">
        <v>31</v>
      </c>
      <c r="L68" s="2734" t="s">
        <v>31</v>
      </c>
      <c r="M68" s="2734" t="s">
        <v>31</v>
      </c>
      <c r="N68" s="2740" t="s">
        <v>31</v>
      </c>
      <c r="O68" s="2740"/>
      <c r="P68" s="2740"/>
      <c r="Q68" s="2736" t="s">
        <v>31</v>
      </c>
      <c r="R68" s="2740" t="s">
        <v>31</v>
      </c>
      <c r="S68" s="2734" t="s">
        <v>31</v>
      </c>
      <c r="T68" s="2734" t="s">
        <v>31</v>
      </c>
      <c r="U68" s="2740" t="s">
        <v>31</v>
      </c>
      <c r="V68" s="2740"/>
      <c r="W68" s="2740"/>
      <c r="X68" s="2734" t="s">
        <v>31</v>
      </c>
      <c r="Y68" s="2740" t="s">
        <v>31</v>
      </c>
      <c r="Z68" s="2734" t="s">
        <v>31</v>
      </c>
      <c r="AA68" s="2734" t="s">
        <v>31</v>
      </c>
      <c r="AB68" s="2734" t="s">
        <v>31</v>
      </c>
      <c r="AC68" s="2734"/>
      <c r="AD68" s="2735"/>
      <c r="AE68" s="2734" t="s">
        <v>31</v>
      </c>
      <c r="AF68" s="2735" t="s">
        <v>31</v>
      </c>
      <c r="AG68" s="2138" t="s">
        <v>31</v>
      </c>
      <c r="AH68" s="1"/>
    </row>
    <row r="69" spans="1:34" ht="22.15" customHeight="1" x14ac:dyDescent="0.2">
      <c r="A69" s="2807"/>
      <c r="B69" s="2733" t="s">
        <v>124</v>
      </c>
      <c r="C69" s="2734" t="s">
        <v>31</v>
      </c>
      <c r="D69" s="2734" t="s">
        <v>31</v>
      </c>
      <c r="E69" s="2734" t="s">
        <v>31</v>
      </c>
      <c r="F69" s="2735" t="s">
        <v>31</v>
      </c>
      <c r="G69" s="2734" t="s">
        <v>31</v>
      </c>
      <c r="H69" s="2734"/>
      <c r="I69" s="2734"/>
      <c r="J69" s="2734" t="s">
        <v>31</v>
      </c>
      <c r="K69" s="2734" t="s">
        <v>31</v>
      </c>
      <c r="L69" s="2734" t="s">
        <v>31</v>
      </c>
      <c r="M69" s="2734" t="s">
        <v>31</v>
      </c>
      <c r="N69" s="2740" t="s">
        <v>31</v>
      </c>
      <c r="O69" s="2740"/>
      <c r="P69" s="2740"/>
      <c r="Q69" s="2736" t="s">
        <v>31</v>
      </c>
      <c r="R69" s="2740" t="s">
        <v>31</v>
      </c>
      <c r="S69" s="2734" t="s">
        <v>31</v>
      </c>
      <c r="T69" s="2734" t="s">
        <v>31</v>
      </c>
      <c r="U69" s="2740" t="s">
        <v>31</v>
      </c>
      <c r="V69" s="2740"/>
      <c r="W69" s="2740"/>
      <c r="X69" s="2734" t="s">
        <v>31</v>
      </c>
      <c r="Y69" s="2740" t="s">
        <v>31</v>
      </c>
      <c r="Z69" s="2734" t="s">
        <v>31</v>
      </c>
      <c r="AA69" s="2734" t="s">
        <v>31</v>
      </c>
      <c r="AB69" s="2734" t="s">
        <v>31</v>
      </c>
      <c r="AC69" s="2734"/>
      <c r="AD69" s="2735"/>
      <c r="AE69" s="2734" t="s">
        <v>31</v>
      </c>
      <c r="AF69" s="2735" t="s">
        <v>31</v>
      </c>
      <c r="AG69" s="2138" t="s">
        <v>31</v>
      </c>
      <c r="AH69" s="1"/>
    </row>
    <row r="70" spans="1:34" ht="22.15" customHeight="1" thickBot="1" x14ac:dyDescent="0.25">
      <c r="A70" s="2807"/>
      <c r="B70" s="2733" t="s">
        <v>122</v>
      </c>
      <c r="C70" s="2734" t="s">
        <v>31</v>
      </c>
      <c r="D70" s="2734" t="s">
        <v>31</v>
      </c>
      <c r="E70" s="2734" t="s">
        <v>31</v>
      </c>
      <c r="F70" s="2735" t="s">
        <v>31</v>
      </c>
      <c r="G70" s="2734" t="s">
        <v>31</v>
      </c>
      <c r="H70" s="2734"/>
      <c r="I70" s="2734"/>
      <c r="J70" s="2734" t="s">
        <v>31</v>
      </c>
      <c r="K70" s="2734" t="s">
        <v>31</v>
      </c>
      <c r="L70" s="2734" t="s">
        <v>31</v>
      </c>
      <c r="M70" s="2734" t="s">
        <v>31</v>
      </c>
      <c r="N70" s="2740" t="s">
        <v>31</v>
      </c>
      <c r="O70" s="2740"/>
      <c r="P70" s="2740"/>
      <c r="Q70" s="2736" t="s">
        <v>31</v>
      </c>
      <c r="R70" s="2740" t="s">
        <v>31</v>
      </c>
      <c r="S70" s="2734" t="s">
        <v>31</v>
      </c>
      <c r="T70" s="2734" t="s">
        <v>31</v>
      </c>
      <c r="U70" s="2740" t="s">
        <v>31</v>
      </c>
      <c r="V70" s="2740"/>
      <c r="W70" s="2740"/>
      <c r="X70" s="2734" t="s">
        <v>31</v>
      </c>
      <c r="Y70" s="2740" t="s">
        <v>31</v>
      </c>
      <c r="Z70" s="2734" t="s">
        <v>31</v>
      </c>
      <c r="AA70" s="2734" t="s">
        <v>31</v>
      </c>
      <c r="AB70" s="2734" t="s">
        <v>31</v>
      </c>
      <c r="AC70" s="2734"/>
      <c r="AD70" s="2735"/>
      <c r="AE70" s="2734" t="s">
        <v>31</v>
      </c>
      <c r="AF70" s="2735" t="s">
        <v>31</v>
      </c>
      <c r="AG70" s="2138" t="s">
        <v>31</v>
      </c>
      <c r="AH70" s="1"/>
    </row>
    <row r="71" spans="1:34" ht="22.15" customHeight="1" x14ac:dyDescent="0.2">
      <c r="A71" s="2812"/>
      <c r="B71" s="379" t="s">
        <v>123</v>
      </c>
      <c r="C71" s="2734" t="s">
        <v>31</v>
      </c>
      <c r="D71" s="2734" t="s">
        <v>31</v>
      </c>
      <c r="E71" s="2734" t="s">
        <v>31</v>
      </c>
      <c r="F71" s="2735" t="s">
        <v>31</v>
      </c>
      <c r="G71" s="2734" t="s">
        <v>31</v>
      </c>
      <c r="H71" s="2734"/>
      <c r="I71" s="2734"/>
      <c r="J71" s="2734" t="s">
        <v>31</v>
      </c>
      <c r="K71" s="2734" t="s">
        <v>31</v>
      </c>
      <c r="L71" s="2734" t="s">
        <v>31</v>
      </c>
      <c r="M71" s="2734" t="s">
        <v>31</v>
      </c>
      <c r="N71" s="2740" t="s">
        <v>31</v>
      </c>
      <c r="O71" s="2740"/>
      <c r="P71" s="2740"/>
      <c r="Q71" s="2736" t="s">
        <v>31</v>
      </c>
      <c r="R71" s="2740" t="s">
        <v>31</v>
      </c>
      <c r="S71" s="2734" t="s">
        <v>31</v>
      </c>
      <c r="T71" s="2734" t="s">
        <v>31</v>
      </c>
      <c r="U71" s="2740" t="s">
        <v>31</v>
      </c>
      <c r="V71" s="2740"/>
      <c r="W71" s="2740"/>
      <c r="X71" s="2734" t="s">
        <v>31</v>
      </c>
      <c r="Y71" s="2740" t="s">
        <v>31</v>
      </c>
      <c r="Z71" s="2734" t="s">
        <v>31</v>
      </c>
      <c r="AA71" s="2734" t="s">
        <v>31</v>
      </c>
      <c r="AB71" s="2734" t="s">
        <v>31</v>
      </c>
      <c r="AC71" s="2734"/>
      <c r="AD71" s="2735"/>
      <c r="AE71" s="2734" t="s">
        <v>31</v>
      </c>
      <c r="AF71" s="2735" t="s">
        <v>31</v>
      </c>
      <c r="AG71" s="2138" t="s">
        <v>31</v>
      </c>
      <c r="AH71" s="1"/>
    </row>
    <row r="72" spans="1:34" ht="22.15" customHeight="1" x14ac:dyDescent="0.2">
      <c r="A72" s="2812"/>
      <c r="B72" s="2811" t="s">
        <v>127</v>
      </c>
      <c r="C72" s="2734" t="s">
        <v>31</v>
      </c>
      <c r="D72" s="2734" t="s">
        <v>31</v>
      </c>
      <c r="E72" s="2734" t="s">
        <v>31</v>
      </c>
      <c r="F72" s="2735" t="s">
        <v>31</v>
      </c>
      <c r="G72" s="2734" t="s">
        <v>31</v>
      </c>
      <c r="H72" s="2734"/>
      <c r="I72" s="2734"/>
      <c r="J72" s="2734" t="s">
        <v>31</v>
      </c>
      <c r="K72" s="2734" t="s">
        <v>31</v>
      </c>
      <c r="L72" s="2734" t="s">
        <v>31</v>
      </c>
      <c r="M72" s="2734" t="s">
        <v>31</v>
      </c>
      <c r="N72" s="2740" t="s">
        <v>31</v>
      </c>
      <c r="O72" s="2740"/>
      <c r="P72" s="2740"/>
      <c r="Q72" s="2736" t="s">
        <v>31</v>
      </c>
      <c r="R72" s="2740" t="s">
        <v>31</v>
      </c>
      <c r="S72" s="2734" t="s">
        <v>31</v>
      </c>
      <c r="T72" s="2734" t="s">
        <v>31</v>
      </c>
      <c r="U72" s="2740" t="s">
        <v>31</v>
      </c>
      <c r="V72" s="2740"/>
      <c r="W72" s="2740"/>
      <c r="X72" s="2734" t="s">
        <v>31</v>
      </c>
      <c r="Y72" s="2740" t="s">
        <v>31</v>
      </c>
      <c r="Z72" s="2734" t="s">
        <v>31</v>
      </c>
      <c r="AA72" s="2734" t="s">
        <v>31</v>
      </c>
      <c r="AB72" s="2734" t="s">
        <v>31</v>
      </c>
      <c r="AC72" s="2734"/>
      <c r="AD72" s="2735"/>
      <c r="AE72" s="2734" t="s">
        <v>31</v>
      </c>
      <c r="AF72" s="2735" t="s">
        <v>31</v>
      </c>
      <c r="AG72" s="2138" t="s">
        <v>31</v>
      </c>
      <c r="AH72" s="1"/>
    </row>
    <row r="73" spans="1:34" ht="22.15" customHeight="1" x14ac:dyDescent="0.2">
      <c r="A73" s="2812"/>
      <c r="B73" s="2813" t="s">
        <v>348</v>
      </c>
      <c r="C73" s="2734"/>
      <c r="D73" s="2734"/>
      <c r="E73" s="2734"/>
      <c r="F73" s="2734"/>
      <c r="G73" s="2734"/>
      <c r="H73" s="2734"/>
      <c r="I73" s="2734"/>
      <c r="J73" s="2734"/>
      <c r="K73" s="2734"/>
      <c r="L73" s="2734"/>
      <c r="M73" s="2734"/>
      <c r="N73" s="2734"/>
      <c r="O73" s="2734"/>
      <c r="P73" s="2734"/>
      <c r="Q73" s="2734"/>
      <c r="R73" s="2734"/>
      <c r="S73" s="2734"/>
      <c r="T73" s="2734"/>
      <c r="U73" s="2734"/>
      <c r="V73" s="2734"/>
      <c r="W73" s="2734"/>
      <c r="X73" s="2734"/>
      <c r="Y73" s="2734"/>
      <c r="Z73" s="2734"/>
      <c r="AA73" s="2734"/>
      <c r="AB73" s="2734"/>
      <c r="AC73" s="2734"/>
      <c r="AD73" s="2734"/>
      <c r="AE73" s="2734"/>
      <c r="AF73" s="2734"/>
      <c r="AG73" s="2159"/>
      <c r="AH73" s="1"/>
    </row>
    <row r="74" spans="1:34" ht="22.15" customHeight="1" thickBot="1" x14ac:dyDescent="0.25">
      <c r="A74" s="669"/>
      <c r="B74" s="668"/>
      <c r="C74" s="669"/>
      <c r="D74" s="669"/>
      <c r="E74" s="669"/>
      <c r="F74" s="669"/>
      <c r="G74" s="669"/>
      <c r="H74" s="669"/>
      <c r="I74" s="669"/>
      <c r="J74" s="669"/>
      <c r="K74" s="669"/>
      <c r="L74" s="669"/>
      <c r="M74" s="669"/>
      <c r="N74" s="669"/>
      <c r="O74" s="669"/>
      <c r="P74" s="669"/>
      <c r="Q74" s="669"/>
      <c r="R74" s="669"/>
      <c r="S74" s="669"/>
      <c r="T74" s="669"/>
      <c r="U74" s="669"/>
      <c r="V74" s="669"/>
      <c r="W74" s="669"/>
      <c r="X74" s="669"/>
      <c r="Y74" s="669"/>
      <c r="Z74" s="669"/>
      <c r="AA74" s="669"/>
      <c r="AB74" s="669"/>
      <c r="AC74" s="669"/>
      <c r="AD74" s="669"/>
      <c r="AE74" s="669"/>
      <c r="AF74" s="669"/>
      <c r="AG74" s="237"/>
      <c r="AH74" s="1"/>
    </row>
    <row r="75" spans="1:34" ht="22.15" customHeight="1" thickBot="1" x14ac:dyDescent="0.25">
      <c r="A75" s="2814"/>
      <c r="B75" s="2815"/>
      <c r="C75" s="245"/>
      <c r="D75" s="245"/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816"/>
      <c r="AH75" s="1"/>
    </row>
    <row r="76" spans="1:34" ht="22.15" customHeight="1" thickBot="1" x14ac:dyDescent="0.25">
      <c r="A76" s="377"/>
      <c r="B76" s="378" t="s">
        <v>125</v>
      </c>
      <c r="C76" s="2710">
        <v>1</v>
      </c>
      <c r="D76" s="2710">
        <v>2</v>
      </c>
      <c r="E76" s="2710">
        <v>3</v>
      </c>
      <c r="F76" s="2710">
        <v>4</v>
      </c>
      <c r="G76" s="2710">
        <v>5</v>
      </c>
      <c r="H76" s="2711">
        <v>6</v>
      </c>
      <c r="I76" s="2711">
        <v>7</v>
      </c>
      <c r="J76" s="2710">
        <v>8</v>
      </c>
      <c r="K76" s="2710">
        <v>9</v>
      </c>
      <c r="L76" s="2710">
        <v>10</v>
      </c>
      <c r="M76" s="2710">
        <v>11</v>
      </c>
      <c r="N76" s="2710">
        <v>12</v>
      </c>
      <c r="O76" s="2711">
        <v>13</v>
      </c>
      <c r="P76" s="2711">
        <v>14</v>
      </c>
      <c r="Q76" s="2710">
        <v>15</v>
      </c>
      <c r="R76" s="2710">
        <v>16</v>
      </c>
      <c r="S76" s="2710">
        <v>17</v>
      </c>
      <c r="T76" s="2710">
        <v>18</v>
      </c>
      <c r="U76" s="2710">
        <v>19</v>
      </c>
      <c r="V76" s="2711">
        <v>20</v>
      </c>
      <c r="W76" s="2711">
        <v>21</v>
      </c>
      <c r="X76" s="2710">
        <v>22</v>
      </c>
      <c r="Y76" s="2710">
        <v>23</v>
      </c>
      <c r="Z76" s="2710">
        <v>24</v>
      </c>
      <c r="AA76" s="2710">
        <v>25</v>
      </c>
      <c r="AB76" s="2710">
        <v>26</v>
      </c>
      <c r="AC76" s="2711">
        <v>27</v>
      </c>
      <c r="AD76" s="2711">
        <v>28</v>
      </c>
      <c r="AE76" s="2710">
        <v>29</v>
      </c>
      <c r="AF76" s="2710">
        <v>30</v>
      </c>
      <c r="AG76" s="2712">
        <v>31</v>
      </c>
      <c r="AH76" s="1"/>
    </row>
    <row r="77" spans="1:34" ht="22.15" customHeight="1" x14ac:dyDescent="0.2">
      <c r="A77" s="379"/>
      <c r="B77" s="379"/>
      <c r="C77" s="2734" t="s">
        <v>31</v>
      </c>
      <c r="D77" s="2734" t="s">
        <v>31</v>
      </c>
      <c r="E77" s="2734" t="s">
        <v>31</v>
      </c>
      <c r="F77" s="2735" t="s">
        <v>31</v>
      </c>
      <c r="G77" s="2734" t="s">
        <v>31</v>
      </c>
      <c r="H77" s="2734"/>
      <c r="I77" s="2734"/>
      <c r="J77" s="2734" t="s">
        <v>31</v>
      </c>
      <c r="K77" s="2734" t="s">
        <v>31</v>
      </c>
      <c r="L77" s="2734" t="s">
        <v>31</v>
      </c>
      <c r="M77" s="2734" t="s">
        <v>31</v>
      </c>
      <c r="N77" s="2740" t="s">
        <v>31</v>
      </c>
      <c r="O77" s="2740"/>
      <c r="P77" s="2740"/>
      <c r="Q77" s="2736" t="s">
        <v>31</v>
      </c>
      <c r="R77" s="2740" t="s">
        <v>31</v>
      </c>
      <c r="S77" s="2734" t="s">
        <v>31</v>
      </c>
      <c r="T77" s="2734" t="s">
        <v>31</v>
      </c>
      <c r="U77" s="2740" t="s">
        <v>31</v>
      </c>
      <c r="V77" s="2740"/>
      <c r="W77" s="2740"/>
      <c r="X77" s="2734" t="s">
        <v>31</v>
      </c>
      <c r="Y77" s="2740" t="s">
        <v>31</v>
      </c>
      <c r="Z77" s="2734" t="s">
        <v>31</v>
      </c>
      <c r="AA77" s="2734" t="s">
        <v>31</v>
      </c>
      <c r="AB77" s="2734" t="s">
        <v>31</v>
      </c>
      <c r="AC77" s="2734"/>
      <c r="AD77" s="2735"/>
      <c r="AE77" s="2734" t="s">
        <v>31</v>
      </c>
      <c r="AF77" s="2735" t="s">
        <v>31</v>
      </c>
      <c r="AG77" s="2138" t="s">
        <v>31</v>
      </c>
      <c r="AH77" s="1"/>
    </row>
    <row r="78" spans="1:34" ht="22.15" customHeight="1" x14ac:dyDescent="0.2">
      <c r="A78" s="2807"/>
      <c r="B78" s="2807"/>
      <c r="C78" s="2735"/>
      <c r="D78" s="2735"/>
      <c r="E78" s="2735"/>
      <c r="F78" s="2735"/>
      <c r="G78" s="2735"/>
      <c r="H78" s="2735"/>
      <c r="I78" s="2735"/>
      <c r="J78" s="2735"/>
      <c r="K78" s="2742"/>
      <c r="L78" s="2742"/>
      <c r="M78" s="2742"/>
      <c r="N78" s="2742"/>
      <c r="O78" s="2742"/>
      <c r="P78" s="2742"/>
      <c r="Q78" s="2742"/>
      <c r="R78" s="2742"/>
      <c r="S78" s="2735"/>
      <c r="T78" s="2735"/>
      <c r="U78" s="2817"/>
      <c r="V78" s="2817"/>
      <c r="W78" s="2817"/>
      <c r="X78" s="2735"/>
      <c r="Y78" s="2817"/>
      <c r="Z78" s="2817"/>
      <c r="AA78" s="2817"/>
      <c r="AB78" s="2735"/>
      <c r="AC78" s="2735"/>
      <c r="AD78" s="2735"/>
      <c r="AE78" s="2818"/>
      <c r="AF78" s="2818"/>
      <c r="AG78" s="2819"/>
      <c r="AH78" s="1"/>
    </row>
    <row r="79" spans="1:34" ht="22.15" customHeight="1" x14ac:dyDescent="0.2">
      <c r="A79" s="2820"/>
      <c r="B79" s="2807"/>
      <c r="C79" s="2735"/>
      <c r="D79" s="2735"/>
      <c r="E79" s="2735"/>
      <c r="F79" s="2735"/>
      <c r="G79" s="2735"/>
      <c r="H79" s="2735"/>
      <c r="I79" s="2735"/>
      <c r="J79" s="2735"/>
      <c r="K79" s="2735"/>
      <c r="L79" s="2735"/>
      <c r="M79" s="2735"/>
      <c r="N79" s="2735"/>
      <c r="O79" s="2735"/>
      <c r="P79" s="2735"/>
      <c r="Q79" s="2735"/>
      <c r="R79" s="2735"/>
      <c r="S79" s="2735"/>
      <c r="T79" s="2735"/>
      <c r="U79" s="2735"/>
      <c r="V79" s="2735"/>
      <c r="W79" s="2735"/>
      <c r="X79" s="2735"/>
      <c r="Y79" s="2735"/>
      <c r="Z79" s="2735"/>
      <c r="AA79" s="2735"/>
      <c r="AB79" s="2735"/>
      <c r="AC79" s="2735"/>
      <c r="AD79" s="2735"/>
      <c r="AE79" s="2735"/>
      <c r="AF79" s="2735"/>
      <c r="AG79" s="2156"/>
      <c r="AH79" s="1"/>
    </row>
    <row r="80" spans="1:34" ht="22.15" customHeight="1" thickBot="1" x14ac:dyDescent="0.25">
      <c r="A80" s="691"/>
      <c r="B80" s="692"/>
      <c r="C80" s="690"/>
      <c r="D80" s="693"/>
      <c r="E80" s="693"/>
      <c r="F80" s="693"/>
      <c r="G80" s="693"/>
      <c r="H80" s="693"/>
      <c r="I80" s="690"/>
      <c r="J80" s="690"/>
      <c r="K80" s="693"/>
      <c r="L80" s="693"/>
      <c r="M80" s="693"/>
      <c r="N80" s="693"/>
      <c r="O80" s="693"/>
      <c r="P80" s="696"/>
      <c r="Q80" s="696"/>
      <c r="R80" s="690"/>
      <c r="S80" s="696"/>
      <c r="T80" s="696"/>
      <c r="U80" s="696"/>
      <c r="V80" s="696"/>
      <c r="W80" s="696"/>
      <c r="X80" s="690"/>
      <c r="Y80" s="696"/>
      <c r="Z80" s="696"/>
      <c r="AA80" s="696"/>
      <c r="AB80" s="696"/>
      <c r="AC80" s="690"/>
      <c r="AD80" s="696"/>
      <c r="AE80" s="696"/>
      <c r="AF80" s="690"/>
      <c r="AG80" s="218"/>
      <c r="AH80" s="1"/>
    </row>
    <row r="81" spans="1:35" ht="22.15" customHeight="1" thickBot="1" x14ac:dyDescent="0.25">
      <c r="A81" s="223"/>
      <c r="B81" s="224" t="s">
        <v>387</v>
      </c>
      <c r="C81" s="219"/>
      <c r="D81" s="225"/>
      <c r="E81" s="225"/>
      <c r="F81" s="225"/>
      <c r="G81" s="225"/>
      <c r="H81" s="225"/>
      <c r="I81" s="219"/>
      <c r="J81" s="219"/>
      <c r="K81" s="225"/>
      <c r="L81" s="225"/>
      <c r="M81" s="225"/>
      <c r="N81" s="225"/>
      <c r="O81" s="225"/>
      <c r="P81" s="219"/>
      <c r="Q81" s="219"/>
      <c r="R81" s="219"/>
      <c r="S81" s="226"/>
      <c r="T81" s="226"/>
      <c r="U81" s="226"/>
      <c r="V81" s="220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48"/>
      <c r="AH81" s="1"/>
    </row>
    <row r="82" spans="1:35" ht="22.15" customHeight="1" thickBot="1" x14ac:dyDescent="0.25">
      <c r="A82" s="221"/>
      <c r="B82" s="222"/>
      <c r="C82" s="249" t="s">
        <v>31</v>
      </c>
      <c r="D82" s="249" t="s">
        <v>31</v>
      </c>
      <c r="E82" s="249" t="s">
        <v>31</v>
      </c>
      <c r="F82" s="249" t="s">
        <v>31</v>
      </c>
      <c r="G82" s="249" t="s">
        <v>31</v>
      </c>
      <c r="H82" s="249"/>
      <c r="I82" s="249"/>
      <c r="J82" s="249" t="s">
        <v>31</v>
      </c>
      <c r="K82" s="249" t="s">
        <v>31</v>
      </c>
      <c r="L82" s="249" t="s">
        <v>31</v>
      </c>
      <c r="M82" s="249" t="s">
        <v>31</v>
      </c>
      <c r="N82" s="249" t="s">
        <v>31</v>
      </c>
      <c r="O82" s="249"/>
      <c r="P82" s="249"/>
      <c r="Q82" s="249" t="s">
        <v>31</v>
      </c>
      <c r="R82" s="249" t="s">
        <v>31</v>
      </c>
      <c r="S82" s="249" t="s">
        <v>31</v>
      </c>
      <c r="T82" s="249" t="s">
        <v>31</v>
      </c>
      <c r="U82" s="249" t="s">
        <v>31</v>
      </c>
      <c r="V82" s="249"/>
      <c r="W82" s="249"/>
      <c r="X82" s="249" t="s">
        <v>31</v>
      </c>
      <c r="Y82" s="249" t="s">
        <v>31</v>
      </c>
      <c r="Z82" s="219" t="s">
        <v>31</v>
      </c>
      <c r="AA82" s="226" t="s">
        <v>31</v>
      </c>
      <c r="AB82" s="226" t="s">
        <v>31</v>
      </c>
      <c r="AC82" s="226"/>
      <c r="AD82" s="226"/>
      <c r="AE82" s="226" t="s">
        <v>31</v>
      </c>
      <c r="AF82" s="219" t="s">
        <v>31</v>
      </c>
      <c r="AG82" s="2821" t="s">
        <v>31</v>
      </c>
      <c r="AH82" s="1"/>
    </row>
    <row r="83" spans="1:35" ht="22.15" customHeight="1" x14ac:dyDescent="0.2">
      <c r="A83" s="64" t="s">
        <v>134</v>
      </c>
      <c r="AH83" s="1"/>
    </row>
    <row r="84" spans="1:35" ht="22.15" customHeight="1" thickBot="1" x14ac:dyDescent="0.25">
      <c r="A84" s="2822"/>
      <c r="B84" s="2764" t="s">
        <v>29</v>
      </c>
      <c r="C84" s="2710">
        <v>1</v>
      </c>
      <c r="D84" s="2710">
        <v>2</v>
      </c>
      <c r="E84" s="2710">
        <v>3</v>
      </c>
      <c r="F84" s="2710">
        <v>4</v>
      </c>
      <c r="G84" s="2710">
        <v>5</v>
      </c>
      <c r="H84" s="2711">
        <v>6</v>
      </c>
      <c r="I84" s="2711">
        <v>7</v>
      </c>
      <c r="J84" s="2710">
        <v>8</v>
      </c>
      <c r="K84" s="2710">
        <v>9</v>
      </c>
      <c r="L84" s="2710">
        <v>10</v>
      </c>
      <c r="M84" s="2710">
        <v>11</v>
      </c>
      <c r="N84" s="2710">
        <v>12</v>
      </c>
      <c r="O84" s="2711">
        <v>13</v>
      </c>
      <c r="P84" s="2711">
        <v>14</v>
      </c>
      <c r="Q84" s="2710">
        <v>15</v>
      </c>
      <c r="R84" s="2710">
        <v>16</v>
      </c>
      <c r="S84" s="2710">
        <v>17</v>
      </c>
      <c r="T84" s="2710">
        <v>18</v>
      </c>
      <c r="U84" s="2710">
        <v>19</v>
      </c>
      <c r="V84" s="2711">
        <v>20</v>
      </c>
      <c r="W84" s="2711">
        <v>21</v>
      </c>
      <c r="X84" s="2710">
        <v>22</v>
      </c>
      <c r="Y84" s="2710">
        <v>23</v>
      </c>
      <c r="Z84" s="2710">
        <v>24</v>
      </c>
      <c r="AA84" s="2710">
        <v>25</v>
      </c>
      <c r="AB84" s="2710">
        <v>26</v>
      </c>
      <c r="AC84" s="2711">
        <v>27</v>
      </c>
      <c r="AD84" s="2711">
        <v>28</v>
      </c>
      <c r="AE84" s="2710">
        <v>29</v>
      </c>
      <c r="AF84" s="2710">
        <v>30</v>
      </c>
      <c r="AG84" s="2712">
        <v>31</v>
      </c>
      <c r="AH84" s="1"/>
    </row>
    <row r="85" spans="1:35" ht="22.15" customHeight="1" x14ac:dyDescent="0.2">
      <c r="A85" s="487"/>
      <c r="B85" s="488" t="s">
        <v>135</v>
      </c>
      <c r="C85" s="458"/>
      <c r="D85" s="482"/>
      <c r="E85" s="458"/>
      <c r="F85" s="458"/>
      <c r="G85" s="458"/>
      <c r="H85" s="458"/>
      <c r="I85" s="458"/>
      <c r="J85" s="458"/>
      <c r="K85" s="458"/>
      <c r="L85" s="458"/>
      <c r="M85" s="458"/>
      <c r="N85" s="458"/>
      <c r="O85" s="458"/>
      <c r="P85" s="458"/>
      <c r="Q85" s="458"/>
      <c r="R85" s="458"/>
      <c r="S85" s="458"/>
      <c r="T85" s="458"/>
      <c r="U85" s="458"/>
      <c r="V85" s="458"/>
      <c r="W85" s="458"/>
      <c r="X85" s="458"/>
      <c r="Y85" s="458"/>
      <c r="Z85" s="458"/>
      <c r="AA85" s="458"/>
      <c r="AB85" s="458"/>
      <c r="AC85" s="458"/>
      <c r="AD85" s="458"/>
      <c r="AE85" s="458"/>
      <c r="AF85" s="458"/>
      <c r="AG85" s="464"/>
      <c r="AH85" s="1"/>
    </row>
    <row r="86" spans="1:35" ht="22.15" customHeight="1" x14ac:dyDescent="0.2">
      <c r="A86" s="2823">
        <v>2</v>
      </c>
      <c r="B86" s="2824"/>
      <c r="C86" s="2825"/>
      <c r="D86" s="2825"/>
      <c r="E86" s="2825"/>
      <c r="F86" s="2826"/>
      <c r="G86" s="2826"/>
      <c r="H86" s="2826"/>
      <c r="I86" s="2826"/>
      <c r="J86" s="2826"/>
      <c r="K86" s="2826"/>
      <c r="L86" s="2826"/>
      <c r="M86" s="2826"/>
      <c r="N86" s="2826"/>
      <c r="O86" s="2826"/>
      <c r="P86" s="2826"/>
      <c r="Q86" s="2826"/>
      <c r="R86" s="2827"/>
      <c r="S86" s="2827"/>
      <c r="T86" s="2827"/>
      <c r="U86" s="2827"/>
      <c r="V86" s="2827"/>
      <c r="W86" s="2825"/>
      <c r="X86" s="2825"/>
      <c r="Y86" s="2827"/>
      <c r="Z86" s="2827"/>
      <c r="AA86" s="2827"/>
      <c r="AB86" s="2827"/>
      <c r="AC86" s="2827"/>
      <c r="AD86" s="2825"/>
      <c r="AE86" s="2825"/>
      <c r="AF86" s="2828"/>
      <c r="AG86" s="2829"/>
      <c r="AH86" s="1"/>
    </row>
    <row r="87" spans="1:35" ht="22.15" customHeight="1" x14ac:dyDescent="0.2">
      <c r="A87" s="2823">
        <v>3</v>
      </c>
      <c r="B87" s="2830"/>
      <c r="C87" s="2460"/>
      <c r="D87" s="2460"/>
      <c r="E87" s="2460"/>
      <c r="F87" s="2460"/>
      <c r="G87" s="2460"/>
      <c r="H87" s="2460"/>
      <c r="I87" s="2460"/>
      <c r="J87" s="2460"/>
      <c r="K87" s="2460"/>
      <c r="L87" s="2460"/>
      <c r="M87" s="2460"/>
      <c r="N87" s="2460"/>
      <c r="O87" s="2460"/>
      <c r="P87" s="2460"/>
      <c r="Q87" s="2460"/>
      <c r="R87" s="2460"/>
      <c r="S87" s="2460"/>
      <c r="T87" s="2460"/>
      <c r="U87" s="2460"/>
      <c r="V87" s="2460"/>
      <c r="W87" s="2460"/>
      <c r="X87" s="2460"/>
      <c r="Y87" s="2460"/>
      <c r="Z87" s="2460"/>
      <c r="AA87" s="2460"/>
      <c r="AB87" s="2460"/>
      <c r="AC87" s="2460"/>
      <c r="AD87" s="2460"/>
      <c r="AE87" s="2460"/>
      <c r="AF87" s="2831"/>
      <c r="AG87" s="2806"/>
      <c r="AH87" s="1"/>
    </row>
    <row r="88" spans="1:35" ht="22.15" customHeight="1" thickBot="1" x14ac:dyDescent="0.25">
      <c r="A88" s="2823">
        <v>4</v>
      </c>
      <c r="B88" s="2770"/>
      <c r="C88" s="2832"/>
      <c r="D88" s="2832"/>
      <c r="E88" s="2832"/>
      <c r="F88" s="2832"/>
      <c r="G88" s="2832"/>
      <c r="H88" s="2832"/>
      <c r="I88" s="2832"/>
      <c r="J88" s="2832"/>
      <c r="K88" s="2832"/>
      <c r="L88" s="2832"/>
      <c r="M88" s="2832"/>
      <c r="N88" s="2832"/>
      <c r="O88" s="2832"/>
      <c r="P88" s="2832"/>
      <c r="Q88" s="2832"/>
      <c r="R88" s="2833"/>
      <c r="S88" s="2833"/>
      <c r="T88" s="2833"/>
      <c r="U88" s="2832"/>
      <c r="V88" s="2832"/>
      <c r="W88" s="2832"/>
      <c r="X88" s="2832"/>
      <c r="Y88" s="2832"/>
      <c r="Z88" s="2832"/>
      <c r="AA88" s="2832"/>
      <c r="AB88" s="2832"/>
      <c r="AC88" s="2832"/>
      <c r="AD88" s="2832"/>
      <c r="AE88" s="2832"/>
      <c r="AF88" s="2710"/>
      <c r="AG88" s="2712"/>
      <c r="AH88" s="1"/>
    </row>
    <row r="89" spans="1:35" ht="22.15" customHeight="1" x14ac:dyDescent="0.2">
      <c r="A89" s="227"/>
      <c r="B89" s="228"/>
      <c r="C89" s="229"/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30"/>
      <c r="S89" s="230"/>
      <c r="T89" s="230"/>
      <c r="U89" s="229"/>
      <c r="V89" s="229"/>
      <c r="W89" s="229"/>
      <c r="X89" s="229"/>
      <c r="Y89" s="229"/>
      <c r="Z89" s="229"/>
      <c r="AA89" s="229"/>
      <c r="AB89" s="229"/>
      <c r="AC89" s="229"/>
      <c r="AD89" s="229"/>
      <c r="AE89" s="229"/>
      <c r="AF89" s="229"/>
      <c r="AG89" s="229"/>
      <c r="AH89" s="1"/>
    </row>
    <row r="90" spans="1:35" ht="22.15" customHeight="1" x14ac:dyDescent="0.2">
      <c r="A90" s="227"/>
      <c r="B90" s="228"/>
      <c r="C90" s="229"/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30"/>
      <c r="S90" s="230"/>
      <c r="T90" s="230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29"/>
      <c r="AG90" s="229"/>
      <c r="AH90" s="1"/>
    </row>
    <row r="91" spans="1:35" ht="22.15" customHeight="1" thickBot="1" x14ac:dyDescent="0.25">
      <c r="A91" s="176" t="s">
        <v>136</v>
      </c>
      <c r="B91" s="177"/>
      <c r="C91" s="177"/>
      <c r="D91" s="177"/>
      <c r="E91" s="177"/>
      <c r="F91" s="177"/>
      <c r="G91" s="178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</row>
    <row r="92" spans="1:35" ht="22.15" customHeight="1" thickBot="1" x14ac:dyDescent="0.25">
      <c r="A92" s="179"/>
      <c r="B92" s="303" t="s">
        <v>137</v>
      </c>
      <c r="C92" s="281"/>
      <c r="D92" s="282" t="s">
        <v>90</v>
      </c>
      <c r="E92" s="283"/>
      <c r="F92" s="284"/>
      <c r="G92" s="281"/>
      <c r="H92" s="282" t="s">
        <v>91</v>
      </c>
      <c r="I92" s="283"/>
      <c r="J92" s="284"/>
      <c r="K92" s="281"/>
      <c r="L92" s="282" t="s">
        <v>92</v>
      </c>
      <c r="M92" s="283"/>
      <c r="N92" s="284"/>
      <c r="O92" s="281"/>
      <c r="P92" s="282" t="s">
        <v>93</v>
      </c>
      <c r="Q92" s="283"/>
      <c r="R92" s="284"/>
      <c r="S92" s="285"/>
      <c r="T92" s="282" t="s">
        <v>94</v>
      </c>
      <c r="U92" s="283"/>
      <c r="V92" s="284"/>
      <c r="W92" s="281"/>
      <c r="X92" s="282" t="s">
        <v>95</v>
      </c>
      <c r="Y92" s="283"/>
      <c r="Z92" s="284"/>
      <c r="AA92" s="281"/>
      <c r="AB92" s="282" t="s">
        <v>96</v>
      </c>
      <c r="AC92" s="283"/>
      <c r="AD92" s="283"/>
      <c r="AE92" s="286" t="s">
        <v>138</v>
      </c>
      <c r="AF92" s="283"/>
      <c r="AG92" s="283"/>
      <c r="AH92" s="283"/>
      <c r="AI92" s="287"/>
    </row>
    <row r="93" spans="1:35" ht="22.15" customHeight="1" x14ac:dyDescent="0.2">
      <c r="A93" s="179"/>
      <c r="B93" s="489" t="s">
        <v>139</v>
      </c>
      <c r="C93" s="490" t="s">
        <v>140</v>
      </c>
      <c r="D93" s="283"/>
      <c r="E93" s="491"/>
      <c r="F93" s="492"/>
      <c r="G93" s="490" t="s">
        <v>140</v>
      </c>
      <c r="H93" s="491"/>
      <c r="I93" s="491"/>
      <c r="J93" s="492"/>
      <c r="K93" s="288" t="s">
        <v>140</v>
      </c>
      <c r="L93" s="283"/>
      <c r="M93" s="283"/>
      <c r="N93" s="289"/>
      <c r="O93" s="288" t="s">
        <v>141</v>
      </c>
      <c r="P93" s="283"/>
      <c r="Q93" s="491"/>
      <c r="R93" s="492"/>
      <c r="S93" s="490" t="s">
        <v>142</v>
      </c>
      <c r="T93" s="491"/>
      <c r="U93" s="491"/>
      <c r="V93" s="493"/>
      <c r="W93" s="494"/>
      <c r="X93" s="495"/>
      <c r="Y93" s="495"/>
      <c r="Z93" s="496"/>
      <c r="AA93" s="493"/>
      <c r="AB93" s="491"/>
      <c r="AC93" s="491"/>
      <c r="AD93" s="493"/>
      <c r="AE93" s="497">
        <v>37</v>
      </c>
      <c r="AF93" s="283"/>
      <c r="AG93" s="491"/>
      <c r="AH93" s="493"/>
      <c r="AI93" s="498"/>
    </row>
    <row r="94" spans="1:35" ht="22.15" customHeight="1" x14ac:dyDescent="0.2">
      <c r="A94" s="179"/>
      <c r="B94" s="2834" t="s">
        <v>143</v>
      </c>
      <c r="C94" s="2835" t="s">
        <v>144</v>
      </c>
      <c r="D94" s="2836"/>
      <c r="E94" s="2836"/>
      <c r="F94" s="2837"/>
      <c r="G94" s="2835" t="s">
        <v>145</v>
      </c>
      <c r="H94" s="2836"/>
      <c r="I94" s="2836"/>
      <c r="J94" s="2837"/>
      <c r="K94" s="2835" t="s">
        <v>146</v>
      </c>
      <c r="L94" s="2838" t="s">
        <v>147</v>
      </c>
      <c r="M94" s="2836"/>
      <c r="N94" s="2837"/>
      <c r="O94" s="2835" t="s">
        <v>146</v>
      </c>
      <c r="P94" s="2838" t="s">
        <v>147</v>
      </c>
      <c r="Q94" s="2836"/>
      <c r="R94" s="2837"/>
      <c r="S94" s="2835" t="s">
        <v>145</v>
      </c>
      <c r="T94" s="2838" t="s">
        <v>148</v>
      </c>
      <c r="U94" s="2836"/>
      <c r="V94" s="2837"/>
      <c r="W94" s="180" t="s">
        <v>46</v>
      </c>
      <c r="X94" s="254" t="s">
        <v>152</v>
      </c>
      <c r="Y94" s="181"/>
      <c r="Z94" s="181"/>
      <c r="AA94" s="2835" t="s">
        <v>46</v>
      </c>
      <c r="AB94" s="2838" t="s">
        <v>152</v>
      </c>
      <c r="AC94" s="2835"/>
      <c r="AD94" s="2835"/>
      <c r="AE94" s="2839">
        <v>68</v>
      </c>
      <c r="AF94" s="2836"/>
      <c r="AG94" s="2840"/>
      <c r="AH94" s="2841"/>
      <c r="AI94" s="2842"/>
    </row>
    <row r="95" spans="1:35" ht="22.15" customHeight="1" x14ac:dyDescent="0.2">
      <c r="A95" s="179"/>
      <c r="B95" s="2834" t="s">
        <v>153</v>
      </c>
      <c r="C95" s="2843" t="s">
        <v>154</v>
      </c>
      <c r="D95" s="2836"/>
      <c r="E95" s="2836"/>
      <c r="F95" s="2837"/>
      <c r="G95" s="2836" t="s">
        <v>154</v>
      </c>
      <c r="H95" s="2836"/>
      <c r="I95" s="2836"/>
      <c r="J95" s="2837"/>
      <c r="K95" s="2836" t="s">
        <v>154</v>
      </c>
      <c r="L95" s="2836"/>
      <c r="M95" s="2836"/>
      <c r="N95" s="2837"/>
      <c r="O95" s="2836" t="s">
        <v>154</v>
      </c>
      <c r="P95" s="2836"/>
      <c r="Q95" s="2836"/>
      <c r="R95" s="2837"/>
      <c r="S95" s="2836" t="s">
        <v>154</v>
      </c>
      <c r="T95" s="2836"/>
      <c r="U95" s="2836"/>
      <c r="V95" s="2837"/>
      <c r="W95" s="2835"/>
      <c r="X95" s="2836"/>
      <c r="Y95" s="2836"/>
      <c r="Z95" s="2837"/>
      <c r="AA95" s="2835"/>
      <c r="AB95" s="2836"/>
      <c r="AC95" s="2836"/>
      <c r="AD95" s="2838"/>
      <c r="AE95" s="2839">
        <v>0</v>
      </c>
      <c r="AF95" s="2840"/>
      <c r="AG95" s="2836"/>
      <c r="AH95" s="2838"/>
      <c r="AI95" s="2844"/>
    </row>
    <row r="96" spans="1:35" ht="22.15" customHeight="1" thickBot="1" x14ac:dyDescent="0.25">
      <c r="A96" s="179"/>
      <c r="B96" s="2845" t="s">
        <v>155</v>
      </c>
      <c r="C96" s="2846" t="s">
        <v>140</v>
      </c>
      <c r="D96" s="2847"/>
      <c r="E96" s="2848"/>
      <c r="F96" s="2849"/>
      <c r="G96" s="2846" t="s">
        <v>140</v>
      </c>
      <c r="H96" s="2847"/>
      <c r="I96" s="2848"/>
      <c r="J96" s="2849"/>
      <c r="K96" s="2846" t="s">
        <v>140</v>
      </c>
      <c r="L96" s="2847"/>
      <c r="M96" s="2848"/>
      <c r="N96" s="2849"/>
      <c r="O96" s="2846" t="s">
        <v>141</v>
      </c>
      <c r="P96" s="2848"/>
      <c r="Q96" s="2848"/>
      <c r="R96" s="2849"/>
      <c r="S96" s="2846" t="s">
        <v>142</v>
      </c>
      <c r="T96" s="2848"/>
      <c r="U96" s="2848"/>
      <c r="V96" s="2850"/>
      <c r="W96" s="2851"/>
      <c r="X96" s="2848"/>
      <c r="Y96" s="2848"/>
      <c r="Z96" s="2852"/>
      <c r="AA96" s="2850"/>
      <c r="AB96" s="2848"/>
      <c r="AC96" s="2848"/>
      <c r="AD96" s="2850"/>
      <c r="AE96" s="2853">
        <v>37</v>
      </c>
      <c r="AF96" s="2848"/>
      <c r="AG96" s="2848"/>
      <c r="AH96" s="2850"/>
      <c r="AI96" s="2854"/>
    </row>
    <row r="97" spans="1:35" ht="22.15" customHeight="1" x14ac:dyDescent="0.2">
      <c r="A97" s="182"/>
      <c r="B97" s="179"/>
      <c r="C97" s="177"/>
      <c r="D97" s="181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</row>
    <row r="98" spans="1:35" ht="22.15" customHeight="1" thickBot="1" x14ac:dyDescent="0.25">
      <c r="A98" s="2855"/>
      <c r="B98" s="2856" t="s">
        <v>29</v>
      </c>
      <c r="C98" s="2710">
        <v>1</v>
      </c>
      <c r="D98" s="2710">
        <v>2</v>
      </c>
      <c r="E98" s="2710">
        <v>3</v>
      </c>
      <c r="F98" s="2710">
        <v>4</v>
      </c>
      <c r="G98" s="2710">
        <v>5</v>
      </c>
      <c r="H98" s="2711">
        <v>6</v>
      </c>
      <c r="I98" s="2711">
        <v>7</v>
      </c>
      <c r="J98" s="2710">
        <v>8</v>
      </c>
      <c r="K98" s="2710">
        <v>9</v>
      </c>
      <c r="L98" s="2710">
        <v>10</v>
      </c>
      <c r="M98" s="2710">
        <v>11</v>
      </c>
      <c r="N98" s="2710">
        <v>12</v>
      </c>
      <c r="O98" s="2711">
        <v>13</v>
      </c>
      <c r="P98" s="2711">
        <v>14</v>
      </c>
      <c r="Q98" s="2710">
        <v>15</v>
      </c>
      <c r="R98" s="2710">
        <v>16</v>
      </c>
      <c r="S98" s="2710">
        <v>17</v>
      </c>
      <c r="T98" s="2710">
        <v>18</v>
      </c>
      <c r="U98" s="2710">
        <v>19</v>
      </c>
      <c r="V98" s="2711">
        <v>20</v>
      </c>
      <c r="W98" s="2711">
        <v>21</v>
      </c>
      <c r="X98" s="2710">
        <v>22</v>
      </c>
      <c r="Y98" s="2710">
        <v>23</v>
      </c>
      <c r="Z98" s="2710">
        <v>24</v>
      </c>
      <c r="AA98" s="2710">
        <v>25</v>
      </c>
      <c r="AB98" s="2710">
        <v>26</v>
      </c>
      <c r="AC98" s="2711">
        <v>27</v>
      </c>
      <c r="AD98" s="2711">
        <v>28</v>
      </c>
      <c r="AE98" s="2710">
        <v>29</v>
      </c>
      <c r="AF98" s="2710">
        <v>30</v>
      </c>
      <c r="AG98" s="2712">
        <v>31</v>
      </c>
      <c r="AH98" s="191"/>
      <c r="AI98" s="192"/>
    </row>
    <row r="99" spans="1:35" ht="22.15" customHeight="1" x14ac:dyDescent="0.2">
      <c r="A99" s="499">
        <v>1</v>
      </c>
      <c r="B99" s="476"/>
      <c r="C99" s="541" t="s">
        <v>110</v>
      </c>
      <c r="D99" s="541" t="s">
        <v>110</v>
      </c>
      <c r="E99" s="541" t="s">
        <v>110</v>
      </c>
      <c r="F99" s="541" t="s">
        <v>110</v>
      </c>
      <c r="G99" s="541" t="s">
        <v>110</v>
      </c>
      <c r="H99" s="541" t="s">
        <v>46</v>
      </c>
      <c r="I99" s="541" t="s">
        <v>46</v>
      </c>
      <c r="J99" s="541" t="s">
        <v>35</v>
      </c>
      <c r="K99" s="541" t="s">
        <v>35</v>
      </c>
      <c r="L99" s="541" t="s">
        <v>35</v>
      </c>
      <c r="M99" s="541" t="s">
        <v>35</v>
      </c>
      <c r="N99" s="541" t="s">
        <v>35</v>
      </c>
      <c r="O99" s="541"/>
      <c r="P99" s="544"/>
      <c r="Q99" s="541" t="s">
        <v>156</v>
      </c>
      <c r="R99" s="541" t="s">
        <v>156</v>
      </c>
      <c r="S99" s="541" t="s">
        <v>156</v>
      </c>
      <c r="T99" s="541" t="s">
        <v>156</v>
      </c>
      <c r="U99" s="541" t="s">
        <v>156</v>
      </c>
      <c r="V99" s="541"/>
      <c r="W99" s="541"/>
      <c r="X99" s="540" t="s">
        <v>156</v>
      </c>
      <c r="Y99" s="540" t="s">
        <v>156</v>
      </c>
      <c r="Z99" s="540" t="s">
        <v>156</v>
      </c>
      <c r="AA99" s="540" t="s">
        <v>156</v>
      </c>
      <c r="AB99" s="541" t="s">
        <v>156</v>
      </c>
      <c r="AC99" s="541"/>
      <c r="AD99" s="541"/>
      <c r="AE99" s="541" t="s">
        <v>110</v>
      </c>
      <c r="AF99" s="541" t="s">
        <v>110</v>
      </c>
      <c r="AG99" s="545" t="s">
        <v>110</v>
      </c>
      <c r="AH99" s="193"/>
      <c r="AI99" s="194"/>
    </row>
    <row r="100" spans="1:35" ht="22.15" customHeight="1" x14ac:dyDescent="0.2">
      <c r="A100" s="2857">
        <v>2</v>
      </c>
      <c r="B100" s="2725" t="s">
        <v>157</v>
      </c>
      <c r="C100" s="2858" t="s">
        <v>156</v>
      </c>
      <c r="D100" s="2858" t="s">
        <v>156</v>
      </c>
      <c r="E100" s="2858" t="s">
        <v>156</v>
      </c>
      <c r="F100" s="2858" t="s">
        <v>156</v>
      </c>
      <c r="G100" s="2858" t="s">
        <v>156</v>
      </c>
      <c r="H100" s="2858"/>
      <c r="I100" s="2858"/>
      <c r="J100" s="2858" t="s">
        <v>110</v>
      </c>
      <c r="K100" s="2722" t="s">
        <v>110</v>
      </c>
      <c r="L100" s="2859" t="s">
        <v>110</v>
      </c>
      <c r="M100" s="2859" t="s">
        <v>110</v>
      </c>
      <c r="N100" s="2859" t="s">
        <v>110</v>
      </c>
      <c r="O100" s="2859" t="s">
        <v>46</v>
      </c>
      <c r="P100" s="2859" t="s">
        <v>46</v>
      </c>
      <c r="Q100" s="2859" t="s">
        <v>35</v>
      </c>
      <c r="R100" s="2859" t="s">
        <v>35</v>
      </c>
      <c r="S100" s="2859" t="s">
        <v>35</v>
      </c>
      <c r="T100" s="2859" t="s">
        <v>35</v>
      </c>
      <c r="U100" s="2804" t="s">
        <v>35</v>
      </c>
      <c r="V100" s="2859"/>
      <c r="W100" s="2805"/>
      <c r="X100" s="2860" t="s">
        <v>156</v>
      </c>
      <c r="Y100" s="2860" t="s">
        <v>156</v>
      </c>
      <c r="Z100" s="2860" t="s">
        <v>156</v>
      </c>
      <c r="AA100" s="2861" t="s">
        <v>156</v>
      </c>
      <c r="AB100" s="2861" t="s">
        <v>156</v>
      </c>
      <c r="AC100" s="2861"/>
      <c r="AD100" s="2861"/>
      <c r="AE100" s="2861" t="s">
        <v>156</v>
      </c>
      <c r="AF100" s="2861" t="s">
        <v>156</v>
      </c>
      <c r="AG100" s="2862" t="s">
        <v>156</v>
      </c>
      <c r="AH100" s="193"/>
      <c r="AI100" s="194"/>
    </row>
    <row r="101" spans="1:35" ht="22.15" customHeight="1" x14ac:dyDescent="0.2">
      <c r="A101" s="2857">
        <v>3</v>
      </c>
      <c r="B101" s="2863" t="s">
        <v>159</v>
      </c>
      <c r="C101" s="2859" t="s">
        <v>156</v>
      </c>
      <c r="D101" s="2864" t="s">
        <v>156</v>
      </c>
      <c r="E101" s="2723" t="s">
        <v>156</v>
      </c>
      <c r="F101" s="2776" t="s">
        <v>156</v>
      </c>
      <c r="G101" s="2776" t="s">
        <v>156</v>
      </c>
      <c r="H101" s="2776"/>
      <c r="I101" s="2776"/>
      <c r="J101" s="2858" t="s">
        <v>156</v>
      </c>
      <c r="K101" s="2858" t="s">
        <v>156</v>
      </c>
      <c r="L101" s="2858" t="s">
        <v>156</v>
      </c>
      <c r="M101" s="2858" t="s">
        <v>156</v>
      </c>
      <c r="N101" s="2775" t="s">
        <v>156</v>
      </c>
      <c r="O101" s="2775"/>
      <c r="P101" s="2775"/>
      <c r="Q101" s="2775" t="s">
        <v>110</v>
      </c>
      <c r="R101" s="2775" t="s">
        <v>110</v>
      </c>
      <c r="S101" s="2804" t="s">
        <v>110</v>
      </c>
      <c r="T101" s="2804" t="s">
        <v>110</v>
      </c>
      <c r="U101" s="2859" t="s">
        <v>110</v>
      </c>
      <c r="V101" s="2859" t="s">
        <v>46</v>
      </c>
      <c r="W101" s="2859" t="s">
        <v>46</v>
      </c>
      <c r="X101" s="2859" t="s">
        <v>35</v>
      </c>
      <c r="Y101" s="2775" t="s">
        <v>35</v>
      </c>
      <c r="Z101" s="2804" t="s">
        <v>35</v>
      </c>
      <c r="AA101" s="2804" t="s">
        <v>35</v>
      </c>
      <c r="AB101" s="2804" t="s">
        <v>35</v>
      </c>
      <c r="AC101" s="2804"/>
      <c r="AD101" s="2805"/>
      <c r="AE101" s="2859" t="s">
        <v>156</v>
      </c>
      <c r="AF101" s="2859" t="s">
        <v>156</v>
      </c>
      <c r="AG101" s="2865" t="s">
        <v>156</v>
      </c>
      <c r="AH101" s="193"/>
      <c r="AI101" s="194"/>
    </row>
    <row r="102" spans="1:35" ht="22.15" customHeight="1" thickBot="1" x14ac:dyDescent="0.25">
      <c r="A102" s="2866">
        <v>4</v>
      </c>
      <c r="B102" s="2867"/>
      <c r="C102" s="2868" t="s">
        <v>35</v>
      </c>
      <c r="D102" s="2868" t="s">
        <v>35</v>
      </c>
      <c r="E102" s="2868" t="s">
        <v>35</v>
      </c>
      <c r="F102" s="2868" t="s">
        <v>35</v>
      </c>
      <c r="G102" s="2868" t="s">
        <v>35</v>
      </c>
      <c r="H102" s="2868"/>
      <c r="I102" s="2868"/>
      <c r="J102" s="2868" t="s">
        <v>156</v>
      </c>
      <c r="K102" s="2868" t="s">
        <v>156</v>
      </c>
      <c r="L102" s="2868" t="s">
        <v>156</v>
      </c>
      <c r="M102" s="2868" t="s">
        <v>156</v>
      </c>
      <c r="N102" s="2868" t="s">
        <v>156</v>
      </c>
      <c r="O102" s="2868"/>
      <c r="P102" s="2868"/>
      <c r="Q102" s="2868" t="s">
        <v>156</v>
      </c>
      <c r="R102" s="2868" t="s">
        <v>156</v>
      </c>
      <c r="S102" s="2868" t="s">
        <v>156</v>
      </c>
      <c r="T102" s="2868" t="s">
        <v>156</v>
      </c>
      <c r="U102" s="2868" t="s">
        <v>156</v>
      </c>
      <c r="V102" s="2868" t="s">
        <v>0</v>
      </c>
      <c r="W102" s="2868" t="s">
        <v>0</v>
      </c>
      <c r="X102" s="2868" t="s">
        <v>110</v>
      </c>
      <c r="Y102" s="2868" t="s">
        <v>110</v>
      </c>
      <c r="Z102" s="2868" t="s">
        <v>110</v>
      </c>
      <c r="AA102" s="2869" t="s">
        <v>110</v>
      </c>
      <c r="AB102" s="2869" t="s">
        <v>110</v>
      </c>
      <c r="AC102" s="2869" t="s">
        <v>46</v>
      </c>
      <c r="AD102" s="2869" t="s">
        <v>46</v>
      </c>
      <c r="AE102" s="2869" t="s">
        <v>35</v>
      </c>
      <c r="AF102" s="2868" t="s">
        <v>35</v>
      </c>
      <c r="AG102" s="2870" t="s">
        <v>35</v>
      </c>
      <c r="AH102" s="193"/>
      <c r="AI102" s="194"/>
    </row>
    <row r="103" spans="1:35" ht="22.15" customHeight="1" thickBot="1" x14ac:dyDescent="0.25">
      <c r="A103" s="231"/>
      <c r="B103" s="232"/>
      <c r="C103" s="233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3"/>
      <c r="U103" s="233"/>
      <c r="V103" s="233"/>
      <c r="W103" s="233"/>
      <c r="X103" s="233"/>
      <c r="Y103" s="233"/>
      <c r="Z103" s="233"/>
      <c r="AA103" s="233"/>
      <c r="AB103" s="233"/>
      <c r="AC103" s="233"/>
      <c r="AD103" s="233"/>
      <c r="AE103" s="233"/>
      <c r="AF103" s="233"/>
      <c r="AG103" s="234"/>
      <c r="AH103" s="235"/>
      <c r="AI103" s="194"/>
    </row>
    <row r="104" spans="1:35" ht="22.15" customHeight="1" x14ac:dyDescent="0.2">
      <c r="A104" s="72"/>
      <c r="B104" s="304" t="s">
        <v>160</v>
      </c>
      <c r="C104" s="500"/>
      <c r="D104" s="501" t="s">
        <v>90</v>
      </c>
      <c r="E104" s="502"/>
      <c r="F104" s="500"/>
      <c r="G104" s="503" t="s">
        <v>91</v>
      </c>
      <c r="H104" s="504"/>
      <c r="I104" s="505"/>
      <c r="J104" s="503" t="s">
        <v>92</v>
      </c>
      <c r="K104" s="506"/>
      <c r="L104" s="505"/>
      <c r="M104" s="507" t="s">
        <v>93</v>
      </c>
      <c r="N104" s="506"/>
      <c r="O104" s="505"/>
      <c r="P104" s="503" t="s">
        <v>94</v>
      </c>
      <c r="Q104" s="508"/>
      <c r="R104" s="505"/>
      <c r="S104" s="503" t="s">
        <v>95</v>
      </c>
      <c r="T104" s="509"/>
      <c r="U104" s="505"/>
      <c r="V104" s="503" t="s">
        <v>96</v>
      </c>
      <c r="W104" s="508"/>
      <c r="X104" s="510" t="s">
        <v>138</v>
      </c>
      <c r="Y104" s="511"/>
      <c r="Z104" s="511"/>
      <c r="AA104" s="512"/>
      <c r="AB104" s="290" t="s">
        <v>97</v>
      </c>
      <c r="AC104" s="291"/>
      <c r="AD104" s="291"/>
      <c r="AE104" s="292"/>
      <c r="AF104" s="292"/>
      <c r="AG104" s="293"/>
      <c r="AH104" s="235"/>
      <c r="AI104" s="194"/>
    </row>
    <row r="105" spans="1:35" ht="22.15" customHeight="1" x14ac:dyDescent="0.2">
      <c r="A105" s="72"/>
      <c r="B105" s="2871" t="s">
        <v>161</v>
      </c>
      <c r="C105" s="2872" t="s">
        <v>162</v>
      </c>
      <c r="D105" s="2694"/>
      <c r="E105" s="2695"/>
      <c r="F105" s="2872" t="s">
        <v>162</v>
      </c>
      <c r="G105" s="2694"/>
      <c r="H105" s="2695"/>
      <c r="I105" s="2872" t="s">
        <v>162</v>
      </c>
      <c r="J105" s="2694"/>
      <c r="K105" s="2695"/>
      <c r="L105" s="2872" t="s">
        <v>162</v>
      </c>
      <c r="M105" s="2694"/>
      <c r="N105" s="2695"/>
      <c r="O105" s="2872" t="s">
        <v>163</v>
      </c>
      <c r="P105" s="2694"/>
      <c r="Q105" s="2695"/>
      <c r="R105" s="2872"/>
      <c r="S105" s="2694"/>
      <c r="T105" s="2695"/>
      <c r="U105" s="2872"/>
      <c r="V105" s="2694"/>
      <c r="W105" s="2695"/>
      <c r="X105" s="2872"/>
      <c r="Y105" s="2873"/>
      <c r="Z105" s="2873"/>
      <c r="AA105" s="2873"/>
      <c r="AB105" s="2691"/>
      <c r="AC105" s="2873"/>
      <c r="AD105" s="2873"/>
      <c r="AE105" s="2873"/>
      <c r="AF105" s="2873"/>
      <c r="AG105" s="2874"/>
      <c r="AH105" s="235"/>
      <c r="AI105" s="194"/>
    </row>
    <row r="106" spans="1:35" ht="22.15" customHeight="1" x14ac:dyDescent="0.2">
      <c r="A106" s="72"/>
      <c r="B106" s="17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235"/>
      <c r="AI106" s="194"/>
    </row>
    <row r="107" spans="1:35" ht="22.15" customHeight="1" thickBot="1" x14ac:dyDescent="0.25">
      <c r="A107" s="2822" t="s">
        <v>28</v>
      </c>
      <c r="B107" s="2764" t="s">
        <v>29</v>
      </c>
      <c r="C107" s="2710">
        <v>1</v>
      </c>
      <c r="D107" s="2710">
        <v>2</v>
      </c>
      <c r="E107" s="2710">
        <v>3</v>
      </c>
      <c r="F107" s="2710">
        <v>4</v>
      </c>
      <c r="G107" s="2710">
        <v>5</v>
      </c>
      <c r="H107" s="2711">
        <v>6</v>
      </c>
      <c r="I107" s="2711">
        <v>7</v>
      </c>
      <c r="J107" s="2710">
        <v>8</v>
      </c>
      <c r="K107" s="2710">
        <v>9</v>
      </c>
      <c r="L107" s="2710">
        <v>10</v>
      </c>
      <c r="M107" s="2710">
        <v>11</v>
      </c>
      <c r="N107" s="2710">
        <v>12</v>
      </c>
      <c r="O107" s="2711">
        <v>13</v>
      </c>
      <c r="P107" s="2711">
        <v>14</v>
      </c>
      <c r="Q107" s="2710">
        <v>15</v>
      </c>
      <c r="R107" s="2710">
        <v>16</v>
      </c>
      <c r="S107" s="2710">
        <v>17</v>
      </c>
      <c r="T107" s="2710">
        <v>18</v>
      </c>
      <c r="U107" s="2710">
        <v>19</v>
      </c>
      <c r="V107" s="2711">
        <v>20</v>
      </c>
      <c r="W107" s="2711">
        <v>21</v>
      </c>
      <c r="X107" s="2710">
        <v>22</v>
      </c>
      <c r="Y107" s="2710">
        <v>23</v>
      </c>
      <c r="Z107" s="2710">
        <v>24</v>
      </c>
      <c r="AA107" s="2710">
        <v>25</v>
      </c>
      <c r="AB107" s="2710">
        <v>26</v>
      </c>
      <c r="AC107" s="2711">
        <v>27</v>
      </c>
      <c r="AD107" s="2711">
        <v>28</v>
      </c>
      <c r="AE107" s="2710">
        <v>29</v>
      </c>
      <c r="AF107" s="2710">
        <v>30</v>
      </c>
      <c r="AG107" s="2712">
        <v>31</v>
      </c>
      <c r="AH107" s="235"/>
      <c r="AI107" s="194"/>
    </row>
    <row r="108" spans="1:35" ht="22.15" customHeight="1" x14ac:dyDescent="0.2">
      <c r="A108" s="513">
        <v>8520</v>
      </c>
      <c r="B108" s="514" t="s">
        <v>164</v>
      </c>
      <c r="C108" s="458" t="s">
        <v>165</v>
      </c>
      <c r="D108" s="458" t="s">
        <v>165</v>
      </c>
      <c r="E108" s="458" t="s">
        <v>165</v>
      </c>
      <c r="F108" s="458" t="s">
        <v>165</v>
      </c>
      <c r="G108" s="458" t="s">
        <v>165</v>
      </c>
      <c r="H108" s="458"/>
      <c r="I108" s="458"/>
      <c r="J108" s="458" t="s">
        <v>165</v>
      </c>
      <c r="K108" s="458" t="s">
        <v>165</v>
      </c>
      <c r="L108" s="458" t="s">
        <v>165</v>
      </c>
      <c r="M108" s="458" t="s">
        <v>165</v>
      </c>
      <c r="N108" s="458" t="s">
        <v>165</v>
      </c>
      <c r="O108" s="458"/>
      <c r="P108" s="458"/>
      <c r="Q108" s="458" t="s">
        <v>165</v>
      </c>
      <c r="R108" s="458" t="s">
        <v>165</v>
      </c>
      <c r="S108" s="458" t="s">
        <v>165</v>
      </c>
      <c r="T108" s="458" t="s">
        <v>165</v>
      </c>
      <c r="U108" s="458" t="s">
        <v>165</v>
      </c>
      <c r="V108" s="458"/>
      <c r="W108" s="458"/>
      <c r="X108" s="458" t="s">
        <v>165</v>
      </c>
      <c r="Y108" s="458" t="s">
        <v>165</v>
      </c>
      <c r="Z108" s="458" t="s">
        <v>165</v>
      </c>
      <c r="AA108" s="458" t="s">
        <v>165</v>
      </c>
      <c r="AB108" s="458" t="s">
        <v>165</v>
      </c>
      <c r="AC108" s="458"/>
      <c r="AD108" s="458"/>
      <c r="AE108" s="458" t="s">
        <v>165</v>
      </c>
      <c r="AF108" s="458" t="s">
        <v>165</v>
      </c>
      <c r="AG108" s="458" t="s">
        <v>165</v>
      </c>
      <c r="AH108" s="235"/>
      <c r="AI108" s="194"/>
    </row>
    <row r="109" spans="1:35" ht="22.15" customHeight="1" x14ac:dyDescent="0.2">
      <c r="A109" s="243"/>
      <c r="B109" s="242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35"/>
      <c r="AI109" s="194"/>
    </row>
    <row r="110" spans="1:35" ht="22.15" customHeight="1" x14ac:dyDescent="0.2">
      <c r="AH110" s="107"/>
      <c r="AI110" s="107"/>
    </row>
    <row r="111" spans="1:35" ht="22.15" customHeight="1" thickBot="1" x14ac:dyDescent="0.25">
      <c r="A111" s="173" t="s">
        <v>166</v>
      </c>
      <c r="B111" s="174"/>
      <c r="C111" s="174"/>
      <c r="D111" s="175"/>
      <c r="E111" s="175"/>
      <c r="F111" s="175"/>
      <c r="G111" s="10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4"/>
      <c r="AI111" s="174"/>
    </row>
    <row r="112" spans="1:35" ht="22.15" customHeight="1" x14ac:dyDescent="0.2">
      <c r="A112" s="173"/>
      <c r="B112" s="304" t="s">
        <v>167</v>
      </c>
      <c r="C112" s="515"/>
      <c r="D112" s="516" t="s">
        <v>90</v>
      </c>
      <c r="E112" s="517"/>
      <c r="F112" s="518"/>
      <c r="G112" s="515"/>
      <c r="H112" s="516" t="s">
        <v>91</v>
      </c>
      <c r="I112" s="517"/>
      <c r="J112" s="518"/>
      <c r="K112" s="515"/>
      <c r="L112" s="516" t="s">
        <v>92</v>
      </c>
      <c r="M112" s="517"/>
      <c r="N112" s="518"/>
      <c r="O112" s="515"/>
      <c r="P112" s="516" t="s">
        <v>93</v>
      </c>
      <c r="Q112" s="517"/>
      <c r="R112" s="518"/>
      <c r="S112" s="515"/>
      <c r="T112" s="516" t="s">
        <v>94</v>
      </c>
      <c r="U112" s="517"/>
      <c r="V112" s="518"/>
      <c r="W112" s="515"/>
      <c r="X112" s="516" t="s">
        <v>95</v>
      </c>
      <c r="Y112" s="517"/>
      <c r="Z112" s="518"/>
      <c r="AA112" s="515"/>
      <c r="AB112" s="516" t="s">
        <v>96</v>
      </c>
      <c r="AC112" s="517"/>
      <c r="AD112" s="517"/>
      <c r="AE112" s="519" t="s">
        <v>97</v>
      </c>
      <c r="AF112" s="517"/>
      <c r="AG112" s="517"/>
      <c r="AH112" s="517"/>
      <c r="AI112" s="520"/>
    </row>
    <row r="113" spans="1:35" ht="22.15" customHeight="1" x14ac:dyDescent="0.2">
      <c r="A113" s="173"/>
      <c r="B113" s="2875" t="s">
        <v>139</v>
      </c>
      <c r="C113" s="2876">
        <v>69</v>
      </c>
      <c r="D113" s="2877" t="s">
        <v>168</v>
      </c>
      <c r="E113" s="2877"/>
      <c r="F113" s="2878"/>
      <c r="G113" s="2876">
        <v>69</v>
      </c>
      <c r="H113" s="2877" t="s">
        <v>168</v>
      </c>
      <c r="I113" s="2877"/>
      <c r="J113" s="2878"/>
      <c r="K113" s="2876">
        <v>69</v>
      </c>
      <c r="L113" s="2877" t="s">
        <v>168</v>
      </c>
      <c r="M113" s="2877"/>
      <c r="N113" s="2878"/>
      <c r="O113" s="2876">
        <v>69</v>
      </c>
      <c r="P113" s="2877" t="s">
        <v>168</v>
      </c>
      <c r="Q113" s="2877"/>
      <c r="R113" s="2878"/>
      <c r="S113" s="2876">
        <v>69</v>
      </c>
      <c r="T113" s="2877" t="s">
        <v>168</v>
      </c>
      <c r="U113" s="2877"/>
      <c r="V113" s="2878"/>
      <c r="W113" s="2876"/>
      <c r="X113" s="2879"/>
      <c r="Y113" s="2879"/>
      <c r="Z113" s="2880"/>
      <c r="AA113" s="2876"/>
      <c r="AB113" s="2877"/>
      <c r="AC113" s="2877"/>
      <c r="AD113" s="2791"/>
      <c r="AE113" s="2881">
        <v>35</v>
      </c>
      <c r="AF113" s="2877"/>
      <c r="AG113" s="2877"/>
      <c r="AH113" s="2791"/>
      <c r="AI113" s="2882"/>
    </row>
    <row r="114" spans="1:35" ht="22.15" customHeight="1" x14ac:dyDescent="0.2">
      <c r="A114" s="173"/>
      <c r="B114" s="2875" t="s">
        <v>143</v>
      </c>
      <c r="C114" s="2876">
        <v>79</v>
      </c>
      <c r="D114" s="2877" t="s">
        <v>169</v>
      </c>
      <c r="E114" s="2877"/>
      <c r="F114" s="2878"/>
      <c r="G114" s="2876">
        <v>79</v>
      </c>
      <c r="H114" s="2877" t="s">
        <v>169</v>
      </c>
      <c r="I114" s="2877"/>
      <c r="J114" s="2878"/>
      <c r="K114" s="2876">
        <v>79</v>
      </c>
      <c r="L114" s="2877" t="s">
        <v>169</v>
      </c>
      <c r="M114" s="2877"/>
      <c r="N114" s="2878"/>
      <c r="O114" s="2876">
        <v>79</v>
      </c>
      <c r="P114" s="2877" t="s">
        <v>169</v>
      </c>
      <c r="Q114" s="2877"/>
      <c r="R114" s="2878"/>
      <c r="S114" s="2876">
        <v>79</v>
      </c>
      <c r="T114" s="2877" t="s">
        <v>169</v>
      </c>
      <c r="U114" s="2877"/>
      <c r="V114" s="2878"/>
      <c r="W114" s="2876"/>
      <c r="X114" s="2877"/>
      <c r="Y114" s="2877"/>
      <c r="Z114" s="2878"/>
      <c r="AA114" s="2877"/>
      <c r="AB114" s="2877"/>
      <c r="AC114" s="2877"/>
      <c r="AD114" s="2791"/>
      <c r="AE114" s="2881">
        <v>40</v>
      </c>
      <c r="AF114" s="2877"/>
      <c r="AG114" s="2877"/>
      <c r="AH114" s="2791"/>
      <c r="AI114" s="2882"/>
    </row>
    <row r="115" spans="1:35" ht="22.15" customHeight="1" x14ac:dyDescent="0.2">
      <c r="A115" s="173"/>
      <c r="B115" s="2875" t="s">
        <v>153</v>
      </c>
      <c r="C115" s="2876">
        <v>89</v>
      </c>
      <c r="D115" s="2877" t="s">
        <v>170</v>
      </c>
      <c r="E115" s="2877"/>
      <c r="F115" s="2878"/>
      <c r="G115" s="2876">
        <v>89</v>
      </c>
      <c r="H115" s="2877" t="s">
        <v>170</v>
      </c>
      <c r="I115" s="2877"/>
      <c r="J115" s="2878"/>
      <c r="K115" s="2876">
        <v>89</v>
      </c>
      <c r="L115" s="2877" t="s">
        <v>170</v>
      </c>
      <c r="M115" s="2877"/>
      <c r="N115" s="2878"/>
      <c r="O115" s="2876">
        <v>89</v>
      </c>
      <c r="P115" s="2877" t="s">
        <v>170</v>
      </c>
      <c r="Q115" s="2877"/>
      <c r="R115" s="2878"/>
      <c r="S115" s="2876">
        <v>89</v>
      </c>
      <c r="T115" s="2877" t="s">
        <v>171</v>
      </c>
      <c r="U115" s="2877"/>
      <c r="V115" s="2878"/>
      <c r="W115" s="2883"/>
      <c r="X115" s="2884" t="s">
        <v>172</v>
      </c>
      <c r="Y115" s="2884"/>
      <c r="Z115" s="2885"/>
      <c r="AA115" s="2883"/>
      <c r="AB115" s="2884"/>
      <c r="AC115" s="2884"/>
      <c r="AD115" s="2793"/>
      <c r="AE115" s="2881">
        <v>44</v>
      </c>
      <c r="AF115" s="2877"/>
      <c r="AG115" s="2877"/>
      <c r="AH115" s="2791"/>
      <c r="AI115" s="2882"/>
    </row>
    <row r="116" spans="1:35" ht="22.15" customHeight="1" x14ac:dyDescent="0.2">
      <c r="A116" s="173"/>
      <c r="B116" s="38" t="s">
        <v>155</v>
      </c>
      <c r="C116" s="2883">
        <v>99</v>
      </c>
      <c r="D116" s="2884" t="s">
        <v>173</v>
      </c>
      <c r="E116" s="2884"/>
      <c r="F116" s="2885"/>
      <c r="G116" s="2883">
        <v>99</v>
      </c>
      <c r="H116" s="2884" t="s">
        <v>173</v>
      </c>
      <c r="I116" s="2884"/>
      <c r="J116" s="2885"/>
      <c r="K116" s="2883">
        <v>99</v>
      </c>
      <c r="L116" s="2884" t="s">
        <v>173</v>
      </c>
      <c r="M116" s="2884"/>
      <c r="N116" s="2885"/>
      <c r="O116" s="2883">
        <v>99</v>
      </c>
      <c r="P116" s="2884" t="s">
        <v>173</v>
      </c>
      <c r="Q116" s="2884"/>
      <c r="R116" s="2885"/>
      <c r="S116" s="2883">
        <v>99</v>
      </c>
      <c r="T116" s="2884" t="s">
        <v>154</v>
      </c>
      <c r="U116" s="2884"/>
      <c r="V116" s="2793"/>
      <c r="W116" s="2792"/>
      <c r="X116" s="2793"/>
      <c r="Y116" s="2884"/>
      <c r="Z116" s="2885"/>
      <c r="AA116" s="2792"/>
      <c r="AB116" s="2793"/>
      <c r="AC116" s="2884"/>
      <c r="AD116" s="2885"/>
      <c r="AE116" s="2886">
        <v>28</v>
      </c>
      <c r="AF116" s="2884"/>
      <c r="AG116" s="2884"/>
      <c r="AH116" s="2793"/>
      <c r="AI116" s="2887"/>
    </row>
    <row r="117" spans="1:35" ht="22.15" customHeight="1" thickBot="1" x14ac:dyDescent="0.25">
      <c r="A117" s="173"/>
      <c r="B117" s="2888" t="s">
        <v>174</v>
      </c>
      <c r="C117" s="2889" t="s">
        <v>175</v>
      </c>
      <c r="D117" s="2890" t="s">
        <v>176</v>
      </c>
      <c r="E117" s="2891"/>
      <c r="F117" s="2757"/>
      <c r="G117" s="2889" t="s">
        <v>175</v>
      </c>
      <c r="H117" s="2890" t="s">
        <v>176</v>
      </c>
      <c r="I117" s="2755"/>
      <c r="J117" s="2891"/>
      <c r="K117" s="2889" t="s">
        <v>175</v>
      </c>
      <c r="L117" s="2890" t="s">
        <v>176</v>
      </c>
      <c r="M117" s="2891"/>
      <c r="N117" s="2892"/>
      <c r="O117" s="2889" t="s">
        <v>175</v>
      </c>
      <c r="P117" s="2890" t="s">
        <v>176</v>
      </c>
      <c r="Q117" s="2891"/>
      <c r="R117" s="2890"/>
      <c r="S117" s="2889" t="s">
        <v>175</v>
      </c>
      <c r="T117" s="2759" t="s">
        <v>177</v>
      </c>
      <c r="U117" s="2890"/>
      <c r="V117" s="2892"/>
      <c r="W117" s="2891"/>
      <c r="X117" s="2890"/>
      <c r="Y117" s="2890"/>
      <c r="Z117" s="2890"/>
      <c r="AA117" s="2893"/>
      <c r="AB117" s="2894"/>
      <c r="AC117" s="2890"/>
      <c r="AD117" s="2895"/>
      <c r="AE117" s="2890"/>
      <c r="AF117" s="2890"/>
      <c r="AG117" s="2890"/>
      <c r="AH117" s="2896"/>
      <c r="AI117" s="2897"/>
    </row>
    <row r="118" spans="1:35" ht="22.15" customHeight="1" x14ac:dyDescent="0.2">
      <c r="A118" s="108"/>
      <c r="B118" s="173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4"/>
      <c r="AI118" s="174"/>
    </row>
    <row r="119" spans="1:35" ht="22.15" customHeight="1" thickBot="1" x14ac:dyDescent="0.25">
      <c r="A119" s="2822"/>
      <c r="B119" s="2764" t="s">
        <v>29</v>
      </c>
      <c r="C119" s="2710">
        <v>1</v>
      </c>
      <c r="D119" s="2710">
        <v>2</v>
      </c>
      <c r="E119" s="2710">
        <v>3</v>
      </c>
      <c r="F119" s="2710">
        <v>4</v>
      </c>
      <c r="G119" s="2710">
        <v>5</v>
      </c>
      <c r="H119" s="2711">
        <v>6</v>
      </c>
      <c r="I119" s="2711">
        <v>7</v>
      </c>
      <c r="J119" s="2710">
        <v>8</v>
      </c>
      <c r="K119" s="2710">
        <v>9</v>
      </c>
      <c r="L119" s="2710">
        <v>10</v>
      </c>
      <c r="M119" s="2710">
        <v>11</v>
      </c>
      <c r="N119" s="2710">
        <v>12</v>
      </c>
      <c r="O119" s="2711">
        <v>13</v>
      </c>
      <c r="P119" s="2711">
        <v>14</v>
      </c>
      <c r="Q119" s="2710">
        <v>15</v>
      </c>
      <c r="R119" s="2710">
        <v>16</v>
      </c>
      <c r="S119" s="2710">
        <v>17</v>
      </c>
      <c r="T119" s="2710">
        <v>18</v>
      </c>
      <c r="U119" s="2710">
        <v>19</v>
      </c>
      <c r="V119" s="2711">
        <v>20</v>
      </c>
      <c r="W119" s="2711">
        <v>21</v>
      </c>
      <c r="X119" s="2710">
        <v>22</v>
      </c>
      <c r="Y119" s="2710">
        <v>23</v>
      </c>
      <c r="Z119" s="2710">
        <v>24</v>
      </c>
      <c r="AA119" s="2710">
        <v>25</v>
      </c>
      <c r="AB119" s="2710">
        <v>26</v>
      </c>
      <c r="AC119" s="2711">
        <v>27</v>
      </c>
      <c r="AD119" s="2711">
        <v>28</v>
      </c>
      <c r="AE119" s="2710">
        <v>29</v>
      </c>
      <c r="AF119" s="2710">
        <v>30</v>
      </c>
      <c r="AG119" s="2712">
        <v>31</v>
      </c>
      <c r="AH119" s="184"/>
      <c r="AI119" s="185"/>
    </row>
    <row r="120" spans="1:35" ht="22.15" customHeight="1" x14ac:dyDescent="0.2">
      <c r="A120" s="521">
        <v>1</v>
      </c>
      <c r="B120" s="522" t="s">
        <v>178</v>
      </c>
      <c r="C120" s="477">
        <v>99</v>
      </c>
      <c r="D120" s="477">
        <v>99</v>
      </c>
      <c r="E120" s="458">
        <v>99</v>
      </c>
      <c r="F120" s="458">
        <v>99</v>
      </c>
      <c r="G120" s="459" t="s">
        <v>35</v>
      </c>
      <c r="H120" s="477"/>
      <c r="I120" s="459"/>
      <c r="J120" s="459" t="s">
        <v>175</v>
      </c>
      <c r="K120" s="477" t="s">
        <v>175</v>
      </c>
      <c r="L120" s="459" t="s">
        <v>175</v>
      </c>
      <c r="M120" s="458" t="s">
        <v>175</v>
      </c>
      <c r="N120" s="477" t="s">
        <v>175</v>
      </c>
      <c r="O120" s="477"/>
      <c r="P120" s="477"/>
      <c r="Q120" s="477">
        <v>69</v>
      </c>
      <c r="R120" s="477">
        <v>69</v>
      </c>
      <c r="S120" s="458">
        <v>69</v>
      </c>
      <c r="T120" s="458">
        <v>69</v>
      </c>
      <c r="U120" s="477">
        <v>69</v>
      </c>
      <c r="V120" s="477"/>
      <c r="W120" s="477"/>
      <c r="X120" s="477">
        <v>79</v>
      </c>
      <c r="Y120" s="477">
        <v>79</v>
      </c>
      <c r="Z120" s="477">
        <v>79</v>
      </c>
      <c r="AA120" s="459">
        <v>79</v>
      </c>
      <c r="AB120" s="477">
        <v>79</v>
      </c>
      <c r="AC120" s="477"/>
      <c r="AD120" s="477"/>
      <c r="AE120" s="459">
        <v>89</v>
      </c>
      <c r="AF120" s="459">
        <v>89</v>
      </c>
      <c r="AG120" s="478">
        <v>89</v>
      </c>
      <c r="AH120" s="215"/>
      <c r="AI120" s="107"/>
    </row>
    <row r="121" spans="1:35" ht="22.15" customHeight="1" x14ac:dyDescent="0.2">
      <c r="A121" s="2898">
        <v>2</v>
      </c>
      <c r="B121" s="2824" t="s">
        <v>179</v>
      </c>
      <c r="C121" s="2722" t="s">
        <v>175</v>
      </c>
      <c r="D121" s="2775" t="s">
        <v>175</v>
      </c>
      <c r="E121" s="2721" t="s">
        <v>175</v>
      </c>
      <c r="F121" s="2721" t="s">
        <v>175</v>
      </c>
      <c r="G121" s="2775" t="s">
        <v>175</v>
      </c>
      <c r="H121" s="2775"/>
      <c r="I121" s="2775"/>
      <c r="J121" s="2775">
        <v>69</v>
      </c>
      <c r="K121" s="2775">
        <v>69</v>
      </c>
      <c r="L121" s="2721">
        <v>69</v>
      </c>
      <c r="M121" s="2721">
        <v>69</v>
      </c>
      <c r="N121" s="2775">
        <v>69</v>
      </c>
      <c r="O121" s="2775"/>
      <c r="P121" s="2775"/>
      <c r="Q121" s="2775">
        <v>79</v>
      </c>
      <c r="R121" s="2722">
        <v>79</v>
      </c>
      <c r="S121" s="2775">
        <v>79</v>
      </c>
      <c r="T121" s="2721">
        <v>79</v>
      </c>
      <c r="U121" s="2775">
        <v>79</v>
      </c>
      <c r="V121" s="2775"/>
      <c r="W121" s="2775"/>
      <c r="X121" s="2767">
        <v>89</v>
      </c>
      <c r="Y121" s="2767">
        <v>89</v>
      </c>
      <c r="Z121" s="2767">
        <v>89</v>
      </c>
      <c r="AA121" s="2767">
        <v>89</v>
      </c>
      <c r="AB121" s="2767">
        <v>89</v>
      </c>
      <c r="AC121" s="2767">
        <v>89</v>
      </c>
      <c r="AD121" s="2767"/>
      <c r="AE121" s="2722">
        <v>99</v>
      </c>
      <c r="AF121" s="2775">
        <v>99</v>
      </c>
      <c r="AG121" s="2899">
        <v>99</v>
      </c>
      <c r="AH121" s="216"/>
      <c r="AI121" s="172"/>
    </row>
    <row r="122" spans="1:35" ht="22.15" customHeight="1" x14ac:dyDescent="0.2">
      <c r="A122" s="2898">
        <v>3</v>
      </c>
      <c r="B122" s="2824" t="s">
        <v>121</v>
      </c>
      <c r="C122" s="2900">
        <v>69</v>
      </c>
      <c r="D122" s="2900">
        <v>69</v>
      </c>
      <c r="E122" s="2900">
        <v>69</v>
      </c>
      <c r="F122" s="2900">
        <v>69</v>
      </c>
      <c r="G122" s="2900">
        <v>69</v>
      </c>
      <c r="H122" s="2900"/>
      <c r="I122" s="2900"/>
      <c r="J122" s="2900">
        <v>79</v>
      </c>
      <c r="K122" s="2900">
        <v>79</v>
      </c>
      <c r="L122" s="2900">
        <v>79</v>
      </c>
      <c r="M122" s="2900">
        <v>79</v>
      </c>
      <c r="N122" s="2900">
        <v>79</v>
      </c>
      <c r="O122" s="2900"/>
      <c r="P122" s="2900"/>
      <c r="Q122" s="2900">
        <v>89</v>
      </c>
      <c r="R122" s="2900">
        <v>89</v>
      </c>
      <c r="S122" s="2900">
        <v>89</v>
      </c>
      <c r="T122" s="2900">
        <v>89</v>
      </c>
      <c r="U122" s="2900">
        <v>89</v>
      </c>
      <c r="V122" s="2900">
        <v>89</v>
      </c>
      <c r="W122" s="2900"/>
      <c r="X122" s="2900">
        <v>99</v>
      </c>
      <c r="Y122" s="2900">
        <v>99</v>
      </c>
      <c r="Z122" s="2900">
        <v>99</v>
      </c>
      <c r="AA122" s="2900">
        <v>99</v>
      </c>
      <c r="AB122" s="2900" t="s">
        <v>35</v>
      </c>
      <c r="AC122" s="2900"/>
      <c r="AD122" s="2900"/>
      <c r="AE122" s="2901" t="s">
        <v>175</v>
      </c>
      <c r="AF122" s="2901" t="s">
        <v>175</v>
      </c>
      <c r="AG122" s="2902" t="s">
        <v>175</v>
      </c>
      <c r="AH122" s="215"/>
      <c r="AI122" s="107"/>
    </row>
    <row r="123" spans="1:35" ht="22.15" customHeight="1" x14ac:dyDescent="0.2">
      <c r="A123" s="2898">
        <v>4</v>
      </c>
      <c r="B123" s="2824" t="s">
        <v>254</v>
      </c>
      <c r="C123" s="2828">
        <v>79</v>
      </c>
      <c r="D123" s="2828">
        <v>79</v>
      </c>
      <c r="E123" s="2828">
        <v>79</v>
      </c>
      <c r="F123" s="2721">
        <v>79</v>
      </c>
      <c r="G123" s="2721">
        <v>79</v>
      </c>
      <c r="H123" s="2721"/>
      <c r="I123" s="2721"/>
      <c r="J123" s="2721">
        <v>89</v>
      </c>
      <c r="K123" s="2775">
        <v>89</v>
      </c>
      <c r="L123" s="2721">
        <v>89</v>
      </c>
      <c r="M123" s="2721">
        <v>89</v>
      </c>
      <c r="N123" s="2721">
        <v>89</v>
      </c>
      <c r="O123" s="2721">
        <v>89</v>
      </c>
      <c r="P123" s="2721"/>
      <c r="Q123" s="2828">
        <v>99</v>
      </c>
      <c r="R123" s="2828">
        <v>99</v>
      </c>
      <c r="S123" s="2721">
        <v>99</v>
      </c>
      <c r="T123" s="2721">
        <v>99</v>
      </c>
      <c r="U123" s="2721" t="s">
        <v>35</v>
      </c>
      <c r="V123" s="2721"/>
      <c r="W123" s="2721"/>
      <c r="X123" s="2721" t="s">
        <v>175</v>
      </c>
      <c r="Y123" s="2828" t="s">
        <v>175</v>
      </c>
      <c r="Z123" s="2805" t="s">
        <v>175</v>
      </c>
      <c r="AA123" s="2721" t="s">
        <v>181</v>
      </c>
      <c r="AB123" s="2721" t="s">
        <v>181</v>
      </c>
      <c r="AC123" s="2721"/>
      <c r="AD123" s="2721"/>
      <c r="AE123" s="2721">
        <v>69</v>
      </c>
      <c r="AF123" s="2828">
        <v>69</v>
      </c>
      <c r="AG123" s="2903">
        <v>69</v>
      </c>
      <c r="AH123" s="215"/>
      <c r="AI123" s="107"/>
    </row>
    <row r="124" spans="1:35" ht="22.15" customHeight="1" thickBot="1" x14ac:dyDescent="0.25">
      <c r="A124" s="2904">
        <v>5</v>
      </c>
      <c r="B124" s="2905" t="s">
        <v>182</v>
      </c>
      <c r="C124" s="2906">
        <v>89</v>
      </c>
      <c r="D124" s="2906">
        <v>89</v>
      </c>
      <c r="E124" s="2906">
        <v>89</v>
      </c>
      <c r="F124" s="2710">
        <v>89</v>
      </c>
      <c r="G124" s="2771">
        <v>89</v>
      </c>
      <c r="H124" s="2771">
        <v>89</v>
      </c>
      <c r="I124" s="2771"/>
      <c r="J124" s="2771">
        <v>99</v>
      </c>
      <c r="K124" s="2771">
        <v>99</v>
      </c>
      <c r="L124" s="2710">
        <v>99</v>
      </c>
      <c r="M124" s="2710">
        <v>99</v>
      </c>
      <c r="N124" s="2906" t="s">
        <v>35</v>
      </c>
      <c r="O124" s="2906"/>
      <c r="P124" s="2906"/>
      <c r="Q124" s="2906" t="s">
        <v>175</v>
      </c>
      <c r="R124" s="2906" t="s">
        <v>175</v>
      </c>
      <c r="S124" s="2710" t="s">
        <v>175</v>
      </c>
      <c r="T124" s="2907" t="s">
        <v>175</v>
      </c>
      <c r="U124" s="2906" t="s">
        <v>175</v>
      </c>
      <c r="V124" s="2906"/>
      <c r="W124" s="2906"/>
      <c r="X124" s="2906">
        <v>69</v>
      </c>
      <c r="Y124" s="2906">
        <v>69</v>
      </c>
      <c r="Z124" s="2908">
        <v>69</v>
      </c>
      <c r="AA124" s="2908">
        <v>69</v>
      </c>
      <c r="AB124" s="2906">
        <v>69</v>
      </c>
      <c r="AC124" s="2906"/>
      <c r="AD124" s="2906"/>
      <c r="AE124" s="2906">
        <v>79</v>
      </c>
      <c r="AF124" s="2906">
        <v>79</v>
      </c>
      <c r="AG124" s="2909">
        <v>79</v>
      </c>
      <c r="AH124" s="215"/>
      <c r="AI124" s="107"/>
    </row>
    <row r="125" spans="1:35" ht="22.15" customHeight="1" x14ac:dyDescent="0.2">
      <c r="A125" s="256"/>
      <c r="B125" s="257"/>
      <c r="C125" s="258"/>
      <c r="D125" s="258"/>
      <c r="E125" s="258"/>
      <c r="F125" s="229"/>
      <c r="G125" s="255"/>
      <c r="H125" s="255"/>
      <c r="I125" s="255"/>
      <c r="J125" s="255"/>
      <c r="K125" s="255"/>
      <c r="L125" s="229"/>
      <c r="M125" s="229"/>
      <c r="N125" s="258"/>
      <c r="O125" s="258"/>
      <c r="P125" s="258"/>
      <c r="Q125" s="258"/>
      <c r="R125" s="258"/>
      <c r="S125" s="229"/>
      <c r="T125" s="259"/>
      <c r="U125" s="258"/>
      <c r="V125" s="258"/>
      <c r="W125" s="258"/>
      <c r="X125" s="258"/>
      <c r="Y125" s="258"/>
      <c r="Z125" s="260"/>
      <c r="AA125" s="260"/>
      <c r="AB125" s="258"/>
      <c r="AC125" s="258"/>
      <c r="AD125" s="258"/>
      <c r="AE125" s="258"/>
      <c r="AF125" s="258"/>
      <c r="AG125" s="260"/>
      <c r="AH125" s="215"/>
      <c r="AI125" s="107"/>
    </row>
    <row r="126" spans="1:35" ht="22.15" customHeight="1" x14ac:dyDescent="0.2">
      <c r="A126" s="109"/>
      <c r="B126" s="110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7"/>
      <c r="AI126" s="107"/>
    </row>
    <row r="127" spans="1:35" ht="22.15" customHeight="1" thickBot="1" x14ac:dyDescent="0.25">
      <c r="A127" s="173" t="s">
        <v>183</v>
      </c>
      <c r="B127" s="174"/>
      <c r="C127" s="174"/>
      <c r="D127" s="175"/>
      <c r="E127" s="175"/>
      <c r="F127" s="175"/>
      <c r="G127" s="10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4"/>
      <c r="AI127" s="174"/>
    </row>
    <row r="128" spans="1:35" ht="22.15" customHeight="1" x14ac:dyDescent="0.2">
      <c r="A128" s="173"/>
      <c r="B128" s="304" t="s">
        <v>167</v>
      </c>
      <c r="C128" s="515"/>
      <c r="D128" s="516" t="s">
        <v>90</v>
      </c>
      <c r="E128" s="517"/>
      <c r="F128" s="518"/>
      <c r="G128" s="515"/>
      <c r="H128" s="516" t="s">
        <v>91</v>
      </c>
      <c r="I128" s="517"/>
      <c r="J128" s="518"/>
      <c r="K128" s="515"/>
      <c r="L128" s="516" t="s">
        <v>92</v>
      </c>
      <c r="M128" s="517"/>
      <c r="N128" s="518"/>
      <c r="O128" s="515"/>
      <c r="P128" s="516" t="s">
        <v>93</v>
      </c>
      <c r="Q128" s="517"/>
      <c r="R128" s="518"/>
      <c r="S128" s="515"/>
      <c r="T128" s="516" t="s">
        <v>94</v>
      </c>
      <c r="U128" s="517"/>
      <c r="V128" s="518"/>
      <c r="W128" s="515"/>
      <c r="X128" s="516" t="s">
        <v>95</v>
      </c>
      <c r="Y128" s="517"/>
      <c r="Z128" s="518"/>
      <c r="AA128" s="515"/>
      <c r="AB128" s="516" t="s">
        <v>96</v>
      </c>
      <c r="AC128" s="517"/>
      <c r="AD128" s="517"/>
      <c r="AE128" s="519" t="s">
        <v>97</v>
      </c>
      <c r="AF128" s="517"/>
      <c r="AG128" s="517"/>
      <c r="AH128" s="517"/>
      <c r="AI128" s="520"/>
    </row>
    <row r="129" spans="1:35" ht="22.15" customHeight="1" x14ac:dyDescent="0.2">
      <c r="A129" s="173"/>
      <c r="B129" s="2875" t="s">
        <v>184</v>
      </c>
      <c r="C129" s="2790" t="s">
        <v>185</v>
      </c>
      <c r="D129" s="2877"/>
      <c r="E129" s="2877"/>
      <c r="F129" s="2878"/>
      <c r="G129" s="2790" t="s">
        <v>185</v>
      </c>
      <c r="H129" s="2877"/>
      <c r="I129" s="2877"/>
      <c r="J129" s="2878"/>
      <c r="K129" s="2790" t="s">
        <v>185</v>
      </c>
      <c r="L129" s="2877"/>
      <c r="M129" s="2877"/>
      <c r="N129" s="2878"/>
      <c r="O129" s="2790" t="s">
        <v>185</v>
      </c>
      <c r="P129" s="2877"/>
      <c r="Q129" s="2877"/>
      <c r="R129" s="2878"/>
      <c r="S129" s="2790" t="s">
        <v>185</v>
      </c>
      <c r="T129" s="2877"/>
      <c r="U129" s="2877"/>
      <c r="V129" s="2878"/>
      <c r="W129" s="2790" t="s">
        <v>186</v>
      </c>
      <c r="X129" s="2879"/>
      <c r="Y129" s="2879"/>
      <c r="Z129" s="2880"/>
      <c r="AA129" s="2790" t="s">
        <v>186</v>
      </c>
      <c r="AB129" s="2877"/>
      <c r="AC129" s="2877"/>
      <c r="AD129" s="2791"/>
      <c r="AE129" s="2881">
        <v>68</v>
      </c>
      <c r="AF129" s="208"/>
      <c r="AG129" s="208"/>
      <c r="AH129" s="208"/>
      <c r="AI129" s="209"/>
    </row>
    <row r="130" spans="1:35" ht="22.15" customHeight="1" x14ac:dyDescent="0.2">
      <c r="A130" s="173"/>
      <c r="B130" s="2875" t="s">
        <v>143</v>
      </c>
      <c r="C130" s="2790" t="s">
        <v>154</v>
      </c>
      <c r="D130" s="2877"/>
      <c r="E130" s="2877"/>
      <c r="F130" s="2878"/>
      <c r="G130" s="2790" t="s">
        <v>154</v>
      </c>
      <c r="H130" s="2877"/>
      <c r="I130" s="2877"/>
      <c r="J130" s="2878"/>
      <c r="K130" s="2790" t="s">
        <v>154</v>
      </c>
      <c r="L130" s="2877"/>
      <c r="M130" s="2877"/>
      <c r="N130" s="2878"/>
      <c r="O130" s="2790" t="s">
        <v>154</v>
      </c>
      <c r="P130" s="2877"/>
      <c r="Q130" s="2877"/>
      <c r="R130" s="2878"/>
      <c r="S130" s="2790" t="s">
        <v>154</v>
      </c>
      <c r="T130" s="2877"/>
      <c r="U130" s="2877"/>
      <c r="V130" s="2878"/>
      <c r="W130" s="2790" t="s">
        <v>154</v>
      </c>
      <c r="X130" s="2877"/>
      <c r="Y130" s="2877"/>
      <c r="Z130" s="2878"/>
      <c r="AA130" s="2877" t="s">
        <v>154</v>
      </c>
      <c r="AB130" s="2877"/>
      <c r="AC130" s="2877"/>
      <c r="AD130" s="2791"/>
      <c r="AE130" s="2881">
        <v>0</v>
      </c>
      <c r="AF130" s="208"/>
      <c r="AG130" s="208"/>
      <c r="AH130" s="208"/>
      <c r="AI130" s="209"/>
    </row>
    <row r="131" spans="1:35" ht="22.15" customHeight="1" x14ac:dyDescent="0.2">
      <c r="A131" s="173"/>
      <c r="B131" s="2875" t="s">
        <v>187</v>
      </c>
      <c r="C131" s="2790" t="s">
        <v>185</v>
      </c>
      <c r="D131" s="2877"/>
      <c r="E131" s="2877"/>
      <c r="F131" s="2878"/>
      <c r="G131" s="2790" t="s">
        <v>185</v>
      </c>
      <c r="H131" s="2877"/>
      <c r="I131" s="2877"/>
      <c r="J131" s="2878"/>
      <c r="K131" s="2790" t="s">
        <v>185</v>
      </c>
      <c r="L131" s="2877"/>
      <c r="M131" s="2877"/>
      <c r="N131" s="2878"/>
      <c r="O131" s="2790" t="s">
        <v>185</v>
      </c>
      <c r="P131" s="2877"/>
      <c r="Q131" s="2877"/>
      <c r="R131" s="2878"/>
      <c r="S131" s="2790" t="s">
        <v>185</v>
      </c>
      <c r="T131" s="2877"/>
      <c r="U131" s="2877"/>
      <c r="V131" s="2878"/>
      <c r="W131" s="2790" t="s">
        <v>186</v>
      </c>
      <c r="X131" s="2879"/>
      <c r="Y131" s="2879"/>
      <c r="Z131" s="2880"/>
      <c r="AA131" s="2790" t="s">
        <v>186</v>
      </c>
      <c r="AB131" s="2877"/>
      <c r="AC131" s="2877"/>
      <c r="AD131" s="2791"/>
      <c r="AE131" s="2881">
        <v>68</v>
      </c>
      <c r="AF131" s="2877"/>
      <c r="AG131" s="2877" t="s">
        <v>0</v>
      </c>
      <c r="AH131" s="2791"/>
      <c r="AI131" s="2882"/>
    </row>
    <row r="132" spans="1:35" ht="22.15" customHeight="1" x14ac:dyDescent="0.2">
      <c r="A132" s="173"/>
      <c r="B132" s="2875" t="s">
        <v>155</v>
      </c>
      <c r="C132" s="2790" t="s">
        <v>154</v>
      </c>
      <c r="D132" s="2877"/>
      <c r="E132" s="2877"/>
      <c r="F132" s="2878"/>
      <c r="G132" s="2790" t="s">
        <v>154</v>
      </c>
      <c r="H132" s="2877"/>
      <c r="I132" s="2877"/>
      <c r="J132" s="2878"/>
      <c r="K132" s="2790" t="s">
        <v>154</v>
      </c>
      <c r="L132" s="2877"/>
      <c r="M132" s="2877"/>
      <c r="N132" s="2878"/>
      <c r="O132" s="2790" t="s">
        <v>154</v>
      </c>
      <c r="P132" s="2877"/>
      <c r="Q132" s="2877"/>
      <c r="R132" s="2878"/>
      <c r="S132" s="2790" t="s">
        <v>154</v>
      </c>
      <c r="T132" s="2877"/>
      <c r="U132" s="2877"/>
      <c r="V132" s="2878"/>
      <c r="W132" s="2790" t="s">
        <v>154</v>
      </c>
      <c r="X132" s="2877"/>
      <c r="Y132" s="2877"/>
      <c r="Z132" s="2878"/>
      <c r="AA132" s="2877" t="s">
        <v>154</v>
      </c>
      <c r="AB132" s="2877"/>
      <c r="AC132" s="2877"/>
      <c r="AD132" s="2791"/>
      <c r="AE132" s="2881">
        <v>0</v>
      </c>
      <c r="AF132" s="2877"/>
      <c r="AG132" s="2877"/>
      <c r="AH132" s="2791"/>
      <c r="AI132" s="2882"/>
    </row>
    <row r="133" spans="1:35" ht="22.15" customHeight="1" x14ac:dyDescent="0.2">
      <c r="A133" s="173"/>
      <c r="B133" s="2875" t="s">
        <v>188</v>
      </c>
      <c r="C133" s="2790" t="s">
        <v>185</v>
      </c>
      <c r="D133" s="2877"/>
      <c r="E133" s="2877"/>
      <c r="F133" s="2878"/>
      <c r="G133" s="2790" t="s">
        <v>185</v>
      </c>
      <c r="H133" s="2877"/>
      <c r="I133" s="2877"/>
      <c r="J133" s="2878"/>
      <c r="K133" s="2790" t="s">
        <v>185</v>
      </c>
      <c r="L133" s="2877"/>
      <c r="M133" s="2877"/>
      <c r="N133" s="2878"/>
      <c r="O133" s="2790" t="s">
        <v>185</v>
      </c>
      <c r="P133" s="2877"/>
      <c r="Q133" s="2877"/>
      <c r="R133" s="2878"/>
      <c r="S133" s="2790" t="s">
        <v>185</v>
      </c>
      <c r="T133" s="2877"/>
      <c r="U133" s="2877"/>
      <c r="V133" s="2878"/>
      <c r="W133" s="2790" t="s">
        <v>189</v>
      </c>
      <c r="X133" s="2884"/>
      <c r="Y133" s="2884"/>
      <c r="Z133" s="2885"/>
      <c r="AA133" s="2790" t="s">
        <v>189</v>
      </c>
      <c r="AB133" s="2884"/>
      <c r="AC133" s="2884"/>
      <c r="AD133" s="2793"/>
      <c r="AE133" s="2881">
        <v>68</v>
      </c>
      <c r="AF133" s="2877"/>
      <c r="AG133" s="2877"/>
      <c r="AH133" s="2791"/>
      <c r="AI133" s="2882"/>
    </row>
    <row r="134" spans="1:35" ht="22.15" customHeight="1" thickBot="1" x14ac:dyDescent="0.25">
      <c r="A134" s="173"/>
      <c r="B134" s="2875" t="s">
        <v>190</v>
      </c>
      <c r="C134" s="2910" t="s">
        <v>154</v>
      </c>
      <c r="D134" s="2911"/>
      <c r="E134" s="2911"/>
      <c r="F134" s="2912"/>
      <c r="G134" s="2910" t="s">
        <v>154</v>
      </c>
      <c r="H134" s="2911"/>
      <c r="I134" s="2911"/>
      <c r="J134" s="2912"/>
      <c r="K134" s="2910" t="s">
        <v>154</v>
      </c>
      <c r="L134" s="2911"/>
      <c r="M134" s="2911"/>
      <c r="N134" s="2912"/>
      <c r="O134" s="2910" t="s">
        <v>154</v>
      </c>
      <c r="P134" s="2911"/>
      <c r="Q134" s="2911"/>
      <c r="R134" s="2912"/>
      <c r="S134" s="2910" t="s">
        <v>154</v>
      </c>
      <c r="T134" s="2911"/>
      <c r="U134" s="2911"/>
      <c r="V134" s="2896"/>
      <c r="W134" s="2910" t="s">
        <v>154</v>
      </c>
      <c r="X134" s="2896"/>
      <c r="Y134" s="2911"/>
      <c r="Z134" s="2912"/>
      <c r="AA134" s="2910" t="s">
        <v>154</v>
      </c>
      <c r="AB134" s="2896"/>
      <c r="AC134" s="2911"/>
      <c r="AD134" s="2912"/>
      <c r="AE134" s="2913" t="s">
        <v>191</v>
      </c>
      <c r="AF134" s="2911"/>
      <c r="AG134" s="2911"/>
      <c r="AH134" s="2896"/>
      <c r="AI134" s="2897"/>
    </row>
    <row r="135" spans="1:35" ht="22.15" customHeight="1" x14ac:dyDescent="0.2">
      <c r="A135" s="108"/>
      <c r="B135" s="173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4"/>
      <c r="AI135" s="174"/>
    </row>
    <row r="136" spans="1:35" ht="22.15" customHeight="1" thickBot="1" x14ac:dyDescent="0.25">
      <c r="A136" s="2822"/>
      <c r="B136" s="2709" t="s">
        <v>29</v>
      </c>
      <c r="C136" s="2710">
        <v>1</v>
      </c>
      <c r="D136" s="2710">
        <v>2</v>
      </c>
      <c r="E136" s="2710">
        <v>3</v>
      </c>
      <c r="F136" s="2710">
        <v>4</v>
      </c>
      <c r="G136" s="2710">
        <v>5</v>
      </c>
      <c r="H136" s="2711">
        <v>6</v>
      </c>
      <c r="I136" s="2711">
        <v>7</v>
      </c>
      <c r="J136" s="2710">
        <v>8</v>
      </c>
      <c r="K136" s="2710">
        <v>9</v>
      </c>
      <c r="L136" s="2710">
        <v>10</v>
      </c>
      <c r="M136" s="2710">
        <v>11</v>
      </c>
      <c r="N136" s="2710">
        <v>12</v>
      </c>
      <c r="O136" s="2711">
        <v>13</v>
      </c>
      <c r="P136" s="2711">
        <v>14</v>
      </c>
      <c r="Q136" s="2710">
        <v>15</v>
      </c>
      <c r="R136" s="2710">
        <v>16</v>
      </c>
      <c r="S136" s="2710">
        <v>17</v>
      </c>
      <c r="T136" s="2710">
        <v>18</v>
      </c>
      <c r="U136" s="2710">
        <v>19</v>
      </c>
      <c r="V136" s="2711">
        <v>20</v>
      </c>
      <c r="W136" s="2711">
        <v>21</v>
      </c>
      <c r="X136" s="2710">
        <v>22</v>
      </c>
      <c r="Y136" s="2710">
        <v>23</v>
      </c>
      <c r="Z136" s="2710">
        <v>24</v>
      </c>
      <c r="AA136" s="2710">
        <v>25</v>
      </c>
      <c r="AB136" s="2710">
        <v>26</v>
      </c>
      <c r="AC136" s="2711">
        <v>27</v>
      </c>
      <c r="AD136" s="2711">
        <v>28</v>
      </c>
      <c r="AE136" s="2710">
        <v>29</v>
      </c>
      <c r="AF136" s="2710">
        <v>30</v>
      </c>
      <c r="AG136" s="2712">
        <v>31</v>
      </c>
      <c r="AH136" s="184"/>
      <c r="AI136" s="185"/>
    </row>
    <row r="137" spans="1:35" ht="22.15" customHeight="1" x14ac:dyDescent="0.2">
      <c r="A137" s="408">
        <v>1</v>
      </c>
      <c r="B137" s="252" t="s">
        <v>192</v>
      </c>
      <c r="C137" s="380">
        <v>22</v>
      </c>
      <c r="D137" s="380">
        <v>22</v>
      </c>
      <c r="E137" s="380">
        <v>22</v>
      </c>
      <c r="F137" s="380">
        <v>22</v>
      </c>
      <c r="G137" s="390">
        <v>22</v>
      </c>
      <c r="H137" s="380">
        <v>22</v>
      </c>
      <c r="I137" s="385">
        <v>22</v>
      </c>
      <c r="J137" s="390" t="s">
        <v>35</v>
      </c>
      <c r="K137" s="380" t="s">
        <v>35</v>
      </c>
      <c r="L137" s="385" t="s">
        <v>35</v>
      </c>
      <c r="M137" s="390" t="s">
        <v>35</v>
      </c>
      <c r="N137" s="390" t="s">
        <v>35</v>
      </c>
      <c r="O137" s="380"/>
      <c r="P137" s="380"/>
      <c r="Q137" s="380">
        <v>23</v>
      </c>
      <c r="R137" s="380">
        <v>23</v>
      </c>
      <c r="S137" s="380">
        <v>23</v>
      </c>
      <c r="T137" s="380">
        <v>23</v>
      </c>
      <c r="U137" s="380">
        <v>23</v>
      </c>
      <c r="V137" s="380">
        <v>23</v>
      </c>
      <c r="W137" s="385">
        <v>23</v>
      </c>
      <c r="X137" s="380" t="s">
        <v>35</v>
      </c>
      <c r="Y137" s="380" t="s">
        <v>35</v>
      </c>
      <c r="Z137" s="385" t="s">
        <v>35</v>
      </c>
      <c r="AA137" s="380" t="s">
        <v>35</v>
      </c>
      <c r="AB137" s="380" t="s">
        <v>35</v>
      </c>
      <c r="AC137" s="380"/>
      <c r="AD137" s="380"/>
      <c r="AE137" s="380">
        <v>21</v>
      </c>
      <c r="AF137" s="380">
        <v>21</v>
      </c>
      <c r="AG137" s="387">
        <v>21</v>
      </c>
      <c r="AH137" s="107"/>
      <c r="AI137" s="107"/>
    </row>
    <row r="138" spans="1:35" ht="22.15" customHeight="1" x14ac:dyDescent="0.2">
      <c r="A138" s="2544">
        <v>2</v>
      </c>
      <c r="B138" s="2545" t="s">
        <v>193</v>
      </c>
      <c r="C138" s="2735">
        <v>23</v>
      </c>
      <c r="D138" s="2735">
        <v>23</v>
      </c>
      <c r="E138" s="2735">
        <v>23</v>
      </c>
      <c r="F138" s="2735">
        <v>23</v>
      </c>
      <c r="G138" s="2735">
        <v>23</v>
      </c>
      <c r="H138" s="2735">
        <v>23</v>
      </c>
      <c r="I138" s="2817">
        <v>23</v>
      </c>
      <c r="J138" s="2735" t="s">
        <v>35</v>
      </c>
      <c r="K138" s="2735" t="s">
        <v>35</v>
      </c>
      <c r="L138" s="2817" t="s">
        <v>35</v>
      </c>
      <c r="M138" s="2736" t="s">
        <v>35</v>
      </c>
      <c r="N138" s="2736" t="s">
        <v>35</v>
      </c>
      <c r="O138" s="2736"/>
      <c r="P138" s="2736"/>
      <c r="Q138" s="2736">
        <v>21</v>
      </c>
      <c r="R138" s="2736">
        <v>21</v>
      </c>
      <c r="S138" s="2736">
        <v>21</v>
      </c>
      <c r="T138" s="2736">
        <v>21</v>
      </c>
      <c r="U138" s="2736">
        <v>21</v>
      </c>
      <c r="V138" s="2736">
        <v>21</v>
      </c>
      <c r="W138" s="2817">
        <v>21</v>
      </c>
      <c r="X138" s="2735" t="s">
        <v>35</v>
      </c>
      <c r="Y138" s="2735" t="s">
        <v>35</v>
      </c>
      <c r="Z138" s="2817" t="s">
        <v>35</v>
      </c>
      <c r="AA138" s="2736" t="s">
        <v>35</v>
      </c>
      <c r="AB138" s="2736" t="s">
        <v>35</v>
      </c>
      <c r="AC138" s="2736"/>
      <c r="AD138" s="2736"/>
      <c r="AE138" s="2736">
        <v>22</v>
      </c>
      <c r="AF138" s="2736">
        <v>22</v>
      </c>
      <c r="AG138" s="2138">
        <v>22</v>
      </c>
      <c r="AH138" s="107"/>
      <c r="AI138" s="107"/>
    </row>
    <row r="139" spans="1:35" ht="22.15" customHeight="1" x14ac:dyDescent="0.2">
      <c r="A139" s="2544">
        <v>3</v>
      </c>
      <c r="B139" s="2545" t="s">
        <v>194</v>
      </c>
      <c r="C139" s="2735">
        <v>21</v>
      </c>
      <c r="D139" s="2735">
        <v>21</v>
      </c>
      <c r="E139" s="2735">
        <v>21</v>
      </c>
      <c r="F139" s="2735">
        <v>21</v>
      </c>
      <c r="G139" s="2736">
        <v>21</v>
      </c>
      <c r="H139" s="2736">
        <v>21</v>
      </c>
      <c r="I139" s="2817">
        <v>21</v>
      </c>
      <c r="J139" s="2735" t="s">
        <v>35</v>
      </c>
      <c r="K139" s="2735" t="s">
        <v>35</v>
      </c>
      <c r="L139" s="2817" t="s">
        <v>35</v>
      </c>
      <c r="M139" s="2735" t="s">
        <v>35</v>
      </c>
      <c r="N139" s="2735" t="s">
        <v>35</v>
      </c>
      <c r="O139" s="2735"/>
      <c r="P139" s="2735"/>
      <c r="Q139" s="2546">
        <v>22</v>
      </c>
      <c r="R139" s="2547">
        <v>22</v>
      </c>
      <c r="S139" s="2743">
        <v>22</v>
      </c>
      <c r="T139" s="2735">
        <v>22</v>
      </c>
      <c r="U139" s="2736">
        <v>22</v>
      </c>
      <c r="V139" s="2736">
        <v>22</v>
      </c>
      <c r="W139" s="2817">
        <v>22</v>
      </c>
      <c r="X139" s="2735" t="s">
        <v>35</v>
      </c>
      <c r="Y139" s="2735" t="s">
        <v>35</v>
      </c>
      <c r="Z139" s="2817" t="s">
        <v>35</v>
      </c>
      <c r="AA139" s="2735" t="s">
        <v>35</v>
      </c>
      <c r="AB139" s="2735" t="s">
        <v>35</v>
      </c>
      <c r="AC139" s="2735"/>
      <c r="AD139" s="2735"/>
      <c r="AE139" s="2735">
        <v>23</v>
      </c>
      <c r="AF139" s="2735">
        <v>23</v>
      </c>
      <c r="AG139" s="2138">
        <v>23</v>
      </c>
      <c r="AH139" s="107"/>
      <c r="AI139" s="107"/>
    </row>
    <row r="140" spans="1:35" ht="22.15" customHeight="1" x14ac:dyDescent="0.2">
      <c r="A140" s="2544">
        <v>4</v>
      </c>
      <c r="B140" s="2545" t="s">
        <v>195</v>
      </c>
      <c r="C140" s="2735" t="s">
        <v>35</v>
      </c>
      <c r="D140" s="2735" t="s">
        <v>35</v>
      </c>
      <c r="E140" s="2817" t="s">
        <v>35</v>
      </c>
      <c r="F140" s="2735" t="s">
        <v>35</v>
      </c>
      <c r="G140" s="2735" t="s">
        <v>35</v>
      </c>
      <c r="H140" s="2735"/>
      <c r="I140" s="2735"/>
      <c r="J140" s="2735">
        <v>22</v>
      </c>
      <c r="K140" s="2735">
        <v>22</v>
      </c>
      <c r="L140" s="2735">
        <v>22</v>
      </c>
      <c r="M140" s="2735">
        <v>22</v>
      </c>
      <c r="N140" s="2735">
        <v>22</v>
      </c>
      <c r="O140" s="2548">
        <v>22</v>
      </c>
      <c r="P140" s="2817">
        <v>22</v>
      </c>
      <c r="Q140" s="2735" t="s">
        <v>35</v>
      </c>
      <c r="R140" s="2735" t="s">
        <v>35</v>
      </c>
      <c r="S140" s="2817" t="s">
        <v>35</v>
      </c>
      <c r="T140" s="2735" t="s">
        <v>35</v>
      </c>
      <c r="U140" s="2735" t="s">
        <v>35</v>
      </c>
      <c r="V140" s="2735"/>
      <c r="W140" s="2735"/>
      <c r="X140" s="2735">
        <v>23</v>
      </c>
      <c r="Y140" s="2735">
        <v>23</v>
      </c>
      <c r="Z140" s="2735">
        <v>23</v>
      </c>
      <c r="AA140" s="2735">
        <v>23</v>
      </c>
      <c r="AB140" s="2735">
        <v>23</v>
      </c>
      <c r="AC140" s="2735">
        <v>23</v>
      </c>
      <c r="AD140" s="2817">
        <v>23</v>
      </c>
      <c r="AE140" s="2735" t="s">
        <v>35</v>
      </c>
      <c r="AF140" s="2735" t="s">
        <v>35</v>
      </c>
      <c r="AG140" s="2156" t="s">
        <v>35</v>
      </c>
      <c r="AH140" s="107"/>
      <c r="AI140" s="107"/>
    </row>
    <row r="141" spans="1:35" ht="22.15" customHeight="1" x14ac:dyDescent="0.2">
      <c r="A141" s="2544">
        <v>5</v>
      </c>
      <c r="B141" s="2545" t="s">
        <v>115</v>
      </c>
      <c r="C141" s="2735" t="s">
        <v>35</v>
      </c>
      <c r="D141" s="2735" t="s">
        <v>35</v>
      </c>
      <c r="E141" s="2817" t="s">
        <v>35</v>
      </c>
      <c r="F141" s="2736" t="s">
        <v>35</v>
      </c>
      <c r="G141" s="2735" t="s">
        <v>35</v>
      </c>
      <c r="H141" s="2734"/>
      <c r="I141" s="2546"/>
      <c r="J141" s="2546">
        <v>23</v>
      </c>
      <c r="K141" s="2546">
        <v>23</v>
      </c>
      <c r="L141" s="2546">
        <v>23</v>
      </c>
      <c r="M141" s="2735">
        <v>23</v>
      </c>
      <c r="N141" s="2735">
        <v>23</v>
      </c>
      <c r="O141" s="2735">
        <v>23</v>
      </c>
      <c r="P141" s="2817">
        <v>23</v>
      </c>
      <c r="Q141" s="2735" t="s">
        <v>35</v>
      </c>
      <c r="R141" s="2735" t="s">
        <v>35</v>
      </c>
      <c r="S141" s="2817" t="s">
        <v>35</v>
      </c>
      <c r="T141" s="2735" t="s">
        <v>35</v>
      </c>
      <c r="U141" s="2735" t="s">
        <v>35</v>
      </c>
      <c r="V141" s="2735"/>
      <c r="W141" s="2735"/>
      <c r="X141" s="2735">
        <v>21</v>
      </c>
      <c r="Y141" s="2735">
        <v>21</v>
      </c>
      <c r="Z141" s="2735">
        <v>21</v>
      </c>
      <c r="AA141" s="2735">
        <v>21</v>
      </c>
      <c r="AB141" s="2735">
        <v>21</v>
      </c>
      <c r="AC141" s="2736">
        <v>21</v>
      </c>
      <c r="AD141" s="2736">
        <v>21</v>
      </c>
      <c r="AE141" s="2736" t="s">
        <v>35</v>
      </c>
      <c r="AF141" s="2735" t="s">
        <v>35</v>
      </c>
      <c r="AG141" s="2156" t="s">
        <v>35</v>
      </c>
      <c r="AH141" s="107"/>
      <c r="AI141" s="107"/>
    </row>
    <row r="142" spans="1:35" ht="22.15" customHeight="1" thickBot="1" x14ac:dyDescent="0.25">
      <c r="A142" s="670">
        <v>6</v>
      </c>
      <c r="B142" s="671" t="s">
        <v>197</v>
      </c>
      <c r="C142" s="690" t="s">
        <v>35</v>
      </c>
      <c r="D142" s="690" t="s">
        <v>35</v>
      </c>
      <c r="E142" s="696" t="s">
        <v>35</v>
      </c>
      <c r="F142" s="690" t="s">
        <v>35</v>
      </c>
      <c r="G142" s="690" t="s">
        <v>35</v>
      </c>
      <c r="H142" s="680"/>
      <c r="I142" s="680"/>
      <c r="J142" s="680">
        <v>21</v>
      </c>
      <c r="K142" s="680">
        <v>21</v>
      </c>
      <c r="L142" s="680">
        <v>21</v>
      </c>
      <c r="M142" s="680">
        <v>21</v>
      </c>
      <c r="N142" s="676">
        <v>21</v>
      </c>
      <c r="O142" s="676">
        <v>21</v>
      </c>
      <c r="P142" s="696">
        <v>21</v>
      </c>
      <c r="Q142" s="690" t="s">
        <v>35</v>
      </c>
      <c r="R142" s="690" t="s">
        <v>35</v>
      </c>
      <c r="S142" s="696" t="s">
        <v>35</v>
      </c>
      <c r="T142" s="690" t="s">
        <v>35</v>
      </c>
      <c r="U142" s="690" t="s">
        <v>35</v>
      </c>
      <c r="V142" s="690"/>
      <c r="W142" s="690"/>
      <c r="X142" s="690">
        <v>22</v>
      </c>
      <c r="Y142" s="690">
        <v>22</v>
      </c>
      <c r="Z142" s="690">
        <v>22</v>
      </c>
      <c r="AA142" s="690">
        <v>22</v>
      </c>
      <c r="AB142" s="676">
        <v>22</v>
      </c>
      <c r="AC142" s="676">
        <v>22</v>
      </c>
      <c r="AD142" s="696">
        <v>22</v>
      </c>
      <c r="AE142" s="690" t="s">
        <v>35</v>
      </c>
      <c r="AF142" s="690" t="s">
        <v>35</v>
      </c>
      <c r="AG142" s="217" t="s">
        <v>35</v>
      </c>
      <c r="AH142" s="107"/>
      <c r="AI142" s="107"/>
    </row>
    <row r="143" spans="1:35" ht="22.15" customHeight="1" x14ac:dyDescent="0.2">
      <c r="A143" s="256"/>
      <c r="B143" s="228"/>
      <c r="C143" s="229"/>
      <c r="D143" s="229"/>
      <c r="E143" s="255"/>
      <c r="F143" s="229"/>
      <c r="G143" s="229"/>
      <c r="H143" s="261"/>
      <c r="I143" s="261"/>
      <c r="J143" s="261"/>
      <c r="K143" s="261"/>
      <c r="L143" s="261"/>
      <c r="M143" s="261"/>
      <c r="N143" s="216"/>
      <c r="O143" s="216"/>
      <c r="P143" s="255"/>
      <c r="Q143" s="229"/>
      <c r="R143" s="229"/>
      <c r="S143" s="255"/>
      <c r="T143" s="229"/>
      <c r="U143" s="229"/>
      <c r="V143" s="229"/>
      <c r="W143" s="229"/>
      <c r="X143" s="229"/>
      <c r="Y143" s="229"/>
      <c r="Z143" s="229"/>
      <c r="AA143" s="229"/>
      <c r="AB143" s="216"/>
      <c r="AC143" s="216"/>
      <c r="AD143" s="255"/>
      <c r="AE143" s="229"/>
      <c r="AF143" s="229"/>
      <c r="AG143" s="255"/>
      <c r="AH143" s="107"/>
      <c r="AI143" s="107"/>
    </row>
    <row r="144" spans="1:35" ht="22.15" customHeight="1" x14ac:dyDescent="0.2">
      <c r="A144" s="109"/>
      <c r="B144" s="110"/>
      <c r="C144" s="206"/>
      <c r="D144" s="206"/>
      <c r="E144" s="172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172"/>
      <c r="Q144" s="206"/>
      <c r="R144" s="206"/>
      <c r="S144" s="172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7"/>
      <c r="AD144" s="207"/>
      <c r="AE144" s="207"/>
      <c r="AF144" s="206"/>
      <c r="AG144" s="172"/>
      <c r="AH144" s="107"/>
      <c r="AI144" s="107"/>
    </row>
    <row r="145" spans="1:35" ht="22.15" customHeight="1" thickBot="1" x14ac:dyDescent="0.25">
      <c r="A145" s="162" t="s">
        <v>198</v>
      </c>
      <c r="D145" s="72"/>
      <c r="E145" s="72"/>
      <c r="F145" s="72"/>
      <c r="G145" s="105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</row>
    <row r="146" spans="1:35" ht="22.15" customHeight="1" x14ac:dyDescent="0.2">
      <c r="A146" s="1"/>
      <c r="B146" s="304" t="s">
        <v>167</v>
      </c>
      <c r="C146" s="500"/>
      <c r="D146" s="516" t="s">
        <v>90</v>
      </c>
      <c r="E146" s="473"/>
      <c r="F146" s="504"/>
      <c r="G146" s="500"/>
      <c r="H146" s="516" t="s">
        <v>91</v>
      </c>
      <c r="I146" s="473"/>
      <c r="J146" s="504"/>
      <c r="K146" s="500"/>
      <c r="L146" s="516" t="s">
        <v>92</v>
      </c>
      <c r="M146" s="473"/>
      <c r="N146" s="504"/>
      <c r="O146" s="500"/>
      <c r="P146" s="516" t="s">
        <v>93</v>
      </c>
      <c r="Q146" s="473"/>
      <c r="R146" s="504"/>
      <c r="S146" s="500"/>
      <c r="T146" s="516" t="s">
        <v>94</v>
      </c>
      <c r="U146" s="473"/>
      <c r="V146" s="504"/>
      <c r="W146" s="500"/>
      <c r="X146" s="516" t="s">
        <v>95</v>
      </c>
      <c r="Y146" s="473"/>
      <c r="Z146" s="504"/>
      <c r="AA146" s="500"/>
      <c r="AB146" s="516" t="s">
        <v>96</v>
      </c>
      <c r="AC146" s="473"/>
      <c r="AD146" s="473"/>
      <c r="AE146" s="519" t="s">
        <v>97</v>
      </c>
      <c r="AF146" s="473"/>
      <c r="AG146" s="473"/>
      <c r="AH146" s="473"/>
      <c r="AI146" s="474"/>
    </row>
    <row r="147" spans="1:35" ht="22.15" customHeight="1" x14ac:dyDescent="0.2">
      <c r="A147" s="1"/>
      <c r="B147" s="2875" t="s">
        <v>139</v>
      </c>
      <c r="C147" s="2790" t="s">
        <v>168</v>
      </c>
      <c r="D147" s="2692"/>
      <c r="E147" s="2692"/>
      <c r="F147" s="2878"/>
      <c r="G147" s="2790" t="s">
        <v>168</v>
      </c>
      <c r="H147" s="2692"/>
      <c r="I147" s="2692"/>
      <c r="J147" s="2878"/>
      <c r="K147" s="2790" t="s">
        <v>168</v>
      </c>
      <c r="L147" s="2692"/>
      <c r="M147" s="2692"/>
      <c r="N147" s="2878"/>
      <c r="O147" s="2790" t="s">
        <v>199</v>
      </c>
      <c r="P147" s="2692"/>
      <c r="Q147" s="2692"/>
      <c r="R147" s="2878"/>
      <c r="S147" s="2790" t="s">
        <v>154</v>
      </c>
      <c r="T147" s="2692"/>
      <c r="U147" s="2692"/>
      <c r="V147" s="2878"/>
      <c r="W147" s="2914"/>
      <c r="X147" s="2915"/>
      <c r="Y147" s="2915"/>
      <c r="Z147" s="2880"/>
      <c r="AA147" s="2876"/>
      <c r="AB147" s="2692"/>
      <c r="AC147" s="2692"/>
      <c r="AD147" s="2791"/>
      <c r="AE147" s="2881">
        <v>27</v>
      </c>
      <c r="AF147" s="2692"/>
      <c r="AG147" s="2692"/>
      <c r="AH147" s="2791"/>
      <c r="AI147" s="2701"/>
    </row>
    <row r="148" spans="1:35" ht="22.15" customHeight="1" x14ac:dyDescent="0.2">
      <c r="A148" s="1"/>
      <c r="B148" s="2875" t="s">
        <v>143</v>
      </c>
      <c r="C148" s="2790" t="s">
        <v>200</v>
      </c>
      <c r="D148" s="2692"/>
      <c r="E148" s="2692"/>
      <c r="F148" s="2878"/>
      <c r="G148" s="2790" t="s">
        <v>200</v>
      </c>
      <c r="H148" s="2692"/>
      <c r="I148" s="2692"/>
      <c r="J148" s="2878"/>
      <c r="K148" s="2790" t="s">
        <v>200</v>
      </c>
      <c r="L148" s="2692"/>
      <c r="M148" s="2692"/>
      <c r="N148" s="2878"/>
      <c r="O148" s="2790" t="s">
        <v>200</v>
      </c>
      <c r="P148" s="2692"/>
      <c r="Q148" s="2692"/>
      <c r="R148" s="2878"/>
      <c r="S148" s="2790" t="s">
        <v>168</v>
      </c>
      <c r="T148" s="2692"/>
      <c r="U148" s="2692"/>
      <c r="V148" s="2878"/>
      <c r="W148" s="2790"/>
      <c r="X148" s="2692"/>
      <c r="Y148" s="2692"/>
      <c r="Z148" s="2878"/>
      <c r="AA148" s="2692"/>
      <c r="AB148" s="2692"/>
      <c r="AC148" s="2692"/>
      <c r="AD148" s="2791"/>
      <c r="AE148" s="2881">
        <v>39</v>
      </c>
      <c r="AF148" s="2692"/>
      <c r="AG148" s="2692"/>
      <c r="AH148" s="2791"/>
      <c r="AI148" s="2701"/>
    </row>
    <row r="149" spans="1:35" ht="22.15" customHeight="1" x14ac:dyDescent="0.2">
      <c r="A149" s="1"/>
      <c r="B149" s="2875" t="s">
        <v>153</v>
      </c>
      <c r="C149" s="2790" t="s">
        <v>200</v>
      </c>
      <c r="D149" s="2692"/>
      <c r="E149" s="2692"/>
      <c r="F149" s="2878"/>
      <c r="G149" s="2790" t="s">
        <v>200</v>
      </c>
      <c r="H149" s="2692"/>
      <c r="I149" s="2692"/>
      <c r="J149" s="2878"/>
      <c r="K149" s="2790" t="s">
        <v>200</v>
      </c>
      <c r="L149" s="2692"/>
      <c r="M149" s="2692"/>
      <c r="N149" s="2878"/>
      <c r="O149" s="2790" t="s">
        <v>200</v>
      </c>
      <c r="P149" s="2692"/>
      <c r="Q149" s="2692"/>
      <c r="R149" s="2878"/>
      <c r="S149" s="2790" t="s">
        <v>200</v>
      </c>
      <c r="T149" s="2692"/>
      <c r="U149" s="2692"/>
      <c r="V149" s="2878"/>
      <c r="W149" s="2792" t="s">
        <v>201</v>
      </c>
      <c r="X149" s="2705"/>
      <c r="Y149" s="2705"/>
      <c r="Z149" s="2885"/>
      <c r="AA149" s="2883"/>
      <c r="AB149" s="2705"/>
      <c r="AC149" s="2705"/>
      <c r="AD149" s="2793"/>
      <c r="AE149" s="2881">
        <v>45</v>
      </c>
      <c r="AF149" s="2692"/>
      <c r="AG149" s="2692"/>
      <c r="AH149" s="2791"/>
      <c r="AI149" s="2701"/>
    </row>
    <row r="150" spans="1:35" ht="22.15" customHeight="1" thickBot="1" x14ac:dyDescent="0.25">
      <c r="A150" s="1"/>
      <c r="B150" s="2916" t="s">
        <v>155</v>
      </c>
      <c r="C150" s="2910"/>
      <c r="D150" s="2755"/>
      <c r="E150" s="2755"/>
      <c r="F150" s="2912"/>
      <c r="G150" s="2910"/>
      <c r="H150" s="2755"/>
      <c r="I150" s="2755"/>
      <c r="J150" s="2912"/>
      <c r="K150" s="2910"/>
      <c r="L150" s="2755"/>
      <c r="M150" s="2755"/>
      <c r="N150" s="2912"/>
      <c r="O150" s="2910"/>
      <c r="P150" s="2755"/>
      <c r="Q150" s="2755"/>
      <c r="R150" s="2912"/>
      <c r="S150" s="2910"/>
      <c r="T150" s="2755"/>
      <c r="U150" s="2755"/>
      <c r="V150" s="2896"/>
      <c r="W150" s="2910"/>
      <c r="X150" s="2896"/>
      <c r="Y150" s="2755"/>
      <c r="Z150" s="2912"/>
      <c r="AA150" s="2910"/>
      <c r="AB150" s="2896"/>
      <c r="AC150" s="2755"/>
      <c r="AD150" s="2912"/>
      <c r="AE150" s="2917"/>
      <c r="AF150" s="2755"/>
      <c r="AG150" s="2755"/>
      <c r="AH150" s="2896"/>
      <c r="AI150" s="2762"/>
    </row>
    <row r="151" spans="1:35" ht="22.15" customHeight="1" x14ac:dyDescent="0.2">
      <c r="A151" s="108"/>
      <c r="B151" s="1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</row>
    <row r="152" spans="1:35" ht="22.15" customHeight="1" thickBot="1" x14ac:dyDescent="0.25">
      <c r="A152" s="2822"/>
      <c r="B152" s="2764" t="s">
        <v>29</v>
      </c>
      <c r="C152" s="2710">
        <v>1</v>
      </c>
      <c r="D152" s="2710">
        <v>2</v>
      </c>
      <c r="E152" s="2710">
        <v>3</v>
      </c>
      <c r="F152" s="2710">
        <v>4</v>
      </c>
      <c r="G152" s="2710">
        <v>5</v>
      </c>
      <c r="H152" s="2711">
        <v>6</v>
      </c>
      <c r="I152" s="2711">
        <v>7</v>
      </c>
      <c r="J152" s="2710">
        <v>8</v>
      </c>
      <c r="K152" s="2710">
        <v>9</v>
      </c>
      <c r="L152" s="2710">
        <v>10</v>
      </c>
      <c r="M152" s="2710">
        <v>11</v>
      </c>
      <c r="N152" s="2710">
        <v>12</v>
      </c>
      <c r="O152" s="2711">
        <v>13</v>
      </c>
      <c r="P152" s="2711">
        <v>14</v>
      </c>
      <c r="Q152" s="2710">
        <v>15</v>
      </c>
      <c r="R152" s="2710">
        <v>16</v>
      </c>
      <c r="S152" s="2710">
        <v>17</v>
      </c>
      <c r="T152" s="2710">
        <v>18</v>
      </c>
      <c r="U152" s="2710">
        <v>19</v>
      </c>
      <c r="V152" s="2711">
        <v>20</v>
      </c>
      <c r="W152" s="2711">
        <v>21</v>
      </c>
      <c r="X152" s="2710">
        <v>22</v>
      </c>
      <c r="Y152" s="2710">
        <v>23</v>
      </c>
      <c r="Z152" s="2710">
        <v>24</v>
      </c>
      <c r="AA152" s="2710">
        <v>25</v>
      </c>
      <c r="AB152" s="2710">
        <v>26</v>
      </c>
      <c r="AC152" s="2711">
        <v>27</v>
      </c>
      <c r="AD152" s="2711">
        <v>28</v>
      </c>
      <c r="AE152" s="2710">
        <v>29</v>
      </c>
      <c r="AF152" s="2710">
        <v>30</v>
      </c>
      <c r="AG152" s="2712">
        <v>31</v>
      </c>
      <c r="AH152" s="184"/>
      <c r="AI152" s="185"/>
    </row>
    <row r="153" spans="1:35" ht="22.15" customHeight="1" x14ac:dyDescent="0.2">
      <c r="A153" s="521">
        <v>1</v>
      </c>
      <c r="B153" s="523" t="s">
        <v>202</v>
      </c>
      <c r="C153" s="459" t="s">
        <v>31</v>
      </c>
      <c r="D153" s="458" t="s">
        <v>31</v>
      </c>
      <c r="E153" s="458" t="s">
        <v>31</v>
      </c>
      <c r="F153" s="458" t="s">
        <v>31</v>
      </c>
      <c r="G153" s="458" t="s">
        <v>31</v>
      </c>
      <c r="H153" s="458"/>
      <c r="I153" s="458"/>
      <c r="J153" s="459" t="s">
        <v>31</v>
      </c>
      <c r="K153" s="458" t="s">
        <v>31</v>
      </c>
      <c r="L153" s="458" t="s">
        <v>31</v>
      </c>
      <c r="M153" s="458" t="s">
        <v>31</v>
      </c>
      <c r="N153" s="458" t="s">
        <v>31</v>
      </c>
      <c r="O153" s="458"/>
      <c r="P153" s="458"/>
      <c r="Q153" s="459" t="s">
        <v>31</v>
      </c>
      <c r="R153" s="458" t="s">
        <v>31</v>
      </c>
      <c r="S153" s="566" t="s">
        <v>31</v>
      </c>
      <c r="T153" s="566" t="s">
        <v>31</v>
      </c>
      <c r="U153" s="566" t="s">
        <v>31</v>
      </c>
      <c r="V153" s="458"/>
      <c r="W153" s="458"/>
      <c r="X153" s="459" t="s">
        <v>31</v>
      </c>
      <c r="Y153" s="458" t="s">
        <v>31</v>
      </c>
      <c r="Z153" s="458" t="s">
        <v>31</v>
      </c>
      <c r="AA153" s="460" t="s">
        <v>31</v>
      </c>
      <c r="AB153" s="459" t="s">
        <v>31</v>
      </c>
      <c r="AC153" s="458"/>
      <c r="AD153" s="458"/>
      <c r="AE153" s="532" t="s">
        <v>31</v>
      </c>
      <c r="AF153" s="532" t="s">
        <v>31</v>
      </c>
      <c r="AG153" s="554" t="s">
        <v>31</v>
      </c>
      <c r="AH153" s="250"/>
      <c r="AI153" s="190"/>
    </row>
    <row r="154" spans="1:35" ht="22.15" customHeight="1" x14ac:dyDescent="0.2">
      <c r="A154" s="2898">
        <v>2</v>
      </c>
      <c r="B154" s="2918" t="s">
        <v>203</v>
      </c>
      <c r="C154" s="2721" t="s">
        <v>205</v>
      </c>
      <c r="D154" s="2775" t="s">
        <v>205</v>
      </c>
      <c r="E154" s="2721" t="s">
        <v>205</v>
      </c>
      <c r="F154" s="2721" t="s">
        <v>205</v>
      </c>
      <c r="G154" s="2721" t="s">
        <v>35</v>
      </c>
      <c r="H154" s="2721"/>
      <c r="I154" s="2721"/>
      <c r="J154" s="2721" t="s">
        <v>207</v>
      </c>
      <c r="K154" s="2721" t="s">
        <v>207</v>
      </c>
      <c r="L154" s="2721" t="s">
        <v>207</v>
      </c>
      <c r="M154" s="2721" t="s">
        <v>207</v>
      </c>
      <c r="N154" s="2721" t="s">
        <v>207</v>
      </c>
      <c r="O154" s="2721"/>
      <c r="P154" s="2721"/>
      <c r="Q154" s="2721" t="s">
        <v>204</v>
      </c>
      <c r="R154" s="2721" t="s">
        <v>204</v>
      </c>
      <c r="S154" s="2721" t="s">
        <v>204</v>
      </c>
      <c r="T154" s="2721" t="s">
        <v>204</v>
      </c>
      <c r="U154" s="2721" t="s">
        <v>204</v>
      </c>
      <c r="V154" s="2721" t="s">
        <v>204</v>
      </c>
      <c r="W154" s="2721"/>
      <c r="X154" s="2721" t="s">
        <v>205</v>
      </c>
      <c r="Y154" s="2775" t="s">
        <v>205</v>
      </c>
      <c r="Z154" s="2721" t="s">
        <v>205</v>
      </c>
      <c r="AA154" s="2721" t="s">
        <v>205</v>
      </c>
      <c r="AB154" s="2721" t="s">
        <v>35</v>
      </c>
      <c r="AC154" s="2721"/>
      <c r="AD154" s="2721"/>
      <c r="AE154" s="2721" t="s">
        <v>207</v>
      </c>
      <c r="AF154" s="2721" t="s">
        <v>207</v>
      </c>
      <c r="AG154" s="2806" t="s">
        <v>207</v>
      </c>
      <c r="AH154" s="250"/>
      <c r="AI154" s="190"/>
    </row>
    <row r="155" spans="1:35" ht="22.15" customHeight="1" x14ac:dyDescent="0.2">
      <c r="A155" s="2898">
        <v>3</v>
      </c>
      <c r="B155" s="2919" t="s">
        <v>432</v>
      </c>
      <c r="C155" s="2721" t="s">
        <v>207</v>
      </c>
      <c r="D155" s="2721" t="s">
        <v>207</v>
      </c>
      <c r="E155" s="2721" t="s">
        <v>207</v>
      </c>
      <c r="F155" s="2804" t="s">
        <v>207</v>
      </c>
      <c r="G155" s="2804" t="s">
        <v>207</v>
      </c>
      <c r="H155" s="2804"/>
      <c r="I155" s="2804"/>
      <c r="J155" s="2804" t="s">
        <v>204</v>
      </c>
      <c r="K155" s="2804" t="s">
        <v>204</v>
      </c>
      <c r="L155" s="2804" t="s">
        <v>204</v>
      </c>
      <c r="M155" s="2804" t="s">
        <v>204</v>
      </c>
      <c r="N155" s="2804" t="s">
        <v>204</v>
      </c>
      <c r="O155" s="2804" t="s">
        <v>204</v>
      </c>
      <c r="P155" s="2804"/>
      <c r="Q155" s="2804" t="s">
        <v>205</v>
      </c>
      <c r="R155" s="2804" t="s">
        <v>205</v>
      </c>
      <c r="S155" s="2804" t="s">
        <v>205</v>
      </c>
      <c r="T155" s="2804" t="s">
        <v>205</v>
      </c>
      <c r="U155" s="2721" t="s">
        <v>35</v>
      </c>
      <c r="V155" s="2721"/>
      <c r="W155" s="2721"/>
      <c r="X155" s="2721" t="s">
        <v>207</v>
      </c>
      <c r="Y155" s="2721" t="s">
        <v>207</v>
      </c>
      <c r="Z155" s="2721" t="s">
        <v>207</v>
      </c>
      <c r="AA155" s="2805" t="s">
        <v>207</v>
      </c>
      <c r="AB155" s="2805" t="s">
        <v>207</v>
      </c>
      <c r="AC155" s="2805"/>
      <c r="AD155" s="2805"/>
      <c r="AE155" s="2805" t="s">
        <v>204</v>
      </c>
      <c r="AF155" s="2805" t="s">
        <v>204</v>
      </c>
      <c r="AG155" s="2806" t="s">
        <v>204</v>
      </c>
      <c r="AH155" s="250"/>
      <c r="AI155" s="190"/>
    </row>
    <row r="156" spans="1:35" ht="22.15" customHeight="1" x14ac:dyDescent="0.2">
      <c r="A156" s="2898">
        <v>4</v>
      </c>
      <c r="B156" s="2919" t="s">
        <v>209</v>
      </c>
      <c r="C156" s="2721"/>
      <c r="D156" s="2721" t="s">
        <v>32</v>
      </c>
      <c r="E156" s="2721"/>
      <c r="F156" s="2721"/>
      <c r="G156" s="2721"/>
      <c r="H156" s="2721" t="s">
        <v>204</v>
      </c>
      <c r="I156" s="2721"/>
      <c r="J156" s="2721"/>
      <c r="K156" s="2721" t="s">
        <v>32</v>
      </c>
      <c r="L156" s="2721" t="s">
        <v>32</v>
      </c>
      <c r="M156" s="2721"/>
      <c r="N156" s="2721" t="s">
        <v>32</v>
      </c>
      <c r="O156" s="2721"/>
      <c r="P156" s="2721"/>
      <c r="Q156" s="2718"/>
      <c r="R156" s="2718" t="s">
        <v>32</v>
      </c>
      <c r="S156" s="2718" t="s">
        <v>32</v>
      </c>
      <c r="T156" s="2718"/>
      <c r="U156" s="2718" t="s">
        <v>32</v>
      </c>
      <c r="V156" s="2721"/>
      <c r="W156" s="2721"/>
      <c r="X156" s="2721"/>
      <c r="Y156" s="2721" t="s">
        <v>32</v>
      </c>
      <c r="Z156" s="2721" t="s">
        <v>32</v>
      </c>
      <c r="AA156" s="2721"/>
      <c r="AB156" s="2721" t="s">
        <v>32</v>
      </c>
      <c r="AC156" s="2721" t="s">
        <v>204</v>
      </c>
      <c r="AD156" s="2721"/>
      <c r="AE156" s="2721"/>
      <c r="AF156" s="2721" t="s">
        <v>32</v>
      </c>
      <c r="AG156" s="2806" t="s">
        <v>32</v>
      </c>
      <c r="AH156" s="250"/>
      <c r="AI156" s="190"/>
    </row>
    <row r="157" spans="1:35" ht="22.15" customHeight="1" x14ac:dyDescent="0.2">
      <c r="A157" s="2898">
        <v>5</v>
      </c>
      <c r="B157" s="2919" t="s">
        <v>210</v>
      </c>
      <c r="C157" s="2721" t="s">
        <v>32</v>
      </c>
      <c r="D157" s="2721"/>
      <c r="E157" s="2721"/>
      <c r="F157" s="2721" t="s">
        <v>31</v>
      </c>
      <c r="G157" s="2721"/>
      <c r="H157" s="2721"/>
      <c r="I157" s="2721"/>
      <c r="J157" s="2721" t="s">
        <v>32</v>
      </c>
      <c r="K157" s="2721"/>
      <c r="L157" s="2721"/>
      <c r="M157" s="2721" t="s">
        <v>31</v>
      </c>
      <c r="N157" s="2721"/>
      <c r="O157" s="2721"/>
      <c r="P157" s="2721"/>
      <c r="Q157" s="2721" t="s">
        <v>32</v>
      </c>
      <c r="R157" s="2721"/>
      <c r="S157" s="2721"/>
      <c r="T157" s="2721" t="s">
        <v>31</v>
      </c>
      <c r="U157" s="2721"/>
      <c r="V157" s="2721"/>
      <c r="W157" s="2721"/>
      <c r="X157" s="2721" t="s">
        <v>32</v>
      </c>
      <c r="Y157" s="2721"/>
      <c r="Z157" s="2721"/>
      <c r="AA157" s="2721" t="s">
        <v>31</v>
      </c>
      <c r="AB157" s="2721"/>
      <c r="AC157" s="2721"/>
      <c r="AD157" s="2721"/>
      <c r="AE157" s="2767" t="s">
        <v>32</v>
      </c>
      <c r="AF157" s="2767"/>
      <c r="AG157" s="2768"/>
      <c r="AH157" s="250"/>
      <c r="AI157" s="190"/>
    </row>
    <row r="158" spans="1:35" ht="22.15" customHeight="1" x14ac:dyDescent="0.2">
      <c r="A158" s="2898">
        <v>6</v>
      </c>
      <c r="B158" s="2725" t="s">
        <v>211</v>
      </c>
      <c r="C158" s="2721" t="s">
        <v>31</v>
      </c>
      <c r="D158" s="2721" t="s">
        <v>31</v>
      </c>
      <c r="E158" s="2721" t="s">
        <v>31</v>
      </c>
      <c r="F158" s="2721" t="s">
        <v>31</v>
      </c>
      <c r="G158" s="2721" t="s">
        <v>31</v>
      </c>
      <c r="H158" s="2721"/>
      <c r="I158" s="2721"/>
      <c r="J158" s="2722" t="s">
        <v>31</v>
      </c>
      <c r="K158" s="2721" t="s">
        <v>31</v>
      </c>
      <c r="L158" s="2721" t="s">
        <v>31</v>
      </c>
      <c r="M158" s="2721" t="s">
        <v>31</v>
      </c>
      <c r="N158" s="2721" t="s">
        <v>31</v>
      </c>
      <c r="O158" s="2721"/>
      <c r="P158" s="2721"/>
      <c r="Q158" s="2721" t="s">
        <v>31</v>
      </c>
      <c r="R158" s="2721" t="s">
        <v>31</v>
      </c>
      <c r="S158" s="2721" t="s">
        <v>31</v>
      </c>
      <c r="T158" s="2718" t="s">
        <v>31</v>
      </c>
      <c r="U158" s="2718" t="s">
        <v>31</v>
      </c>
      <c r="V158" s="2718"/>
      <c r="W158" s="2718"/>
      <c r="X158" s="2718" t="s">
        <v>31</v>
      </c>
      <c r="Y158" s="2721" t="s">
        <v>31</v>
      </c>
      <c r="Z158" s="2721" t="s">
        <v>31</v>
      </c>
      <c r="AA158" s="2721" t="s">
        <v>31</v>
      </c>
      <c r="AB158" s="2721" t="s">
        <v>31</v>
      </c>
      <c r="AC158" s="2721"/>
      <c r="AD158" s="2721"/>
      <c r="AE158" s="2721" t="s">
        <v>31</v>
      </c>
      <c r="AF158" s="2721" t="s">
        <v>31</v>
      </c>
      <c r="AG158" s="2806" t="s">
        <v>31</v>
      </c>
      <c r="AH158" s="215"/>
      <c r="AI158" s="107"/>
    </row>
    <row r="159" spans="1:35" ht="22.15" customHeight="1" thickBot="1" x14ac:dyDescent="0.25">
      <c r="A159" s="2904"/>
      <c r="B159" s="2770" t="s">
        <v>212</v>
      </c>
      <c r="C159" s="2710"/>
      <c r="D159" s="2710"/>
      <c r="E159" s="2710"/>
      <c r="F159" s="2710"/>
      <c r="G159" s="2710"/>
      <c r="H159" s="2710"/>
      <c r="I159" s="2710"/>
      <c r="J159" s="2710"/>
      <c r="K159" s="2710"/>
      <c r="L159" s="2710"/>
      <c r="M159" s="2710"/>
      <c r="N159" s="2710"/>
      <c r="O159" s="2710"/>
      <c r="P159" s="2710"/>
      <c r="Q159" s="2710"/>
      <c r="R159" s="2710"/>
      <c r="S159" s="2710"/>
      <c r="T159" s="2710"/>
      <c r="U159" s="2710"/>
      <c r="V159" s="2710"/>
      <c r="W159" s="2710"/>
      <c r="X159" s="2710"/>
      <c r="Y159" s="2710"/>
      <c r="Z159" s="2710"/>
      <c r="AA159" s="2710"/>
      <c r="AB159" s="2710"/>
      <c r="AC159" s="2710"/>
      <c r="AD159" s="2710"/>
      <c r="AE159" s="2710"/>
      <c r="AF159" s="2710"/>
      <c r="AG159" s="2712"/>
      <c r="AH159" s="107"/>
      <c r="AI159" s="107"/>
    </row>
    <row r="160" spans="1:35" ht="22.15" customHeight="1" x14ac:dyDescent="0.2">
      <c r="A160" s="256"/>
      <c r="B160" s="228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107"/>
      <c r="AI160" s="107"/>
    </row>
    <row r="161" spans="1:36" ht="22.15" customHeight="1" x14ac:dyDescent="0.2">
      <c r="A161" s="256"/>
      <c r="B161" s="228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107"/>
      <c r="AI161" s="107"/>
    </row>
    <row r="162" spans="1:36" ht="22.15" customHeight="1" thickBot="1" x14ac:dyDescent="0.25">
      <c r="A162" s="150" t="s">
        <v>213</v>
      </c>
      <c r="B162" s="72"/>
      <c r="C162" s="106" t="s">
        <v>99</v>
      </c>
      <c r="D162" s="72"/>
      <c r="E162" s="72"/>
      <c r="F162" s="106" t="s">
        <v>99</v>
      </c>
      <c r="G162" s="72"/>
      <c r="H162" s="72"/>
      <c r="I162" s="106" t="s">
        <v>99</v>
      </c>
      <c r="J162" s="106"/>
      <c r="K162" s="72"/>
      <c r="L162" s="106" t="s">
        <v>99</v>
      </c>
      <c r="M162" s="72"/>
      <c r="N162" s="72"/>
      <c r="O162" s="106" t="s">
        <v>99</v>
      </c>
      <c r="P162" s="72"/>
      <c r="Q162" s="106"/>
      <c r="R162" s="106" t="s">
        <v>99</v>
      </c>
      <c r="S162" s="72"/>
      <c r="T162" s="72"/>
      <c r="U162" s="106" t="s">
        <v>99</v>
      </c>
      <c r="V162" s="72"/>
      <c r="W162" s="106"/>
      <c r="X162" s="106"/>
      <c r="Y162" s="72"/>
      <c r="Z162" s="72"/>
      <c r="AA162" s="72"/>
      <c r="AB162" s="72"/>
      <c r="AC162" s="72"/>
      <c r="AD162" s="72"/>
      <c r="AE162" s="106"/>
      <c r="AF162" s="72"/>
      <c r="AG162" s="72"/>
      <c r="AH162" s="107"/>
      <c r="AI162" s="107"/>
    </row>
    <row r="163" spans="1:36" ht="22.15" customHeight="1" x14ac:dyDescent="0.2">
      <c r="A163" s="109"/>
      <c r="B163" s="294" t="s">
        <v>214</v>
      </c>
      <c r="C163" s="295"/>
      <c r="D163" s="296" t="s">
        <v>90</v>
      </c>
      <c r="E163" s="297"/>
      <c r="F163" s="298"/>
      <c r="G163" s="299"/>
      <c r="H163" s="296" t="s">
        <v>91</v>
      </c>
      <c r="I163" s="297"/>
      <c r="J163" s="298"/>
      <c r="K163" s="299"/>
      <c r="L163" s="296" t="s">
        <v>92</v>
      </c>
      <c r="M163" s="297"/>
      <c r="N163" s="298"/>
      <c r="O163" s="299"/>
      <c r="P163" s="296" t="s">
        <v>93</v>
      </c>
      <c r="Q163" s="297"/>
      <c r="R163" s="298"/>
      <c r="S163" s="299"/>
      <c r="T163" s="296" t="s">
        <v>94</v>
      </c>
      <c r="U163" s="297"/>
      <c r="V163" s="298"/>
      <c r="W163" s="299"/>
      <c r="X163" s="296" t="s">
        <v>95</v>
      </c>
      <c r="Y163" s="297"/>
      <c r="Z163" s="298"/>
      <c r="AA163" s="299"/>
      <c r="AB163" s="296" t="s">
        <v>96</v>
      </c>
      <c r="AC163" s="297"/>
      <c r="AD163" s="297"/>
      <c r="AE163" s="300" t="s">
        <v>97</v>
      </c>
      <c r="AF163" s="297"/>
      <c r="AG163" s="297"/>
      <c r="AH163" s="297"/>
      <c r="AI163" s="301"/>
    </row>
    <row r="164" spans="1:36" ht="22.15" customHeight="1" x14ac:dyDescent="0.2">
      <c r="A164" s="109"/>
      <c r="B164" s="2920" t="s">
        <v>215</v>
      </c>
      <c r="C164" s="2921" t="s">
        <v>216</v>
      </c>
      <c r="D164" s="2556" t="s">
        <v>217</v>
      </c>
      <c r="E164" s="2557"/>
      <c r="F164" s="2558"/>
      <c r="G164" s="2922"/>
      <c r="H164" s="2556" t="s">
        <v>217</v>
      </c>
      <c r="I164" s="2557"/>
      <c r="J164" s="2558"/>
      <c r="K164" s="2922"/>
      <c r="L164" s="2556" t="s">
        <v>217</v>
      </c>
      <c r="M164" s="2557"/>
      <c r="N164" s="2558"/>
      <c r="O164" s="2922"/>
      <c r="P164" s="2556" t="s">
        <v>218</v>
      </c>
      <c r="Q164" s="2557"/>
      <c r="R164" s="2558"/>
      <c r="S164" s="2922"/>
      <c r="T164" s="2556" t="s">
        <v>219</v>
      </c>
      <c r="U164" s="2558"/>
      <c r="V164" s="2560"/>
      <c r="W164" s="2923"/>
      <c r="X164" s="2562"/>
      <c r="Y164" s="2562"/>
      <c r="Z164" s="2560"/>
      <c r="AA164" s="2923"/>
      <c r="AB164" s="2562"/>
      <c r="AC164" s="2562"/>
      <c r="AD164" s="2562"/>
      <c r="AE164" s="2923"/>
      <c r="AF164" s="2562"/>
      <c r="AG164" s="2562"/>
      <c r="AH164" s="2563"/>
      <c r="AI164" s="2924"/>
    </row>
    <row r="165" spans="1:36" ht="22.15" customHeight="1" x14ac:dyDescent="0.2">
      <c r="A165" s="109"/>
      <c r="B165" s="2920" t="s">
        <v>215</v>
      </c>
      <c r="C165" s="2921" t="s">
        <v>220</v>
      </c>
      <c r="D165" s="2556" t="s">
        <v>217</v>
      </c>
      <c r="E165" s="2557"/>
      <c r="F165" s="2558"/>
      <c r="G165" s="2922"/>
      <c r="H165" s="2556" t="s">
        <v>217</v>
      </c>
      <c r="I165" s="2557"/>
      <c r="J165" s="2558"/>
      <c r="K165" s="2922"/>
      <c r="L165" s="2556" t="s">
        <v>217</v>
      </c>
      <c r="M165" s="2557"/>
      <c r="N165" s="2558"/>
      <c r="O165" s="2922"/>
      <c r="P165" s="2556" t="s">
        <v>218</v>
      </c>
      <c r="Q165" s="2557"/>
      <c r="R165" s="2558"/>
      <c r="S165" s="2922"/>
      <c r="T165" s="2556" t="s">
        <v>219</v>
      </c>
      <c r="U165" s="2558"/>
      <c r="V165" s="2560"/>
      <c r="W165" s="2923"/>
      <c r="X165" s="2562"/>
      <c r="Y165" s="2562"/>
      <c r="Z165" s="2560"/>
      <c r="AA165" s="2923"/>
      <c r="AB165" s="2562"/>
      <c r="AC165" s="2562"/>
      <c r="AD165" s="2562"/>
      <c r="AE165" s="2923"/>
      <c r="AF165" s="2562"/>
      <c r="AG165" s="2562"/>
      <c r="AH165" s="2563"/>
      <c r="AI165" s="2924"/>
    </row>
    <row r="166" spans="1:36" ht="22.15" customHeight="1" x14ac:dyDescent="0.2">
      <c r="A166" s="109"/>
      <c r="B166" s="2920" t="s">
        <v>221</v>
      </c>
      <c r="C166" s="2921" t="s">
        <v>158</v>
      </c>
      <c r="D166" s="2556" t="s">
        <v>217</v>
      </c>
      <c r="E166" s="2557"/>
      <c r="F166" s="2558"/>
      <c r="G166" s="2922"/>
      <c r="H166" s="2556" t="s">
        <v>217</v>
      </c>
      <c r="I166" s="2557"/>
      <c r="J166" s="2558"/>
      <c r="K166" s="2922"/>
      <c r="L166" s="2556" t="s">
        <v>217</v>
      </c>
      <c r="M166" s="2557"/>
      <c r="N166" s="2558"/>
      <c r="O166" s="2922"/>
      <c r="P166" s="2556" t="s">
        <v>218</v>
      </c>
      <c r="Q166" s="2557"/>
      <c r="R166" s="2558"/>
      <c r="S166" s="2922"/>
      <c r="T166" s="2556" t="s">
        <v>219</v>
      </c>
      <c r="U166" s="2558"/>
      <c r="V166" s="2560"/>
      <c r="W166" s="2923"/>
      <c r="X166" s="2562"/>
      <c r="Y166" s="2562"/>
      <c r="Z166" s="2560"/>
      <c r="AA166" s="2923"/>
      <c r="AB166" s="2562"/>
      <c r="AC166" s="2562"/>
      <c r="AD166" s="2562"/>
      <c r="AE166" s="2923"/>
      <c r="AF166" s="2562"/>
      <c r="AG166" s="2562"/>
      <c r="AH166" s="2563"/>
      <c r="AI166" s="2924"/>
    </row>
    <row r="167" spans="1:36" ht="22.15" customHeight="1" x14ac:dyDescent="0.2">
      <c r="A167" s="109"/>
      <c r="B167" s="2920" t="s">
        <v>222</v>
      </c>
      <c r="C167" s="2921" t="s">
        <v>223</v>
      </c>
      <c r="D167" s="2556" t="s">
        <v>224</v>
      </c>
      <c r="E167" s="2557"/>
      <c r="F167" s="2558"/>
      <c r="G167" s="2922"/>
      <c r="H167" s="2556" t="s">
        <v>224</v>
      </c>
      <c r="I167" s="2557"/>
      <c r="J167" s="2558"/>
      <c r="K167" s="2922"/>
      <c r="L167" s="2556" t="s">
        <v>224</v>
      </c>
      <c r="M167" s="2557"/>
      <c r="N167" s="2558"/>
      <c r="O167" s="2922"/>
      <c r="P167" s="2556" t="s">
        <v>225</v>
      </c>
      <c r="Q167" s="2557"/>
      <c r="R167" s="2558"/>
      <c r="S167" s="2922"/>
      <c r="T167" s="2556" t="s">
        <v>226</v>
      </c>
      <c r="U167" s="2558"/>
      <c r="V167" s="2560"/>
      <c r="W167" s="2923"/>
      <c r="X167" s="2562"/>
      <c r="Y167" s="2562"/>
      <c r="Z167" s="2560"/>
      <c r="AA167" s="2923"/>
      <c r="AB167" s="2562"/>
      <c r="AC167" s="2562"/>
      <c r="AD167" s="2562"/>
      <c r="AE167" s="2923"/>
      <c r="AF167" s="2562"/>
      <c r="AG167" s="2562"/>
      <c r="AH167" s="2563"/>
      <c r="AI167" s="2924"/>
    </row>
    <row r="168" spans="1:36" ht="22.15" customHeight="1" x14ac:dyDescent="0.2">
      <c r="A168" s="109"/>
      <c r="B168" s="2920" t="s">
        <v>227</v>
      </c>
      <c r="C168" s="2921" t="s">
        <v>228</v>
      </c>
      <c r="D168" s="2556" t="s">
        <v>229</v>
      </c>
      <c r="E168" s="2557"/>
      <c r="F168" s="2558"/>
      <c r="G168" s="2922"/>
      <c r="H168" s="2556" t="s">
        <v>229</v>
      </c>
      <c r="I168" s="2557"/>
      <c r="J168" s="2558"/>
      <c r="K168" s="2922"/>
      <c r="L168" s="2556" t="s">
        <v>230</v>
      </c>
      <c r="M168" s="2557"/>
      <c r="N168" s="2558"/>
      <c r="O168" s="2922"/>
      <c r="P168" s="2556" t="s">
        <v>231</v>
      </c>
      <c r="Q168" s="2557"/>
      <c r="R168" s="2558"/>
      <c r="S168" s="2922"/>
      <c r="T168" s="2556" t="s">
        <v>226</v>
      </c>
      <c r="U168" s="2558"/>
      <c r="V168" s="2560"/>
      <c r="W168" s="2923"/>
      <c r="X168" s="2562"/>
      <c r="Y168" s="2562"/>
      <c r="Z168" s="2560"/>
      <c r="AA168" s="2923"/>
      <c r="AB168" s="2562"/>
      <c r="AC168" s="2562"/>
      <c r="AD168" s="2562"/>
      <c r="AE168" s="2923"/>
      <c r="AF168" s="2562"/>
      <c r="AG168" s="2562"/>
      <c r="AH168" s="2563"/>
      <c r="AI168" s="2924"/>
    </row>
    <row r="169" spans="1:36" ht="22.15" customHeight="1" x14ac:dyDescent="0.2">
      <c r="A169" s="109"/>
      <c r="B169" s="2920" t="s">
        <v>232</v>
      </c>
      <c r="C169" s="2921" t="s">
        <v>233</v>
      </c>
      <c r="D169" s="2556" t="s">
        <v>217</v>
      </c>
      <c r="E169" s="2557"/>
      <c r="F169" s="2558"/>
      <c r="G169" s="2922"/>
      <c r="H169" s="2556" t="s">
        <v>217</v>
      </c>
      <c r="I169" s="2557"/>
      <c r="J169" s="2558"/>
      <c r="K169" s="2922"/>
      <c r="L169" s="2556" t="s">
        <v>217</v>
      </c>
      <c r="M169" s="2557"/>
      <c r="N169" s="2558"/>
      <c r="O169" s="2922"/>
      <c r="P169" s="2556" t="s">
        <v>217</v>
      </c>
      <c r="Q169" s="2557"/>
      <c r="R169" s="2558"/>
      <c r="S169" s="2922"/>
      <c r="T169" s="2556" t="s">
        <v>229</v>
      </c>
      <c r="U169" s="2558"/>
      <c r="V169" s="2560"/>
      <c r="W169" s="2923"/>
      <c r="X169" s="2562"/>
      <c r="Y169" s="2562"/>
      <c r="Z169" s="2560"/>
      <c r="AA169" s="2923"/>
      <c r="AB169" s="2562"/>
      <c r="AC169" s="2562"/>
      <c r="AD169" s="2562"/>
      <c r="AE169" s="2923"/>
      <c r="AF169" s="2562"/>
      <c r="AG169" s="2562"/>
      <c r="AH169" s="2563"/>
      <c r="AI169" s="2924"/>
    </row>
    <row r="170" spans="1:36" ht="22.15" customHeight="1" x14ac:dyDescent="0.2">
      <c r="A170" s="109"/>
      <c r="B170" s="2920" t="s">
        <v>234</v>
      </c>
      <c r="C170" s="2921" t="s">
        <v>235</v>
      </c>
      <c r="D170" s="2556" t="s">
        <v>217</v>
      </c>
      <c r="E170" s="2557"/>
      <c r="F170" s="2558"/>
      <c r="G170" s="2922"/>
      <c r="H170" s="2556" t="s">
        <v>217</v>
      </c>
      <c r="I170" s="2557"/>
      <c r="J170" s="2558"/>
      <c r="K170" s="2922"/>
      <c r="L170" s="2556" t="s">
        <v>217</v>
      </c>
      <c r="M170" s="2557"/>
      <c r="N170" s="2558"/>
      <c r="O170" s="2922"/>
      <c r="P170" s="2556" t="s">
        <v>218</v>
      </c>
      <c r="Q170" s="2557"/>
      <c r="R170" s="2558"/>
      <c r="S170" s="2922"/>
      <c r="T170" s="2556" t="s">
        <v>219</v>
      </c>
      <c r="U170" s="2558"/>
      <c r="V170" s="2560"/>
      <c r="W170" s="2923"/>
      <c r="X170" s="2562"/>
      <c r="Y170" s="2562"/>
      <c r="Z170" s="2560"/>
      <c r="AA170" s="2923"/>
      <c r="AB170" s="2562"/>
      <c r="AC170" s="2562"/>
      <c r="AD170" s="2562"/>
      <c r="AE170" s="2923"/>
      <c r="AF170" s="2562"/>
      <c r="AG170" s="2562"/>
      <c r="AH170" s="2563"/>
      <c r="AI170" s="2924"/>
    </row>
    <row r="171" spans="1:36" ht="22.15" customHeight="1" x14ac:dyDescent="0.2">
      <c r="A171" s="109"/>
      <c r="B171" s="2920" t="s">
        <v>234</v>
      </c>
      <c r="C171" s="2921" t="s">
        <v>236</v>
      </c>
      <c r="D171" s="2556" t="s">
        <v>217</v>
      </c>
      <c r="E171" s="2557"/>
      <c r="F171" s="2558"/>
      <c r="G171" s="2922"/>
      <c r="H171" s="2556" t="s">
        <v>217</v>
      </c>
      <c r="I171" s="2557"/>
      <c r="J171" s="2558"/>
      <c r="K171" s="2922"/>
      <c r="L171" s="2556" t="s">
        <v>217</v>
      </c>
      <c r="M171" s="2557"/>
      <c r="N171" s="2558"/>
      <c r="O171" s="2922"/>
      <c r="P171" s="2556" t="s">
        <v>218</v>
      </c>
      <c r="Q171" s="2557"/>
      <c r="R171" s="2558"/>
      <c r="S171" s="2922"/>
      <c r="T171" s="2556" t="s">
        <v>219</v>
      </c>
      <c r="U171" s="2558"/>
      <c r="V171" s="2560"/>
      <c r="W171" s="2923"/>
      <c r="X171" s="2562"/>
      <c r="Y171" s="2562"/>
      <c r="Z171" s="2560"/>
      <c r="AA171" s="2923"/>
      <c r="AB171" s="2562"/>
      <c r="AC171" s="2562"/>
      <c r="AD171" s="2562"/>
      <c r="AE171" s="2923"/>
      <c r="AF171" s="2562"/>
      <c r="AG171" s="2562"/>
      <c r="AH171" s="2563"/>
      <c r="AI171" s="2924"/>
    </row>
    <row r="172" spans="1:36" ht="22.15" customHeight="1" x14ac:dyDescent="0.2">
      <c r="A172" s="109"/>
      <c r="B172" s="2920" t="s">
        <v>237</v>
      </c>
      <c r="C172" s="2921" t="s">
        <v>238</v>
      </c>
      <c r="D172" s="2556" t="s">
        <v>217</v>
      </c>
      <c r="E172" s="2557"/>
      <c r="F172" s="2558"/>
      <c r="G172" s="2922"/>
      <c r="H172" s="2556" t="s">
        <v>217</v>
      </c>
      <c r="I172" s="2557"/>
      <c r="J172" s="2558"/>
      <c r="K172" s="2922"/>
      <c r="L172" s="2556" t="s">
        <v>217</v>
      </c>
      <c r="M172" s="2557"/>
      <c r="N172" s="2558"/>
      <c r="O172" s="2922"/>
      <c r="P172" s="2556" t="s">
        <v>239</v>
      </c>
      <c r="Q172" s="2557"/>
      <c r="R172" s="2558"/>
      <c r="S172" s="2922"/>
      <c r="T172" s="2556" t="s">
        <v>226</v>
      </c>
      <c r="U172" s="2558"/>
      <c r="V172" s="2560"/>
      <c r="W172" s="2923"/>
      <c r="X172" s="2562"/>
      <c r="Y172" s="2562"/>
      <c r="Z172" s="2560"/>
      <c r="AA172" s="2923"/>
      <c r="AB172" s="2562"/>
      <c r="AC172" s="2562"/>
      <c r="AD172" s="2562"/>
      <c r="AE172" s="2923"/>
      <c r="AF172" s="2562"/>
      <c r="AG172" s="2562"/>
      <c r="AH172" s="2563"/>
      <c r="AI172" s="2924"/>
    </row>
    <row r="173" spans="1:36" ht="22.15" customHeight="1" x14ac:dyDescent="0.2">
      <c r="A173" s="109"/>
      <c r="B173" s="2565" t="s">
        <v>240</v>
      </c>
      <c r="C173" s="2921" t="s">
        <v>80</v>
      </c>
      <c r="D173" s="2556" t="s">
        <v>217</v>
      </c>
      <c r="E173" s="2557"/>
      <c r="F173" s="2558"/>
      <c r="G173" s="2922"/>
      <c r="H173" s="2556" t="s">
        <v>217</v>
      </c>
      <c r="I173" s="2557"/>
      <c r="J173" s="2558"/>
      <c r="K173" s="2922"/>
      <c r="L173" s="2556" t="s">
        <v>217</v>
      </c>
      <c r="M173" s="2557"/>
      <c r="N173" s="2558"/>
      <c r="O173" s="2922"/>
      <c r="P173" s="2556" t="s">
        <v>218</v>
      </c>
      <c r="Q173" s="2557"/>
      <c r="R173" s="2558"/>
      <c r="S173" s="2922"/>
      <c r="T173" s="2556" t="s">
        <v>219</v>
      </c>
      <c r="U173" s="2558"/>
      <c r="V173" s="212"/>
      <c r="W173" s="2566"/>
      <c r="X173" s="211"/>
      <c r="Y173" s="211"/>
      <c r="Z173" s="212"/>
      <c r="AA173" s="2566"/>
      <c r="AB173" s="211"/>
      <c r="AC173" s="211"/>
      <c r="AD173" s="211"/>
      <c r="AE173" s="2566"/>
      <c r="AF173" s="211"/>
      <c r="AG173" s="211"/>
      <c r="AH173" s="213"/>
      <c r="AI173" s="2567"/>
      <c r="AJ173" s="214"/>
    </row>
    <row r="174" spans="1:36" ht="22.15" customHeight="1" x14ac:dyDescent="0.2">
      <c r="A174" s="109"/>
      <c r="B174" s="2920" t="s">
        <v>241</v>
      </c>
      <c r="C174" s="2921" t="s">
        <v>132</v>
      </c>
      <c r="D174" s="2556" t="s">
        <v>217</v>
      </c>
      <c r="E174" s="2557"/>
      <c r="F174" s="2558"/>
      <c r="G174" s="2922"/>
      <c r="H174" s="2556" t="s">
        <v>217</v>
      </c>
      <c r="I174" s="2557"/>
      <c r="J174" s="2558"/>
      <c r="K174" s="2922"/>
      <c r="L174" s="2556" t="s">
        <v>217</v>
      </c>
      <c r="M174" s="2557"/>
      <c r="N174" s="2558"/>
      <c r="O174" s="2922"/>
      <c r="P174" s="2556" t="s">
        <v>218</v>
      </c>
      <c r="Q174" s="2557"/>
      <c r="R174" s="2558"/>
      <c r="S174" s="2922"/>
      <c r="T174" s="2556" t="s">
        <v>219</v>
      </c>
      <c r="U174" s="2558"/>
      <c r="V174" s="2562"/>
      <c r="W174" s="2923"/>
      <c r="X174" s="2562"/>
      <c r="Y174" s="2562"/>
      <c r="Z174" s="2562"/>
      <c r="AA174" s="2923"/>
      <c r="AB174" s="2562"/>
      <c r="AC174" s="2562"/>
      <c r="AD174" s="2562"/>
      <c r="AE174" s="2923"/>
      <c r="AF174" s="2562"/>
      <c r="AG174" s="2562"/>
      <c r="AH174" s="2563"/>
      <c r="AI174" s="2924"/>
      <c r="AJ174" s="214"/>
    </row>
    <row r="175" spans="1:36" ht="22.15" customHeight="1" x14ac:dyDescent="0.2">
      <c r="A175" s="109"/>
      <c r="B175" s="2920" t="s">
        <v>242</v>
      </c>
      <c r="C175" s="2925" t="s">
        <v>243</v>
      </c>
      <c r="D175" s="2556" t="s">
        <v>244</v>
      </c>
      <c r="E175" s="2557"/>
      <c r="F175" s="2558"/>
      <c r="G175" s="2922"/>
      <c r="H175" s="2556" t="s">
        <v>244</v>
      </c>
      <c r="I175" s="2557"/>
      <c r="J175" s="2558"/>
      <c r="K175" s="2922"/>
      <c r="L175" s="2556" t="s">
        <v>244</v>
      </c>
      <c r="M175" s="2557"/>
      <c r="N175" s="2557"/>
      <c r="O175" s="2922"/>
      <c r="P175" s="2556" t="s">
        <v>244</v>
      </c>
      <c r="Q175" s="2557"/>
      <c r="R175" s="2557"/>
      <c r="S175" s="2922"/>
      <c r="T175" s="2556" t="s">
        <v>226</v>
      </c>
      <c r="U175" s="2558"/>
      <c r="V175" s="2562"/>
      <c r="W175" s="2926"/>
      <c r="X175" s="2562"/>
      <c r="Y175" s="2562"/>
      <c r="Z175" s="2562"/>
      <c r="AA175" s="2923"/>
      <c r="AB175" s="2562"/>
      <c r="AC175" s="2562"/>
      <c r="AD175" s="2562"/>
      <c r="AE175" s="2923"/>
      <c r="AF175" s="2562"/>
      <c r="AG175" s="2562"/>
      <c r="AH175" s="2563"/>
      <c r="AI175" s="2924"/>
      <c r="AJ175" s="214"/>
    </row>
    <row r="176" spans="1:36" ht="22.15" customHeight="1" x14ac:dyDescent="0.2">
      <c r="A176" s="109"/>
      <c r="B176" s="2920" t="s">
        <v>245</v>
      </c>
      <c r="C176" s="2925" t="s">
        <v>246</v>
      </c>
      <c r="D176" s="2556" t="s">
        <v>244</v>
      </c>
      <c r="E176" s="2557"/>
      <c r="F176" s="2558"/>
      <c r="G176" s="2922"/>
      <c r="H176" s="2556" t="s">
        <v>244</v>
      </c>
      <c r="I176" s="2557"/>
      <c r="J176" s="2558"/>
      <c r="K176" s="2922"/>
      <c r="L176" s="2556" t="s">
        <v>244</v>
      </c>
      <c r="M176" s="2557"/>
      <c r="N176" s="2557"/>
      <c r="O176" s="2922"/>
      <c r="P176" s="2556" t="s">
        <v>244</v>
      </c>
      <c r="Q176" s="2557"/>
      <c r="R176" s="2557"/>
      <c r="S176" s="2922"/>
      <c r="T176" s="2556" t="s">
        <v>226</v>
      </c>
      <c r="U176" s="2558"/>
      <c r="V176" s="2562"/>
      <c r="W176" s="2926"/>
      <c r="X176" s="2562"/>
      <c r="Y176" s="2562"/>
      <c r="Z176" s="2560"/>
      <c r="AA176" s="2927"/>
      <c r="AB176" s="2562"/>
      <c r="AC176" s="2562"/>
      <c r="AD176" s="2562"/>
      <c r="AE176" s="2923"/>
      <c r="AF176" s="2562"/>
      <c r="AG176" s="2562"/>
      <c r="AH176" s="2563"/>
      <c r="AI176" s="2924"/>
      <c r="AJ176" s="214"/>
    </row>
    <row r="177" spans="1:36" ht="22.15" customHeight="1" thickBot="1" x14ac:dyDescent="0.25">
      <c r="A177" s="109"/>
      <c r="B177" s="2920" t="s">
        <v>247</v>
      </c>
      <c r="C177" s="2925" t="s">
        <v>248</v>
      </c>
      <c r="D177" s="2556" t="s">
        <v>244</v>
      </c>
      <c r="E177" s="2557"/>
      <c r="F177" s="2558"/>
      <c r="G177" s="2922"/>
      <c r="H177" s="2556" t="s">
        <v>244</v>
      </c>
      <c r="I177" s="2557"/>
      <c r="J177" s="2558"/>
      <c r="K177" s="2922"/>
      <c r="L177" s="2556" t="s">
        <v>244</v>
      </c>
      <c r="M177" s="2557"/>
      <c r="N177" s="2557"/>
      <c r="O177" s="2922"/>
      <c r="P177" s="2556" t="s">
        <v>244</v>
      </c>
      <c r="Q177" s="2557"/>
      <c r="R177" s="2557"/>
      <c r="S177" s="2922"/>
      <c r="T177" s="2556" t="s">
        <v>226</v>
      </c>
      <c r="U177" s="2558"/>
      <c r="V177" s="2185"/>
      <c r="W177" s="677"/>
      <c r="X177" s="2185"/>
      <c r="Y177" s="2185"/>
      <c r="Z177" s="2186"/>
      <c r="AA177" s="2187"/>
      <c r="AB177" s="2185"/>
      <c r="AC177" s="2185"/>
      <c r="AD177" s="2185"/>
      <c r="AE177" s="678"/>
      <c r="AF177" s="2185"/>
      <c r="AG177" s="2185"/>
      <c r="AH177" s="2188"/>
      <c r="AI177" s="679"/>
      <c r="AJ177" s="214"/>
    </row>
    <row r="178" spans="1:36" ht="22.15" customHeight="1" x14ac:dyDescent="0.2">
      <c r="A178" s="109"/>
      <c r="B178" s="240"/>
      <c r="C178" s="241"/>
      <c r="D178" s="242"/>
      <c r="E178" s="243"/>
      <c r="F178" s="243"/>
      <c r="G178" s="244"/>
      <c r="H178" s="242"/>
      <c r="I178" s="243"/>
      <c r="J178" s="243"/>
      <c r="K178" s="244"/>
      <c r="L178" s="242"/>
      <c r="M178" s="243"/>
      <c r="N178" s="243"/>
      <c r="O178" s="244"/>
      <c r="P178" s="228"/>
      <c r="Q178" s="243"/>
      <c r="R178" s="243"/>
      <c r="S178" s="244"/>
      <c r="T178" s="228"/>
      <c r="U178" s="243"/>
      <c r="V178" s="243"/>
      <c r="W178" s="243"/>
      <c r="X178" s="243"/>
      <c r="Y178" s="243"/>
      <c r="Z178" s="243"/>
      <c r="AA178" s="244"/>
      <c r="AB178" s="243"/>
      <c r="AC178" s="243"/>
      <c r="AD178" s="243"/>
      <c r="AE178" s="244"/>
      <c r="AF178" s="243"/>
      <c r="AG178" s="243"/>
      <c r="AH178" s="215"/>
      <c r="AI178" s="215"/>
      <c r="AJ178" s="214"/>
    </row>
    <row r="179" spans="1:36" ht="22.15" customHeight="1" thickBot="1" x14ac:dyDescent="0.25">
      <c r="A179" s="148"/>
      <c r="B179" s="2928" t="s">
        <v>29</v>
      </c>
      <c r="C179" s="2710">
        <v>1</v>
      </c>
      <c r="D179" s="2710">
        <v>2</v>
      </c>
      <c r="E179" s="2710">
        <v>3</v>
      </c>
      <c r="F179" s="2710">
        <v>4</v>
      </c>
      <c r="G179" s="2710">
        <v>5</v>
      </c>
      <c r="H179" s="2711">
        <v>6</v>
      </c>
      <c r="I179" s="2711">
        <v>7</v>
      </c>
      <c r="J179" s="2710">
        <v>8</v>
      </c>
      <c r="K179" s="2710">
        <v>9</v>
      </c>
      <c r="L179" s="2710">
        <v>10</v>
      </c>
      <c r="M179" s="2710">
        <v>11</v>
      </c>
      <c r="N179" s="2710">
        <v>12</v>
      </c>
      <c r="O179" s="2711">
        <v>13</v>
      </c>
      <c r="P179" s="2711">
        <v>14</v>
      </c>
      <c r="Q179" s="2710">
        <v>15</v>
      </c>
      <c r="R179" s="2710">
        <v>16</v>
      </c>
      <c r="S179" s="2710">
        <v>17</v>
      </c>
      <c r="T179" s="2710">
        <v>18</v>
      </c>
      <c r="U179" s="2710">
        <v>19</v>
      </c>
      <c r="V179" s="2711">
        <v>20</v>
      </c>
      <c r="W179" s="2711">
        <v>21</v>
      </c>
      <c r="X179" s="2710">
        <v>22</v>
      </c>
      <c r="Y179" s="2710">
        <v>23</v>
      </c>
      <c r="Z179" s="2710">
        <v>24</v>
      </c>
      <c r="AA179" s="2710">
        <v>25</v>
      </c>
      <c r="AB179" s="2710">
        <v>26</v>
      </c>
      <c r="AC179" s="2711">
        <v>27</v>
      </c>
      <c r="AD179" s="2711">
        <v>28</v>
      </c>
      <c r="AE179" s="2710">
        <v>29</v>
      </c>
      <c r="AF179" s="2710">
        <v>30</v>
      </c>
      <c r="AG179" s="2712">
        <v>31</v>
      </c>
      <c r="AH179" s="195"/>
      <c r="AI179" s="185"/>
    </row>
    <row r="180" spans="1:36" ht="22.15" customHeight="1" x14ac:dyDescent="0.2">
      <c r="A180" s="109"/>
      <c r="B180" s="411" t="s">
        <v>249</v>
      </c>
      <c r="C180" s="385" t="s">
        <v>216</v>
      </c>
      <c r="D180" s="385" t="s">
        <v>216</v>
      </c>
      <c r="E180" s="385" t="s">
        <v>216</v>
      </c>
      <c r="F180" s="385" t="s">
        <v>216</v>
      </c>
      <c r="G180" s="385" t="s">
        <v>216</v>
      </c>
      <c r="H180" s="385"/>
      <c r="I180" s="385"/>
      <c r="J180" s="385" t="s">
        <v>216</v>
      </c>
      <c r="K180" s="385" t="s">
        <v>216</v>
      </c>
      <c r="L180" s="385" t="s">
        <v>216</v>
      </c>
      <c r="M180" s="385" t="s">
        <v>216</v>
      </c>
      <c r="N180" s="385" t="s">
        <v>216</v>
      </c>
      <c r="O180" s="385"/>
      <c r="P180" s="385"/>
      <c r="Q180" s="385" t="s">
        <v>216</v>
      </c>
      <c r="R180" s="385" t="s">
        <v>216</v>
      </c>
      <c r="S180" s="385" t="s">
        <v>216</v>
      </c>
      <c r="T180" s="385" t="s">
        <v>216</v>
      </c>
      <c r="U180" s="385" t="s">
        <v>216</v>
      </c>
      <c r="V180" s="385"/>
      <c r="W180" s="385"/>
      <c r="X180" s="385" t="s">
        <v>216</v>
      </c>
      <c r="Y180" s="385" t="s">
        <v>216</v>
      </c>
      <c r="Z180" s="385" t="s">
        <v>216</v>
      </c>
      <c r="AA180" s="385" t="s">
        <v>216</v>
      </c>
      <c r="AB180" s="385" t="s">
        <v>216</v>
      </c>
      <c r="AC180" s="385"/>
      <c r="AD180" s="385"/>
      <c r="AE180" s="385" t="s">
        <v>216</v>
      </c>
      <c r="AF180" s="385" t="s">
        <v>216</v>
      </c>
      <c r="AG180" s="385" t="s">
        <v>216</v>
      </c>
      <c r="AH180" s="190"/>
      <c r="AI180" s="190"/>
    </row>
    <row r="181" spans="1:36" ht="22.15" customHeight="1" x14ac:dyDescent="0.2">
      <c r="A181" s="109"/>
      <c r="B181" s="2929" t="s">
        <v>250</v>
      </c>
      <c r="C181" s="2817" t="s">
        <v>216</v>
      </c>
      <c r="D181" s="2817" t="s">
        <v>216</v>
      </c>
      <c r="E181" s="2817" t="s">
        <v>216</v>
      </c>
      <c r="F181" s="2817" t="s">
        <v>216</v>
      </c>
      <c r="G181" s="2817" t="s">
        <v>216</v>
      </c>
      <c r="H181" s="2817"/>
      <c r="I181" s="2817"/>
      <c r="J181" s="2817" t="s">
        <v>216</v>
      </c>
      <c r="K181" s="2817" t="s">
        <v>216</v>
      </c>
      <c r="L181" s="2817" t="s">
        <v>216</v>
      </c>
      <c r="M181" s="2817" t="s">
        <v>216</v>
      </c>
      <c r="N181" s="2817" t="s">
        <v>216</v>
      </c>
      <c r="O181" s="2817"/>
      <c r="P181" s="2817"/>
      <c r="Q181" s="2817" t="s">
        <v>216</v>
      </c>
      <c r="R181" s="2817" t="s">
        <v>216</v>
      </c>
      <c r="S181" s="2817" t="s">
        <v>216</v>
      </c>
      <c r="T181" s="2817" t="s">
        <v>216</v>
      </c>
      <c r="U181" s="2817" t="s">
        <v>216</v>
      </c>
      <c r="V181" s="2817"/>
      <c r="W181" s="2817"/>
      <c r="X181" s="2817" t="s">
        <v>216</v>
      </c>
      <c r="Y181" s="2817" t="s">
        <v>216</v>
      </c>
      <c r="Z181" s="2817" t="s">
        <v>216</v>
      </c>
      <c r="AA181" s="2817" t="s">
        <v>216</v>
      </c>
      <c r="AB181" s="2817" t="s">
        <v>216</v>
      </c>
      <c r="AC181" s="2817"/>
      <c r="AD181" s="2817"/>
      <c r="AE181" s="2817" t="s">
        <v>216</v>
      </c>
      <c r="AF181" s="2817" t="s">
        <v>216</v>
      </c>
      <c r="AG181" s="2817" t="s">
        <v>216</v>
      </c>
      <c r="AH181" s="190"/>
      <c r="AI181" s="190"/>
    </row>
    <row r="182" spans="1:36" ht="22.15" customHeight="1" x14ac:dyDescent="0.2">
      <c r="A182" s="109"/>
      <c r="B182" s="2929" t="s">
        <v>251</v>
      </c>
      <c r="C182" s="2817" t="s">
        <v>220</v>
      </c>
      <c r="D182" s="2817" t="s">
        <v>220</v>
      </c>
      <c r="E182" s="2817" t="s">
        <v>220</v>
      </c>
      <c r="F182" s="2817" t="s">
        <v>220</v>
      </c>
      <c r="G182" s="2817" t="s">
        <v>220</v>
      </c>
      <c r="H182" s="2817"/>
      <c r="I182" s="2817"/>
      <c r="J182" s="2817" t="s">
        <v>220</v>
      </c>
      <c r="K182" s="2817" t="s">
        <v>220</v>
      </c>
      <c r="L182" s="2817" t="s">
        <v>220</v>
      </c>
      <c r="M182" s="2817" t="s">
        <v>220</v>
      </c>
      <c r="N182" s="2817" t="s">
        <v>220</v>
      </c>
      <c r="O182" s="2817"/>
      <c r="P182" s="2817"/>
      <c r="Q182" s="2817" t="s">
        <v>220</v>
      </c>
      <c r="R182" s="2817" t="s">
        <v>220</v>
      </c>
      <c r="S182" s="2817" t="s">
        <v>220</v>
      </c>
      <c r="T182" s="2817" t="s">
        <v>220</v>
      </c>
      <c r="U182" s="2817" t="s">
        <v>220</v>
      </c>
      <c r="V182" s="2817"/>
      <c r="W182" s="2817"/>
      <c r="X182" s="2817" t="s">
        <v>220</v>
      </c>
      <c r="Y182" s="2817" t="s">
        <v>220</v>
      </c>
      <c r="Z182" s="2817" t="s">
        <v>220</v>
      </c>
      <c r="AA182" s="2817" t="s">
        <v>220</v>
      </c>
      <c r="AB182" s="2817" t="s">
        <v>220</v>
      </c>
      <c r="AC182" s="2817"/>
      <c r="AD182" s="2817"/>
      <c r="AE182" s="2817" t="s">
        <v>220</v>
      </c>
      <c r="AF182" s="2817" t="s">
        <v>220</v>
      </c>
      <c r="AG182" s="2817" t="s">
        <v>220</v>
      </c>
      <c r="AH182" s="190"/>
      <c r="AI182" s="190"/>
    </row>
    <row r="183" spans="1:36" ht="22.15" customHeight="1" x14ac:dyDescent="0.2">
      <c r="A183" s="109"/>
      <c r="B183" s="2929" t="s">
        <v>252</v>
      </c>
      <c r="C183" s="2817" t="s">
        <v>158</v>
      </c>
      <c r="D183" s="2817" t="s">
        <v>158</v>
      </c>
      <c r="E183" s="2817" t="s">
        <v>158</v>
      </c>
      <c r="F183" s="2817" t="s">
        <v>158</v>
      </c>
      <c r="G183" s="2817" t="s">
        <v>158</v>
      </c>
      <c r="H183" s="2817"/>
      <c r="I183" s="2817"/>
      <c r="J183" s="2817" t="s">
        <v>158</v>
      </c>
      <c r="K183" s="2817" t="s">
        <v>158</v>
      </c>
      <c r="L183" s="2817" t="s">
        <v>158</v>
      </c>
      <c r="M183" s="2817" t="s">
        <v>158</v>
      </c>
      <c r="N183" s="2817" t="s">
        <v>158</v>
      </c>
      <c r="O183" s="2817"/>
      <c r="P183" s="2817"/>
      <c r="Q183" s="2817" t="s">
        <v>158</v>
      </c>
      <c r="R183" s="2817" t="s">
        <v>158</v>
      </c>
      <c r="S183" s="2817" t="s">
        <v>158</v>
      </c>
      <c r="T183" s="2817" t="s">
        <v>158</v>
      </c>
      <c r="U183" s="2817" t="s">
        <v>158</v>
      </c>
      <c r="V183" s="2817"/>
      <c r="W183" s="2817"/>
      <c r="X183" s="2817" t="s">
        <v>158</v>
      </c>
      <c r="Y183" s="2817" t="s">
        <v>158</v>
      </c>
      <c r="Z183" s="2817" t="s">
        <v>158</v>
      </c>
      <c r="AA183" s="2817" t="s">
        <v>158</v>
      </c>
      <c r="AB183" s="2817" t="s">
        <v>158</v>
      </c>
      <c r="AC183" s="2817"/>
      <c r="AD183" s="2817"/>
      <c r="AE183" s="2817" t="s">
        <v>158</v>
      </c>
      <c r="AF183" s="2817" t="s">
        <v>158</v>
      </c>
      <c r="AG183" s="2817" t="s">
        <v>158</v>
      </c>
      <c r="AH183" s="190"/>
      <c r="AI183" s="190"/>
    </row>
    <row r="184" spans="1:36" ht="22.15" customHeight="1" x14ac:dyDescent="0.2">
      <c r="A184" s="109"/>
      <c r="B184" s="2766" t="s">
        <v>253</v>
      </c>
      <c r="C184" s="2818" t="s">
        <v>223</v>
      </c>
      <c r="D184" s="2818" t="s">
        <v>223</v>
      </c>
      <c r="E184" s="2818" t="s">
        <v>223</v>
      </c>
      <c r="F184" s="2818" t="s">
        <v>223</v>
      </c>
      <c r="G184" s="2818" t="s">
        <v>223</v>
      </c>
      <c r="H184" s="2818"/>
      <c r="I184" s="2818"/>
      <c r="J184" s="2817" t="s">
        <v>223</v>
      </c>
      <c r="K184" s="2817" t="s">
        <v>223</v>
      </c>
      <c r="L184" s="2817" t="s">
        <v>223</v>
      </c>
      <c r="M184" s="2817" t="s">
        <v>223</v>
      </c>
      <c r="N184" s="2817" t="s">
        <v>223</v>
      </c>
      <c r="O184" s="2817"/>
      <c r="P184" s="2817"/>
      <c r="Q184" s="2817" t="s">
        <v>223</v>
      </c>
      <c r="R184" s="2817" t="s">
        <v>223</v>
      </c>
      <c r="S184" s="2817" t="s">
        <v>223</v>
      </c>
      <c r="T184" s="2817" t="s">
        <v>223</v>
      </c>
      <c r="U184" s="2817" t="s">
        <v>223</v>
      </c>
      <c r="V184" s="2817"/>
      <c r="W184" s="2817"/>
      <c r="X184" s="2817" t="s">
        <v>223</v>
      </c>
      <c r="Y184" s="2817" t="s">
        <v>223</v>
      </c>
      <c r="Z184" s="2817" t="s">
        <v>223</v>
      </c>
      <c r="AA184" s="2817" t="s">
        <v>223</v>
      </c>
      <c r="AB184" s="2817" t="s">
        <v>223</v>
      </c>
      <c r="AC184" s="2817"/>
      <c r="AD184" s="2817"/>
      <c r="AE184" s="2817" t="s">
        <v>223</v>
      </c>
      <c r="AF184" s="2817" t="s">
        <v>223</v>
      </c>
      <c r="AG184" s="2817" t="s">
        <v>223</v>
      </c>
      <c r="AH184" s="190"/>
      <c r="AI184" s="190"/>
    </row>
    <row r="185" spans="1:36" ht="22.15" customHeight="1" x14ac:dyDescent="0.2">
      <c r="A185" s="109"/>
      <c r="B185" s="2929" t="s">
        <v>418</v>
      </c>
      <c r="C185" s="2817" t="s">
        <v>228</v>
      </c>
      <c r="D185" s="2817" t="s">
        <v>228</v>
      </c>
      <c r="E185" s="2817" t="s">
        <v>228</v>
      </c>
      <c r="F185" s="2817" t="s">
        <v>228</v>
      </c>
      <c r="G185" s="2817" t="s">
        <v>228</v>
      </c>
      <c r="H185" s="2817"/>
      <c r="I185" s="2817"/>
      <c r="J185" s="2817" t="s">
        <v>228</v>
      </c>
      <c r="K185" s="2817" t="s">
        <v>228</v>
      </c>
      <c r="L185" s="2817" t="s">
        <v>228</v>
      </c>
      <c r="M185" s="2817" t="s">
        <v>228</v>
      </c>
      <c r="N185" s="2817" t="s">
        <v>228</v>
      </c>
      <c r="O185" s="2817"/>
      <c r="P185" s="2817"/>
      <c r="Q185" s="2817" t="s">
        <v>228</v>
      </c>
      <c r="R185" s="2817" t="s">
        <v>228</v>
      </c>
      <c r="S185" s="2817" t="s">
        <v>228</v>
      </c>
      <c r="T185" s="2817" t="s">
        <v>228</v>
      </c>
      <c r="U185" s="2817" t="s">
        <v>228</v>
      </c>
      <c r="V185" s="2817"/>
      <c r="W185" s="2817"/>
      <c r="X185" s="2817" t="s">
        <v>228</v>
      </c>
      <c r="Y185" s="2817" t="s">
        <v>228</v>
      </c>
      <c r="Z185" s="2817" t="s">
        <v>228</v>
      </c>
      <c r="AA185" s="2817" t="s">
        <v>228</v>
      </c>
      <c r="AB185" s="2817" t="s">
        <v>228</v>
      </c>
      <c r="AC185" s="2817"/>
      <c r="AD185" s="2817"/>
      <c r="AE185" s="2817" t="s">
        <v>228</v>
      </c>
      <c r="AF185" s="2817" t="s">
        <v>228</v>
      </c>
      <c r="AG185" s="2817" t="s">
        <v>228</v>
      </c>
      <c r="AH185" s="190"/>
      <c r="AI185" s="190"/>
    </row>
    <row r="186" spans="1:36" ht="22.15" customHeight="1" x14ac:dyDescent="0.2">
      <c r="A186" s="109"/>
      <c r="B186" s="2929" t="s">
        <v>255</v>
      </c>
      <c r="C186" s="2734" t="s">
        <v>233</v>
      </c>
      <c r="D186" s="2734" t="s">
        <v>233</v>
      </c>
      <c r="E186" s="2734" t="s">
        <v>233</v>
      </c>
      <c r="F186" s="2734" t="s">
        <v>233</v>
      </c>
      <c r="G186" s="2734" t="s">
        <v>233</v>
      </c>
      <c r="H186" s="2734"/>
      <c r="I186" s="2734"/>
      <c r="J186" s="2734" t="s">
        <v>233</v>
      </c>
      <c r="K186" s="2734" t="s">
        <v>233</v>
      </c>
      <c r="L186" s="2734" t="s">
        <v>233</v>
      </c>
      <c r="M186" s="2734" t="s">
        <v>233</v>
      </c>
      <c r="N186" s="2734" t="s">
        <v>233</v>
      </c>
      <c r="O186" s="2734"/>
      <c r="P186" s="2734"/>
      <c r="Q186" s="2818" t="s">
        <v>233</v>
      </c>
      <c r="R186" s="2818" t="s">
        <v>233</v>
      </c>
      <c r="S186" s="2818" t="s">
        <v>233</v>
      </c>
      <c r="T186" s="2818" t="s">
        <v>233</v>
      </c>
      <c r="U186" s="2818" t="s">
        <v>233</v>
      </c>
      <c r="V186" s="2818"/>
      <c r="W186" s="2818"/>
      <c r="X186" s="2818" t="s">
        <v>233</v>
      </c>
      <c r="Y186" s="2818" t="s">
        <v>233</v>
      </c>
      <c r="Z186" s="2818" t="s">
        <v>233</v>
      </c>
      <c r="AA186" s="2818" t="s">
        <v>233</v>
      </c>
      <c r="AB186" s="2818" t="s">
        <v>233</v>
      </c>
      <c r="AC186" s="2818"/>
      <c r="AD186" s="2818"/>
      <c r="AE186" s="2734" t="s">
        <v>233</v>
      </c>
      <c r="AF186" s="2734" t="s">
        <v>233</v>
      </c>
      <c r="AG186" s="2734" t="s">
        <v>233</v>
      </c>
      <c r="AH186" s="190"/>
      <c r="AI186" s="190"/>
    </row>
    <row r="187" spans="1:36" ht="22.15" customHeight="1" x14ac:dyDescent="0.2">
      <c r="A187" s="109"/>
      <c r="B187" s="2807" t="s">
        <v>411</v>
      </c>
      <c r="C187" s="2817" t="s">
        <v>235</v>
      </c>
      <c r="D187" s="2817" t="s">
        <v>235</v>
      </c>
      <c r="E187" s="2817" t="s">
        <v>235</v>
      </c>
      <c r="F187" s="2817" t="s">
        <v>235</v>
      </c>
      <c r="G187" s="2817" t="s">
        <v>235</v>
      </c>
      <c r="H187" s="2817"/>
      <c r="I187" s="2817"/>
      <c r="J187" s="2817" t="s">
        <v>235</v>
      </c>
      <c r="K187" s="2817" t="s">
        <v>235</v>
      </c>
      <c r="L187" s="2817" t="s">
        <v>235</v>
      </c>
      <c r="M187" s="2817" t="s">
        <v>235</v>
      </c>
      <c r="N187" s="2817" t="s">
        <v>235</v>
      </c>
      <c r="O187" s="2817"/>
      <c r="P187" s="2817"/>
      <c r="Q187" s="2817" t="s">
        <v>235</v>
      </c>
      <c r="R187" s="2817" t="s">
        <v>235</v>
      </c>
      <c r="S187" s="2817" t="s">
        <v>235</v>
      </c>
      <c r="T187" s="2817" t="s">
        <v>235</v>
      </c>
      <c r="U187" s="2817" t="s">
        <v>235</v>
      </c>
      <c r="V187" s="2817"/>
      <c r="W187" s="2817"/>
      <c r="X187" s="2817" t="s">
        <v>235</v>
      </c>
      <c r="Y187" s="2817" t="s">
        <v>235</v>
      </c>
      <c r="Z187" s="2817" t="s">
        <v>235</v>
      </c>
      <c r="AA187" s="2817" t="s">
        <v>235</v>
      </c>
      <c r="AB187" s="2817" t="s">
        <v>235</v>
      </c>
      <c r="AC187" s="2817"/>
      <c r="AD187" s="2817"/>
      <c r="AE187" s="2818" t="s">
        <v>235</v>
      </c>
      <c r="AF187" s="2818" t="s">
        <v>235</v>
      </c>
      <c r="AG187" s="2818" t="s">
        <v>235</v>
      </c>
      <c r="AH187" s="190"/>
      <c r="AI187" s="190"/>
    </row>
    <row r="188" spans="1:36" ht="22.15" customHeight="1" x14ac:dyDescent="0.2">
      <c r="A188" s="109"/>
      <c r="B188" s="2929" t="s">
        <v>257</v>
      </c>
      <c r="C188" s="2817" t="s">
        <v>236</v>
      </c>
      <c r="D188" s="2817" t="s">
        <v>236</v>
      </c>
      <c r="E188" s="2817" t="s">
        <v>236</v>
      </c>
      <c r="F188" s="2817" t="s">
        <v>236</v>
      </c>
      <c r="G188" s="2817" t="s">
        <v>236</v>
      </c>
      <c r="H188" s="2817"/>
      <c r="I188" s="2817"/>
      <c r="J188" s="2817" t="s">
        <v>236</v>
      </c>
      <c r="K188" s="2817" t="s">
        <v>236</v>
      </c>
      <c r="L188" s="2817" t="s">
        <v>236</v>
      </c>
      <c r="M188" s="2817" t="s">
        <v>236</v>
      </c>
      <c r="N188" s="2817" t="s">
        <v>236</v>
      </c>
      <c r="O188" s="2817"/>
      <c r="P188" s="2817"/>
      <c r="Q188" s="2817" t="s">
        <v>236</v>
      </c>
      <c r="R188" s="2817" t="s">
        <v>236</v>
      </c>
      <c r="S188" s="2817" t="s">
        <v>236</v>
      </c>
      <c r="T188" s="2817" t="s">
        <v>236</v>
      </c>
      <c r="U188" s="2817" t="s">
        <v>236</v>
      </c>
      <c r="V188" s="2817"/>
      <c r="W188" s="2817"/>
      <c r="X188" s="2817" t="s">
        <v>236</v>
      </c>
      <c r="Y188" s="2817" t="s">
        <v>236</v>
      </c>
      <c r="Z188" s="2817" t="s">
        <v>236</v>
      </c>
      <c r="AA188" s="2817" t="s">
        <v>236</v>
      </c>
      <c r="AB188" s="2817" t="s">
        <v>236</v>
      </c>
      <c r="AC188" s="2817"/>
      <c r="AD188" s="2817"/>
      <c r="AE188" s="2817" t="s">
        <v>236</v>
      </c>
      <c r="AF188" s="2817" t="s">
        <v>236</v>
      </c>
      <c r="AG188" s="2817" t="s">
        <v>236</v>
      </c>
      <c r="AH188" s="190"/>
      <c r="AI188" s="190"/>
    </row>
    <row r="189" spans="1:36" ht="22.15" customHeight="1" x14ac:dyDescent="0.2">
      <c r="A189" s="109"/>
      <c r="B189" s="2929" t="s">
        <v>258</v>
      </c>
      <c r="C189" s="2817" t="s">
        <v>238</v>
      </c>
      <c r="D189" s="2817" t="s">
        <v>238</v>
      </c>
      <c r="E189" s="2817" t="s">
        <v>238</v>
      </c>
      <c r="F189" s="2817" t="s">
        <v>238</v>
      </c>
      <c r="G189" s="2817" t="s">
        <v>238</v>
      </c>
      <c r="H189" s="2817"/>
      <c r="I189" s="2817"/>
      <c r="J189" s="2818" t="s">
        <v>238</v>
      </c>
      <c r="K189" s="2818" t="s">
        <v>238</v>
      </c>
      <c r="L189" s="2818" t="s">
        <v>238</v>
      </c>
      <c r="M189" s="2818" t="s">
        <v>238</v>
      </c>
      <c r="N189" s="2818" t="s">
        <v>238</v>
      </c>
      <c r="O189" s="2818"/>
      <c r="P189" s="2818"/>
      <c r="Q189" s="2817" t="s">
        <v>238</v>
      </c>
      <c r="R189" s="2817" t="s">
        <v>238</v>
      </c>
      <c r="S189" s="2817" t="s">
        <v>238</v>
      </c>
      <c r="T189" s="2817" t="s">
        <v>238</v>
      </c>
      <c r="U189" s="2817" t="s">
        <v>238</v>
      </c>
      <c r="V189" s="2817"/>
      <c r="W189" s="2817"/>
      <c r="X189" s="2817" t="s">
        <v>238</v>
      </c>
      <c r="Y189" s="2817" t="s">
        <v>238</v>
      </c>
      <c r="Z189" s="2817" t="s">
        <v>238</v>
      </c>
      <c r="AA189" s="2817" t="s">
        <v>238</v>
      </c>
      <c r="AB189" s="2817" t="s">
        <v>238</v>
      </c>
      <c r="AC189" s="2817"/>
      <c r="AD189" s="2817"/>
      <c r="AE189" s="2817" t="s">
        <v>238</v>
      </c>
      <c r="AF189" s="2817" t="s">
        <v>238</v>
      </c>
      <c r="AG189" s="2817" t="s">
        <v>238</v>
      </c>
      <c r="AH189" s="190"/>
      <c r="AI189" s="190"/>
    </row>
    <row r="190" spans="1:36" ht="22.15" customHeight="1" x14ac:dyDescent="0.2">
      <c r="A190" s="109"/>
      <c r="B190" s="2807" t="s">
        <v>260</v>
      </c>
      <c r="C190" s="2817" t="s">
        <v>80</v>
      </c>
      <c r="D190" s="2817" t="s">
        <v>80</v>
      </c>
      <c r="E190" s="2817" t="s">
        <v>80</v>
      </c>
      <c r="F190" s="2817" t="s">
        <v>80</v>
      </c>
      <c r="G190" s="2817" t="s">
        <v>80</v>
      </c>
      <c r="H190" s="2817"/>
      <c r="I190" s="2817"/>
      <c r="J190" s="2817" t="s">
        <v>80</v>
      </c>
      <c r="K190" s="2817" t="s">
        <v>80</v>
      </c>
      <c r="L190" s="2817" t="s">
        <v>80</v>
      </c>
      <c r="M190" s="2817" t="s">
        <v>80</v>
      </c>
      <c r="N190" s="2817" t="s">
        <v>80</v>
      </c>
      <c r="O190" s="2817"/>
      <c r="P190" s="2817"/>
      <c r="Q190" s="2817" t="s">
        <v>80</v>
      </c>
      <c r="R190" s="2817" t="s">
        <v>80</v>
      </c>
      <c r="S190" s="2817" t="s">
        <v>80</v>
      </c>
      <c r="T190" s="2817" t="s">
        <v>80</v>
      </c>
      <c r="U190" s="2817" t="s">
        <v>80</v>
      </c>
      <c r="V190" s="2817"/>
      <c r="W190" s="2817"/>
      <c r="X190" s="2817" t="s">
        <v>80</v>
      </c>
      <c r="Y190" s="2817" t="s">
        <v>80</v>
      </c>
      <c r="Z190" s="2817" t="s">
        <v>80</v>
      </c>
      <c r="AA190" s="2817" t="s">
        <v>80</v>
      </c>
      <c r="AB190" s="2817" t="s">
        <v>80</v>
      </c>
      <c r="AC190" s="2817"/>
      <c r="AD190" s="2817"/>
      <c r="AE190" s="2817" t="s">
        <v>80</v>
      </c>
      <c r="AF190" s="2817" t="s">
        <v>80</v>
      </c>
      <c r="AG190" s="2817" t="s">
        <v>80</v>
      </c>
      <c r="AH190" s="190"/>
      <c r="AI190" s="190"/>
    </row>
    <row r="191" spans="1:36" ht="22.15" customHeight="1" x14ac:dyDescent="0.2">
      <c r="A191" s="109"/>
      <c r="B191" s="2929" t="s">
        <v>261</v>
      </c>
      <c r="C191" s="2818" t="s">
        <v>132</v>
      </c>
      <c r="D191" s="2818" t="s">
        <v>132</v>
      </c>
      <c r="E191" s="2818" t="s">
        <v>132</v>
      </c>
      <c r="F191" s="2818" t="s">
        <v>132</v>
      </c>
      <c r="G191" s="2818" t="s">
        <v>132</v>
      </c>
      <c r="H191" s="2818"/>
      <c r="I191" s="2818"/>
      <c r="J191" s="2817" t="s">
        <v>132</v>
      </c>
      <c r="K191" s="2817" t="s">
        <v>132</v>
      </c>
      <c r="L191" s="2817" t="s">
        <v>132</v>
      </c>
      <c r="M191" s="2817" t="s">
        <v>132</v>
      </c>
      <c r="N191" s="2817" t="s">
        <v>132</v>
      </c>
      <c r="O191" s="2817"/>
      <c r="P191" s="2817"/>
      <c r="Q191" s="2817" t="s">
        <v>132</v>
      </c>
      <c r="R191" s="2817" t="s">
        <v>132</v>
      </c>
      <c r="S191" s="2817" t="s">
        <v>132</v>
      </c>
      <c r="T191" s="2817" t="s">
        <v>132</v>
      </c>
      <c r="U191" s="2817" t="s">
        <v>132</v>
      </c>
      <c r="V191" s="2817"/>
      <c r="W191" s="2817"/>
      <c r="X191" s="2817" t="s">
        <v>132</v>
      </c>
      <c r="Y191" s="2817" t="s">
        <v>132</v>
      </c>
      <c r="Z191" s="2817" t="s">
        <v>132</v>
      </c>
      <c r="AA191" s="2817" t="s">
        <v>132</v>
      </c>
      <c r="AB191" s="2817" t="s">
        <v>132</v>
      </c>
      <c r="AC191" s="2817"/>
      <c r="AD191" s="2817"/>
      <c r="AE191" s="2817" t="s">
        <v>132</v>
      </c>
      <c r="AF191" s="2817" t="s">
        <v>132</v>
      </c>
      <c r="AG191" s="2817" t="s">
        <v>132</v>
      </c>
      <c r="AH191" s="190"/>
      <c r="AI191" s="190"/>
    </row>
    <row r="192" spans="1:36" ht="22.15" customHeight="1" x14ac:dyDescent="0.2">
      <c r="A192" s="109"/>
      <c r="B192" s="2807" t="s">
        <v>129</v>
      </c>
      <c r="C192" s="2817" t="s">
        <v>243</v>
      </c>
      <c r="D192" s="2817" t="s">
        <v>243</v>
      </c>
      <c r="E192" s="2817" t="s">
        <v>243</v>
      </c>
      <c r="F192" s="2817" t="s">
        <v>243</v>
      </c>
      <c r="G192" s="2817" t="s">
        <v>243</v>
      </c>
      <c r="H192" s="2817"/>
      <c r="I192" s="2817"/>
      <c r="J192" s="2817" t="s">
        <v>243</v>
      </c>
      <c r="K192" s="2817" t="s">
        <v>243</v>
      </c>
      <c r="L192" s="2817" t="s">
        <v>243</v>
      </c>
      <c r="M192" s="2817" t="s">
        <v>243</v>
      </c>
      <c r="N192" s="2817" t="s">
        <v>243</v>
      </c>
      <c r="O192" s="2817"/>
      <c r="P192" s="2817"/>
      <c r="Q192" s="2817" t="s">
        <v>243</v>
      </c>
      <c r="R192" s="2817" t="s">
        <v>243</v>
      </c>
      <c r="S192" s="2817" t="s">
        <v>243</v>
      </c>
      <c r="T192" s="2817" t="s">
        <v>243</v>
      </c>
      <c r="U192" s="2817" t="s">
        <v>243</v>
      </c>
      <c r="V192" s="2817"/>
      <c r="W192" s="2817"/>
      <c r="X192" s="2817" t="s">
        <v>243</v>
      </c>
      <c r="Y192" s="2817" t="s">
        <v>243</v>
      </c>
      <c r="Z192" s="2817" t="s">
        <v>243</v>
      </c>
      <c r="AA192" s="2817" t="s">
        <v>243</v>
      </c>
      <c r="AB192" s="2817" t="s">
        <v>243</v>
      </c>
      <c r="AC192" s="2817"/>
      <c r="AD192" s="2817"/>
      <c r="AE192" s="2817" t="s">
        <v>243</v>
      </c>
      <c r="AF192" s="2817" t="s">
        <v>243</v>
      </c>
      <c r="AG192" s="2817" t="s">
        <v>243</v>
      </c>
      <c r="AH192" s="190"/>
      <c r="AI192" s="190"/>
    </row>
    <row r="193" spans="1:35" ht="22.15" customHeight="1" x14ac:dyDescent="0.2">
      <c r="A193" s="109"/>
      <c r="B193" s="2807" t="s">
        <v>263</v>
      </c>
      <c r="C193" s="2817" t="s">
        <v>246</v>
      </c>
      <c r="D193" s="2817" t="s">
        <v>246</v>
      </c>
      <c r="E193" s="2817" t="s">
        <v>246</v>
      </c>
      <c r="F193" s="2817" t="s">
        <v>246</v>
      </c>
      <c r="G193" s="2817" t="s">
        <v>246</v>
      </c>
      <c r="H193" s="2817"/>
      <c r="I193" s="2817"/>
      <c r="J193" s="2817" t="s">
        <v>246</v>
      </c>
      <c r="K193" s="2817" t="s">
        <v>246</v>
      </c>
      <c r="L193" s="2817" t="s">
        <v>246</v>
      </c>
      <c r="M193" s="2817" t="s">
        <v>246</v>
      </c>
      <c r="N193" s="2817" t="s">
        <v>246</v>
      </c>
      <c r="O193" s="2817"/>
      <c r="P193" s="2817"/>
      <c r="Q193" s="2817" t="s">
        <v>246</v>
      </c>
      <c r="R193" s="2817" t="s">
        <v>246</v>
      </c>
      <c r="S193" s="2817" t="s">
        <v>246</v>
      </c>
      <c r="T193" s="2817" t="s">
        <v>246</v>
      </c>
      <c r="U193" s="2817" t="s">
        <v>246</v>
      </c>
      <c r="V193" s="2817"/>
      <c r="W193" s="2817"/>
      <c r="X193" s="2817" t="s">
        <v>246</v>
      </c>
      <c r="Y193" s="2817" t="s">
        <v>246</v>
      </c>
      <c r="Z193" s="2817" t="s">
        <v>246</v>
      </c>
      <c r="AA193" s="2817" t="s">
        <v>246</v>
      </c>
      <c r="AB193" s="2817" t="s">
        <v>246</v>
      </c>
      <c r="AC193" s="2817"/>
      <c r="AD193" s="2817"/>
      <c r="AE193" s="2817" t="s">
        <v>246</v>
      </c>
      <c r="AF193" s="2817" t="s">
        <v>246</v>
      </c>
      <c r="AG193" s="2817" t="s">
        <v>246</v>
      </c>
      <c r="AH193" s="107"/>
      <c r="AI193" s="107"/>
    </row>
    <row r="194" spans="1:35" ht="21" customHeight="1" thickBot="1" x14ac:dyDescent="0.25">
      <c r="A194" s="148"/>
      <c r="B194" s="692" t="s">
        <v>264</v>
      </c>
      <c r="C194" s="696" t="s">
        <v>248</v>
      </c>
      <c r="D194" s="696" t="s">
        <v>248</v>
      </c>
      <c r="E194" s="696" t="s">
        <v>248</v>
      </c>
      <c r="F194" s="696" t="s">
        <v>248</v>
      </c>
      <c r="G194" s="696" t="s">
        <v>248</v>
      </c>
      <c r="H194" s="696"/>
      <c r="I194" s="696"/>
      <c r="J194" s="696" t="s">
        <v>248</v>
      </c>
      <c r="K194" s="696" t="s">
        <v>248</v>
      </c>
      <c r="L194" s="696" t="s">
        <v>248</v>
      </c>
      <c r="M194" s="696" t="s">
        <v>248</v>
      </c>
      <c r="N194" s="696" t="s">
        <v>248</v>
      </c>
      <c r="O194" s="696"/>
      <c r="P194" s="696"/>
      <c r="Q194" s="696" t="s">
        <v>248</v>
      </c>
      <c r="R194" s="696" t="s">
        <v>248</v>
      </c>
      <c r="S194" s="696" t="s">
        <v>248</v>
      </c>
      <c r="T194" s="696" t="s">
        <v>248</v>
      </c>
      <c r="U194" s="696" t="s">
        <v>248</v>
      </c>
      <c r="V194" s="696"/>
      <c r="W194" s="696"/>
      <c r="X194" s="696" t="s">
        <v>248</v>
      </c>
      <c r="Y194" s="696" t="s">
        <v>248</v>
      </c>
      <c r="Z194" s="696" t="s">
        <v>248</v>
      </c>
      <c r="AA194" s="696" t="s">
        <v>248</v>
      </c>
      <c r="AB194" s="696" t="s">
        <v>248</v>
      </c>
      <c r="AC194" s="696"/>
      <c r="AD194" s="696"/>
      <c r="AE194" s="696" t="s">
        <v>248</v>
      </c>
      <c r="AF194" s="696" t="s">
        <v>248</v>
      </c>
      <c r="AG194" s="696" t="s">
        <v>248</v>
      </c>
      <c r="AH194" s="115"/>
    </row>
    <row r="195" spans="1:35" ht="21" customHeight="1" x14ac:dyDescent="0.2">
      <c r="A195" s="148"/>
      <c r="B195" s="257"/>
      <c r="C195" s="255"/>
      <c r="D195" s="255"/>
      <c r="E195" s="255"/>
      <c r="F195" s="255"/>
      <c r="G195" s="255"/>
      <c r="H195" s="255"/>
      <c r="I195" s="255"/>
      <c r="J195" s="255"/>
      <c r="K195" s="255"/>
      <c r="L195" s="255"/>
      <c r="M195" s="255"/>
      <c r="N195" s="255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255"/>
      <c r="AC195" s="255"/>
      <c r="AD195" s="255"/>
      <c r="AE195" s="255"/>
      <c r="AF195" s="255"/>
      <c r="AG195" s="255"/>
      <c r="AH195" s="115"/>
    </row>
    <row r="196" spans="1:35" ht="22.15" customHeight="1" x14ac:dyDescent="0.2"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</row>
    <row r="197" spans="1:35" ht="22.15" customHeight="1" thickBot="1" x14ac:dyDescent="0.25">
      <c r="A197" s="1" t="s">
        <v>266</v>
      </c>
      <c r="B197" s="59"/>
    </row>
    <row r="198" spans="1:35" ht="22.15" customHeight="1" x14ac:dyDescent="0.2">
      <c r="A198" s="1"/>
      <c r="B198" s="2930" t="s">
        <v>267</v>
      </c>
      <c r="C198" s="525" t="s">
        <v>90</v>
      </c>
      <c r="D198" s="525"/>
      <c r="E198" s="525"/>
      <c r="F198" s="525"/>
      <c r="G198" s="526" t="s">
        <v>91</v>
      </c>
      <c r="H198" s="525"/>
      <c r="I198" s="525"/>
      <c r="J198" s="525"/>
      <c r="K198" s="526" t="s">
        <v>92</v>
      </c>
      <c r="L198" s="525"/>
      <c r="M198" s="525"/>
      <c r="N198" s="525"/>
      <c r="O198" s="526" t="s">
        <v>93</v>
      </c>
      <c r="P198" s="525"/>
      <c r="Q198" s="525"/>
      <c r="R198" s="525"/>
      <c r="S198" s="526" t="s">
        <v>94</v>
      </c>
      <c r="T198" s="525"/>
      <c r="U198" s="525"/>
      <c r="V198" s="525"/>
      <c r="W198" s="527" t="s">
        <v>95</v>
      </c>
      <c r="X198" s="473"/>
      <c r="Y198" s="525"/>
      <c r="Z198" s="528"/>
      <c r="AA198" s="527" t="s">
        <v>96</v>
      </c>
      <c r="AB198" s="473"/>
      <c r="AC198" s="525"/>
      <c r="AD198" s="528"/>
      <c r="AE198" s="529" t="s">
        <v>97</v>
      </c>
      <c r="AF198" s="525"/>
      <c r="AG198" s="525"/>
      <c r="AH198" s="525"/>
      <c r="AI198" s="474"/>
    </row>
    <row r="199" spans="1:35" ht="22.15" customHeight="1" x14ac:dyDescent="0.2">
      <c r="A199" s="1"/>
      <c r="B199" s="2931">
        <v>3701</v>
      </c>
      <c r="C199" s="110" t="s">
        <v>268</v>
      </c>
      <c r="D199" s="110"/>
      <c r="E199" s="110"/>
      <c r="F199" s="110"/>
      <c r="G199" s="2584" t="s">
        <v>269</v>
      </c>
      <c r="H199" s="110"/>
      <c r="I199" s="110"/>
      <c r="J199" s="110"/>
      <c r="K199" s="2584" t="s">
        <v>269</v>
      </c>
      <c r="L199" s="110"/>
      <c r="M199" s="110"/>
      <c r="N199" s="110"/>
      <c r="O199" s="2584" t="s">
        <v>269</v>
      </c>
      <c r="P199" s="110"/>
      <c r="Q199" s="110"/>
      <c r="R199" s="110"/>
      <c r="S199" s="2584" t="s">
        <v>270</v>
      </c>
      <c r="T199" s="110"/>
      <c r="U199" s="110"/>
      <c r="V199" s="110"/>
      <c r="W199" s="2932"/>
      <c r="X199" s="2933"/>
      <c r="Y199" s="2752"/>
      <c r="Z199" s="2934"/>
      <c r="AA199" s="2932"/>
      <c r="AB199" s="2933"/>
      <c r="AC199" s="2752"/>
      <c r="AD199" s="2934"/>
      <c r="AE199" s="2876"/>
      <c r="AF199" s="2752"/>
      <c r="AG199" s="2752"/>
      <c r="AH199" s="2752"/>
      <c r="AI199" s="2701"/>
    </row>
    <row r="200" spans="1:35" ht="22.15" customHeight="1" x14ac:dyDescent="0.2">
      <c r="A200" s="2935"/>
      <c r="B200" s="2930"/>
      <c r="C200" s="2936"/>
      <c r="D200" s="2937"/>
      <c r="E200" s="2937"/>
      <c r="F200" s="2938"/>
      <c r="G200" s="2936"/>
      <c r="H200" s="2937"/>
      <c r="I200" s="2937"/>
      <c r="J200" s="2938"/>
      <c r="K200" s="2936"/>
      <c r="L200" s="2937"/>
      <c r="M200" s="2937"/>
      <c r="N200" s="2938"/>
      <c r="O200" s="2936"/>
      <c r="P200" s="2937"/>
      <c r="Q200" s="2937"/>
      <c r="R200" s="2938"/>
      <c r="S200" s="2936"/>
      <c r="T200" s="2937"/>
      <c r="U200" s="2937"/>
      <c r="V200" s="2937"/>
      <c r="W200" s="2932"/>
      <c r="X200" s="2933"/>
      <c r="Y200" s="2752"/>
      <c r="Z200" s="2934"/>
      <c r="AA200" s="2932"/>
      <c r="AB200" s="2933"/>
      <c r="AC200" s="2752"/>
      <c r="AD200" s="2934"/>
      <c r="AE200" s="2876"/>
      <c r="AF200" s="2752"/>
      <c r="AG200" s="2752"/>
      <c r="AH200" s="2752"/>
      <c r="AI200" s="2701"/>
    </row>
    <row r="201" spans="1:35" ht="22.15" customHeight="1" x14ac:dyDescent="0.2">
      <c r="A201" s="2935"/>
      <c r="B201" s="2930"/>
      <c r="C201" s="2936"/>
      <c r="D201" s="2937"/>
      <c r="E201" s="2937"/>
      <c r="F201" s="2938"/>
      <c r="G201" s="2936"/>
      <c r="H201" s="2937"/>
      <c r="I201" s="2937"/>
      <c r="J201" s="2938"/>
      <c r="K201" s="2936"/>
      <c r="L201" s="2937"/>
      <c r="M201" s="2937"/>
      <c r="N201" s="2938"/>
      <c r="O201" s="2936"/>
      <c r="P201" s="2937"/>
      <c r="Q201" s="2937"/>
      <c r="R201" s="2938"/>
      <c r="S201" s="2936"/>
      <c r="T201" s="2937"/>
      <c r="U201" s="2937"/>
      <c r="V201" s="2937"/>
      <c r="W201" s="2932"/>
      <c r="X201" s="2933"/>
      <c r="Y201" s="2752"/>
      <c r="Z201" s="2934"/>
      <c r="AA201" s="2932"/>
      <c r="AB201" s="2933"/>
      <c r="AC201" s="2752"/>
      <c r="AD201" s="2934"/>
      <c r="AE201" s="2876"/>
      <c r="AF201" s="2752"/>
      <c r="AG201" s="2752"/>
      <c r="AH201" s="2752"/>
      <c r="AI201" s="2701"/>
    </row>
    <row r="202" spans="1:35" ht="22.15" customHeight="1" thickBot="1" x14ac:dyDescent="0.25">
      <c r="A202" s="2939"/>
      <c r="B202" s="2940"/>
      <c r="C202" s="2941"/>
      <c r="D202" s="2942"/>
      <c r="E202" s="2942"/>
      <c r="F202" s="2943"/>
      <c r="G202" s="2941"/>
      <c r="H202" s="2942"/>
      <c r="I202" s="2942"/>
      <c r="J202" s="2943"/>
      <c r="K202" s="2941"/>
      <c r="L202" s="2942"/>
      <c r="M202" s="2942"/>
      <c r="N202" s="2943"/>
      <c r="O202" s="2941"/>
      <c r="P202" s="2942"/>
      <c r="Q202" s="2942"/>
      <c r="R202" s="2943"/>
      <c r="S202" s="2941"/>
      <c r="T202" s="2942"/>
      <c r="U202" s="2942"/>
      <c r="V202" s="2942"/>
      <c r="W202" s="2944"/>
      <c r="X202" s="2945"/>
      <c r="Y202" s="2946"/>
      <c r="Z202" s="2947"/>
      <c r="AA202" s="2944"/>
      <c r="AB202" s="2945"/>
      <c r="AC202" s="2946"/>
      <c r="AD202" s="2947"/>
      <c r="AE202" s="2889"/>
      <c r="AF202" s="2759"/>
      <c r="AG202" s="2759"/>
      <c r="AH202" s="2759"/>
      <c r="AI202" s="2762"/>
    </row>
    <row r="203" spans="1:35" ht="22.15" customHeight="1" x14ac:dyDescent="0.2">
      <c r="AG203" s="110"/>
      <c r="AH203" s="110"/>
    </row>
    <row r="204" spans="1:35" ht="22.15" customHeight="1" x14ac:dyDescent="0.2">
      <c r="B204" s="2930">
        <v>3700</v>
      </c>
      <c r="C204" s="2752" t="s">
        <v>162</v>
      </c>
      <c r="D204" s="2752"/>
      <c r="E204" s="2752"/>
      <c r="F204" s="2752"/>
      <c r="G204" s="2948" t="s">
        <v>162</v>
      </c>
      <c r="H204" s="2752"/>
      <c r="I204" s="2752"/>
      <c r="J204" s="2752"/>
      <c r="K204" s="2948" t="s">
        <v>162</v>
      </c>
      <c r="L204" s="2752"/>
      <c r="M204" s="2752"/>
      <c r="N204" s="2752"/>
      <c r="O204" s="2948" t="s">
        <v>162</v>
      </c>
      <c r="P204" s="2752"/>
      <c r="Q204" s="2752"/>
      <c r="R204" s="2752"/>
      <c r="S204" s="2948" t="s">
        <v>163</v>
      </c>
      <c r="T204" s="2752"/>
      <c r="U204" s="2752"/>
      <c r="V204" s="2752"/>
      <c r="W204" s="2752"/>
      <c r="X204" s="2948"/>
      <c r="Y204" s="2752"/>
      <c r="Z204" s="2878"/>
      <c r="AA204" s="2876"/>
      <c r="AB204" s="2752"/>
      <c r="AC204" s="2752"/>
      <c r="AD204" s="2791"/>
      <c r="AE204" s="2949"/>
      <c r="AF204" s="2752"/>
      <c r="AG204" s="2752"/>
      <c r="AH204" s="2791"/>
      <c r="AI204" s="2701"/>
    </row>
    <row r="205" spans="1:35" ht="22.15" customHeight="1" x14ac:dyDescent="0.2">
      <c r="A205" s="1"/>
      <c r="B205" s="2930">
        <v>8514</v>
      </c>
      <c r="C205" s="2752" t="s">
        <v>269</v>
      </c>
      <c r="D205" s="2752"/>
      <c r="E205" s="2752"/>
      <c r="F205" s="2752"/>
      <c r="G205" s="2948" t="s">
        <v>269</v>
      </c>
      <c r="H205" s="2752"/>
      <c r="I205" s="2752"/>
      <c r="J205" s="2752"/>
      <c r="K205" s="2948" t="s">
        <v>269</v>
      </c>
      <c r="L205" s="2752"/>
      <c r="M205" s="2752"/>
      <c r="N205" s="2752"/>
      <c r="O205" s="2948" t="s">
        <v>269</v>
      </c>
      <c r="P205" s="2752"/>
      <c r="Q205" s="2752"/>
      <c r="R205" s="2752"/>
      <c r="S205" s="2948" t="s">
        <v>271</v>
      </c>
      <c r="T205" s="2752"/>
      <c r="U205" s="2752"/>
      <c r="V205" s="2752"/>
      <c r="W205" s="2752"/>
      <c r="X205" s="2948"/>
      <c r="Y205" s="2752"/>
      <c r="Z205" s="2878"/>
      <c r="AA205" s="2790"/>
      <c r="AB205" s="2752"/>
      <c r="AC205" s="2752"/>
      <c r="AD205" s="2791"/>
      <c r="AE205" s="2790"/>
      <c r="AF205" s="2752"/>
      <c r="AG205" s="2752"/>
      <c r="AH205" s="2791"/>
      <c r="AI205" s="2701"/>
    </row>
    <row r="206" spans="1:35" ht="22.15" customHeight="1" x14ac:dyDescent="0.2">
      <c r="A206" s="1"/>
      <c r="B206" s="2930">
        <v>8500</v>
      </c>
      <c r="C206" s="166" t="s">
        <v>272</v>
      </c>
      <c r="D206" s="166"/>
      <c r="E206" s="166"/>
      <c r="F206" s="166"/>
      <c r="G206" s="167" t="s">
        <v>272</v>
      </c>
      <c r="H206" s="166"/>
      <c r="I206" s="166"/>
      <c r="J206" s="166"/>
      <c r="K206" s="167" t="s">
        <v>272</v>
      </c>
      <c r="L206" s="166"/>
      <c r="M206" s="166"/>
      <c r="N206" s="166"/>
      <c r="O206" s="167" t="s">
        <v>272</v>
      </c>
      <c r="P206" s="166"/>
      <c r="Q206" s="166"/>
      <c r="R206" s="166"/>
      <c r="S206" s="167" t="s">
        <v>273</v>
      </c>
      <c r="T206" s="166"/>
      <c r="U206" s="166"/>
      <c r="V206" s="166"/>
      <c r="W206" s="166"/>
      <c r="X206" s="167"/>
      <c r="Y206" s="166"/>
      <c r="Z206" s="121"/>
      <c r="AA206" s="120"/>
      <c r="AB206" s="166"/>
      <c r="AC206" s="166"/>
      <c r="AD206" s="121"/>
      <c r="AE206" s="120"/>
      <c r="AF206" s="166"/>
      <c r="AG206" s="166"/>
      <c r="AH206" s="113"/>
      <c r="AI206" s="119"/>
    </row>
    <row r="207" spans="1:35" ht="22.15" customHeight="1" x14ac:dyDescent="0.2">
      <c r="A207" s="1"/>
      <c r="B207" s="2930">
        <v>8514</v>
      </c>
      <c r="C207" s="169" t="s">
        <v>269</v>
      </c>
      <c r="D207" s="169"/>
      <c r="E207" s="169"/>
      <c r="F207" s="169"/>
      <c r="G207" s="170" t="s">
        <v>269</v>
      </c>
      <c r="H207" s="169"/>
      <c r="I207" s="169"/>
      <c r="J207" s="169"/>
      <c r="K207" s="170" t="s">
        <v>269</v>
      </c>
      <c r="L207" s="169"/>
      <c r="M207" s="169"/>
      <c r="N207" s="169"/>
      <c r="O207" s="170" t="s">
        <v>269</v>
      </c>
      <c r="P207" s="169"/>
      <c r="Q207" s="169"/>
      <c r="R207" s="169"/>
      <c r="S207" s="170" t="s">
        <v>271</v>
      </c>
      <c r="T207" s="169"/>
      <c r="U207" s="169"/>
      <c r="V207" s="169"/>
      <c r="W207" s="169"/>
      <c r="X207" s="149"/>
      <c r="Y207" s="166"/>
      <c r="Z207" s="168"/>
      <c r="AA207" s="156"/>
      <c r="AB207" s="117"/>
      <c r="AC207" s="166"/>
      <c r="AD207" s="166"/>
      <c r="AE207" s="118"/>
      <c r="AF207" s="166"/>
      <c r="AG207" s="166"/>
      <c r="AH207" s="166"/>
      <c r="AI207" s="119"/>
    </row>
    <row r="208" spans="1:35" ht="22.15" customHeight="1" thickBot="1" x14ac:dyDescent="0.25">
      <c r="A208" s="1"/>
      <c r="B208" s="2950" t="s">
        <v>274</v>
      </c>
      <c r="C208" s="2759" t="s">
        <v>275</v>
      </c>
      <c r="D208" s="2759"/>
      <c r="E208" s="2759"/>
      <c r="F208" s="2759"/>
      <c r="G208" s="2951" t="s">
        <v>275</v>
      </c>
      <c r="H208" s="2759"/>
      <c r="I208" s="2759"/>
      <c r="J208" s="2759"/>
      <c r="K208" s="2952" t="s">
        <v>275</v>
      </c>
      <c r="L208" s="2759"/>
      <c r="M208" s="2759"/>
      <c r="N208" s="2759"/>
      <c r="O208" s="2951" t="s">
        <v>275</v>
      </c>
      <c r="P208" s="2759"/>
      <c r="Q208" s="2759"/>
      <c r="R208" s="2759"/>
      <c r="S208" s="2951" t="s">
        <v>276</v>
      </c>
      <c r="T208" s="2759"/>
      <c r="U208" s="2759"/>
      <c r="V208" s="2759"/>
      <c r="W208" s="2759"/>
      <c r="X208" s="2951"/>
      <c r="Y208" s="2759"/>
      <c r="Z208" s="2912"/>
      <c r="AA208" s="2889"/>
      <c r="AB208" s="2759"/>
      <c r="AC208" s="2759"/>
      <c r="AD208" s="2896"/>
      <c r="AE208" s="2953"/>
      <c r="AF208" s="2759"/>
      <c r="AG208" s="2759"/>
      <c r="AH208" s="2896"/>
      <c r="AI208" s="2762"/>
    </row>
    <row r="209" spans="1:35" ht="22.1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15" customHeight="1" x14ac:dyDescent="0.2">
      <c r="A210" s="1" t="s">
        <v>277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15" customHeight="1" thickBot="1" x14ac:dyDescent="0.25">
      <c r="A211" s="2822"/>
      <c r="B211" s="2764" t="s">
        <v>29</v>
      </c>
      <c r="C211" s="2710">
        <v>1</v>
      </c>
      <c r="D211" s="2710">
        <v>2</v>
      </c>
      <c r="E211" s="2710">
        <v>3</v>
      </c>
      <c r="F211" s="2710">
        <v>4</v>
      </c>
      <c r="G211" s="2710">
        <v>5</v>
      </c>
      <c r="H211" s="2711">
        <v>6</v>
      </c>
      <c r="I211" s="2711">
        <v>7</v>
      </c>
      <c r="J211" s="2710">
        <v>8</v>
      </c>
      <c r="K211" s="2710">
        <v>9</v>
      </c>
      <c r="L211" s="2710">
        <v>10</v>
      </c>
      <c r="M211" s="2710">
        <v>11</v>
      </c>
      <c r="N211" s="2710">
        <v>12</v>
      </c>
      <c r="O211" s="2711">
        <v>13</v>
      </c>
      <c r="P211" s="2711">
        <v>14</v>
      </c>
      <c r="Q211" s="2710">
        <v>15</v>
      </c>
      <c r="R211" s="2710">
        <v>16</v>
      </c>
      <c r="S211" s="2710">
        <v>17</v>
      </c>
      <c r="T211" s="2710">
        <v>18</v>
      </c>
      <c r="U211" s="2710">
        <v>19</v>
      </c>
      <c r="V211" s="2711">
        <v>20</v>
      </c>
      <c r="W211" s="2711">
        <v>21</v>
      </c>
      <c r="X211" s="2710">
        <v>22</v>
      </c>
      <c r="Y211" s="2710">
        <v>23</v>
      </c>
      <c r="Z211" s="2710">
        <v>24</v>
      </c>
      <c r="AA211" s="2710">
        <v>25</v>
      </c>
      <c r="AB211" s="2710">
        <v>26</v>
      </c>
      <c r="AC211" s="2711">
        <v>27</v>
      </c>
      <c r="AD211" s="2711">
        <v>28</v>
      </c>
      <c r="AE211" s="2710">
        <v>29</v>
      </c>
      <c r="AF211" s="2710">
        <v>30</v>
      </c>
      <c r="AG211" s="2712">
        <v>31</v>
      </c>
      <c r="AH211" s="184"/>
      <c r="AI211" s="185"/>
    </row>
    <row r="212" spans="1:35" ht="22.15" customHeight="1" x14ac:dyDescent="0.2">
      <c r="A212" s="305"/>
      <c r="B212" s="306" t="s">
        <v>278</v>
      </c>
      <c r="C212" s="2734" t="s">
        <v>31</v>
      </c>
      <c r="D212" s="2734" t="s">
        <v>31</v>
      </c>
      <c r="E212" s="2734" t="s">
        <v>31</v>
      </c>
      <c r="F212" s="2735" t="s">
        <v>31</v>
      </c>
      <c r="G212" s="2734" t="s">
        <v>31</v>
      </c>
      <c r="H212" s="2734"/>
      <c r="I212" s="2734"/>
      <c r="J212" s="2734" t="s">
        <v>31</v>
      </c>
      <c r="K212" s="2734" t="s">
        <v>31</v>
      </c>
      <c r="L212" s="2734" t="s">
        <v>31</v>
      </c>
      <c r="M212" s="2734" t="s">
        <v>31</v>
      </c>
      <c r="N212" s="2740" t="s">
        <v>31</v>
      </c>
      <c r="O212" s="2740"/>
      <c r="P212" s="2740"/>
      <c r="Q212" s="2736" t="s">
        <v>31</v>
      </c>
      <c r="R212" s="2740" t="s">
        <v>31</v>
      </c>
      <c r="S212" s="2734" t="s">
        <v>31</v>
      </c>
      <c r="T212" s="2734" t="s">
        <v>31</v>
      </c>
      <c r="U212" s="2740" t="s">
        <v>31</v>
      </c>
      <c r="V212" s="2740"/>
      <c r="W212" s="2740"/>
      <c r="X212" s="2734" t="s">
        <v>31</v>
      </c>
      <c r="Y212" s="2740" t="s">
        <v>31</v>
      </c>
      <c r="Z212" s="2734" t="s">
        <v>31</v>
      </c>
      <c r="AA212" s="2734" t="s">
        <v>31</v>
      </c>
      <c r="AB212" s="2734" t="s">
        <v>31</v>
      </c>
      <c r="AC212" s="2734"/>
      <c r="AD212" s="2735"/>
      <c r="AE212" s="2734" t="s">
        <v>31</v>
      </c>
      <c r="AF212" s="2735" t="s">
        <v>31</v>
      </c>
      <c r="AG212" s="2138" t="s">
        <v>31</v>
      </c>
      <c r="AH212" s="184"/>
      <c r="AI212" s="185"/>
    </row>
    <row r="213" spans="1:35" ht="22.15" customHeight="1" x14ac:dyDescent="0.2">
      <c r="A213" s="2954"/>
      <c r="B213" s="2955" t="s">
        <v>279</v>
      </c>
      <c r="C213" s="2734" t="s">
        <v>31</v>
      </c>
      <c r="D213" s="2734" t="s">
        <v>31</v>
      </c>
      <c r="E213" s="2734" t="s">
        <v>31</v>
      </c>
      <c r="F213" s="2735" t="s">
        <v>31</v>
      </c>
      <c r="G213" s="2734" t="s">
        <v>31</v>
      </c>
      <c r="H213" s="2734"/>
      <c r="I213" s="2734"/>
      <c r="J213" s="2734" t="s">
        <v>31</v>
      </c>
      <c r="K213" s="2734" t="s">
        <v>31</v>
      </c>
      <c r="L213" s="2734" t="s">
        <v>31</v>
      </c>
      <c r="M213" s="2734" t="s">
        <v>31</v>
      </c>
      <c r="N213" s="2740" t="s">
        <v>31</v>
      </c>
      <c r="O213" s="2740"/>
      <c r="P213" s="2740"/>
      <c r="Q213" s="2736" t="s">
        <v>31</v>
      </c>
      <c r="R213" s="2740" t="s">
        <v>31</v>
      </c>
      <c r="S213" s="2734" t="s">
        <v>31</v>
      </c>
      <c r="T213" s="2734" t="s">
        <v>31</v>
      </c>
      <c r="U213" s="2740" t="s">
        <v>31</v>
      </c>
      <c r="V213" s="2740"/>
      <c r="W213" s="2740"/>
      <c r="X213" s="2734" t="s">
        <v>31</v>
      </c>
      <c r="Y213" s="2740" t="s">
        <v>31</v>
      </c>
      <c r="Z213" s="2734" t="s">
        <v>31</v>
      </c>
      <c r="AA213" s="2734" t="s">
        <v>31</v>
      </c>
      <c r="AB213" s="2734" t="s">
        <v>31</v>
      </c>
      <c r="AC213" s="2734"/>
      <c r="AD213" s="2735"/>
      <c r="AE213" s="2734" t="s">
        <v>31</v>
      </c>
      <c r="AF213" s="2735" t="s">
        <v>31</v>
      </c>
      <c r="AG213" s="2138" t="s">
        <v>31</v>
      </c>
      <c r="AH213" s="184"/>
      <c r="AI213" s="185"/>
    </row>
    <row r="214" spans="1:35" ht="22.15" customHeight="1" x14ac:dyDescent="0.2">
      <c r="A214" s="2956">
        <v>8514</v>
      </c>
      <c r="B214" s="2766" t="s">
        <v>280</v>
      </c>
      <c r="C214" s="2734" t="s">
        <v>31</v>
      </c>
      <c r="D214" s="2734" t="s">
        <v>31</v>
      </c>
      <c r="E214" s="2734" t="s">
        <v>31</v>
      </c>
      <c r="F214" s="2735" t="s">
        <v>31</v>
      </c>
      <c r="G214" s="2734" t="s">
        <v>31</v>
      </c>
      <c r="H214" s="2734"/>
      <c r="I214" s="2734"/>
      <c r="J214" s="2734" t="s">
        <v>31</v>
      </c>
      <c r="K214" s="2734" t="s">
        <v>31</v>
      </c>
      <c r="L214" s="2734" t="s">
        <v>31</v>
      </c>
      <c r="M214" s="2734" t="s">
        <v>31</v>
      </c>
      <c r="N214" s="2740" t="s">
        <v>31</v>
      </c>
      <c r="O214" s="2740"/>
      <c r="P214" s="2740"/>
      <c r="Q214" s="2736" t="s">
        <v>31</v>
      </c>
      <c r="R214" s="2740" t="s">
        <v>31</v>
      </c>
      <c r="S214" s="2734" t="s">
        <v>31</v>
      </c>
      <c r="T214" s="2734" t="s">
        <v>31</v>
      </c>
      <c r="U214" s="2740" t="s">
        <v>31</v>
      </c>
      <c r="V214" s="2740"/>
      <c r="W214" s="2740"/>
      <c r="X214" s="2734" t="s">
        <v>31</v>
      </c>
      <c r="Y214" s="2740" t="s">
        <v>31</v>
      </c>
      <c r="Z214" s="2734" t="s">
        <v>31</v>
      </c>
      <c r="AA214" s="2734" t="s">
        <v>31</v>
      </c>
      <c r="AB214" s="2734" t="s">
        <v>31</v>
      </c>
      <c r="AC214" s="2734"/>
      <c r="AD214" s="2735"/>
      <c r="AE214" s="2734" t="s">
        <v>31</v>
      </c>
      <c r="AF214" s="2735" t="s">
        <v>31</v>
      </c>
      <c r="AG214" s="2138" t="s">
        <v>31</v>
      </c>
      <c r="AH214" s="189"/>
      <c r="AI214" s="190"/>
    </row>
    <row r="215" spans="1:35" ht="21" customHeight="1" x14ac:dyDescent="0.2">
      <c r="A215" s="2956">
        <v>3701</v>
      </c>
      <c r="B215" s="2766" t="s">
        <v>281</v>
      </c>
      <c r="C215" s="2734" t="s">
        <v>31</v>
      </c>
      <c r="D215" s="2734" t="s">
        <v>31</v>
      </c>
      <c r="E215" s="2734" t="s">
        <v>31</v>
      </c>
      <c r="F215" s="2735" t="s">
        <v>31</v>
      </c>
      <c r="G215" s="2734" t="s">
        <v>31</v>
      </c>
      <c r="H215" s="2734"/>
      <c r="I215" s="2734"/>
      <c r="J215" s="2734" t="s">
        <v>31</v>
      </c>
      <c r="K215" s="2734" t="s">
        <v>31</v>
      </c>
      <c r="L215" s="2734" t="s">
        <v>31</v>
      </c>
      <c r="M215" s="2734" t="s">
        <v>31</v>
      </c>
      <c r="N215" s="2740" t="s">
        <v>31</v>
      </c>
      <c r="O215" s="2740"/>
      <c r="P215" s="2740"/>
      <c r="Q215" s="2736" t="s">
        <v>31</v>
      </c>
      <c r="R215" s="2740" t="s">
        <v>31</v>
      </c>
      <c r="S215" s="2734" t="s">
        <v>31</v>
      </c>
      <c r="T215" s="2734" t="s">
        <v>31</v>
      </c>
      <c r="U215" s="2740" t="s">
        <v>31</v>
      </c>
      <c r="V215" s="2740"/>
      <c r="W215" s="2740"/>
      <c r="X215" s="2734" t="s">
        <v>31</v>
      </c>
      <c r="Y215" s="2740" t="s">
        <v>31</v>
      </c>
      <c r="Z215" s="2734" t="s">
        <v>31</v>
      </c>
      <c r="AA215" s="2734" t="s">
        <v>31</v>
      </c>
      <c r="AB215" s="2734" t="s">
        <v>31</v>
      </c>
      <c r="AC215" s="2734"/>
      <c r="AD215" s="2735"/>
      <c r="AE215" s="2734" t="s">
        <v>31</v>
      </c>
      <c r="AF215" s="2735" t="s">
        <v>31</v>
      </c>
      <c r="AG215" s="2138" t="s">
        <v>31</v>
      </c>
      <c r="AH215" s="189"/>
      <c r="AI215" s="190"/>
    </row>
    <row r="216" spans="1:35" ht="21" customHeight="1" x14ac:dyDescent="0.2">
      <c r="A216" s="2956">
        <v>3701</v>
      </c>
      <c r="B216" s="2766" t="s">
        <v>282</v>
      </c>
      <c r="C216" s="2734" t="s">
        <v>31</v>
      </c>
      <c r="D216" s="2734" t="s">
        <v>31</v>
      </c>
      <c r="E216" s="2734" t="s">
        <v>31</v>
      </c>
      <c r="F216" s="2735" t="s">
        <v>31</v>
      </c>
      <c r="G216" s="2734" t="s">
        <v>31</v>
      </c>
      <c r="H216" s="2734"/>
      <c r="I216" s="2734"/>
      <c r="J216" s="2734" t="s">
        <v>31</v>
      </c>
      <c r="K216" s="2734" t="s">
        <v>31</v>
      </c>
      <c r="L216" s="2734" t="s">
        <v>31</v>
      </c>
      <c r="M216" s="2734" t="s">
        <v>31</v>
      </c>
      <c r="N216" s="2740" t="s">
        <v>31</v>
      </c>
      <c r="O216" s="2740"/>
      <c r="P216" s="2740"/>
      <c r="Q216" s="2736" t="s">
        <v>31</v>
      </c>
      <c r="R216" s="2740" t="s">
        <v>31</v>
      </c>
      <c r="S216" s="2734" t="s">
        <v>31</v>
      </c>
      <c r="T216" s="2734" t="s">
        <v>31</v>
      </c>
      <c r="U216" s="2740" t="s">
        <v>31</v>
      </c>
      <c r="V216" s="2740"/>
      <c r="W216" s="2740"/>
      <c r="X216" s="2734" t="s">
        <v>31</v>
      </c>
      <c r="Y216" s="2740" t="s">
        <v>31</v>
      </c>
      <c r="Z216" s="2734" t="s">
        <v>31</v>
      </c>
      <c r="AA216" s="2734" t="s">
        <v>31</v>
      </c>
      <c r="AB216" s="2734" t="s">
        <v>31</v>
      </c>
      <c r="AC216" s="2734"/>
      <c r="AD216" s="2735"/>
      <c r="AE216" s="2734" t="s">
        <v>31</v>
      </c>
      <c r="AF216" s="2735" t="s">
        <v>31</v>
      </c>
      <c r="AG216" s="2138" t="s">
        <v>31</v>
      </c>
      <c r="AH216" s="189"/>
      <c r="AI216" s="190"/>
    </row>
    <row r="217" spans="1:35" ht="21" customHeight="1" x14ac:dyDescent="0.2">
      <c r="A217" s="2956">
        <v>3701</v>
      </c>
      <c r="B217" s="2766" t="s">
        <v>283</v>
      </c>
      <c r="C217" s="2734" t="s">
        <v>31</v>
      </c>
      <c r="D217" s="2734" t="s">
        <v>31</v>
      </c>
      <c r="E217" s="2734" t="s">
        <v>31</v>
      </c>
      <c r="F217" s="2735" t="s">
        <v>31</v>
      </c>
      <c r="G217" s="2734" t="s">
        <v>31</v>
      </c>
      <c r="H217" s="2734"/>
      <c r="I217" s="2734"/>
      <c r="J217" s="2734" t="s">
        <v>31</v>
      </c>
      <c r="K217" s="2734" t="s">
        <v>31</v>
      </c>
      <c r="L217" s="2734" t="s">
        <v>31</v>
      </c>
      <c r="M217" s="2734" t="s">
        <v>31</v>
      </c>
      <c r="N217" s="2740" t="s">
        <v>31</v>
      </c>
      <c r="O217" s="2740"/>
      <c r="P217" s="2740"/>
      <c r="Q217" s="2736" t="s">
        <v>31</v>
      </c>
      <c r="R217" s="2740" t="s">
        <v>31</v>
      </c>
      <c r="S217" s="2734" t="s">
        <v>31</v>
      </c>
      <c r="T217" s="2734" t="s">
        <v>31</v>
      </c>
      <c r="U217" s="2740" t="s">
        <v>31</v>
      </c>
      <c r="V217" s="2740"/>
      <c r="W217" s="2740"/>
      <c r="X217" s="2734" t="s">
        <v>31</v>
      </c>
      <c r="Y217" s="2740" t="s">
        <v>31</v>
      </c>
      <c r="Z217" s="2734" t="s">
        <v>31</v>
      </c>
      <c r="AA217" s="2734" t="s">
        <v>31</v>
      </c>
      <c r="AB217" s="2734" t="s">
        <v>31</v>
      </c>
      <c r="AC217" s="2734"/>
      <c r="AD217" s="2735"/>
      <c r="AE217" s="2734" t="s">
        <v>31</v>
      </c>
      <c r="AF217" s="2735" t="s">
        <v>31</v>
      </c>
      <c r="AG217" s="2138" t="s">
        <v>31</v>
      </c>
      <c r="AH217" s="189"/>
      <c r="AI217" s="190"/>
    </row>
    <row r="218" spans="1:35" ht="21" customHeight="1" x14ac:dyDescent="0.2">
      <c r="A218" s="2956">
        <v>3701</v>
      </c>
      <c r="B218" s="2766" t="s">
        <v>284</v>
      </c>
      <c r="C218" s="2734" t="s">
        <v>31</v>
      </c>
      <c r="D218" s="2734" t="s">
        <v>31</v>
      </c>
      <c r="E218" s="2734" t="s">
        <v>31</v>
      </c>
      <c r="F218" s="2735" t="s">
        <v>31</v>
      </c>
      <c r="G218" s="2734" t="s">
        <v>31</v>
      </c>
      <c r="H218" s="2734"/>
      <c r="I218" s="2734"/>
      <c r="J218" s="2734" t="s">
        <v>31</v>
      </c>
      <c r="K218" s="2734" t="s">
        <v>31</v>
      </c>
      <c r="L218" s="2734" t="s">
        <v>31</v>
      </c>
      <c r="M218" s="2734" t="s">
        <v>31</v>
      </c>
      <c r="N218" s="2740" t="s">
        <v>31</v>
      </c>
      <c r="O218" s="2740"/>
      <c r="P218" s="2740"/>
      <c r="Q218" s="2736" t="s">
        <v>31</v>
      </c>
      <c r="R218" s="2740" t="s">
        <v>31</v>
      </c>
      <c r="S218" s="2734" t="s">
        <v>31</v>
      </c>
      <c r="T218" s="2734" t="s">
        <v>31</v>
      </c>
      <c r="U218" s="2740" t="s">
        <v>31</v>
      </c>
      <c r="V218" s="2740"/>
      <c r="W218" s="2740"/>
      <c r="X218" s="2734" t="s">
        <v>31</v>
      </c>
      <c r="Y218" s="2740" t="s">
        <v>31</v>
      </c>
      <c r="Z218" s="2734" t="s">
        <v>31</v>
      </c>
      <c r="AA218" s="2734" t="s">
        <v>31</v>
      </c>
      <c r="AB218" s="2734" t="s">
        <v>31</v>
      </c>
      <c r="AC218" s="2734"/>
      <c r="AD218" s="2735"/>
      <c r="AE218" s="2734" t="s">
        <v>31</v>
      </c>
      <c r="AF218" s="2735" t="s">
        <v>31</v>
      </c>
      <c r="AG218" s="2138" t="s">
        <v>31</v>
      </c>
      <c r="AH218" s="189"/>
      <c r="AI218" s="190"/>
    </row>
    <row r="219" spans="1:35" ht="22.15" customHeight="1" x14ac:dyDescent="0.2">
      <c r="A219" s="2956">
        <v>3701</v>
      </c>
      <c r="B219" s="2766" t="s">
        <v>285</v>
      </c>
      <c r="C219" s="2734" t="s">
        <v>31</v>
      </c>
      <c r="D219" s="2734" t="s">
        <v>31</v>
      </c>
      <c r="E219" s="2734" t="s">
        <v>31</v>
      </c>
      <c r="F219" s="2735" t="s">
        <v>31</v>
      </c>
      <c r="G219" s="2734" t="s">
        <v>31</v>
      </c>
      <c r="H219" s="2734"/>
      <c r="I219" s="2734"/>
      <c r="J219" s="2734" t="s">
        <v>31</v>
      </c>
      <c r="K219" s="2734" t="s">
        <v>31</v>
      </c>
      <c r="L219" s="2734" t="s">
        <v>31</v>
      </c>
      <c r="M219" s="2734" t="s">
        <v>31</v>
      </c>
      <c r="N219" s="2740" t="s">
        <v>31</v>
      </c>
      <c r="O219" s="2740"/>
      <c r="P219" s="2740"/>
      <c r="Q219" s="2736" t="s">
        <v>31</v>
      </c>
      <c r="R219" s="2740" t="s">
        <v>31</v>
      </c>
      <c r="S219" s="2734" t="s">
        <v>31</v>
      </c>
      <c r="T219" s="2734" t="s">
        <v>31</v>
      </c>
      <c r="U219" s="2740" t="s">
        <v>31</v>
      </c>
      <c r="V219" s="2740"/>
      <c r="W219" s="2740"/>
      <c r="X219" s="2734" t="s">
        <v>31</v>
      </c>
      <c r="Y219" s="2740" t="s">
        <v>31</v>
      </c>
      <c r="Z219" s="2734" t="s">
        <v>31</v>
      </c>
      <c r="AA219" s="2734" t="s">
        <v>31</v>
      </c>
      <c r="AB219" s="2734" t="s">
        <v>31</v>
      </c>
      <c r="AC219" s="2734"/>
      <c r="AD219" s="2735"/>
      <c r="AE219" s="2734" t="s">
        <v>31</v>
      </c>
      <c r="AF219" s="2735" t="s">
        <v>31</v>
      </c>
      <c r="AG219" s="2138" t="s">
        <v>31</v>
      </c>
      <c r="AH219" s="189"/>
      <c r="AI219" s="190"/>
    </row>
    <row r="220" spans="1:35" ht="22.15" customHeight="1" x14ac:dyDescent="0.2">
      <c r="A220" s="2956">
        <v>3701</v>
      </c>
      <c r="B220" s="2766" t="s">
        <v>286</v>
      </c>
      <c r="C220" s="2734" t="s">
        <v>31</v>
      </c>
      <c r="D220" s="2734" t="s">
        <v>31</v>
      </c>
      <c r="E220" s="2734" t="s">
        <v>31</v>
      </c>
      <c r="F220" s="2735" t="s">
        <v>31</v>
      </c>
      <c r="G220" s="2734" t="s">
        <v>31</v>
      </c>
      <c r="H220" s="2734"/>
      <c r="I220" s="2734"/>
      <c r="J220" s="2734" t="s">
        <v>31</v>
      </c>
      <c r="K220" s="2734" t="s">
        <v>31</v>
      </c>
      <c r="L220" s="2734" t="s">
        <v>31</v>
      </c>
      <c r="M220" s="2734" t="s">
        <v>31</v>
      </c>
      <c r="N220" s="2740" t="s">
        <v>31</v>
      </c>
      <c r="O220" s="2740"/>
      <c r="P220" s="2740"/>
      <c r="Q220" s="2736" t="s">
        <v>31</v>
      </c>
      <c r="R220" s="2740" t="s">
        <v>31</v>
      </c>
      <c r="S220" s="2734" t="s">
        <v>31</v>
      </c>
      <c r="T220" s="2734" t="s">
        <v>31</v>
      </c>
      <c r="U220" s="2740" t="s">
        <v>31</v>
      </c>
      <c r="V220" s="2740"/>
      <c r="W220" s="2740"/>
      <c r="X220" s="2734" t="s">
        <v>31</v>
      </c>
      <c r="Y220" s="2740" t="s">
        <v>31</v>
      </c>
      <c r="Z220" s="2734" t="s">
        <v>31</v>
      </c>
      <c r="AA220" s="2734" t="s">
        <v>31</v>
      </c>
      <c r="AB220" s="2734" t="s">
        <v>31</v>
      </c>
      <c r="AC220" s="2734"/>
      <c r="AD220" s="2735"/>
      <c r="AE220" s="2734" t="s">
        <v>31</v>
      </c>
      <c r="AF220" s="2735" t="s">
        <v>31</v>
      </c>
      <c r="AG220" s="2138" t="s">
        <v>31</v>
      </c>
      <c r="AH220" s="189"/>
      <c r="AI220" s="190"/>
    </row>
    <row r="221" spans="1:35" ht="22.15" customHeight="1" x14ac:dyDescent="0.2">
      <c r="A221" s="2956">
        <v>3701</v>
      </c>
      <c r="B221" s="2766" t="s">
        <v>287</v>
      </c>
      <c r="C221" s="2734" t="s">
        <v>31</v>
      </c>
      <c r="D221" s="2734" t="s">
        <v>31</v>
      </c>
      <c r="E221" s="2734" t="s">
        <v>31</v>
      </c>
      <c r="F221" s="2735" t="s">
        <v>31</v>
      </c>
      <c r="G221" s="2734" t="s">
        <v>31</v>
      </c>
      <c r="H221" s="2734"/>
      <c r="I221" s="2734"/>
      <c r="J221" s="2734" t="s">
        <v>31</v>
      </c>
      <c r="K221" s="2734" t="s">
        <v>31</v>
      </c>
      <c r="L221" s="2734" t="s">
        <v>31</v>
      </c>
      <c r="M221" s="2734" t="s">
        <v>31</v>
      </c>
      <c r="N221" s="2740" t="s">
        <v>31</v>
      </c>
      <c r="O221" s="2740"/>
      <c r="P221" s="2740"/>
      <c r="Q221" s="2736" t="s">
        <v>31</v>
      </c>
      <c r="R221" s="2740" t="s">
        <v>31</v>
      </c>
      <c r="S221" s="2734" t="s">
        <v>31</v>
      </c>
      <c r="T221" s="2734" t="s">
        <v>31</v>
      </c>
      <c r="U221" s="2740" t="s">
        <v>31</v>
      </c>
      <c r="V221" s="2740"/>
      <c r="W221" s="2740"/>
      <c r="X221" s="2734" t="s">
        <v>31</v>
      </c>
      <c r="Y221" s="2740" t="s">
        <v>31</v>
      </c>
      <c r="Z221" s="2734" t="s">
        <v>31</v>
      </c>
      <c r="AA221" s="2734" t="s">
        <v>31</v>
      </c>
      <c r="AB221" s="2734" t="s">
        <v>31</v>
      </c>
      <c r="AC221" s="2734"/>
      <c r="AD221" s="2735"/>
      <c r="AE221" s="2734" t="s">
        <v>31</v>
      </c>
      <c r="AF221" s="2735" t="s">
        <v>31</v>
      </c>
      <c r="AG221" s="2138" t="s">
        <v>31</v>
      </c>
      <c r="AH221" s="189"/>
      <c r="AI221" s="190"/>
    </row>
    <row r="222" spans="1:35" ht="22.15" customHeight="1" x14ac:dyDescent="0.2">
      <c r="A222" s="2957">
        <v>3701</v>
      </c>
      <c r="B222" s="2766" t="s">
        <v>290</v>
      </c>
      <c r="C222" s="2734" t="s">
        <v>31</v>
      </c>
      <c r="D222" s="2734" t="s">
        <v>31</v>
      </c>
      <c r="E222" s="2734" t="s">
        <v>31</v>
      </c>
      <c r="F222" s="2735" t="s">
        <v>31</v>
      </c>
      <c r="G222" s="2734" t="s">
        <v>31</v>
      </c>
      <c r="H222" s="2734"/>
      <c r="I222" s="2734"/>
      <c r="J222" s="2734" t="s">
        <v>31</v>
      </c>
      <c r="K222" s="2734" t="s">
        <v>31</v>
      </c>
      <c r="L222" s="2734" t="s">
        <v>31</v>
      </c>
      <c r="M222" s="2734" t="s">
        <v>31</v>
      </c>
      <c r="N222" s="2740" t="s">
        <v>31</v>
      </c>
      <c r="O222" s="2740"/>
      <c r="P222" s="2740"/>
      <c r="Q222" s="2736" t="s">
        <v>31</v>
      </c>
      <c r="R222" s="2740" t="s">
        <v>31</v>
      </c>
      <c r="S222" s="2734" t="s">
        <v>31</v>
      </c>
      <c r="T222" s="2734" t="s">
        <v>31</v>
      </c>
      <c r="U222" s="2740" t="s">
        <v>31</v>
      </c>
      <c r="V222" s="2740"/>
      <c r="W222" s="2740"/>
      <c r="X222" s="2734" t="s">
        <v>31</v>
      </c>
      <c r="Y222" s="2740" t="s">
        <v>31</v>
      </c>
      <c r="Z222" s="2734" t="s">
        <v>31</v>
      </c>
      <c r="AA222" s="2734" t="s">
        <v>31</v>
      </c>
      <c r="AB222" s="2734" t="s">
        <v>31</v>
      </c>
      <c r="AC222" s="2734"/>
      <c r="AD222" s="2735"/>
      <c r="AE222" s="2734" t="s">
        <v>31</v>
      </c>
      <c r="AF222" s="2735" t="s">
        <v>31</v>
      </c>
      <c r="AG222" s="2138" t="s">
        <v>31</v>
      </c>
      <c r="AH222" s="189"/>
      <c r="AI222" s="190"/>
    </row>
    <row r="223" spans="1:35" ht="22.15" customHeight="1" x14ac:dyDescent="0.2">
      <c r="A223" s="2956">
        <v>3701</v>
      </c>
      <c r="B223" s="2766" t="s">
        <v>291</v>
      </c>
      <c r="C223" s="2734" t="s">
        <v>31</v>
      </c>
      <c r="D223" s="2734" t="s">
        <v>31</v>
      </c>
      <c r="E223" s="2734" t="s">
        <v>31</v>
      </c>
      <c r="F223" s="2735" t="s">
        <v>31</v>
      </c>
      <c r="G223" s="2734" t="s">
        <v>31</v>
      </c>
      <c r="H223" s="2734"/>
      <c r="I223" s="2734"/>
      <c r="J223" s="2734" t="s">
        <v>31</v>
      </c>
      <c r="K223" s="2734" t="s">
        <v>31</v>
      </c>
      <c r="L223" s="2734" t="s">
        <v>31</v>
      </c>
      <c r="M223" s="2734" t="s">
        <v>31</v>
      </c>
      <c r="N223" s="2740" t="s">
        <v>31</v>
      </c>
      <c r="O223" s="2740"/>
      <c r="P223" s="2740"/>
      <c r="Q223" s="2736" t="s">
        <v>31</v>
      </c>
      <c r="R223" s="2740" t="s">
        <v>31</v>
      </c>
      <c r="S223" s="2734" t="s">
        <v>31</v>
      </c>
      <c r="T223" s="2734" t="s">
        <v>31</v>
      </c>
      <c r="U223" s="2740" t="s">
        <v>31</v>
      </c>
      <c r="V223" s="2740"/>
      <c r="W223" s="2740"/>
      <c r="X223" s="2734" t="s">
        <v>31</v>
      </c>
      <c r="Y223" s="2740" t="s">
        <v>31</v>
      </c>
      <c r="Z223" s="2734" t="s">
        <v>31</v>
      </c>
      <c r="AA223" s="2734" t="s">
        <v>31</v>
      </c>
      <c r="AB223" s="2734" t="s">
        <v>31</v>
      </c>
      <c r="AC223" s="2734"/>
      <c r="AD223" s="2735"/>
      <c r="AE223" s="2734" t="s">
        <v>31</v>
      </c>
      <c r="AF223" s="2735" t="s">
        <v>31</v>
      </c>
      <c r="AG223" s="2138" t="s">
        <v>31</v>
      </c>
      <c r="AH223" s="189"/>
      <c r="AI223" s="190"/>
    </row>
    <row r="224" spans="1:35" ht="22.15" customHeight="1" x14ac:dyDescent="0.2">
      <c r="A224" s="2956">
        <v>3701</v>
      </c>
      <c r="B224" s="2766" t="s">
        <v>292</v>
      </c>
      <c r="C224" s="2734" t="s">
        <v>31</v>
      </c>
      <c r="D224" s="2734" t="s">
        <v>31</v>
      </c>
      <c r="E224" s="2734" t="s">
        <v>31</v>
      </c>
      <c r="F224" s="2735" t="s">
        <v>31</v>
      </c>
      <c r="G224" s="2734" t="s">
        <v>31</v>
      </c>
      <c r="H224" s="2734"/>
      <c r="I224" s="2734"/>
      <c r="J224" s="2734" t="s">
        <v>31</v>
      </c>
      <c r="K224" s="2734" t="s">
        <v>31</v>
      </c>
      <c r="L224" s="2734" t="s">
        <v>31</v>
      </c>
      <c r="M224" s="2734" t="s">
        <v>31</v>
      </c>
      <c r="N224" s="2740" t="s">
        <v>31</v>
      </c>
      <c r="O224" s="2740"/>
      <c r="P224" s="2740"/>
      <c r="Q224" s="2736" t="s">
        <v>31</v>
      </c>
      <c r="R224" s="2740" t="s">
        <v>31</v>
      </c>
      <c r="S224" s="2734" t="s">
        <v>31</v>
      </c>
      <c r="T224" s="2734" t="s">
        <v>31</v>
      </c>
      <c r="U224" s="2740" t="s">
        <v>31</v>
      </c>
      <c r="V224" s="2740"/>
      <c r="W224" s="2740"/>
      <c r="X224" s="2734" t="s">
        <v>31</v>
      </c>
      <c r="Y224" s="2740" t="s">
        <v>31</v>
      </c>
      <c r="Z224" s="2734" t="s">
        <v>31</v>
      </c>
      <c r="AA224" s="2734" t="s">
        <v>31</v>
      </c>
      <c r="AB224" s="2734" t="s">
        <v>31</v>
      </c>
      <c r="AC224" s="2734"/>
      <c r="AD224" s="2735"/>
      <c r="AE224" s="2734" t="s">
        <v>31</v>
      </c>
      <c r="AF224" s="2735" t="s">
        <v>31</v>
      </c>
      <c r="AG224" s="2138" t="s">
        <v>31</v>
      </c>
      <c r="AH224" s="189"/>
      <c r="AI224" s="190"/>
    </row>
    <row r="225" spans="1:35" ht="22.15" customHeight="1" x14ac:dyDescent="0.2">
      <c r="A225" s="2956"/>
      <c r="B225" s="2958" t="s">
        <v>393</v>
      </c>
      <c r="C225" s="2734" t="s">
        <v>31</v>
      </c>
      <c r="D225" s="2734" t="s">
        <v>31</v>
      </c>
      <c r="E225" s="2734" t="s">
        <v>31</v>
      </c>
      <c r="F225" s="2735" t="s">
        <v>31</v>
      </c>
      <c r="G225" s="2734" t="s">
        <v>31</v>
      </c>
      <c r="H225" s="2734"/>
      <c r="I225" s="2734"/>
      <c r="J225" s="2734" t="s">
        <v>31</v>
      </c>
      <c r="K225" s="2734" t="s">
        <v>31</v>
      </c>
      <c r="L225" s="2734" t="s">
        <v>31</v>
      </c>
      <c r="M225" s="2734" t="s">
        <v>31</v>
      </c>
      <c r="N225" s="2740" t="s">
        <v>31</v>
      </c>
      <c r="O225" s="2740"/>
      <c r="P225" s="2740"/>
      <c r="Q225" s="2736" t="s">
        <v>31</v>
      </c>
      <c r="R225" s="2740" t="s">
        <v>31</v>
      </c>
      <c r="S225" s="2734" t="s">
        <v>31</v>
      </c>
      <c r="T225" s="2734" t="s">
        <v>31</v>
      </c>
      <c r="U225" s="2740" t="s">
        <v>31</v>
      </c>
      <c r="V225" s="2740"/>
      <c r="W225" s="2740"/>
      <c r="X225" s="2734" t="s">
        <v>31</v>
      </c>
      <c r="Y225" s="2740" t="s">
        <v>31</v>
      </c>
      <c r="Z225" s="2734" t="s">
        <v>31</v>
      </c>
      <c r="AA225" s="2734" t="s">
        <v>31</v>
      </c>
      <c r="AB225" s="2734" t="s">
        <v>31</v>
      </c>
      <c r="AC225" s="2734"/>
      <c r="AD225" s="2735"/>
      <c r="AE225" s="2734" t="s">
        <v>31</v>
      </c>
      <c r="AF225" s="2735" t="s">
        <v>31</v>
      </c>
      <c r="AG225" s="2138" t="s">
        <v>31</v>
      </c>
      <c r="AH225" s="189"/>
      <c r="AI225" s="190"/>
    </row>
    <row r="226" spans="1:35" ht="22.15" customHeight="1" x14ac:dyDescent="0.2">
      <c r="A226" s="2956"/>
      <c r="B226" s="2766" t="s">
        <v>293</v>
      </c>
      <c r="C226" s="2734" t="s">
        <v>31</v>
      </c>
      <c r="D226" s="2734" t="s">
        <v>31</v>
      </c>
      <c r="E226" s="2734" t="s">
        <v>31</v>
      </c>
      <c r="F226" s="2735" t="s">
        <v>31</v>
      </c>
      <c r="G226" s="2734" t="s">
        <v>31</v>
      </c>
      <c r="H226" s="2734"/>
      <c r="I226" s="2734"/>
      <c r="J226" s="2734" t="s">
        <v>31</v>
      </c>
      <c r="K226" s="2734" t="s">
        <v>31</v>
      </c>
      <c r="L226" s="2734" t="s">
        <v>31</v>
      </c>
      <c r="M226" s="2734" t="s">
        <v>31</v>
      </c>
      <c r="N226" s="2740" t="s">
        <v>31</v>
      </c>
      <c r="O226" s="2740"/>
      <c r="P226" s="2740"/>
      <c r="Q226" s="2736" t="s">
        <v>31</v>
      </c>
      <c r="R226" s="2740" t="s">
        <v>31</v>
      </c>
      <c r="S226" s="2734" t="s">
        <v>31</v>
      </c>
      <c r="T226" s="2734" t="s">
        <v>31</v>
      </c>
      <c r="U226" s="2740" t="s">
        <v>31</v>
      </c>
      <c r="V226" s="2740"/>
      <c r="W226" s="2740"/>
      <c r="X226" s="2734" t="s">
        <v>31</v>
      </c>
      <c r="Y226" s="2740" t="s">
        <v>31</v>
      </c>
      <c r="Z226" s="2734" t="s">
        <v>31</v>
      </c>
      <c r="AA226" s="2734" t="s">
        <v>31</v>
      </c>
      <c r="AB226" s="2734" t="s">
        <v>31</v>
      </c>
      <c r="AC226" s="2734"/>
      <c r="AD226" s="2735"/>
      <c r="AE226" s="2734" t="s">
        <v>31</v>
      </c>
      <c r="AF226" s="2735" t="s">
        <v>31</v>
      </c>
      <c r="AG226" s="2138" t="s">
        <v>31</v>
      </c>
      <c r="AH226" s="189"/>
      <c r="AI226" s="190"/>
    </row>
    <row r="227" spans="1:35" ht="22.15" customHeight="1" x14ac:dyDescent="0.2">
      <c r="A227" s="2956"/>
      <c r="B227" s="2766" t="s">
        <v>294</v>
      </c>
      <c r="C227" s="2734" t="s">
        <v>31</v>
      </c>
      <c r="D227" s="2734" t="s">
        <v>31</v>
      </c>
      <c r="E227" s="2734" t="s">
        <v>31</v>
      </c>
      <c r="F227" s="2735" t="s">
        <v>31</v>
      </c>
      <c r="G227" s="2734" t="s">
        <v>31</v>
      </c>
      <c r="H227" s="2734"/>
      <c r="I227" s="2734"/>
      <c r="J227" s="2734" t="s">
        <v>31</v>
      </c>
      <c r="K227" s="2734" t="s">
        <v>31</v>
      </c>
      <c r="L227" s="2734" t="s">
        <v>31</v>
      </c>
      <c r="M227" s="2734" t="s">
        <v>31</v>
      </c>
      <c r="N227" s="2740" t="s">
        <v>31</v>
      </c>
      <c r="O227" s="2740"/>
      <c r="P227" s="2740"/>
      <c r="Q227" s="2736" t="s">
        <v>31</v>
      </c>
      <c r="R227" s="2740" t="s">
        <v>31</v>
      </c>
      <c r="S227" s="2734" t="s">
        <v>31</v>
      </c>
      <c r="T227" s="2734" t="s">
        <v>31</v>
      </c>
      <c r="U227" s="2740" t="s">
        <v>31</v>
      </c>
      <c r="V227" s="2740"/>
      <c r="W227" s="2740"/>
      <c r="X227" s="2734" t="s">
        <v>31</v>
      </c>
      <c r="Y227" s="2740" t="s">
        <v>31</v>
      </c>
      <c r="Z227" s="2734" t="s">
        <v>31</v>
      </c>
      <c r="AA227" s="2734" t="s">
        <v>31</v>
      </c>
      <c r="AB227" s="2734" t="s">
        <v>31</v>
      </c>
      <c r="AC227" s="2734"/>
      <c r="AD227" s="2735"/>
      <c r="AE227" s="2734" t="s">
        <v>31</v>
      </c>
      <c r="AF227" s="2735" t="s">
        <v>31</v>
      </c>
      <c r="AG227" s="2138" t="s">
        <v>31</v>
      </c>
      <c r="AH227" s="189"/>
      <c r="AI227" s="190"/>
    </row>
    <row r="228" spans="1:35" ht="22.15" customHeight="1" x14ac:dyDescent="0.2">
      <c r="A228" s="2956"/>
      <c r="B228" s="2766" t="s">
        <v>295</v>
      </c>
      <c r="C228" s="2734" t="s">
        <v>31</v>
      </c>
      <c r="D228" s="2734" t="s">
        <v>31</v>
      </c>
      <c r="E228" s="2734" t="s">
        <v>31</v>
      </c>
      <c r="F228" s="2735" t="s">
        <v>31</v>
      </c>
      <c r="G228" s="2734" t="s">
        <v>31</v>
      </c>
      <c r="H228" s="2734"/>
      <c r="I228" s="2734"/>
      <c r="J228" s="2734" t="s">
        <v>31</v>
      </c>
      <c r="K228" s="2734" t="s">
        <v>31</v>
      </c>
      <c r="L228" s="2734" t="s">
        <v>31</v>
      </c>
      <c r="M228" s="2734" t="s">
        <v>31</v>
      </c>
      <c r="N228" s="2740" t="s">
        <v>31</v>
      </c>
      <c r="O228" s="2740"/>
      <c r="P228" s="2740"/>
      <c r="Q228" s="2736" t="s">
        <v>31</v>
      </c>
      <c r="R228" s="2740" t="s">
        <v>31</v>
      </c>
      <c r="S228" s="2734" t="s">
        <v>31</v>
      </c>
      <c r="T228" s="2734" t="s">
        <v>31</v>
      </c>
      <c r="U228" s="2740" t="s">
        <v>31</v>
      </c>
      <c r="V228" s="2740"/>
      <c r="W228" s="2740"/>
      <c r="X228" s="2734" t="s">
        <v>31</v>
      </c>
      <c r="Y228" s="2740" t="s">
        <v>31</v>
      </c>
      <c r="Z228" s="2734" t="s">
        <v>31</v>
      </c>
      <c r="AA228" s="2734" t="s">
        <v>31</v>
      </c>
      <c r="AB228" s="2734" t="s">
        <v>31</v>
      </c>
      <c r="AC228" s="2734"/>
      <c r="AD228" s="2735"/>
      <c r="AE228" s="2734" t="s">
        <v>31</v>
      </c>
      <c r="AF228" s="2735" t="s">
        <v>31</v>
      </c>
      <c r="AG228" s="2138" t="s">
        <v>31</v>
      </c>
      <c r="AH228" s="189"/>
      <c r="AI228" s="190"/>
    </row>
    <row r="229" spans="1:35" ht="22.15" customHeight="1" x14ac:dyDescent="0.2">
      <c r="A229" s="2956"/>
      <c r="B229" s="2766" t="s">
        <v>296</v>
      </c>
      <c r="C229" s="2734" t="s">
        <v>31</v>
      </c>
      <c r="D229" s="2734" t="s">
        <v>31</v>
      </c>
      <c r="E229" s="2734" t="s">
        <v>31</v>
      </c>
      <c r="F229" s="2735" t="s">
        <v>31</v>
      </c>
      <c r="G229" s="2734" t="s">
        <v>31</v>
      </c>
      <c r="H229" s="2734"/>
      <c r="I229" s="2734"/>
      <c r="J229" s="2734" t="s">
        <v>31</v>
      </c>
      <c r="K229" s="2734" t="s">
        <v>31</v>
      </c>
      <c r="L229" s="2734" t="s">
        <v>31</v>
      </c>
      <c r="M229" s="2734" t="s">
        <v>31</v>
      </c>
      <c r="N229" s="2740" t="s">
        <v>31</v>
      </c>
      <c r="O229" s="2740"/>
      <c r="P229" s="2740"/>
      <c r="Q229" s="2736" t="s">
        <v>31</v>
      </c>
      <c r="R229" s="2740" t="s">
        <v>31</v>
      </c>
      <c r="S229" s="2734" t="s">
        <v>31</v>
      </c>
      <c r="T229" s="2734" t="s">
        <v>31</v>
      </c>
      <c r="U229" s="2740" t="s">
        <v>31</v>
      </c>
      <c r="V229" s="2740"/>
      <c r="W229" s="2740"/>
      <c r="X229" s="2734" t="s">
        <v>31</v>
      </c>
      <c r="Y229" s="2740" t="s">
        <v>31</v>
      </c>
      <c r="Z229" s="2734" t="s">
        <v>31</v>
      </c>
      <c r="AA229" s="2734" t="s">
        <v>31</v>
      </c>
      <c r="AB229" s="2734" t="s">
        <v>31</v>
      </c>
      <c r="AC229" s="2734"/>
      <c r="AD229" s="2735"/>
      <c r="AE229" s="2734" t="s">
        <v>31</v>
      </c>
      <c r="AF229" s="2735" t="s">
        <v>31</v>
      </c>
      <c r="AG229" s="2138" t="s">
        <v>31</v>
      </c>
      <c r="AH229" s="189"/>
      <c r="AI229" s="190"/>
    </row>
    <row r="230" spans="1:35" ht="22.15" customHeight="1" x14ac:dyDescent="0.2">
      <c r="A230" s="2956"/>
      <c r="B230" s="2959" t="s">
        <v>297</v>
      </c>
      <c r="C230" s="2735"/>
      <c r="D230" s="2735"/>
      <c r="E230" s="2735"/>
      <c r="F230" s="2817"/>
      <c r="G230" s="2740"/>
      <c r="H230" s="2740"/>
      <c r="I230" s="2735"/>
      <c r="J230" s="2735"/>
      <c r="K230" s="2735"/>
      <c r="L230" s="2735"/>
      <c r="M230" s="2735"/>
      <c r="N230" s="2734"/>
      <c r="O230" s="2735"/>
      <c r="P230" s="2735"/>
      <c r="Q230" s="2735"/>
      <c r="R230" s="2735"/>
      <c r="S230" s="2735"/>
      <c r="T230" s="2735"/>
      <c r="U230" s="2735"/>
      <c r="V230" s="2735"/>
      <c r="W230" s="2735"/>
      <c r="X230" s="2735"/>
      <c r="Y230" s="2736"/>
      <c r="Z230" s="2736"/>
      <c r="AA230" s="2736"/>
      <c r="AB230" s="2735"/>
      <c r="AC230" s="2735"/>
      <c r="AD230" s="2735"/>
      <c r="AE230" s="2735"/>
      <c r="AF230" s="2734"/>
      <c r="AG230" s="2193"/>
      <c r="AH230" s="186"/>
      <c r="AI230" s="107"/>
    </row>
    <row r="231" spans="1:35" ht="22.15" customHeight="1" x14ac:dyDescent="0.2">
      <c r="A231" s="2956"/>
      <c r="B231" s="2766"/>
      <c r="C231" s="2735"/>
      <c r="D231" s="2735"/>
      <c r="E231" s="2735"/>
      <c r="F231" s="2817"/>
      <c r="G231" s="2740"/>
      <c r="H231" s="2740"/>
      <c r="I231" s="2735"/>
      <c r="J231" s="2735"/>
      <c r="K231" s="2735"/>
      <c r="L231" s="2735"/>
      <c r="M231" s="2735"/>
      <c r="N231" s="2734"/>
      <c r="O231" s="2735"/>
      <c r="P231" s="2735"/>
      <c r="Q231" s="2735"/>
      <c r="R231" s="2735"/>
      <c r="S231" s="2735"/>
      <c r="T231" s="2735"/>
      <c r="U231" s="2735"/>
      <c r="V231" s="2735"/>
      <c r="W231" s="2735"/>
      <c r="X231" s="2735"/>
      <c r="Y231" s="2736"/>
      <c r="Z231" s="2736"/>
      <c r="AA231" s="2736"/>
      <c r="AB231" s="2735"/>
      <c r="AC231" s="2735"/>
      <c r="AD231" s="2735"/>
      <c r="AE231" s="2735"/>
      <c r="AF231" s="2734"/>
      <c r="AG231" s="2203"/>
      <c r="AH231" s="186"/>
      <c r="AI231" s="107"/>
    </row>
    <row r="232" spans="1:35" ht="22.15" customHeight="1" x14ac:dyDescent="0.2">
      <c r="A232" s="2960"/>
      <c r="B232" s="2961" t="s">
        <v>298</v>
      </c>
      <c r="C232" s="2735"/>
      <c r="D232" s="2735"/>
      <c r="E232" s="2735"/>
      <c r="F232" s="2735"/>
      <c r="G232" s="2735"/>
      <c r="H232" s="2735"/>
      <c r="I232" s="2735"/>
      <c r="J232" s="2735"/>
      <c r="K232" s="2735"/>
      <c r="L232" s="2735"/>
      <c r="M232" s="2735"/>
      <c r="N232" s="2735"/>
      <c r="O232" s="2735"/>
      <c r="P232" s="2735"/>
      <c r="Q232" s="2735"/>
      <c r="R232" s="2735"/>
      <c r="S232" s="2735"/>
      <c r="T232" s="2735"/>
      <c r="U232" s="2735"/>
      <c r="V232" s="2735"/>
      <c r="W232" s="2735"/>
      <c r="X232" s="2735"/>
      <c r="Y232" s="2735"/>
      <c r="Z232" s="2735"/>
      <c r="AA232" s="2735"/>
      <c r="AB232" s="2735"/>
      <c r="AC232" s="2735"/>
      <c r="AD232" s="2735"/>
      <c r="AE232" s="2735"/>
      <c r="AF232" s="2735"/>
      <c r="AG232" s="2193"/>
      <c r="AH232" s="186"/>
      <c r="AI232" s="107"/>
    </row>
    <row r="233" spans="1:35" ht="22.15" customHeight="1" x14ac:dyDescent="0.2">
      <c r="A233" s="2960"/>
      <c r="B233" s="2766" t="s">
        <v>299</v>
      </c>
      <c r="C233" s="2734" t="s">
        <v>31</v>
      </c>
      <c r="D233" s="2734" t="s">
        <v>31</v>
      </c>
      <c r="E233" s="2734" t="s">
        <v>31</v>
      </c>
      <c r="F233" s="2735" t="s">
        <v>31</v>
      </c>
      <c r="G233" s="2734" t="s">
        <v>31</v>
      </c>
      <c r="H233" s="2734"/>
      <c r="I233" s="2734"/>
      <c r="J233" s="2734" t="s">
        <v>31</v>
      </c>
      <c r="K233" s="2734" t="s">
        <v>31</v>
      </c>
      <c r="L233" s="2734" t="s">
        <v>31</v>
      </c>
      <c r="M233" s="2734" t="s">
        <v>31</v>
      </c>
      <c r="N233" s="2740" t="s">
        <v>31</v>
      </c>
      <c r="O233" s="2740"/>
      <c r="P233" s="2740"/>
      <c r="Q233" s="2736" t="s">
        <v>31</v>
      </c>
      <c r="R233" s="2740" t="s">
        <v>31</v>
      </c>
      <c r="S233" s="2734" t="s">
        <v>31</v>
      </c>
      <c r="T233" s="2734" t="s">
        <v>31</v>
      </c>
      <c r="U233" s="2740" t="s">
        <v>31</v>
      </c>
      <c r="V233" s="2740"/>
      <c r="W233" s="2740"/>
      <c r="X233" s="2734" t="s">
        <v>31</v>
      </c>
      <c r="Y233" s="2740" t="s">
        <v>31</v>
      </c>
      <c r="Z233" s="2734" t="s">
        <v>31</v>
      </c>
      <c r="AA233" s="2734" t="s">
        <v>31</v>
      </c>
      <c r="AB233" s="2734" t="s">
        <v>31</v>
      </c>
      <c r="AC233" s="2734"/>
      <c r="AD233" s="2735"/>
      <c r="AE233" s="2734" t="s">
        <v>31</v>
      </c>
      <c r="AF233" s="2735" t="s">
        <v>31</v>
      </c>
      <c r="AG233" s="2138" t="s">
        <v>31</v>
      </c>
      <c r="AH233" s="186"/>
      <c r="AI233" s="107"/>
    </row>
    <row r="234" spans="1:35" ht="22.15" customHeight="1" x14ac:dyDescent="0.2">
      <c r="A234" s="2960"/>
      <c r="B234" s="2960"/>
      <c r="C234" s="2735"/>
      <c r="D234" s="2735"/>
      <c r="E234" s="2735"/>
      <c r="F234" s="2735"/>
      <c r="G234" s="2735"/>
      <c r="H234" s="2735"/>
      <c r="I234" s="2735"/>
      <c r="J234" s="2735"/>
      <c r="K234" s="2735"/>
      <c r="L234" s="2735"/>
      <c r="M234" s="2735"/>
      <c r="N234" s="2735"/>
      <c r="O234" s="2735"/>
      <c r="P234" s="2735"/>
      <c r="Q234" s="2735"/>
      <c r="R234" s="2735"/>
      <c r="S234" s="2735"/>
      <c r="T234" s="2735"/>
      <c r="U234" s="2735"/>
      <c r="V234" s="2735"/>
      <c r="W234" s="2735"/>
      <c r="X234" s="2735"/>
      <c r="Y234" s="2735"/>
      <c r="Z234" s="2735"/>
      <c r="AA234" s="2735"/>
      <c r="AB234" s="2735"/>
      <c r="AC234" s="2735"/>
      <c r="AD234" s="2735"/>
      <c r="AE234" s="2735"/>
      <c r="AF234" s="2735"/>
      <c r="AG234" s="2193"/>
      <c r="AH234" s="186"/>
      <c r="AI234" s="107"/>
    </row>
    <row r="235" spans="1:35" ht="22.15" customHeight="1" x14ac:dyDescent="0.2">
      <c r="A235" s="2960"/>
      <c r="B235" s="2960"/>
      <c r="C235" s="2735"/>
      <c r="D235" s="2735"/>
      <c r="E235" s="2735"/>
      <c r="F235" s="2735"/>
      <c r="G235" s="2735"/>
      <c r="H235" s="2619"/>
      <c r="I235" s="2735"/>
      <c r="J235" s="2735"/>
      <c r="K235" s="2735"/>
      <c r="L235" s="2735"/>
      <c r="M235" s="2735"/>
      <c r="N235" s="2735"/>
      <c r="O235" s="2735"/>
      <c r="P235" s="2735"/>
      <c r="Q235" s="2735"/>
      <c r="R235" s="2735"/>
      <c r="S235" s="2735"/>
      <c r="T235" s="2735"/>
      <c r="U235" s="2735"/>
      <c r="V235" s="2735"/>
      <c r="W235" s="2735"/>
      <c r="X235" s="2735"/>
      <c r="Y235" s="2735"/>
      <c r="Z235" s="2735"/>
      <c r="AA235" s="2735"/>
      <c r="AB235" s="2735"/>
      <c r="AC235" s="2735"/>
      <c r="AD235" s="2735"/>
      <c r="AE235" s="2735"/>
      <c r="AF235" s="2735"/>
      <c r="AG235" s="2203"/>
      <c r="AH235" s="186"/>
      <c r="AI235" s="107"/>
    </row>
    <row r="236" spans="1:35" ht="22.15" customHeight="1" x14ac:dyDescent="0.2">
      <c r="A236" s="2956"/>
      <c r="B236" s="2958"/>
      <c r="C236" s="2735"/>
      <c r="D236" s="2735"/>
      <c r="E236" s="2735"/>
      <c r="F236" s="2735"/>
      <c r="G236" s="2735"/>
      <c r="H236" s="2735"/>
      <c r="I236" s="2735"/>
      <c r="J236" s="2735"/>
      <c r="K236" s="2735"/>
      <c r="L236" s="2735"/>
      <c r="M236" s="2735"/>
      <c r="N236" s="2735"/>
      <c r="O236" s="2735"/>
      <c r="P236" s="2735"/>
      <c r="Q236" s="2735"/>
      <c r="R236" s="2735"/>
      <c r="S236" s="2735"/>
      <c r="T236" s="2735"/>
      <c r="U236" s="2735"/>
      <c r="V236" s="2735"/>
      <c r="W236" s="2735"/>
      <c r="X236" s="2735"/>
      <c r="Y236" s="2735"/>
      <c r="Z236" s="2735"/>
      <c r="AA236" s="2735"/>
      <c r="AB236" s="2735"/>
      <c r="AC236" s="2735"/>
      <c r="AD236" s="2735"/>
      <c r="AE236" s="2735"/>
      <c r="AF236" s="2735"/>
      <c r="AG236" s="2203"/>
      <c r="AH236" s="186"/>
      <c r="AI236" s="107"/>
    </row>
    <row r="237" spans="1:35" ht="22.15" customHeight="1" x14ac:dyDescent="0.2">
      <c r="A237" s="2956"/>
      <c r="B237" s="2620"/>
      <c r="C237" s="2735"/>
      <c r="D237" s="2735"/>
      <c r="E237" s="2735"/>
      <c r="F237" s="2735"/>
      <c r="G237" s="2735"/>
      <c r="H237" s="2735"/>
      <c r="I237" s="2735"/>
      <c r="J237" s="2735"/>
      <c r="K237" s="2735"/>
      <c r="L237" s="2735"/>
      <c r="M237" s="2735"/>
      <c r="N237" s="2735"/>
      <c r="O237" s="2735"/>
      <c r="P237" s="2735"/>
      <c r="Q237" s="2735"/>
      <c r="R237" s="2735"/>
      <c r="S237" s="2735"/>
      <c r="T237" s="2735"/>
      <c r="U237" s="2735"/>
      <c r="V237" s="2735"/>
      <c r="W237" s="2735"/>
      <c r="X237" s="2735"/>
      <c r="Y237" s="2735"/>
      <c r="Z237" s="2735"/>
      <c r="AA237" s="2735"/>
      <c r="AB237" s="2735"/>
      <c r="AC237" s="2735"/>
      <c r="AD237" s="2735"/>
      <c r="AE237" s="2735"/>
      <c r="AF237" s="2735"/>
      <c r="AG237" s="2203"/>
      <c r="AH237" s="186"/>
      <c r="AI237" s="107"/>
    </row>
    <row r="238" spans="1:35" ht="22.15" customHeight="1" x14ac:dyDescent="0.2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2" spans="1:35" ht="21" customHeight="1" thickBot="1" x14ac:dyDescent="0.25">
      <c r="A242" s="162" t="s">
        <v>300</v>
      </c>
    </row>
    <row r="243" spans="1:35" ht="21" customHeight="1" x14ac:dyDescent="0.2">
      <c r="B243" s="530" t="s">
        <v>267</v>
      </c>
      <c r="C243" s="500"/>
      <c r="D243" s="516" t="s">
        <v>90</v>
      </c>
      <c r="E243" s="473"/>
      <c r="F243" s="504"/>
      <c r="G243" s="500"/>
      <c r="H243" s="516" t="s">
        <v>91</v>
      </c>
      <c r="I243" s="473"/>
      <c r="J243" s="504"/>
      <c r="K243" s="500"/>
      <c r="L243" s="516" t="s">
        <v>92</v>
      </c>
      <c r="M243" s="473"/>
      <c r="N243" s="504"/>
      <c r="O243" s="500"/>
      <c r="P243" s="516" t="s">
        <v>93</v>
      </c>
      <c r="Q243" s="473"/>
      <c r="R243" s="504"/>
      <c r="S243" s="500"/>
      <c r="T243" s="516" t="s">
        <v>94</v>
      </c>
      <c r="U243" s="473"/>
      <c r="V243" s="504"/>
      <c r="W243" s="500"/>
      <c r="X243" s="516" t="s">
        <v>95</v>
      </c>
      <c r="Y243" s="473"/>
      <c r="Z243" s="504"/>
      <c r="AA243" s="500"/>
      <c r="AB243" s="516" t="s">
        <v>96</v>
      </c>
      <c r="AC243" s="473"/>
      <c r="AD243" s="473"/>
      <c r="AE243" s="519" t="s">
        <v>97</v>
      </c>
      <c r="AF243" s="473"/>
      <c r="AG243" s="473"/>
      <c r="AH243" s="473"/>
      <c r="AI243" s="474"/>
    </row>
    <row r="244" spans="1:35" ht="21" customHeight="1" x14ac:dyDescent="0.2">
      <c r="B244" s="3"/>
      <c r="C244" s="156"/>
      <c r="D244" s="117"/>
      <c r="E244" s="166"/>
      <c r="F244" s="168"/>
      <c r="G244" s="156"/>
      <c r="H244" s="117"/>
      <c r="I244" s="166"/>
      <c r="J244" s="168"/>
      <c r="K244" s="156"/>
      <c r="L244" s="117"/>
      <c r="M244" s="166"/>
      <c r="N244" s="168"/>
      <c r="O244" s="156"/>
      <c r="P244" s="117"/>
      <c r="Q244" s="166"/>
      <c r="R244" s="168"/>
      <c r="S244" s="156"/>
      <c r="T244" s="117"/>
      <c r="U244" s="166"/>
      <c r="V244" s="168"/>
      <c r="W244" s="156"/>
      <c r="X244" s="117"/>
      <c r="Y244" s="166"/>
      <c r="Z244" s="168"/>
      <c r="AA244" s="156"/>
      <c r="AB244" s="117"/>
      <c r="AC244" s="166"/>
      <c r="AD244" s="166"/>
      <c r="AE244" s="118"/>
      <c r="AF244" s="166"/>
      <c r="AG244" s="14"/>
      <c r="AH244" s="14"/>
      <c r="AI244" s="119"/>
    </row>
    <row r="245" spans="1:35" ht="21" customHeight="1" x14ac:dyDescent="0.2">
      <c r="A245" s="110"/>
      <c r="B245" s="2962">
        <v>3701</v>
      </c>
      <c r="C245" s="2790" t="s">
        <v>272</v>
      </c>
      <c r="D245" s="2791"/>
      <c r="E245" s="166"/>
      <c r="F245" s="168"/>
      <c r="G245" s="2790" t="s">
        <v>272</v>
      </c>
      <c r="H245" s="117"/>
      <c r="I245" s="166"/>
      <c r="J245" s="168"/>
      <c r="K245" s="2790" t="s">
        <v>272</v>
      </c>
      <c r="L245" s="117"/>
      <c r="M245" s="166"/>
      <c r="N245" s="168"/>
      <c r="O245" s="2790" t="s">
        <v>272</v>
      </c>
      <c r="P245" s="117"/>
      <c r="Q245" s="166"/>
      <c r="R245" s="168"/>
      <c r="S245" s="156" t="s">
        <v>273</v>
      </c>
      <c r="T245" s="117"/>
      <c r="U245" s="166"/>
      <c r="V245" s="168"/>
      <c r="W245" s="156"/>
      <c r="X245" s="117"/>
      <c r="Y245" s="166"/>
      <c r="Z245" s="168"/>
      <c r="AA245" s="156"/>
      <c r="AB245" s="117"/>
      <c r="AC245" s="166"/>
      <c r="AD245" s="166"/>
      <c r="AE245" s="118"/>
      <c r="AF245" s="166"/>
      <c r="AG245" s="14"/>
      <c r="AH245" s="14"/>
      <c r="AI245" s="119"/>
    </row>
    <row r="246" spans="1:35" ht="21" customHeight="1" x14ac:dyDescent="0.2">
      <c r="B246" s="2962"/>
      <c r="C246" s="2790"/>
      <c r="D246" s="2791"/>
      <c r="E246" s="166"/>
      <c r="F246" s="168"/>
      <c r="G246" s="2790"/>
      <c r="H246" s="117"/>
      <c r="I246" s="166"/>
      <c r="J246" s="168"/>
      <c r="K246" s="2790"/>
      <c r="L246" s="117"/>
      <c r="M246" s="166"/>
      <c r="N246" s="168"/>
      <c r="O246" s="2790"/>
      <c r="P246" s="117"/>
      <c r="Q246" s="166"/>
      <c r="R246" s="168"/>
      <c r="S246" s="2790"/>
      <c r="T246" s="117"/>
      <c r="U246" s="166"/>
      <c r="V246" s="168"/>
      <c r="W246" s="156"/>
      <c r="X246" s="117"/>
      <c r="Y246" s="166"/>
      <c r="Z246" s="168"/>
      <c r="AA246" s="156"/>
      <c r="AB246" s="117"/>
      <c r="AC246" s="166"/>
      <c r="AD246" s="166"/>
      <c r="AE246" s="118"/>
      <c r="AF246" s="166"/>
      <c r="AG246" s="14"/>
      <c r="AH246" s="14"/>
      <c r="AI246" s="119"/>
    </row>
    <row r="247" spans="1:35" ht="21" customHeight="1" x14ac:dyDescent="0.2">
      <c r="B247" s="2962">
        <v>3702</v>
      </c>
      <c r="C247" s="2790" t="s">
        <v>301</v>
      </c>
      <c r="D247" s="2791"/>
      <c r="E247" s="166"/>
      <c r="F247" s="168"/>
      <c r="G247" s="2790" t="s">
        <v>301</v>
      </c>
      <c r="H247" s="2791"/>
      <c r="I247" s="166"/>
      <c r="J247" s="168"/>
      <c r="K247" s="2790" t="s">
        <v>301</v>
      </c>
      <c r="L247" s="2791"/>
      <c r="M247" s="166"/>
      <c r="N247" s="168"/>
      <c r="O247" s="2790" t="s">
        <v>301</v>
      </c>
      <c r="P247" s="2791"/>
      <c r="Q247" s="166"/>
      <c r="R247" s="168"/>
      <c r="S247" s="2790" t="s">
        <v>302</v>
      </c>
      <c r="T247" s="2791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B248" s="2962"/>
      <c r="C248" s="2876"/>
      <c r="D248" s="2791"/>
      <c r="E248" s="166"/>
      <c r="F248" s="168"/>
      <c r="G248" s="117"/>
      <c r="H248" s="117"/>
      <c r="I248" s="166"/>
      <c r="J248" s="168"/>
      <c r="K248" s="117"/>
      <c r="L248" s="117"/>
      <c r="M248" s="166"/>
      <c r="N248" s="168"/>
      <c r="O248" s="117"/>
      <c r="P248" s="117"/>
      <c r="Q248" s="166"/>
      <c r="R248" s="168"/>
      <c r="S248" s="117"/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2962" t="s">
        <v>139</v>
      </c>
      <c r="C249" s="2876" t="s">
        <v>303</v>
      </c>
      <c r="D249" s="2791"/>
      <c r="E249" s="166"/>
      <c r="F249" s="168"/>
      <c r="G249" s="2876" t="s">
        <v>303</v>
      </c>
      <c r="H249" s="2791"/>
      <c r="I249" s="166"/>
      <c r="J249" s="168"/>
      <c r="K249" s="2876" t="s">
        <v>303</v>
      </c>
      <c r="L249" s="2791"/>
      <c r="M249" s="166"/>
      <c r="N249" s="168"/>
      <c r="O249" s="2876" t="s">
        <v>303</v>
      </c>
      <c r="P249" s="2791"/>
      <c r="Q249" s="166"/>
      <c r="R249" s="168"/>
      <c r="S249" s="117" t="s">
        <v>304</v>
      </c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x14ac:dyDescent="0.2">
      <c r="B250" s="2962" t="s">
        <v>143</v>
      </c>
      <c r="C250" s="2876" t="s">
        <v>305</v>
      </c>
      <c r="D250" s="2791"/>
      <c r="E250" s="166"/>
      <c r="F250" s="168"/>
      <c r="G250" s="2876" t="s">
        <v>305</v>
      </c>
      <c r="H250" s="2791"/>
      <c r="I250" s="166"/>
      <c r="J250" s="168"/>
      <c r="K250" s="2876" t="s">
        <v>305</v>
      </c>
      <c r="L250" s="2791"/>
      <c r="M250" s="166"/>
      <c r="N250" s="168"/>
      <c r="O250" s="2876" t="s">
        <v>305</v>
      </c>
      <c r="P250" s="2791"/>
      <c r="Q250" s="166"/>
      <c r="R250" s="168"/>
      <c r="S250" s="117" t="s">
        <v>306</v>
      </c>
      <c r="T250" s="117"/>
      <c r="U250" s="166"/>
      <c r="V250" s="168"/>
      <c r="W250" s="156"/>
      <c r="X250" s="117"/>
      <c r="Y250" s="166"/>
      <c r="Z250" s="168"/>
      <c r="AA250" s="156"/>
      <c r="AB250" s="117"/>
      <c r="AC250" s="166"/>
      <c r="AD250" s="166"/>
      <c r="AE250" s="118"/>
      <c r="AF250" s="166"/>
      <c r="AG250" s="14"/>
      <c r="AH250" s="14"/>
      <c r="AI250" s="119"/>
    </row>
    <row r="251" spans="1:35" ht="21" customHeight="1" thickBot="1" x14ac:dyDescent="0.25">
      <c r="B251" s="2963" t="s">
        <v>153</v>
      </c>
      <c r="C251" s="2889" t="s">
        <v>307</v>
      </c>
      <c r="D251" s="2964"/>
      <c r="E251" s="2965"/>
      <c r="F251" s="2966"/>
      <c r="G251" s="2889" t="s">
        <v>307</v>
      </c>
      <c r="H251" s="2964"/>
      <c r="I251" s="2965"/>
      <c r="J251" s="2966"/>
      <c r="K251" s="2889" t="s">
        <v>307</v>
      </c>
      <c r="L251" s="2964"/>
      <c r="M251" s="2965"/>
      <c r="N251" s="2966"/>
      <c r="O251" s="2889" t="s">
        <v>307</v>
      </c>
      <c r="P251" s="2964"/>
      <c r="Q251" s="2965"/>
      <c r="R251" s="2966"/>
      <c r="S251" s="2967" t="s">
        <v>308</v>
      </c>
      <c r="T251" s="2967"/>
      <c r="U251" s="2965"/>
      <c r="V251" s="2966"/>
      <c r="W251" s="2968"/>
      <c r="X251" s="2967"/>
      <c r="Y251" s="2969"/>
      <c r="Z251" s="2970"/>
      <c r="AA251" s="2971"/>
      <c r="AB251" s="2967"/>
      <c r="AC251" s="2969"/>
      <c r="AD251" s="2969"/>
      <c r="AE251" s="2972"/>
      <c r="AF251" s="2969"/>
      <c r="AG251" s="2965"/>
      <c r="AH251" s="2965"/>
      <c r="AI251" s="2973"/>
    </row>
    <row r="252" spans="1:35" ht="21" customHeight="1" x14ac:dyDescent="0.2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 x14ac:dyDescent="0.2">
      <c r="A253" s="123" t="s">
        <v>309</v>
      </c>
    </row>
    <row r="254" spans="1:35" ht="21" customHeight="1" thickBot="1" x14ac:dyDescent="0.25">
      <c r="A254" s="2822"/>
      <c r="B254" s="2764" t="s">
        <v>29</v>
      </c>
      <c r="C254" s="2710">
        <v>1</v>
      </c>
      <c r="D254" s="2710">
        <v>2</v>
      </c>
      <c r="E254" s="2710">
        <v>3</v>
      </c>
      <c r="F254" s="2710">
        <v>4</v>
      </c>
      <c r="G254" s="2710">
        <v>5</v>
      </c>
      <c r="H254" s="2711">
        <v>6</v>
      </c>
      <c r="I254" s="2711">
        <v>7</v>
      </c>
      <c r="J254" s="2710">
        <v>8</v>
      </c>
      <c r="K254" s="2710">
        <v>9</v>
      </c>
      <c r="L254" s="2710">
        <v>10</v>
      </c>
      <c r="M254" s="2710">
        <v>11</v>
      </c>
      <c r="N254" s="2710">
        <v>12</v>
      </c>
      <c r="O254" s="2711">
        <v>13</v>
      </c>
      <c r="P254" s="2711">
        <v>14</v>
      </c>
      <c r="Q254" s="2710">
        <v>15</v>
      </c>
      <c r="R254" s="2710">
        <v>16</v>
      </c>
      <c r="S254" s="2710">
        <v>17</v>
      </c>
      <c r="T254" s="2710">
        <v>18</v>
      </c>
      <c r="U254" s="2710">
        <v>19</v>
      </c>
      <c r="V254" s="2711">
        <v>20</v>
      </c>
      <c r="W254" s="2711">
        <v>21</v>
      </c>
      <c r="X254" s="2710">
        <v>22</v>
      </c>
      <c r="Y254" s="2710">
        <v>23</v>
      </c>
      <c r="Z254" s="2710">
        <v>24</v>
      </c>
      <c r="AA254" s="2710">
        <v>25</v>
      </c>
      <c r="AB254" s="2710">
        <v>26</v>
      </c>
      <c r="AC254" s="2711">
        <v>27</v>
      </c>
      <c r="AD254" s="2711">
        <v>28</v>
      </c>
      <c r="AE254" s="2710">
        <v>29</v>
      </c>
      <c r="AF254" s="2710">
        <v>30</v>
      </c>
      <c r="AG254" s="2712">
        <v>31</v>
      </c>
      <c r="AH254" s="184"/>
      <c r="AI254" s="185"/>
    </row>
    <row r="255" spans="1:35" ht="21" customHeight="1" x14ac:dyDescent="0.2">
      <c r="A255" s="531">
        <v>3701</v>
      </c>
      <c r="B255" s="476"/>
      <c r="C255" s="2734" t="s">
        <v>31</v>
      </c>
      <c r="D255" s="2734" t="s">
        <v>31</v>
      </c>
      <c r="E255" s="2734" t="s">
        <v>31</v>
      </c>
      <c r="F255" s="2735" t="s">
        <v>31</v>
      </c>
      <c r="G255" s="2734" t="s">
        <v>31</v>
      </c>
      <c r="H255" s="2734"/>
      <c r="I255" s="2734"/>
      <c r="J255" s="2734" t="s">
        <v>31</v>
      </c>
      <c r="K255" s="2734" t="s">
        <v>31</v>
      </c>
      <c r="L255" s="2734" t="s">
        <v>31</v>
      </c>
      <c r="M255" s="2734" t="s">
        <v>31</v>
      </c>
      <c r="N255" s="2740" t="s">
        <v>31</v>
      </c>
      <c r="O255" s="2740"/>
      <c r="P255" s="2740"/>
      <c r="Q255" s="2736" t="s">
        <v>31</v>
      </c>
      <c r="R255" s="2740" t="s">
        <v>31</v>
      </c>
      <c r="S255" s="2734" t="s">
        <v>31</v>
      </c>
      <c r="T255" s="2734" t="s">
        <v>31</v>
      </c>
      <c r="U255" s="2740" t="s">
        <v>31</v>
      </c>
      <c r="V255" s="2740"/>
      <c r="W255" s="2740"/>
      <c r="X255" s="2734" t="s">
        <v>31</v>
      </c>
      <c r="Y255" s="2740" t="s">
        <v>31</v>
      </c>
      <c r="Z255" s="2734" t="s">
        <v>31</v>
      </c>
      <c r="AA255" s="2734" t="s">
        <v>31</v>
      </c>
      <c r="AB255" s="2734" t="s">
        <v>31</v>
      </c>
      <c r="AC255" s="2734"/>
      <c r="AD255" s="2735"/>
      <c r="AE255" s="2734" t="s">
        <v>31</v>
      </c>
      <c r="AF255" s="2735" t="s">
        <v>31</v>
      </c>
      <c r="AG255" s="2138" t="s">
        <v>31</v>
      </c>
      <c r="AH255" s="189"/>
      <c r="AI255" s="190"/>
    </row>
    <row r="256" spans="1:35" ht="21" customHeight="1" x14ac:dyDescent="0.2">
      <c r="A256" s="2974">
        <v>3702</v>
      </c>
      <c r="B256" s="2725" t="s">
        <v>310</v>
      </c>
      <c r="C256" s="2734" t="s">
        <v>31</v>
      </c>
      <c r="D256" s="2734" t="s">
        <v>31</v>
      </c>
      <c r="E256" s="2734" t="s">
        <v>31</v>
      </c>
      <c r="F256" s="2735" t="s">
        <v>31</v>
      </c>
      <c r="G256" s="2734" t="s">
        <v>31</v>
      </c>
      <c r="H256" s="2734"/>
      <c r="I256" s="2734"/>
      <c r="J256" s="2734" t="s">
        <v>31</v>
      </c>
      <c r="K256" s="2734" t="s">
        <v>31</v>
      </c>
      <c r="L256" s="2734" t="s">
        <v>31</v>
      </c>
      <c r="M256" s="2734" t="s">
        <v>31</v>
      </c>
      <c r="N256" s="2740" t="s">
        <v>31</v>
      </c>
      <c r="O256" s="2740"/>
      <c r="P256" s="2740"/>
      <c r="Q256" s="2736" t="s">
        <v>31</v>
      </c>
      <c r="R256" s="2740" t="s">
        <v>31</v>
      </c>
      <c r="S256" s="2734" t="s">
        <v>31</v>
      </c>
      <c r="T256" s="2734" t="s">
        <v>31</v>
      </c>
      <c r="U256" s="2740" t="s">
        <v>31</v>
      </c>
      <c r="V256" s="2740"/>
      <c r="W256" s="2740"/>
      <c r="X256" s="2734" t="s">
        <v>31</v>
      </c>
      <c r="Y256" s="2740" t="s">
        <v>31</v>
      </c>
      <c r="Z256" s="2734" t="s">
        <v>31</v>
      </c>
      <c r="AA256" s="2734" t="s">
        <v>31</v>
      </c>
      <c r="AB256" s="2734" t="s">
        <v>31</v>
      </c>
      <c r="AC256" s="2734"/>
      <c r="AD256" s="2735"/>
      <c r="AE256" s="2734" t="s">
        <v>31</v>
      </c>
      <c r="AF256" s="2735" t="s">
        <v>31</v>
      </c>
      <c r="AG256" s="2138" t="s">
        <v>31</v>
      </c>
      <c r="AH256" s="189"/>
      <c r="AI256" s="190"/>
    </row>
    <row r="257" spans="1:35" ht="21" customHeight="1" x14ac:dyDescent="0.2">
      <c r="A257" s="2974"/>
      <c r="B257" s="2725"/>
      <c r="C257" s="2775"/>
      <c r="D257" s="2775"/>
      <c r="E257" s="2775"/>
      <c r="F257" s="2775"/>
      <c r="G257" s="2775"/>
      <c r="H257" s="2775"/>
      <c r="I257" s="2775"/>
      <c r="J257" s="2775"/>
      <c r="K257" s="2775"/>
      <c r="L257" s="2775"/>
      <c r="M257" s="2975"/>
      <c r="N257" s="2775"/>
      <c r="O257" s="2775"/>
      <c r="P257" s="2775"/>
      <c r="Q257" s="2775"/>
      <c r="R257" s="2775"/>
      <c r="S257" s="2775"/>
      <c r="T257" s="2775"/>
      <c r="U257" s="2775"/>
      <c r="V257" s="2775"/>
      <c r="W257" s="2775"/>
      <c r="X257" s="2775"/>
      <c r="Y257" s="2775"/>
      <c r="Z257" s="2775"/>
      <c r="AA257" s="2775"/>
      <c r="AB257" s="2775"/>
      <c r="AC257" s="2775"/>
      <c r="AD257" s="2775"/>
      <c r="AE257" s="2775"/>
      <c r="AF257" s="2775"/>
      <c r="AG257" s="2777"/>
      <c r="AH257" s="189"/>
      <c r="AI257" s="190"/>
    </row>
    <row r="258" spans="1:35" ht="21" customHeight="1" thickBot="1" x14ac:dyDescent="0.25">
      <c r="A258" s="2976"/>
      <c r="B258" s="2977"/>
      <c r="C258" s="2710"/>
      <c r="D258" s="2710"/>
      <c r="E258" s="2710"/>
      <c r="F258" s="2710"/>
      <c r="G258" s="2710"/>
      <c r="H258" s="2710"/>
      <c r="I258" s="2710"/>
      <c r="J258" s="2710"/>
      <c r="K258" s="2710"/>
      <c r="L258" s="2710"/>
      <c r="M258" s="2710"/>
      <c r="N258" s="2710"/>
      <c r="O258" s="2710"/>
      <c r="P258" s="2710"/>
      <c r="Q258" s="2710"/>
      <c r="R258" s="2710"/>
      <c r="S258" s="2710"/>
      <c r="T258" s="2710"/>
      <c r="U258" s="2710"/>
      <c r="V258" s="2710"/>
      <c r="W258" s="2710"/>
      <c r="X258" s="2710"/>
      <c r="Y258" s="2710"/>
      <c r="Z258" s="2710"/>
      <c r="AA258" s="2710"/>
      <c r="AB258" s="2710"/>
      <c r="AC258" s="2710"/>
      <c r="AD258" s="2710"/>
      <c r="AE258" s="2710"/>
      <c r="AF258" s="2710"/>
      <c r="AG258" s="2712"/>
      <c r="AH258" s="189"/>
      <c r="AI258" s="190"/>
    </row>
    <row r="259" spans="1:35" ht="21" customHeight="1" x14ac:dyDescent="0.2">
      <c r="A259" s="251"/>
      <c r="B259" s="2978" t="s">
        <v>311</v>
      </c>
      <c r="C259" s="2979"/>
      <c r="D259" s="2979"/>
      <c r="E259" s="2979"/>
      <c r="F259" s="2979"/>
      <c r="G259" s="2979"/>
      <c r="H259" s="2979"/>
      <c r="I259" s="2979"/>
      <c r="J259" s="2979"/>
      <c r="K259" s="2979"/>
      <c r="L259" s="2979"/>
      <c r="M259" s="2979"/>
      <c r="N259" s="2979"/>
      <c r="O259" s="2979"/>
      <c r="P259" s="2979"/>
      <c r="Q259" s="2979"/>
      <c r="R259" s="2979"/>
      <c r="S259" s="2979"/>
      <c r="T259" s="2979"/>
      <c r="U259" s="2979"/>
      <c r="V259" s="2979"/>
      <c r="W259" s="2979"/>
      <c r="X259" s="2979"/>
      <c r="Y259" s="2979"/>
      <c r="Z259" s="2979"/>
      <c r="AA259" s="2979"/>
      <c r="AB259" s="2979"/>
      <c r="AC259" s="2979"/>
      <c r="AD259" s="2979"/>
      <c r="AE259" s="2979"/>
      <c r="AF259" s="2979"/>
      <c r="AG259" s="2980"/>
      <c r="AH259" s="187"/>
      <c r="AI259" s="188"/>
    </row>
    <row r="260" spans="1:35" ht="21" customHeight="1" x14ac:dyDescent="0.2">
      <c r="A260" s="2974">
        <v>3702</v>
      </c>
      <c r="B260" s="2936" t="s">
        <v>312</v>
      </c>
      <c r="C260" s="2775" t="s">
        <v>313</v>
      </c>
      <c r="D260" s="2775" t="s">
        <v>313</v>
      </c>
      <c r="E260" s="2775" t="s">
        <v>313</v>
      </c>
      <c r="F260" s="2775" t="s">
        <v>313</v>
      </c>
      <c r="G260" s="2775" t="s">
        <v>313</v>
      </c>
      <c r="H260" s="2775"/>
      <c r="I260" s="2775"/>
      <c r="J260" s="2775" t="s">
        <v>313</v>
      </c>
      <c r="K260" s="2775" t="s">
        <v>313</v>
      </c>
      <c r="L260" s="2775" t="s">
        <v>313</v>
      </c>
      <c r="M260" s="2775" t="s">
        <v>313</v>
      </c>
      <c r="N260" s="2775" t="s">
        <v>313</v>
      </c>
      <c r="O260" s="2775"/>
      <c r="P260" s="2775"/>
      <c r="Q260" s="2775" t="s">
        <v>313</v>
      </c>
      <c r="R260" s="2775" t="s">
        <v>313</v>
      </c>
      <c r="S260" s="2775" t="s">
        <v>313</v>
      </c>
      <c r="T260" s="2775" t="s">
        <v>313</v>
      </c>
      <c r="U260" s="2775" t="s">
        <v>313</v>
      </c>
      <c r="V260" s="2775"/>
      <c r="W260" s="2775"/>
      <c r="X260" s="2775" t="s">
        <v>313</v>
      </c>
      <c r="Y260" s="2775" t="s">
        <v>313</v>
      </c>
      <c r="Z260" s="2775" t="s">
        <v>313</v>
      </c>
      <c r="AA260" s="2775" t="s">
        <v>313</v>
      </c>
      <c r="AB260" s="2775" t="s">
        <v>313</v>
      </c>
      <c r="AC260" s="2775"/>
      <c r="AD260" s="2775"/>
      <c r="AE260" s="2775" t="s">
        <v>313</v>
      </c>
      <c r="AF260" s="2775" t="s">
        <v>313</v>
      </c>
      <c r="AG260" s="2775" t="s">
        <v>313</v>
      </c>
      <c r="AH260" s="189"/>
      <c r="AI260" s="190"/>
    </row>
    <row r="261" spans="1:35" ht="21" customHeight="1" x14ac:dyDescent="0.2">
      <c r="A261" s="2974"/>
      <c r="B261" s="2932" t="s">
        <v>314</v>
      </c>
      <c r="C261" s="2775" t="s">
        <v>315</v>
      </c>
      <c r="D261" s="2775" t="s">
        <v>315</v>
      </c>
      <c r="E261" s="2775" t="s">
        <v>315</v>
      </c>
      <c r="F261" s="2775" t="s">
        <v>315</v>
      </c>
      <c r="G261" s="2775" t="s">
        <v>315</v>
      </c>
      <c r="H261" s="2775"/>
      <c r="I261" s="2775"/>
      <c r="J261" s="2775" t="s">
        <v>315</v>
      </c>
      <c r="K261" s="2775" t="s">
        <v>315</v>
      </c>
      <c r="L261" s="2775" t="s">
        <v>315</v>
      </c>
      <c r="M261" s="2775" t="s">
        <v>315</v>
      </c>
      <c r="N261" s="2775" t="s">
        <v>315</v>
      </c>
      <c r="O261" s="2775"/>
      <c r="P261" s="2775"/>
      <c r="Q261" s="2775" t="s">
        <v>315</v>
      </c>
      <c r="R261" s="2775" t="s">
        <v>315</v>
      </c>
      <c r="S261" s="2775" t="s">
        <v>315</v>
      </c>
      <c r="T261" s="2775" t="s">
        <v>315</v>
      </c>
      <c r="U261" s="2775" t="s">
        <v>315</v>
      </c>
      <c r="V261" s="2775"/>
      <c r="W261" s="2775"/>
      <c r="X261" s="2775" t="s">
        <v>315</v>
      </c>
      <c r="Y261" s="2775" t="s">
        <v>315</v>
      </c>
      <c r="Z261" s="2775" t="s">
        <v>315</v>
      </c>
      <c r="AA261" s="2775" t="s">
        <v>315</v>
      </c>
      <c r="AB261" s="2775" t="s">
        <v>315</v>
      </c>
      <c r="AC261" s="2775"/>
      <c r="AD261" s="2775"/>
      <c r="AE261" s="2775" t="s">
        <v>315</v>
      </c>
      <c r="AF261" s="2775" t="s">
        <v>315</v>
      </c>
      <c r="AG261" s="2775" t="s">
        <v>315</v>
      </c>
      <c r="AH261" s="189"/>
      <c r="AI261" s="190"/>
    </row>
    <row r="262" spans="1:35" ht="21" customHeight="1" thickBot="1" x14ac:dyDescent="0.25">
      <c r="A262" s="2981"/>
      <c r="B262" s="2944" t="s">
        <v>316</v>
      </c>
      <c r="C262" s="2771" t="s">
        <v>317</v>
      </c>
      <c r="D262" s="2771" t="s">
        <v>317</v>
      </c>
      <c r="E262" s="2771" t="s">
        <v>317</v>
      </c>
      <c r="F262" s="2771" t="s">
        <v>317</v>
      </c>
      <c r="G262" s="2771" t="s">
        <v>317</v>
      </c>
      <c r="H262" s="2771"/>
      <c r="I262" s="2771"/>
      <c r="J262" s="2771" t="s">
        <v>317</v>
      </c>
      <c r="K262" s="2771" t="s">
        <v>317</v>
      </c>
      <c r="L262" s="2771" t="s">
        <v>317</v>
      </c>
      <c r="M262" s="2771" t="s">
        <v>317</v>
      </c>
      <c r="N262" s="2771" t="s">
        <v>317</v>
      </c>
      <c r="O262" s="2771"/>
      <c r="P262" s="2771"/>
      <c r="Q262" s="2771" t="s">
        <v>317</v>
      </c>
      <c r="R262" s="2771" t="s">
        <v>317</v>
      </c>
      <c r="S262" s="2771" t="s">
        <v>317</v>
      </c>
      <c r="T262" s="2771" t="s">
        <v>317</v>
      </c>
      <c r="U262" s="2771" t="s">
        <v>317</v>
      </c>
      <c r="V262" s="2771"/>
      <c r="W262" s="2771"/>
      <c r="X262" s="2771" t="s">
        <v>317</v>
      </c>
      <c r="Y262" s="2771" t="s">
        <v>317</v>
      </c>
      <c r="Z262" s="2771" t="s">
        <v>317</v>
      </c>
      <c r="AA262" s="2771" t="s">
        <v>317</v>
      </c>
      <c r="AB262" s="2771" t="s">
        <v>317</v>
      </c>
      <c r="AC262" s="2771"/>
      <c r="AD262" s="2771"/>
      <c r="AE262" s="2771" t="s">
        <v>317</v>
      </c>
      <c r="AF262" s="2771" t="s">
        <v>317</v>
      </c>
      <c r="AG262" s="2771" t="s">
        <v>317</v>
      </c>
      <c r="AH262" s="189"/>
      <c r="AI262" s="190"/>
    </row>
    <row r="263" spans="1:35" ht="21" customHeight="1" x14ac:dyDescent="0.2"/>
    <row r="264" spans="1:35" ht="21" customHeight="1" x14ac:dyDescent="0.2"/>
    <row r="265" spans="1:35" ht="21" customHeight="1" thickBot="1" x14ac:dyDescent="0.25">
      <c r="A265" s="162" t="s">
        <v>318</v>
      </c>
    </row>
    <row r="266" spans="1:35" ht="21" customHeight="1" x14ac:dyDescent="0.2">
      <c r="B266" s="530" t="s">
        <v>267</v>
      </c>
      <c r="C266" s="500"/>
      <c r="D266" s="516" t="s">
        <v>90</v>
      </c>
      <c r="E266" s="473"/>
      <c r="F266" s="504"/>
      <c r="G266" s="500"/>
      <c r="H266" s="516" t="s">
        <v>91</v>
      </c>
      <c r="I266" s="473"/>
      <c r="J266" s="504"/>
      <c r="K266" s="500"/>
      <c r="L266" s="516" t="s">
        <v>92</v>
      </c>
      <c r="M266" s="473"/>
      <c r="N266" s="504"/>
      <c r="O266" s="500"/>
      <c r="P266" s="516" t="s">
        <v>93</v>
      </c>
      <c r="Q266" s="473"/>
      <c r="R266" s="504"/>
      <c r="S266" s="500"/>
      <c r="T266" s="516" t="s">
        <v>94</v>
      </c>
      <c r="U266" s="473"/>
      <c r="V266" s="504"/>
      <c r="W266" s="500"/>
      <c r="X266" s="516" t="s">
        <v>95</v>
      </c>
      <c r="Y266" s="473"/>
      <c r="Z266" s="504"/>
      <c r="AA266" s="500"/>
      <c r="AB266" s="516" t="s">
        <v>96</v>
      </c>
      <c r="AC266" s="473"/>
      <c r="AD266" s="473"/>
      <c r="AE266" s="519" t="s">
        <v>97</v>
      </c>
      <c r="AF266" s="473"/>
      <c r="AG266" s="473"/>
      <c r="AH266" s="473"/>
      <c r="AI266" s="474"/>
    </row>
    <row r="267" spans="1:35" ht="21" customHeight="1" x14ac:dyDescent="0.2">
      <c r="B267" s="3">
        <v>8500</v>
      </c>
      <c r="C267" s="2790" t="s">
        <v>319</v>
      </c>
      <c r="D267" s="117"/>
      <c r="E267" s="14"/>
      <c r="F267" s="116"/>
      <c r="G267" s="2790" t="s">
        <v>319</v>
      </c>
      <c r="H267" s="117"/>
      <c r="I267" s="14"/>
      <c r="J267" s="116"/>
      <c r="K267" s="2790" t="s">
        <v>319</v>
      </c>
      <c r="L267" s="117"/>
      <c r="M267" s="14"/>
      <c r="N267" s="116"/>
      <c r="O267" s="2790" t="s">
        <v>319</v>
      </c>
      <c r="P267" s="117"/>
      <c r="Q267" s="14"/>
      <c r="R267" s="116"/>
      <c r="S267" s="2790" t="s">
        <v>320</v>
      </c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 thickBot="1" x14ac:dyDescent="0.25">
      <c r="A268" s="110"/>
      <c r="B268" s="2982"/>
      <c r="C268" s="2983"/>
      <c r="D268" s="2984"/>
      <c r="E268" s="2965"/>
      <c r="F268" s="2966"/>
      <c r="G268" s="2983"/>
      <c r="H268" s="2967"/>
      <c r="I268" s="2965"/>
      <c r="J268" s="2966"/>
      <c r="K268" s="2983"/>
      <c r="L268" s="2967"/>
      <c r="M268" s="2965"/>
      <c r="N268" s="2966"/>
      <c r="O268" s="2983"/>
      <c r="P268" s="2967"/>
      <c r="Q268" s="2965"/>
      <c r="R268" s="2966"/>
      <c r="S268" s="2983"/>
      <c r="T268" s="2967"/>
      <c r="U268" s="2965"/>
      <c r="V268" s="2966"/>
      <c r="W268" s="2968"/>
      <c r="X268" s="2967"/>
      <c r="Y268" s="2965"/>
      <c r="Z268" s="2966"/>
      <c r="AA268" s="2968"/>
      <c r="AB268" s="2967"/>
      <c r="AC268" s="2965"/>
      <c r="AD268" s="2965"/>
      <c r="AE268" s="2972"/>
      <c r="AF268" s="2965"/>
      <c r="AG268" s="2965"/>
      <c r="AH268" s="2965"/>
      <c r="AI268" s="2973"/>
    </row>
    <row r="269" spans="1:35" ht="21" customHeight="1" x14ac:dyDescent="0.2">
      <c r="A269" s="16" t="s">
        <v>321</v>
      </c>
    </row>
    <row r="270" spans="1:35" ht="21" customHeight="1" thickBot="1" x14ac:dyDescent="0.25">
      <c r="A270" s="2985"/>
      <c r="B270" s="2986" t="s">
        <v>29</v>
      </c>
      <c r="C270" s="2710">
        <v>1</v>
      </c>
      <c r="D270" s="2710">
        <v>2</v>
      </c>
      <c r="E270" s="2710">
        <v>3</v>
      </c>
      <c r="F270" s="2710">
        <v>4</v>
      </c>
      <c r="G270" s="2710">
        <v>5</v>
      </c>
      <c r="H270" s="2711">
        <v>6</v>
      </c>
      <c r="I270" s="2711">
        <v>7</v>
      </c>
      <c r="J270" s="2710">
        <v>8</v>
      </c>
      <c r="K270" s="2710">
        <v>9</v>
      </c>
      <c r="L270" s="2710">
        <v>10</v>
      </c>
      <c r="M270" s="2710">
        <v>11</v>
      </c>
      <c r="N270" s="2710">
        <v>12</v>
      </c>
      <c r="O270" s="2711">
        <v>13</v>
      </c>
      <c r="P270" s="2711">
        <v>14</v>
      </c>
      <c r="Q270" s="2710">
        <v>15</v>
      </c>
      <c r="R270" s="2710">
        <v>16</v>
      </c>
      <c r="S270" s="2710">
        <v>17</v>
      </c>
      <c r="T270" s="2710">
        <v>18</v>
      </c>
      <c r="U270" s="2710">
        <v>19</v>
      </c>
      <c r="V270" s="2711">
        <v>20</v>
      </c>
      <c r="W270" s="2711">
        <v>21</v>
      </c>
      <c r="X270" s="2710">
        <v>22</v>
      </c>
      <c r="Y270" s="2710">
        <v>23</v>
      </c>
      <c r="Z270" s="2710">
        <v>24</v>
      </c>
      <c r="AA270" s="2710">
        <v>25</v>
      </c>
      <c r="AB270" s="2710">
        <v>26</v>
      </c>
      <c r="AC270" s="2711">
        <v>27</v>
      </c>
      <c r="AD270" s="2711">
        <v>28</v>
      </c>
      <c r="AE270" s="2710">
        <v>29</v>
      </c>
      <c r="AF270" s="2710">
        <v>30</v>
      </c>
      <c r="AG270" s="2712">
        <v>31</v>
      </c>
      <c r="AH270" s="184"/>
      <c r="AI270" s="185"/>
    </row>
    <row r="271" spans="1:35" ht="21" customHeight="1" x14ac:dyDescent="0.2">
      <c r="A271" s="8">
        <v>8500</v>
      </c>
      <c r="B271" s="157"/>
      <c r="C271" s="2734" t="s">
        <v>31</v>
      </c>
      <c r="D271" s="2734" t="s">
        <v>31</v>
      </c>
      <c r="E271" s="2734" t="s">
        <v>31</v>
      </c>
      <c r="F271" s="2735" t="s">
        <v>31</v>
      </c>
      <c r="G271" s="2734" t="s">
        <v>31</v>
      </c>
      <c r="H271" s="2734"/>
      <c r="I271" s="2734"/>
      <c r="J271" s="2734" t="s">
        <v>31</v>
      </c>
      <c r="K271" s="2734" t="s">
        <v>31</v>
      </c>
      <c r="L271" s="2734" t="s">
        <v>31</v>
      </c>
      <c r="M271" s="2734" t="s">
        <v>31</v>
      </c>
      <c r="N271" s="2740" t="s">
        <v>31</v>
      </c>
      <c r="O271" s="2740"/>
      <c r="P271" s="2740"/>
      <c r="Q271" s="2736" t="s">
        <v>31</v>
      </c>
      <c r="R271" s="2740" t="s">
        <v>31</v>
      </c>
      <c r="S271" s="2734" t="s">
        <v>31</v>
      </c>
      <c r="T271" s="2734" t="s">
        <v>31</v>
      </c>
      <c r="U271" s="2740" t="s">
        <v>31</v>
      </c>
      <c r="V271" s="2740"/>
      <c r="W271" s="2740"/>
      <c r="X271" s="2734" t="s">
        <v>31</v>
      </c>
      <c r="Y271" s="2740" t="s">
        <v>31</v>
      </c>
      <c r="Z271" s="2734" t="s">
        <v>31</v>
      </c>
      <c r="AA271" s="2734" t="s">
        <v>31</v>
      </c>
      <c r="AB271" s="2734" t="s">
        <v>31</v>
      </c>
      <c r="AC271" s="2734"/>
      <c r="AD271" s="2735"/>
      <c r="AE271" s="2734" t="s">
        <v>31</v>
      </c>
      <c r="AF271" s="2735" t="s">
        <v>31</v>
      </c>
      <c r="AG271" s="2138" t="s">
        <v>31</v>
      </c>
      <c r="AH271" s="196"/>
      <c r="AI271" s="197"/>
    </row>
    <row r="272" spans="1:35" ht="21" customHeight="1" x14ac:dyDescent="0.2">
      <c r="A272" s="2716"/>
      <c r="B272" s="2987" t="s">
        <v>323</v>
      </c>
      <c r="C272" s="2734" t="s">
        <v>31</v>
      </c>
      <c r="D272" s="2734" t="s">
        <v>31</v>
      </c>
      <c r="E272" s="2734" t="s">
        <v>31</v>
      </c>
      <c r="F272" s="2735" t="s">
        <v>31</v>
      </c>
      <c r="G272" s="2734" t="s">
        <v>31</v>
      </c>
      <c r="H272" s="2734"/>
      <c r="I272" s="2734"/>
      <c r="J272" s="2818" t="s">
        <v>31</v>
      </c>
      <c r="K272" s="2818" t="s">
        <v>31</v>
      </c>
      <c r="L272" s="2818" t="s">
        <v>31</v>
      </c>
      <c r="M272" s="2818" t="s">
        <v>31</v>
      </c>
      <c r="N272" s="2818" t="s">
        <v>31</v>
      </c>
      <c r="O272" s="2818"/>
      <c r="P272" s="2818"/>
      <c r="Q272" s="2818" t="s">
        <v>31</v>
      </c>
      <c r="R272" s="2818" t="s">
        <v>31</v>
      </c>
      <c r="S272" s="2818" t="s">
        <v>31</v>
      </c>
      <c r="T272" s="2818" t="s">
        <v>31</v>
      </c>
      <c r="U272" s="2818" t="s">
        <v>31</v>
      </c>
      <c r="V272" s="2740"/>
      <c r="W272" s="2740"/>
      <c r="X272" s="2734" t="s">
        <v>31</v>
      </c>
      <c r="Y272" s="2740" t="s">
        <v>31</v>
      </c>
      <c r="Z272" s="2734" t="s">
        <v>31</v>
      </c>
      <c r="AA272" s="2734" t="s">
        <v>31</v>
      </c>
      <c r="AB272" s="2734" t="s">
        <v>31</v>
      </c>
      <c r="AC272" s="2734"/>
      <c r="AD272" s="2735"/>
      <c r="AE272" s="2734" t="s">
        <v>31</v>
      </c>
      <c r="AF272" s="2735" t="s">
        <v>31</v>
      </c>
      <c r="AG272" s="2138" t="s">
        <v>31</v>
      </c>
      <c r="AH272" s="196"/>
      <c r="AI272" s="197"/>
    </row>
    <row r="273" spans="1:35" ht="22.15" customHeight="1" x14ac:dyDescent="0.2">
      <c r="A273" s="2988"/>
      <c r="B273" s="2987" t="s">
        <v>324</v>
      </c>
      <c r="C273" s="2734" t="s">
        <v>31</v>
      </c>
      <c r="D273" s="2734" t="s">
        <v>31</v>
      </c>
      <c r="E273" s="2734" t="s">
        <v>31</v>
      </c>
      <c r="F273" s="2735" t="s">
        <v>31</v>
      </c>
      <c r="G273" s="2734" t="s">
        <v>31</v>
      </c>
      <c r="H273" s="2734"/>
      <c r="I273" s="2734"/>
      <c r="J273" s="2734" t="s">
        <v>31</v>
      </c>
      <c r="K273" s="2734" t="s">
        <v>31</v>
      </c>
      <c r="L273" s="2734" t="s">
        <v>31</v>
      </c>
      <c r="M273" s="2734" t="s">
        <v>31</v>
      </c>
      <c r="N273" s="2740" t="s">
        <v>31</v>
      </c>
      <c r="O273" s="2740"/>
      <c r="P273" s="2740"/>
      <c r="Q273" s="2736" t="s">
        <v>31</v>
      </c>
      <c r="R273" s="2740" t="s">
        <v>31</v>
      </c>
      <c r="S273" s="2734" t="s">
        <v>31</v>
      </c>
      <c r="T273" s="2734" t="s">
        <v>31</v>
      </c>
      <c r="U273" s="2740" t="s">
        <v>31</v>
      </c>
      <c r="V273" s="2740"/>
      <c r="W273" s="2740"/>
      <c r="X273" s="2734" t="s">
        <v>31</v>
      </c>
      <c r="Y273" s="2740" t="s">
        <v>31</v>
      </c>
      <c r="Z273" s="2734" t="s">
        <v>31</v>
      </c>
      <c r="AA273" s="2734" t="s">
        <v>31</v>
      </c>
      <c r="AB273" s="2734" t="s">
        <v>31</v>
      </c>
      <c r="AC273" s="2734"/>
      <c r="AD273" s="2735"/>
      <c r="AE273" s="2734" t="s">
        <v>31</v>
      </c>
      <c r="AF273" s="2735" t="s">
        <v>31</v>
      </c>
      <c r="AG273" s="2138" t="s">
        <v>31</v>
      </c>
      <c r="AH273" s="196"/>
      <c r="AI273" s="197"/>
    </row>
    <row r="274" spans="1:35" ht="22.15" customHeight="1" x14ac:dyDescent="0.2">
      <c r="A274" s="102"/>
      <c r="B274" s="2989"/>
      <c r="C274" s="2735"/>
      <c r="D274" s="2735"/>
      <c r="E274" s="2735"/>
      <c r="F274" s="2735"/>
      <c r="G274" s="2735"/>
      <c r="H274" s="2735"/>
      <c r="I274" s="2735"/>
      <c r="J274" s="2735"/>
      <c r="K274" s="2735"/>
      <c r="L274" s="2735"/>
      <c r="M274" s="2735"/>
      <c r="N274" s="2735"/>
      <c r="O274" s="2735"/>
      <c r="P274" s="2735"/>
      <c r="Q274" s="2735"/>
      <c r="R274" s="2735"/>
      <c r="S274" s="2735"/>
      <c r="T274" s="2735"/>
      <c r="U274" s="2735"/>
      <c r="V274" s="2735"/>
      <c r="W274" s="2735"/>
      <c r="X274" s="2735"/>
      <c r="Y274" s="2735"/>
      <c r="Z274" s="2735"/>
      <c r="AA274" s="2735"/>
      <c r="AB274" s="2735"/>
      <c r="AC274" s="2735"/>
      <c r="AD274" s="2735"/>
      <c r="AE274" s="2735"/>
      <c r="AF274" s="2735"/>
      <c r="AG274" s="2742"/>
      <c r="AH274" s="196"/>
      <c r="AI274" s="197"/>
    </row>
    <row r="275" spans="1:35" ht="21" customHeight="1" x14ac:dyDescent="0.2">
      <c r="A275" s="2920"/>
      <c r="B275" s="2989"/>
      <c r="C275" s="2775"/>
      <c r="D275" s="2775"/>
      <c r="E275" s="2775"/>
      <c r="F275" s="2775"/>
      <c r="G275" s="2775"/>
      <c r="H275" s="2775"/>
      <c r="I275" s="2775"/>
      <c r="J275" s="2775"/>
      <c r="K275" s="2775"/>
      <c r="L275" s="2775"/>
      <c r="M275" s="2775"/>
      <c r="N275" s="2721"/>
      <c r="O275" s="2721"/>
      <c r="P275" s="2775"/>
      <c r="Q275" s="2775"/>
      <c r="R275" s="2775"/>
      <c r="S275" s="2775"/>
      <c r="T275" s="2775"/>
      <c r="U275" s="2775"/>
      <c r="V275" s="2775"/>
      <c r="W275" s="2775"/>
      <c r="X275" s="2775"/>
      <c r="Y275" s="2775"/>
      <c r="Z275" s="2775"/>
      <c r="AA275" s="2775"/>
      <c r="AB275" s="2721"/>
      <c r="AC275" s="2721"/>
      <c r="AD275" s="2775"/>
      <c r="AE275" s="2775"/>
      <c r="AF275" s="2775"/>
      <c r="AG275" s="2775"/>
      <c r="AH275" s="198"/>
      <c r="AI275" s="199"/>
    </row>
    <row r="276" spans="1:35" ht="22.15" customHeight="1" x14ac:dyDescent="0.2">
      <c r="A276" s="2649"/>
      <c r="B276" s="2990"/>
      <c r="C276" s="2775"/>
      <c r="D276" s="2775"/>
      <c r="E276" s="2775"/>
      <c r="F276" s="2775"/>
      <c r="G276" s="2775"/>
      <c r="H276" s="2775"/>
      <c r="I276" s="2775"/>
      <c r="J276" s="2775"/>
      <c r="K276" s="2775"/>
      <c r="L276" s="2775"/>
      <c r="M276" s="2775"/>
      <c r="N276" s="2721"/>
      <c r="O276" s="2721"/>
      <c r="P276" s="2775"/>
      <c r="Q276" s="2775"/>
      <c r="R276" s="2775"/>
      <c r="S276" s="2775"/>
      <c r="T276" s="2775"/>
      <c r="U276" s="2775"/>
      <c r="V276" s="2775"/>
      <c r="W276" s="2775"/>
      <c r="X276" s="2775"/>
      <c r="Y276" s="2775"/>
      <c r="Z276" s="2775"/>
      <c r="AA276" s="2775"/>
      <c r="AB276" s="2721"/>
      <c r="AC276" s="2721"/>
      <c r="AD276" s="2775"/>
      <c r="AE276" s="2775"/>
      <c r="AF276" s="2775"/>
      <c r="AG276" s="2775"/>
      <c r="AH276" s="198"/>
      <c r="AI276" s="199"/>
    </row>
    <row r="277" spans="1:35" ht="22.15" customHeight="1" thickBot="1" x14ac:dyDescent="0.25">
      <c r="A277" s="688"/>
      <c r="B277" s="685"/>
      <c r="C277" s="2991"/>
      <c r="D277" s="2992"/>
      <c r="E277" s="2992"/>
      <c r="F277" s="2992"/>
      <c r="G277" s="2992"/>
      <c r="H277" s="2992"/>
      <c r="I277" s="2992"/>
      <c r="J277" s="2992"/>
      <c r="K277" s="2992"/>
      <c r="L277" s="2992"/>
      <c r="M277" s="2992"/>
      <c r="N277" s="2993"/>
      <c r="O277" s="2993"/>
      <c r="P277" s="2992"/>
      <c r="Q277" s="2992"/>
      <c r="R277" s="2992"/>
      <c r="S277" s="2992"/>
      <c r="T277" s="2992"/>
      <c r="U277" s="2992"/>
      <c r="V277" s="2992"/>
      <c r="W277" s="2992"/>
      <c r="X277" s="2992"/>
      <c r="Y277" s="2992"/>
      <c r="Z277" s="2992"/>
      <c r="AA277" s="2992"/>
      <c r="AB277" s="2993"/>
      <c r="AC277" s="2993"/>
      <c r="AD277" s="2992"/>
      <c r="AE277" s="2992"/>
      <c r="AF277" s="2992"/>
      <c r="AG277" s="2994"/>
      <c r="AH277" s="198"/>
      <c r="AI277" s="199"/>
    </row>
    <row r="278" spans="1:35" ht="22.15" customHeight="1" x14ac:dyDescent="0.2">
      <c r="A278" s="262"/>
      <c r="B278" s="263"/>
      <c r="C278" s="255"/>
      <c r="D278" s="255"/>
      <c r="E278" s="255"/>
      <c r="F278" s="255"/>
      <c r="G278" s="255"/>
      <c r="H278" s="255"/>
      <c r="I278" s="255"/>
      <c r="J278" s="255"/>
      <c r="K278" s="255"/>
      <c r="L278" s="255"/>
      <c r="M278" s="255"/>
      <c r="N278" s="229"/>
      <c r="O278" s="229"/>
      <c r="P278" s="255"/>
      <c r="Q278" s="255"/>
      <c r="R278" s="255"/>
      <c r="S278" s="255"/>
      <c r="T278" s="255"/>
      <c r="U278" s="255"/>
      <c r="V278" s="255"/>
      <c r="W278" s="255"/>
      <c r="X278" s="255"/>
      <c r="Y278" s="255"/>
      <c r="Z278" s="255"/>
      <c r="AA278" s="255"/>
      <c r="AB278" s="229"/>
      <c r="AC278" s="229"/>
      <c r="AD278" s="255"/>
      <c r="AE278" s="255"/>
      <c r="AF278" s="255"/>
      <c r="AG278" s="255"/>
      <c r="AH278" s="264"/>
      <c r="AI278" s="199"/>
    </row>
    <row r="279" spans="1:35" ht="24" customHeight="1" x14ac:dyDescent="0.2"/>
    <row r="280" spans="1:35" ht="25.5" customHeight="1" thickBot="1" x14ac:dyDescent="0.25">
      <c r="A280" s="162" t="s">
        <v>325</v>
      </c>
    </row>
    <row r="281" spans="1:35" ht="21" customHeight="1" x14ac:dyDescent="0.2">
      <c r="A281" s="1"/>
      <c r="B281" s="530" t="s">
        <v>267</v>
      </c>
      <c r="C281" s="500"/>
      <c r="D281" s="516" t="s">
        <v>90</v>
      </c>
      <c r="E281" s="473"/>
      <c r="F281" s="504"/>
      <c r="G281" s="500"/>
      <c r="H281" s="516" t="s">
        <v>91</v>
      </c>
      <c r="I281" s="473"/>
      <c r="J281" s="504"/>
      <c r="K281" s="500"/>
      <c r="L281" s="516" t="s">
        <v>92</v>
      </c>
      <c r="M281" s="473"/>
      <c r="N281" s="504"/>
      <c r="O281" s="500"/>
      <c r="P281" s="516" t="s">
        <v>93</v>
      </c>
      <c r="Q281" s="473"/>
      <c r="R281" s="504"/>
      <c r="S281" s="500"/>
      <c r="T281" s="516" t="s">
        <v>94</v>
      </c>
      <c r="U281" s="473"/>
      <c r="V281" s="504"/>
      <c r="W281" s="500"/>
      <c r="X281" s="516" t="s">
        <v>95</v>
      </c>
      <c r="Y281" s="473"/>
      <c r="Z281" s="504"/>
      <c r="AA281" s="500"/>
      <c r="AB281" s="516" t="s">
        <v>96</v>
      </c>
      <c r="AC281" s="473"/>
      <c r="AD281" s="473"/>
      <c r="AE281" s="519" t="s">
        <v>97</v>
      </c>
      <c r="AF281" s="473"/>
      <c r="AG281" s="473"/>
      <c r="AH281" s="473"/>
      <c r="AI281" s="474"/>
    </row>
    <row r="282" spans="1:35" ht="21" customHeight="1" x14ac:dyDescent="0.2">
      <c r="A282" s="1"/>
      <c r="B282" s="3"/>
      <c r="C282" s="8"/>
      <c r="D282" s="117"/>
      <c r="E282" s="14"/>
      <c r="F282" s="116"/>
      <c r="G282" s="8"/>
      <c r="H282" s="117"/>
      <c r="I282" s="14"/>
      <c r="J282" s="116"/>
      <c r="K282" s="8"/>
      <c r="L282" s="117"/>
      <c r="M282" s="14"/>
      <c r="N282" s="116"/>
      <c r="O282" s="8"/>
      <c r="P282" s="117"/>
      <c r="Q282" s="14"/>
      <c r="R282" s="116"/>
      <c r="S282" s="8"/>
      <c r="T282" s="117"/>
      <c r="U282" s="14"/>
      <c r="V282" s="116"/>
      <c r="W282" s="8"/>
      <c r="X282" s="117"/>
      <c r="Y282" s="14"/>
      <c r="Z282" s="116"/>
      <c r="AA282" s="8"/>
      <c r="AB282" s="117"/>
      <c r="AC282" s="14"/>
      <c r="AD282" s="14"/>
      <c r="AE282" s="118"/>
      <c r="AF282" s="14"/>
      <c r="AG282" s="14"/>
      <c r="AH282" s="14"/>
      <c r="AI282" s="119"/>
    </row>
    <row r="283" spans="1:35" ht="21" customHeight="1" x14ac:dyDescent="0.2">
      <c r="A283" s="110"/>
      <c r="B283" s="2962"/>
      <c r="C283" s="2790"/>
      <c r="D283" s="2692"/>
      <c r="E283" s="2692"/>
      <c r="F283" s="2878"/>
      <c r="G283" s="2790"/>
      <c r="H283" s="2692"/>
      <c r="I283" s="2692"/>
      <c r="J283" s="2878"/>
      <c r="K283" s="2790"/>
      <c r="L283" s="2692"/>
      <c r="M283" s="2692"/>
      <c r="N283" s="2878"/>
      <c r="O283" s="2790"/>
      <c r="P283" s="2692"/>
      <c r="Q283" s="2692"/>
      <c r="R283" s="2878"/>
      <c r="S283" s="2790"/>
      <c r="T283" s="2692"/>
      <c r="U283" s="2692"/>
      <c r="V283" s="2878"/>
      <c r="W283" s="2790"/>
      <c r="X283" s="2692"/>
      <c r="Y283" s="2692"/>
      <c r="Z283" s="2878"/>
      <c r="AA283" s="2876"/>
      <c r="AB283" s="2692"/>
      <c r="AC283" s="2692"/>
      <c r="AD283" s="2791"/>
      <c r="AE283" s="2995"/>
      <c r="AF283" s="2692"/>
      <c r="AG283" s="2692"/>
      <c r="AH283" s="2791"/>
      <c r="AI283" s="2701"/>
    </row>
    <row r="284" spans="1:35" ht="21" customHeight="1" thickBot="1" x14ac:dyDescent="0.25">
      <c r="A284" s="1"/>
      <c r="B284" s="2888"/>
      <c r="C284" s="2889"/>
      <c r="D284" s="2755"/>
      <c r="E284" s="2755"/>
      <c r="F284" s="2912"/>
      <c r="G284" s="2889"/>
      <c r="H284" s="2755"/>
      <c r="I284" s="2755"/>
      <c r="J284" s="2912"/>
      <c r="K284" s="2889"/>
      <c r="L284" s="2755"/>
      <c r="M284" s="2755"/>
      <c r="N284" s="2912"/>
      <c r="O284" s="2889"/>
      <c r="P284" s="2755"/>
      <c r="Q284" s="2755"/>
      <c r="R284" s="2912"/>
      <c r="S284" s="2889"/>
      <c r="T284" s="2755"/>
      <c r="U284" s="2755"/>
      <c r="V284" s="2912"/>
      <c r="W284" s="2910"/>
      <c r="X284" s="2755"/>
      <c r="Y284" s="2755"/>
      <c r="Z284" s="2912"/>
      <c r="AA284" s="2910"/>
      <c r="AB284" s="2755"/>
      <c r="AC284" s="2755"/>
      <c r="AD284" s="2896"/>
      <c r="AE284" s="2910"/>
      <c r="AF284" s="2755"/>
      <c r="AG284" s="2755"/>
      <c r="AH284" s="2896"/>
      <c r="AI284" s="2762"/>
    </row>
    <row r="285" spans="1:35" ht="21" customHeight="1" x14ac:dyDescent="0.2">
      <c r="A285" s="1"/>
      <c r="B285" s="18"/>
      <c r="C285" s="64"/>
      <c r="F285" s="69"/>
      <c r="G285" s="64"/>
      <c r="J285" s="69"/>
      <c r="K285" s="64"/>
      <c r="N285" s="69"/>
      <c r="O285" s="64"/>
      <c r="R285" s="69"/>
      <c r="S285" s="64"/>
      <c r="V285" s="69"/>
      <c r="W285" s="69"/>
      <c r="Z285" s="69"/>
      <c r="AA285" s="69"/>
      <c r="AD285" s="69"/>
      <c r="AE285" s="69"/>
      <c r="AH285" s="69"/>
    </row>
    <row r="286" spans="1:35" ht="33" customHeight="1" x14ac:dyDescent="0.2">
      <c r="A286" s="162" t="s">
        <v>326</v>
      </c>
      <c r="B286" s="18"/>
      <c r="C286" s="64"/>
      <c r="F286" s="69"/>
      <c r="G286" s="64"/>
      <c r="J286" s="69"/>
      <c r="K286" s="64"/>
      <c r="N286" s="69"/>
      <c r="O286" s="64"/>
      <c r="R286" s="69"/>
      <c r="S286" s="64"/>
      <c r="V286" s="69"/>
      <c r="W286" s="69"/>
      <c r="Z286" s="69"/>
      <c r="AA286" s="69"/>
      <c r="AD286" s="69"/>
      <c r="AE286" s="69"/>
      <c r="AH286" s="69"/>
    </row>
    <row r="287" spans="1:35" ht="21" customHeight="1" thickBot="1" x14ac:dyDescent="0.25">
      <c r="A287" s="2996" t="s">
        <v>28</v>
      </c>
      <c r="B287" s="2986" t="s">
        <v>29</v>
      </c>
      <c r="C287" s="2710">
        <v>1</v>
      </c>
      <c r="D287" s="2710">
        <v>2</v>
      </c>
      <c r="E287" s="2710">
        <v>3</v>
      </c>
      <c r="F287" s="2710">
        <v>4</v>
      </c>
      <c r="G287" s="2710">
        <v>5</v>
      </c>
      <c r="H287" s="2711">
        <v>6</v>
      </c>
      <c r="I287" s="2711">
        <v>7</v>
      </c>
      <c r="J287" s="2710">
        <v>8</v>
      </c>
      <c r="K287" s="2710">
        <v>9</v>
      </c>
      <c r="L287" s="2710">
        <v>10</v>
      </c>
      <c r="M287" s="2710">
        <v>11</v>
      </c>
      <c r="N287" s="2710">
        <v>12</v>
      </c>
      <c r="O287" s="2711">
        <v>13</v>
      </c>
      <c r="P287" s="2711">
        <v>14</v>
      </c>
      <c r="Q287" s="2710">
        <v>15</v>
      </c>
      <c r="R287" s="2710">
        <v>16</v>
      </c>
      <c r="S287" s="2710">
        <v>17</v>
      </c>
      <c r="T287" s="2710">
        <v>18</v>
      </c>
      <c r="U287" s="2710">
        <v>19</v>
      </c>
      <c r="V287" s="2711">
        <v>20</v>
      </c>
      <c r="W287" s="2711">
        <v>21</v>
      </c>
      <c r="X287" s="2710">
        <v>22</v>
      </c>
      <c r="Y287" s="2710">
        <v>23</v>
      </c>
      <c r="Z287" s="2710">
        <v>24</v>
      </c>
      <c r="AA287" s="2710">
        <v>25</v>
      </c>
      <c r="AB287" s="2710">
        <v>26</v>
      </c>
      <c r="AC287" s="2711">
        <v>27</v>
      </c>
      <c r="AD287" s="2711">
        <v>28</v>
      </c>
      <c r="AE287" s="2710">
        <v>29</v>
      </c>
      <c r="AF287" s="2710">
        <v>30</v>
      </c>
      <c r="AG287" s="2712">
        <v>31</v>
      </c>
      <c r="AH287" s="200"/>
      <c r="AI287" s="185"/>
    </row>
    <row r="288" spans="1:35" ht="21" customHeight="1" x14ac:dyDescent="0.2">
      <c r="A288" s="88"/>
      <c r="B288" s="158" t="s">
        <v>327</v>
      </c>
      <c r="C288" s="2734" t="s">
        <v>31</v>
      </c>
      <c r="D288" s="2734" t="s">
        <v>31</v>
      </c>
      <c r="E288" s="2734" t="s">
        <v>31</v>
      </c>
      <c r="F288" s="2735" t="s">
        <v>31</v>
      </c>
      <c r="G288" s="2734" t="s">
        <v>31</v>
      </c>
      <c r="H288" s="2734"/>
      <c r="I288" s="2734"/>
      <c r="J288" s="2734" t="s">
        <v>31</v>
      </c>
      <c r="K288" s="2734" t="s">
        <v>31</v>
      </c>
      <c r="L288" s="2734" t="s">
        <v>31</v>
      </c>
      <c r="M288" s="2734" t="s">
        <v>31</v>
      </c>
      <c r="N288" s="2740" t="s">
        <v>31</v>
      </c>
      <c r="O288" s="2740"/>
      <c r="P288" s="2740"/>
      <c r="Q288" s="2736" t="s">
        <v>31</v>
      </c>
      <c r="R288" s="2740" t="s">
        <v>31</v>
      </c>
      <c r="S288" s="2734" t="s">
        <v>31</v>
      </c>
      <c r="T288" s="2734" t="s">
        <v>31</v>
      </c>
      <c r="U288" s="2740" t="s">
        <v>31</v>
      </c>
      <c r="V288" s="2740"/>
      <c r="W288" s="2740"/>
      <c r="X288" s="2734" t="s">
        <v>31</v>
      </c>
      <c r="Y288" s="2740" t="s">
        <v>31</v>
      </c>
      <c r="Z288" s="2734" t="s">
        <v>31</v>
      </c>
      <c r="AA288" s="2734" t="s">
        <v>31</v>
      </c>
      <c r="AB288" s="2734" t="s">
        <v>31</v>
      </c>
      <c r="AC288" s="2734"/>
      <c r="AD288" s="2735"/>
      <c r="AE288" s="2734" t="s">
        <v>31</v>
      </c>
      <c r="AF288" s="2735" t="s">
        <v>31</v>
      </c>
      <c r="AG288" s="2138" t="s">
        <v>31</v>
      </c>
      <c r="AH288" s="201"/>
      <c r="AI288" s="197"/>
    </row>
    <row r="289" spans="1:35" ht="21" customHeight="1" x14ac:dyDescent="0.2">
      <c r="A289" s="2997"/>
      <c r="B289" s="2998" t="s">
        <v>328</v>
      </c>
      <c r="C289" s="2734" t="s">
        <v>31</v>
      </c>
      <c r="D289" s="2734" t="s">
        <v>31</v>
      </c>
      <c r="E289" s="2734" t="s">
        <v>31</v>
      </c>
      <c r="F289" s="2735" t="s">
        <v>31</v>
      </c>
      <c r="G289" s="2734" t="s">
        <v>31</v>
      </c>
      <c r="H289" s="2734"/>
      <c r="I289" s="2734"/>
      <c r="J289" s="2734" t="s">
        <v>31</v>
      </c>
      <c r="K289" s="2734" t="s">
        <v>31</v>
      </c>
      <c r="L289" s="2734" t="s">
        <v>31</v>
      </c>
      <c r="M289" s="2734" t="s">
        <v>31</v>
      </c>
      <c r="N289" s="2740" t="s">
        <v>31</v>
      </c>
      <c r="O289" s="2740"/>
      <c r="P289" s="2740"/>
      <c r="Q289" s="2736" t="s">
        <v>31</v>
      </c>
      <c r="R289" s="2740" t="s">
        <v>31</v>
      </c>
      <c r="S289" s="2734" t="s">
        <v>31</v>
      </c>
      <c r="T289" s="2734" t="s">
        <v>31</v>
      </c>
      <c r="U289" s="2740" t="s">
        <v>31</v>
      </c>
      <c r="V289" s="2740"/>
      <c r="W289" s="2740"/>
      <c r="X289" s="2734" t="s">
        <v>31</v>
      </c>
      <c r="Y289" s="2740" t="s">
        <v>31</v>
      </c>
      <c r="Z289" s="2734" t="s">
        <v>31</v>
      </c>
      <c r="AA289" s="2734" t="s">
        <v>31</v>
      </c>
      <c r="AB289" s="2734" t="s">
        <v>31</v>
      </c>
      <c r="AC289" s="2734"/>
      <c r="AD289" s="2735"/>
      <c r="AE289" s="2734" t="s">
        <v>31</v>
      </c>
      <c r="AF289" s="2735" t="s">
        <v>31</v>
      </c>
      <c r="AG289" s="2138" t="s">
        <v>31</v>
      </c>
      <c r="AH289" s="201"/>
      <c r="AI289" s="197"/>
    </row>
    <row r="290" spans="1:35" ht="21" customHeight="1" x14ac:dyDescent="0.2">
      <c r="A290" s="2974"/>
      <c r="B290" s="2998" t="s">
        <v>329</v>
      </c>
      <c r="C290" s="2734" t="s">
        <v>31</v>
      </c>
      <c r="D290" s="2734" t="s">
        <v>31</v>
      </c>
      <c r="E290" s="2734" t="s">
        <v>31</v>
      </c>
      <c r="F290" s="2735" t="s">
        <v>31</v>
      </c>
      <c r="G290" s="2734" t="s">
        <v>31</v>
      </c>
      <c r="H290" s="2734"/>
      <c r="I290" s="2734"/>
      <c r="J290" s="2734" t="s">
        <v>31</v>
      </c>
      <c r="K290" s="2734" t="s">
        <v>31</v>
      </c>
      <c r="L290" s="2734" t="s">
        <v>31</v>
      </c>
      <c r="M290" s="2734" t="s">
        <v>31</v>
      </c>
      <c r="N290" s="2740" t="s">
        <v>31</v>
      </c>
      <c r="O290" s="2740"/>
      <c r="P290" s="2740"/>
      <c r="Q290" s="2736" t="s">
        <v>31</v>
      </c>
      <c r="R290" s="2740" t="s">
        <v>31</v>
      </c>
      <c r="S290" s="2734" t="s">
        <v>31</v>
      </c>
      <c r="T290" s="2734" t="s">
        <v>31</v>
      </c>
      <c r="U290" s="2740" t="s">
        <v>31</v>
      </c>
      <c r="V290" s="2740"/>
      <c r="W290" s="2740"/>
      <c r="X290" s="2734" t="s">
        <v>31</v>
      </c>
      <c r="Y290" s="2740" t="s">
        <v>31</v>
      </c>
      <c r="Z290" s="2734" t="s">
        <v>31</v>
      </c>
      <c r="AA290" s="2734" t="s">
        <v>31</v>
      </c>
      <c r="AB290" s="2734" t="s">
        <v>31</v>
      </c>
      <c r="AC290" s="2734"/>
      <c r="AD290" s="2735"/>
      <c r="AE290" s="2734" t="s">
        <v>31</v>
      </c>
      <c r="AF290" s="2735" t="s">
        <v>31</v>
      </c>
      <c r="AG290" s="2138" t="s">
        <v>31</v>
      </c>
      <c r="AH290" s="201"/>
      <c r="AI290" s="197"/>
    </row>
    <row r="291" spans="1:35" ht="21" customHeight="1" x14ac:dyDescent="0.2">
      <c r="A291" s="2974"/>
      <c r="B291" s="2998" t="s">
        <v>330</v>
      </c>
      <c r="C291" s="2734" t="s">
        <v>31</v>
      </c>
      <c r="D291" s="2734" t="s">
        <v>31</v>
      </c>
      <c r="E291" s="2734" t="s">
        <v>31</v>
      </c>
      <c r="F291" s="2735" t="s">
        <v>31</v>
      </c>
      <c r="G291" s="2734" t="s">
        <v>31</v>
      </c>
      <c r="H291" s="2734"/>
      <c r="I291" s="2734"/>
      <c r="J291" s="2734" t="s">
        <v>31</v>
      </c>
      <c r="K291" s="2734" t="s">
        <v>31</v>
      </c>
      <c r="L291" s="2734" t="s">
        <v>31</v>
      </c>
      <c r="M291" s="2734" t="s">
        <v>31</v>
      </c>
      <c r="N291" s="2740" t="s">
        <v>31</v>
      </c>
      <c r="O291" s="2740"/>
      <c r="P291" s="2740"/>
      <c r="Q291" s="2736" t="s">
        <v>31</v>
      </c>
      <c r="R291" s="2740" t="s">
        <v>31</v>
      </c>
      <c r="S291" s="2734" t="s">
        <v>31</v>
      </c>
      <c r="T291" s="2734" t="s">
        <v>31</v>
      </c>
      <c r="U291" s="2740" t="s">
        <v>31</v>
      </c>
      <c r="V291" s="2740"/>
      <c r="W291" s="2740"/>
      <c r="X291" s="2734" t="s">
        <v>31</v>
      </c>
      <c r="Y291" s="2740" t="s">
        <v>31</v>
      </c>
      <c r="Z291" s="2734" t="s">
        <v>31</v>
      </c>
      <c r="AA291" s="2734" t="s">
        <v>31</v>
      </c>
      <c r="AB291" s="2734" t="s">
        <v>31</v>
      </c>
      <c r="AC291" s="2734"/>
      <c r="AD291" s="2735"/>
      <c r="AE291" s="2734" t="s">
        <v>31</v>
      </c>
      <c r="AF291" s="2735" t="s">
        <v>31</v>
      </c>
      <c r="AG291" s="2138" t="s">
        <v>31</v>
      </c>
      <c r="AH291" s="201"/>
      <c r="AI291" s="197"/>
    </row>
    <row r="292" spans="1:35" ht="21" customHeight="1" x14ac:dyDescent="0.2">
      <c r="A292" s="2974"/>
      <c r="B292" s="2998" t="s">
        <v>331</v>
      </c>
      <c r="C292" s="2734" t="s">
        <v>31</v>
      </c>
      <c r="D292" s="2734" t="s">
        <v>31</v>
      </c>
      <c r="E292" s="2734" t="s">
        <v>31</v>
      </c>
      <c r="F292" s="2735" t="s">
        <v>31</v>
      </c>
      <c r="G292" s="2734" t="s">
        <v>31</v>
      </c>
      <c r="H292" s="2734"/>
      <c r="I292" s="2734"/>
      <c r="J292" s="2734" t="s">
        <v>31</v>
      </c>
      <c r="K292" s="2734" t="s">
        <v>31</v>
      </c>
      <c r="L292" s="2734" t="s">
        <v>31</v>
      </c>
      <c r="M292" s="2734" t="s">
        <v>31</v>
      </c>
      <c r="N292" s="2740" t="s">
        <v>31</v>
      </c>
      <c r="O292" s="2740"/>
      <c r="P292" s="2740"/>
      <c r="Q292" s="2736" t="s">
        <v>31</v>
      </c>
      <c r="R292" s="2740" t="s">
        <v>31</v>
      </c>
      <c r="S292" s="2734" t="s">
        <v>31</v>
      </c>
      <c r="T292" s="2734" t="s">
        <v>31</v>
      </c>
      <c r="U292" s="2740" t="s">
        <v>31</v>
      </c>
      <c r="V292" s="2740"/>
      <c r="W292" s="2740"/>
      <c r="X292" s="2734" t="s">
        <v>31</v>
      </c>
      <c r="Y292" s="2740" t="s">
        <v>31</v>
      </c>
      <c r="Z292" s="2734" t="s">
        <v>31</v>
      </c>
      <c r="AA292" s="2734" t="s">
        <v>31</v>
      </c>
      <c r="AB292" s="2734" t="s">
        <v>31</v>
      </c>
      <c r="AC292" s="2734"/>
      <c r="AD292" s="2735"/>
      <c r="AE292" s="2734" t="s">
        <v>31</v>
      </c>
      <c r="AF292" s="2735" t="s">
        <v>31</v>
      </c>
      <c r="AG292" s="2138" t="s">
        <v>31</v>
      </c>
      <c r="AH292" s="201"/>
      <c r="AI292" s="197"/>
    </row>
    <row r="293" spans="1:35" ht="21" customHeight="1" x14ac:dyDescent="0.2">
      <c r="A293" s="2974"/>
      <c r="B293" s="2998" t="s">
        <v>332</v>
      </c>
      <c r="C293" s="2734" t="s">
        <v>31</v>
      </c>
      <c r="D293" s="2734" t="s">
        <v>31</v>
      </c>
      <c r="E293" s="2734" t="s">
        <v>31</v>
      </c>
      <c r="F293" s="2735" t="s">
        <v>31</v>
      </c>
      <c r="G293" s="2734" t="s">
        <v>31</v>
      </c>
      <c r="H293" s="2734"/>
      <c r="I293" s="2734"/>
      <c r="J293" s="2734" t="s">
        <v>31</v>
      </c>
      <c r="K293" s="2734" t="s">
        <v>31</v>
      </c>
      <c r="L293" s="2734" t="s">
        <v>31</v>
      </c>
      <c r="M293" s="2734" t="s">
        <v>31</v>
      </c>
      <c r="N293" s="2740" t="s">
        <v>31</v>
      </c>
      <c r="O293" s="2740"/>
      <c r="P293" s="2740"/>
      <c r="Q293" s="2736" t="s">
        <v>31</v>
      </c>
      <c r="R293" s="2740" t="s">
        <v>31</v>
      </c>
      <c r="S293" s="2734" t="s">
        <v>31</v>
      </c>
      <c r="T293" s="2734" t="s">
        <v>31</v>
      </c>
      <c r="U293" s="2740" t="s">
        <v>31</v>
      </c>
      <c r="V293" s="2740"/>
      <c r="W293" s="2740"/>
      <c r="X293" s="2734" t="s">
        <v>31</v>
      </c>
      <c r="Y293" s="2740" t="s">
        <v>31</v>
      </c>
      <c r="Z293" s="2734" t="s">
        <v>31</v>
      </c>
      <c r="AA293" s="2734" t="s">
        <v>31</v>
      </c>
      <c r="AB293" s="2734" t="s">
        <v>31</v>
      </c>
      <c r="AC293" s="2734"/>
      <c r="AD293" s="2735"/>
      <c r="AE293" s="2734" t="s">
        <v>31</v>
      </c>
      <c r="AF293" s="2735" t="s">
        <v>31</v>
      </c>
      <c r="AG293" s="2138" t="s">
        <v>31</v>
      </c>
      <c r="AH293" s="201"/>
      <c r="AI293" s="197"/>
    </row>
    <row r="294" spans="1:35" ht="21" customHeight="1" x14ac:dyDescent="0.2">
      <c r="A294" s="2974"/>
      <c r="B294" s="2998" t="s">
        <v>333</v>
      </c>
      <c r="C294" s="2734" t="s">
        <v>31</v>
      </c>
      <c r="D294" s="2734" t="s">
        <v>31</v>
      </c>
      <c r="E294" s="2734" t="s">
        <v>31</v>
      </c>
      <c r="F294" s="2735" t="s">
        <v>31</v>
      </c>
      <c r="G294" s="2734" t="s">
        <v>31</v>
      </c>
      <c r="H294" s="2734"/>
      <c r="I294" s="2734"/>
      <c r="J294" s="2812" t="s">
        <v>31</v>
      </c>
      <c r="K294" s="2734" t="s">
        <v>31</v>
      </c>
      <c r="L294" s="2734" t="s">
        <v>31</v>
      </c>
      <c r="M294" s="2734" t="s">
        <v>31</v>
      </c>
      <c r="N294" s="2740" t="s">
        <v>31</v>
      </c>
      <c r="O294" s="2740"/>
      <c r="P294" s="2740"/>
      <c r="Q294" s="2736" t="s">
        <v>31</v>
      </c>
      <c r="R294" s="2740" t="s">
        <v>31</v>
      </c>
      <c r="S294" s="2734" t="s">
        <v>31</v>
      </c>
      <c r="T294" s="2734" t="s">
        <v>31</v>
      </c>
      <c r="U294" s="2740" t="s">
        <v>31</v>
      </c>
      <c r="V294" s="2740"/>
      <c r="W294" s="2740"/>
      <c r="X294" s="2734" t="s">
        <v>31</v>
      </c>
      <c r="Y294" s="2740" t="s">
        <v>31</v>
      </c>
      <c r="Z294" s="2734" t="s">
        <v>31</v>
      </c>
      <c r="AA294" s="2734" t="s">
        <v>31</v>
      </c>
      <c r="AB294" s="2734" t="s">
        <v>31</v>
      </c>
      <c r="AC294" s="2734"/>
      <c r="AD294" s="2735"/>
      <c r="AE294" s="2734" t="s">
        <v>31</v>
      </c>
      <c r="AF294" s="2735" t="s">
        <v>31</v>
      </c>
      <c r="AG294" s="2138" t="s">
        <v>31</v>
      </c>
      <c r="AH294" s="201"/>
      <c r="AI294" s="197"/>
    </row>
    <row r="295" spans="1:35" ht="21" customHeight="1" x14ac:dyDescent="0.2">
      <c r="A295" s="2974"/>
      <c r="B295" s="2998" t="s">
        <v>334</v>
      </c>
      <c r="C295" s="2734" t="s">
        <v>31</v>
      </c>
      <c r="D295" s="2734" t="s">
        <v>31</v>
      </c>
      <c r="E295" s="2734" t="s">
        <v>31</v>
      </c>
      <c r="F295" s="2735" t="s">
        <v>31</v>
      </c>
      <c r="G295" s="2734" t="s">
        <v>31</v>
      </c>
      <c r="H295" s="2734"/>
      <c r="I295" s="2734"/>
      <c r="J295" s="2734" t="s">
        <v>31</v>
      </c>
      <c r="K295" s="2734" t="s">
        <v>31</v>
      </c>
      <c r="L295" s="2734" t="s">
        <v>31</v>
      </c>
      <c r="M295" s="2734" t="s">
        <v>31</v>
      </c>
      <c r="N295" s="2740" t="s">
        <v>31</v>
      </c>
      <c r="O295" s="2740"/>
      <c r="P295" s="2740"/>
      <c r="Q295" s="2736" t="s">
        <v>31</v>
      </c>
      <c r="R295" s="2740" t="s">
        <v>31</v>
      </c>
      <c r="S295" s="2734" t="s">
        <v>31</v>
      </c>
      <c r="T295" s="2734" t="s">
        <v>31</v>
      </c>
      <c r="U295" s="2740" t="s">
        <v>31</v>
      </c>
      <c r="V295" s="2740"/>
      <c r="W295" s="2740"/>
      <c r="X295" s="2734" t="s">
        <v>31</v>
      </c>
      <c r="Y295" s="2740" t="s">
        <v>31</v>
      </c>
      <c r="Z295" s="2734" t="s">
        <v>31</v>
      </c>
      <c r="AA295" s="2734" t="s">
        <v>31</v>
      </c>
      <c r="AB295" s="2734" t="s">
        <v>31</v>
      </c>
      <c r="AC295" s="2734"/>
      <c r="AD295" s="2735"/>
      <c r="AE295" s="2734" t="s">
        <v>31</v>
      </c>
      <c r="AF295" s="2735" t="s">
        <v>31</v>
      </c>
      <c r="AG295" s="2138" t="s">
        <v>31</v>
      </c>
      <c r="AH295" s="201"/>
      <c r="AI295" s="197"/>
    </row>
    <row r="296" spans="1:35" ht="21" customHeight="1" x14ac:dyDescent="0.2">
      <c r="A296" s="2974"/>
      <c r="B296" s="2987" t="s">
        <v>400</v>
      </c>
      <c r="C296" s="2734" t="s">
        <v>31</v>
      </c>
      <c r="D296" s="2734" t="s">
        <v>31</v>
      </c>
      <c r="E296" s="2734" t="s">
        <v>31</v>
      </c>
      <c r="F296" s="2735" t="s">
        <v>31</v>
      </c>
      <c r="G296" s="2734" t="s">
        <v>31</v>
      </c>
      <c r="H296" s="2734"/>
      <c r="I296" s="2734"/>
      <c r="J296" s="2734" t="s">
        <v>31</v>
      </c>
      <c r="K296" s="2734" t="s">
        <v>31</v>
      </c>
      <c r="L296" s="2734" t="s">
        <v>31</v>
      </c>
      <c r="M296" s="2734" t="s">
        <v>31</v>
      </c>
      <c r="N296" s="2740" t="s">
        <v>31</v>
      </c>
      <c r="O296" s="2740"/>
      <c r="P296" s="2740"/>
      <c r="Q296" s="2736" t="s">
        <v>31</v>
      </c>
      <c r="R296" s="2740" t="s">
        <v>31</v>
      </c>
      <c r="S296" s="2734" t="s">
        <v>31</v>
      </c>
      <c r="T296" s="2734" t="s">
        <v>31</v>
      </c>
      <c r="U296" s="2740" t="s">
        <v>31</v>
      </c>
      <c r="V296" s="2740"/>
      <c r="W296" s="2740"/>
      <c r="X296" s="2734" t="s">
        <v>31</v>
      </c>
      <c r="Y296" s="2740" t="s">
        <v>31</v>
      </c>
      <c r="Z296" s="2734" t="s">
        <v>31</v>
      </c>
      <c r="AA296" s="2734" t="s">
        <v>31</v>
      </c>
      <c r="AB296" s="2734" t="s">
        <v>31</v>
      </c>
      <c r="AC296" s="2734"/>
      <c r="AD296" s="2735"/>
      <c r="AE296" s="2734" t="s">
        <v>31</v>
      </c>
      <c r="AF296" s="2735" t="s">
        <v>31</v>
      </c>
      <c r="AG296" s="2138" t="s">
        <v>31</v>
      </c>
      <c r="AH296" s="201"/>
      <c r="AI296" s="197"/>
    </row>
    <row r="297" spans="1:35" ht="21" customHeight="1" x14ac:dyDescent="0.2">
      <c r="A297" s="2974"/>
      <c r="B297" s="2999" t="s">
        <v>335</v>
      </c>
      <c r="C297" s="2734" t="s">
        <v>31</v>
      </c>
      <c r="D297" s="2734" t="s">
        <v>31</v>
      </c>
      <c r="E297" s="2734" t="s">
        <v>31</v>
      </c>
      <c r="F297" s="2735" t="s">
        <v>31</v>
      </c>
      <c r="G297" s="2734" t="s">
        <v>31</v>
      </c>
      <c r="H297" s="2734"/>
      <c r="I297" s="2734"/>
      <c r="J297" s="2734" t="s">
        <v>31</v>
      </c>
      <c r="K297" s="2734" t="s">
        <v>31</v>
      </c>
      <c r="L297" s="2734" t="s">
        <v>31</v>
      </c>
      <c r="M297" s="2734" t="s">
        <v>31</v>
      </c>
      <c r="N297" s="2740" t="s">
        <v>31</v>
      </c>
      <c r="O297" s="2740"/>
      <c r="P297" s="2740"/>
      <c r="Q297" s="2736" t="s">
        <v>31</v>
      </c>
      <c r="R297" s="2740" t="s">
        <v>31</v>
      </c>
      <c r="S297" s="2734" t="s">
        <v>31</v>
      </c>
      <c r="T297" s="2734" t="s">
        <v>31</v>
      </c>
      <c r="U297" s="2740" t="s">
        <v>31</v>
      </c>
      <c r="V297" s="2740"/>
      <c r="W297" s="2740"/>
      <c r="X297" s="2734" t="s">
        <v>31</v>
      </c>
      <c r="Y297" s="2740" t="s">
        <v>31</v>
      </c>
      <c r="Z297" s="2734" t="s">
        <v>31</v>
      </c>
      <c r="AA297" s="2734" t="s">
        <v>31</v>
      </c>
      <c r="AB297" s="2734" t="s">
        <v>31</v>
      </c>
      <c r="AC297" s="2734"/>
      <c r="AD297" s="2735"/>
      <c r="AE297" s="2734" t="s">
        <v>31</v>
      </c>
      <c r="AF297" s="2735" t="s">
        <v>31</v>
      </c>
      <c r="AG297" s="2138" t="s">
        <v>31</v>
      </c>
      <c r="AH297" s="201"/>
      <c r="AI297" s="197"/>
    </row>
    <row r="298" spans="1:35" ht="21" customHeight="1" x14ac:dyDescent="0.2">
      <c r="A298" s="2974"/>
      <c r="B298" s="2766" t="s">
        <v>336</v>
      </c>
      <c r="C298" s="2734" t="s">
        <v>31</v>
      </c>
      <c r="D298" s="2734" t="s">
        <v>31</v>
      </c>
      <c r="E298" s="2734" t="s">
        <v>31</v>
      </c>
      <c r="F298" s="2735" t="s">
        <v>31</v>
      </c>
      <c r="G298" s="2734" t="s">
        <v>31</v>
      </c>
      <c r="H298" s="2734"/>
      <c r="I298" s="2734"/>
      <c r="J298" s="2734" t="s">
        <v>31</v>
      </c>
      <c r="K298" s="2734" t="s">
        <v>31</v>
      </c>
      <c r="L298" s="2734" t="s">
        <v>31</v>
      </c>
      <c r="M298" s="2734" t="s">
        <v>31</v>
      </c>
      <c r="N298" s="2740" t="s">
        <v>31</v>
      </c>
      <c r="O298" s="2740"/>
      <c r="P298" s="2740"/>
      <c r="Q298" s="2736" t="s">
        <v>31</v>
      </c>
      <c r="R298" s="2740" t="s">
        <v>31</v>
      </c>
      <c r="S298" s="2734" t="s">
        <v>31</v>
      </c>
      <c r="T298" s="2734" t="s">
        <v>31</v>
      </c>
      <c r="U298" s="2740" t="s">
        <v>31</v>
      </c>
      <c r="V298" s="2740"/>
      <c r="W298" s="2740"/>
      <c r="X298" s="2734" t="s">
        <v>31</v>
      </c>
      <c r="Y298" s="2740" t="s">
        <v>31</v>
      </c>
      <c r="Z298" s="2734" t="s">
        <v>31</v>
      </c>
      <c r="AA298" s="2734" t="s">
        <v>31</v>
      </c>
      <c r="AB298" s="2734" t="s">
        <v>31</v>
      </c>
      <c r="AC298" s="2734"/>
      <c r="AD298" s="2735"/>
      <c r="AE298" s="2734" t="s">
        <v>31</v>
      </c>
      <c r="AF298" s="2735" t="s">
        <v>31</v>
      </c>
      <c r="AG298" s="2138" t="s">
        <v>31</v>
      </c>
      <c r="AH298" s="201"/>
      <c r="AI298" s="197"/>
    </row>
    <row r="299" spans="1:35" ht="21" customHeight="1" x14ac:dyDescent="0.2">
      <c r="A299" s="2974"/>
      <c r="B299" s="2999"/>
      <c r="C299" s="2735"/>
      <c r="D299" s="2661"/>
      <c r="E299" s="2735"/>
      <c r="F299" s="2735"/>
      <c r="G299" s="2735"/>
      <c r="H299" s="2735"/>
      <c r="I299" s="2735"/>
      <c r="J299" s="2735"/>
      <c r="K299" s="2735"/>
      <c r="L299" s="2735"/>
      <c r="M299" s="2735"/>
      <c r="N299" s="2735"/>
      <c r="O299" s="2735"/>
      <c r="P299" s="2735"/>
      <c r="Q299" s="2735"/>
      <c r="R299" s="2735"/>
      <c r="S299" s="2735"/>
      <c r="T299" s="2735"/>
      <c r="U299" s="2735"/>
      <c r="V299" s="2735"/>
      <c r="W299" s="2735"/>
      <c r="X299" s="2735"/>
      <c r="Y299" s="2735"/>
      <c r="Z299" s="2735"/>
      <c r="AA299" s="2735"/>
      <c r="AB299" s="2735"/>
      <c r="AC299" s="2735"/>
      <c r="AD299" s="2735"/>
      <c r="AE299" s="2735"/>
      <c r="AF299" s="2735"/>
      <c r="AG299" s="2775"/>
      <c r="AH299" s="201"/>
      <c r="AI299" s="197"/>
    </row>
    <row r="300" spans="1:35" ht="21" customHeight="1" x14ac:dyDescent="0.2">
      <c r="A300" s="2784"/>
      <c r="B300" s="2999"/>
      <c r="C300" s="2775"/>
      <c r="D300" s="2775"/>
      <c r="E300" s="2775"/>
      <c r="F300" s="2775"/>
      <c r="G300" s="2775"/>
      <c r="H300" s="2775"/>
      <c r="I300" s="2775"/>
      <c r="J300" s="2775"/>
      <c r="K300" s="2775"/>
      <c r="L300" s="2775"/>
      <c r="M300" s="2775"/>
      <c r="N300" s="2721"/>
      <c r="O300" s="2721"/>
      <c r="P300" s="2775"/>
      <c r="Q300" s="2775"/>
      <c r="R300" s="2775"/>
      <c r="S300" s="2775"/>
      <c r="T300" s="2775"/>
      <c r="U300" s="2775"/>
      <c r="V300" s="2775"/>
      <c r="W300" s="2775"/>
      <c r="X300" s="2775"/>
      <c r="Y300" s="2775"/>
      <c r="Z300" s="2775"/>
      <c r="AA300" s="2775"/>
      <c r="AB300" s="2721"/>
      <c r="AC300" s="2721"/>
      <c r="AD300" s="2775"/>
      <c r="AE300" s="2775"/>
      <c r="AF300" s="2775"/>
      <c r="AG300" s="2775"/>
      <c r="AH300" s="201"/>
      <c r="AI300" s="199"/>
    </row>
    <row r="301" spans="1:35" ht="21" customHeight="1" thickBot="1" x14ac:dyDescent="0.25">
      <c r="A301" s="686"/>
      <c r="B301" s="687"/>
      <c r="C301" s="2991"/>
      <c r="D301" s="2992"/>
      <c r="E301" s="2992"/>
      <c r="F301" s="2992"/>
      <c r="G301" s="2992"/>
      <c r="H301" s="2992"/>
      <c r="I301" s="2992"/>
      <c r="J301" s="2992"/>
      <c r="K301" s="2992"/>
      <c r="L301" s="2992"/>
      <c r="M301" s="2992"/>
      <c r="N301" s="2993"/>
      <c r="O301" s="2993"/>
      <c r="P301" s="2992"/>
      <c r="Q301" s="2992"/>
      <c r="R301" s="2992"/>
      <c r="S301" s="2992"/>
      <c r="T301" s="2992"/>
      <c r="U301" s="2992"/>
      <c r="V301" s="2992"/>
      <c r="W301" s="2992"/>
      <c r="X301" s="2992"/>
      <c r="Y301" s="2992"/>
      <c r="Z301" s="2992"/>
      <c r="AA301" s="2992"/>
      <c r="AB301" s="2993"/>
      <c r="AC301" s="2993"/>
      <c r="AD301" s="2992"/>
      <c r="AE301" s="2992"/>
      <c r="AF301" s="2992"/>
      <c r="AG301" s="2992"/>
      <c r="AH301" s="201"/>
      <c r="AI301" s="199"/>
    </row>
  </sheetData>
  <protectedRanges>
    <protectedRange sqref="B226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5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" name="Område1_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14E5B-09A7-4FAD-8D42-88010BA5476F}">
  <sheetPr codeName="Ark74"/>
  <dimension ref="A1:AL301"/>
  <sheetViews>
    <sheetView zoomScale="90" zoomScaleNormal="90" workbookViewId="0">
      <pane xSplit="2" ySplit="3" topLeftCell="C53" activePane="bottomRight" state="frozen"/>
      <selection pane="topRight" activeCell="AM167" sqref="AM167"/>
      <selection pane="bottomLeft" activeCell="AM167" sqref="AM167"/>
      <selection pane="bottomRight" activeCell="AL184" sqref="AL184"/>
    </sheetView>
  </sheetViews>
  <sheetFormatPr defaultColWidth="9.140625" defaultRowHeight="12" x14ac:dyDescent="0.2"/>
  <cols>
    <col min="1" max="1" width="5.7109375" customWidth="1"/>
    <col min="2" max="2" width="25.28515625" customWidth="1"/>
    <col min="3" max="33" width="4.140625" customWidth="1"/>
    <col min="34" max="34" width="4" customWidth="1"/>
    <col min="35" max="35" width="3.85546875" customWidth="1"/>
    <col min="36" max="37" width="10" customWidth="1"/>
    <col min="38" max="42" width="11.28515625" bestFit="1" customWidth="1"/>
  </cols>
  <sheetData>
    <row r="1" spans="1:35" ht="13.35" customHeight="1" x14ac:dyDescent="0.2">
      <c r="A1" t="s">
        <v>0</v>
      </c>
      <c r="B1" s="1" t="s">
        <v>1</v>
      </c>
    </row>
    <row r="2" spans="1:35" ht="13.35" customHeight="1" x14ac:dyDescent="0.2">
      <c r="B2" s="3000" t="s">
        <v>2</v>
      </c>
      <c r="C2" s="3001" t="s">
        <v>3</v>
      </c>
      <c r="D2" s="3002"/>
      <c r="E2" s="3003" t="s">
        <v>4</v>
      </c>
      <c r="F2" s="3004"/>
      <c r="G2" s="3005"/>
      <c r="H2" s="3005"/>
      <c r="I2" s="3005"/>
      <c r="J2" s="3005"/>
      <c r="K2" s="3006"/>
      <c r="L2" s="3007" t="s">
        <v>5</v>
      </c>
      <c r="M2" s="3008"/>
      <c r="N2" s="3009"/>
      <c r="O2" s="3010" t="s">
        <v>6</v>
      </c>
      <c r="P2" s="3011"/>
      <c r="Q2" s="3012"/>
      <c r="R2" s="3013"/>
      <c r="S2" s="3014" t="s">
        <v>7</v>
      </c>
      <c r="T2" s="3015"/>
      <c r="U2" s="3016"/>
      <c r="V2" s="3015"/>
      <c r="W2" s="3017" t="s">
        <v>8</v>
      </c>
      <c r="X2" s="3018"/>
      <c r="Y2" s="3019"/>
      <c r="Z2" s="164" t="s">
        <v>9</v>
      </c>
      <c r="AA2" s="3020"/>
      <c r="AB2" s="3021"/>
      <c r="AC2" s="3022"/>
      <c r="AD2" s="3023" t="s">
        <v>10</v>
      </c>
      <c r="AE2" s="3024"/>
      <c r="AF2" s="3024"/>
      <c r="AG2" s="3025"/>
    </row>
    <row r="3" spans="1:35" ht="13.35" customHeight="1" x14ac:dyDescent="0.2">
      <c r="A3" s="1"/>
      <c r="B3" s="3026" t="s">
        <v>11</v>
      </c>
      <c r="C3" s="3027" t="s">
        <v>12</v>
      </c>
      <c r="D3" s="3028"/>
      <c r="E3" s="91"/>
      <c r="F3" s="92"/>
      <c r="G3" s="92"/>
      <c r="H3" s="165" t="s">
        <v>13</v>
      </c>
      <c r="I3" s="93"/>
      <c r="J3" s="93"/>
      <c r="K3" s="94"/>
      <c r="L3" s="3029" t="s">
        <v>14</v>
      </c>
      <c r="M3" s="3030"/>
      <c r="N3" s="3031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5" t="s">
        <v>16</v>
      </c>
      <c r="Z3" s="3030"/>
      <c r="AA3" s="3030"/>
      <c r="AB3" s="3032"/>
      <c r="AC3" s="3033"/>
      <c r="AD3" s="3034" t="s">
        <v>17</v>
      </c>
      <c r="AE3" s="3035"/>
      <c r="AF3" s="3035"/>
      <c r="AG3" s="3036"/>
    </row>
    <row r="4" spans="1:35" ht="13.35" customHeight="1" x14ac:dyDescent="0.2">
      <c r="A4" s="162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5" ht="22.15" customHeight="1" x14ac:dyDescent="0.2">
      <c r="A5" s="162" t="s">
        <v>19</v>
      </c>
      <c r="B5" s="1"/>
    </row>
    <row r="6" spans="1:35" ht="22.15" customHeight="1" x14ac:dyDescent="0.2">
      <c r="A6" s="3037" t="s">
        <v>20</v>
      </c>
      <c r="B6" s="3030"/>
      <c r="C6" s="3038"/>
      <c r="D6" s="3037" t="s">
        <v>21</v>
      </c>
      <c r="E6" s="3030"/>
      <c r="F6" s="3030"/>
      <c r="G6" s="3030"/>
      <c r="H6" s="3039"/>
      <c r="I6" s="3030"/>
      <c r="J6" s="3030"/>
      <c r="K6" s="3030"/>
      <c r="L6" s="3040" t="s">
        <v>22</v>
      </c>
      <c r="M6" s="3030"/>
      <c r="N6" s="3030"/>
      <c r="O6" s="3030"/>
      <c r="P6" s="3030"/>
      <c r="Q6" s="3030"/>
      <c r="R6" s="3030"/>
      <c r="S6" s="3038"/>
      <c r="T6" s="3041"/>
      <c r="U6" s="3030"/>
      <c r="V6" s="3030"/>
      <c r="W6" s="3030"/>
      <c r="X6" s="3030"/>
      <c r="Y6" s="3030"/>
      <c r="Z6" s="3030"/>
      <c r="AA6" s="3038"/>
      <c r="AB6" s="3042"/>
      <c r="AC6" s="3043"/>
      <c r="AD6" s="3043"/>
      <c r="AE6" s="3043"/>
      <c r="AF6" s="3043"/>
      <c r="AG6" s="3044"/>
    </row>
    <row r="7" spans="1:35" ht="22.15" customHeight="1" x14ac:dyDescent="0.2">
      <c r="A7" s="3037" t="s">
        <v>23</v>
      </c>
      <c r="B7" s="3030"/>
      <c r="C7" s="3030"/>
      <c r="D7" s="3030"/>
      <c r="E7" s="3030"/>
      <c r="F7" s="3030"/>
      <c r="G7" s="3030"/>
      <c r="H7" s="3030"/>
      <c r="I7" s="3030"/>
      <c r="J7" s="3030"/>
      <c r="K7" s="3038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3030"/>
      <c r="V7" s="3030"/>
      <c r="W7" s="3030"/>
      <c r="X7" s="3030"/>
      <c r="Y7" s="3030"/>
      <c r="Z7" s="3030"/>
      <c r="AA7" s="3030"/>
      <c r="AB7" s="3045"/>
      <c r="AC7" s="3030"/>
      <c r="AD7" s="3030"/>
      <c r="AE7" s="3030"/>
      <c r="AF7" s="3030"/>
      <c r="AG7" s="3038"/>
    </row>
    <row r="8" spans="1:35" ht="22.15" customHeight="1" x14ac:dyDescent="0.2">
      <c r="A8" s="162" t="s">
        <v>25</v>
      </c>
      <c r="L8" s="100"/>
      <c r="AB8" s="1"/>
    </row>
    <row r="9" spans="1:35" ht="22.15" customHeight="1" x14ac:dyDescent="0.2">
      <c r="A9" s="162" t="s">
        <v>26</v>
      </c>
      <c r="L9" s="100"/>
      <c r="AB9" s="1"/>
    </row>
    <row r="10" spans="1:35" ht="22.1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5" ht="22.15" customHeight="1" thickBot="1" x14ac:dyDescent="0.25">
      <c r="A11" s="3046" t="s">
        <v>28</v>
      </c>
      <c r="B11" s="3047" t="s">
        <v>29</v>
      </c>
      <c r="C11" s="3048">
        <v>1</v>
      </c>
      <c r="D11" s="3048">
        <v>2</v>
      </c>
      <c r="E11" s="3048">
        <v>3</v>
      </c>
      <c r="F11" s="3048">
        <v>4</v>
      </c>
      <c r="G11" s="3048">
        <v>5</v>
      </c>
      <c r="H11" s="3049">
        <v>6</v>
      </c>
      <c r="I11" s="3049">
        <v>7</v>
      </c>
      <c r="J11" s="3049">
        <v>8</v>
      </c>
      <c r="K11" s="3049">
        <v>9</v>
      </c>
      <c r="L11" s="3048">
        <v>10</v>
      </c>
      <c r="M11" s="3048">
        <v>11</v>
      </c>
      <c r="N11" s="3049">
        <v>12</v>
      </c>
      <c r="O11" s="3049">
        <v>13</v>
      </c>
      <c r="P11" s="3049">
        <v>14</v>
      </c>
      <c r="Q11" s="3049">
        <v>15</v>
      </c>
      <c r="R11" s="3049">
        <v>16</v>
      </c>
      <c r="S11" s="3048">
        <v>17</v>
      </c>
      <c r="T11" s="3048">
        <v>18</v>
      </c>
      <c r="U11" s="3049">
        <v>19</v>
      </c>
      <c r="V11" s="3049">
        <v>20</v>
      </c>
      <c r="W11" s="3049">
        <v>21</v>
      </c>
      <c r="X11" s="3049">
        <v>22</v>
      </c>
      <c r="Y11" s="3049">
        <v>23</v>
      </c>
      <c r="Z11" s="3048">
        <v>24</v>
      </c>
      <c r="AA11" s="3048">
        <v>25</v>
      </c>
      <c r="AB11" s="3049">
        <v>26</v>
      </c>
      <c r="AC11" s="3049">
        <v>27</v>
      </c>
      <c r="AD11" s="3049">
        <v>28</v>
      </c>
      <c r="AE11" s="3049">
        <v>29</v>
      </c>
      <c r="AF11" s="3048">
        <v>30</v>
      </c>
      <c r="AG11" s="3050"/>
      <c r="AH11" s="184"/>
      <c r="AI11" s="185"/>
    </row>
    <row r="12" spans="1:35" ht="22.15" customHeight="1" x14ac:dyDescent="0.2">
      <c r="A12" s="456">
        <v>8500</v>
      </c>
      <c r="B12" s="457" t="s">
        <v>30</v>
      </c>
      <c r="C12" s="458"/>
      <c r="D12" s="458"/>
      <c r="E12" s="458"/>
      <c r="F12" s="459"/>
      <c r="G12" s="459"/>
      <c r="H12" s="532" t="s">
        <v>31</v>
      </c>
      <c r="I12" s="532" t="s">
        <v>31</v>
      </c>
      <c r="J12" s="532" t="s">
        <v>31</v>
      </c>
      <c r="K12" s="532" t="s">
        <v>31</v>
      </c>
      <c r="L12" s="459"/>
      <c r="M12" s="459"/>
      <c r="N12" s="459" t="s">
        <v>31</v>
      </c>
      <c r="O12" s="459" t="s">
        <v>31</v>
      </c>
      <c r="P12" s="459" t="s">
        <v>31</v>
      </c>
      <c r="Q12" s="459" t="s">
        <v>31</v>
      </c>
      <c r="R12" s="459" t="s">
        <v>31</v>
      </c>
      <c r="S12" s="459"/>
      <c r="T12" s="459"/>
      <c r="U12" s="459" t="s">
        <v>31</v>
      </c>
      <c r="V12" s="459" t="s">
        <v>31</v>
      </c>
      <c r="W12" s="459" t="s">
        <v>31</v>
      </c>
      <c r="X12" s="459" t="s">
        <v>31</v>
      </c>
      <c r="Y12" s="459" t="s">
        <v>31</v>
      </c>
      <c r="Z12" s="459"/>
      <c r="AA12" s="459"/>
      <c r="AB12" s="459" t="s">
        <v>31</v>
      </c>
      <c r="AC12" s="459" t="s">
        <v>31</v>
      </c>
      <c r="AD12" s="459" t="s">
        <v>31</v>
      </c>
      <c r="AE12" s="459" t="s">
        <v>31</v>
      </c>
      <c r="AF12" s="458"/>
      <c r="AG12" s="464"/>
      <c r="AH12" s="190"/>
      <c r="AI12" s="190"/>
    </row>
    <row r="13" spans="1:35" ht="22.15" customHeight="1" x14ac:dyDescent="0.2">
      <c r="A13" s="3051" t="s">
        <v>33</v>
      </c>
      <c r="B13" s="3052"/>
      <c r="C13" s="3052"/>
      <c r="D13" s="3052"/>
      <c r="E13" s="3052"/>
      <c r="F13" s="3052"/>
      <c r="G13" s="3052"/>
      <c r="H13" s="3052"/>
      <c r="I13" s="3052"/>
      <c r="J13" s="3052"/>
      <c r="K13" s="3052"/>
      <c r="L13" s="3052"/>
      <c r="M13" s="3052"/>
      <c r="N13" s="3052"/>
      <c r="O13" s="3052"/>
      <c r="P13" s="3052"/>
      <c r="Q13" s="3052"/>
      <c r="R13" s="3052"/>
      <c r="S13" s="3052"/>
      <c r="T13" s="3052"/>
      <c r="U13" s="3052"/>
      <c r="V13" s="3052"/>
      <c r="W13" s="3052"/>
      <c r="X13" s="3052"/>
      <c r="Y13" s="3052"/>
      <c r="Z13" s="3052"/>
      <c r="AA13" s="3052"/>
      <c r="AB13" s="3052"/>
      <c r="AC13" s="3052"/>
      <c r="AD13" s="3052"/>
      <c r="AE13" s="3052"/>
      <c r="AF13" s="3052"/>
      <c r="AG13" s="3053"/>
      <c r="AH13" s="188"/>
      <c r="AI13" s="188"/>
    </row>
    <row r="14" spans="1:35" ht="22.15" customHeight="1" x14ac:dyDescent="0.2">
      <c r="A14" s="3054">
        <v>8546</v>
      </c>
      <c r="B14" s="3055" t="s">
        <v>34</v>
      </c>
      <c r="C14" s="3056" t="s">
        <v>35</v>
      </c>
      <c r="D14" s="3056" t="s">
        <v>35</v>
      </c>
      <c r="E14" s="3056"/>
      <c r="F14" s="3056"/>
      <c r="G14" s="3056">
        <v>4</v>
      </c>
      <c r="H14" s="3057">
        <v>4</v>
      </c>
      <c r="I14" s="3057">
        <v>4</v>
      </c>
      <c r="J14" s="3057">
        <v>4</v>
      </c>
      <c r="K14" s="3058">
        <v>4</v>
      </c>
      <c r="L14" s="3057" t="s">
        <v>37</v>
      </c>
      <c r="M14" s="3059" t="s">
        <v>37</v>
      </c>
      <c r="N14" s="3056" t="s">
        <v>35</v>
      </c>
      <c r="O14" s="3056" t="s">
        <v>35</v>
      </c>
      <c r="P14" s="3060" t="s">
        <v>35</v>
      </c>
      <c r="Q14" s="3060" t="s">
        <v>35</v>
      </c>
      <c r="R14" s="3057" t="s">
        <v>35</v>
      </c>
      <c r="S14" s="3061"/>
      <c r="T14" s="3060"/>
      <c r="U14" s="3060">
        <v>1</v>
      </c>
      <c r="V14" s="3057">
        <v>1</v>
      </c>
      <c r="W14" s="3057">
        <v>1</v>
      </c>
      <c r="X14" s="3057">
        <v>1</v>
      </c>
      <c r="Y14" s="3057">
        <v>1</v>
      </c>
      <c r="Z14" s="3057"/>
      <c r="AA14" s="3057"/>
      <c r="AB14" s="3057">
        <v>2</v>
      </c>
      <c r="AC14" s="3057">
        <v>2</v>
      </c>
      <c r="AD14" s="3060">
        <v>2</v>
      </c>
      <c r="AE14" s="3057">
        <v>2</v>
      </c>
      <c r="AF14" s="3057">
        <v>2</v>
      </c>
      <c r="AG14" s="3062"/>
      <c r="AH14" s="190"/>
      <c r="AI14" s="190"/>
    </row>
    <row r="15" spans="1:35" ht="22.15" customHeight="1" x14ac:dyDescent="0.2">
      <c r="A15" s="3054">
        <v>8546</v>
      </c>
      <c r="B15" s="3063" t="s">
        <v>38</v>
      </c>
      <c r="C15" s="3058">
        <v>2</v>
      </c>
      <c r="D15" s="3057">
        <v>2</v>
      </c>
      <c r="E15" s="3057" t="s">
        <v>36</v>
      </c>
      <c r="F15" s="3060" t="s">
        <v>36</v>
      </c>
      <c r="G15" s="3060" t="s">
        <v>35</v>
      </c>
      <c r="H15" s="3060" t="s">
        <v>35</v>
      </c>
      <c r="I15" s="3057" t="s">
        <v>35</v>
      </c>
      <c r="J15" s="3058" t="s">
        <v>35</v>
      </c>
      <c r="K15" s="3060" t="s">
        <v>35</v>
      </c>
      <c r="L15" s="3057"/>
      <c r="M15" s="3057"/>
      <c r="N15" s="3057">
        <v>4</v>
      </c>
      <c r="O15" s="3057">
        <v>4</v>
      </c>
      <c r="P15" s="3057">
        <v>4</v>
      </c>
      <c r="Q15" s="3057">
        <v>4</v>
      </c>
      <c r="R15" s="3057">
        <v>4</v>
      </c>
      <c r="S15" s="3057" t="s">
        <v>37</v>
      </c>
      <c r="T15" s="3057" t="s">
        <v>37</v>
      </c>
      <c r="U15" s="3057" t="s">
        <v>35</v>
      </c>
      <c r="V15" s="3057" t="s">
        <v>35</v>
      </c>
      <c r="W15" s="3057" t="s">
        <v>35</v>
      </c>
      <c r="X15" s="3057" t="s">
        <v>35</v>
      </c>
      <c r="Y15" s="3057" t="s">
        <v>35</v>
      </c>
      <c r="Z15" s="3057"/>
      <c r="AA15" s="3057"/>
      <c r="AB15" s="3057">
        <v>1</v>
      </c>
      <c r="AC15" s="3057">
        <v>1</v>
      </c>
      <c r="AD15" s="3057">
        <v>1</v>
      </c>
      <c r="AE15" s="3057">
        <v>1</v>
      </c>
      <c r="AF15" s="3057">
        <v>1</v>
      </c>
      <c r="AG15" s="3062"/>
      <c r="AH15" s="190"/>
      <c r="AI15" s="190"/>
    </row>
    <row r="16" spans="1:35" ht="22.15" customHeight="1" x14ac:dyDescent="0.2">
      <c r="A16" s="3054">
        <v>8546</v>
      </c>
      <c r="B16" s="3055" t="s">
        <v>39</v>
      </c>
      <c r="C16" s="3060" t="s">
        <v>35</v>
      </c>
      <c r="D16" s="3057" t="s">
        <v>35</v>
      </c>
      <c r="E16" s="3057"/>
      <c r="F16" s="3057"/>
      <c r="G16" s="3057">
        <v>1</v>
      </c>
      <c r="H16" s="3057">
        <v>1</v>
      </c>
      <c r="I16" s="3057">
        <v>1</v>
      </c>
      <c r="J16" s="3057">
        <v>1</v>
      </c>
      <c r="K16" s="3057">
        <v>1</v>
      </c>
      <c r="L16" s="3057"/>
      <c r="M16" s="3057"/>
      <c r="N16" s="3060">
        <v>2</v>
      </c>
      <c r="O16" s="3060">
        <v>2</v>
      </c>
      <c r="P16" s="3060">
        <v>2</v>
      </c>
      <c r="Q16" s="3060">
        <v>2</v>
      </c>
      <c r="R16" s="3060">
        <v>2</v>
      </c>
      <c r="S16" s="3057" t="s">
        <v>36</v>
      </c>
      <c r="T16" s="3057" t="s">
        <v>36</v>
      </c>
      <c r="U16" s="3057" t="s">
        <v>35</v>
      </c>
      <c r="V16" s="3057" t="s">
        <v>35</v>
      </c>
      <c r="W16" s="3058" t="s">
        <v>35</v>
      </c>
      <c r="X16" s="3057" t="s">
        <v>35</v>
      </c>
      <c r="Y16" s="3060" t="s">
        <v>35</v>
      </c>
      <c r="Z16" s="3060"/>
      <c r="AA16" s="3060"/>
      <c r="AB16" s="3060">
        <v>4</v>
      </c>
      <c r="AC16" s="3060">
        <v>4</v>
      </c>
      <c r="AD16" s="3057">
        <v>4</v>
      </c>
      <c r="AE16" s="3057">
        <v>4</v>
      </c>
      <c r="AF16" s="3057">
        <v>4</v>
      </c>
      <c r="AG16" s="3062"/>
      <c r="AH16" s="190"/>
      <c r="AI16" s="190"/>
    </row>
    <row r="17" spans="1:37" ht="22.15" customHeight="1" x14ac:dyDescent="0.2">
      <c r="A17" s="3054">
        <v>8546</v>
      </c>
      <c r="B17" s="3063" t="s">
        <v>40</v>
      </c>
      <c r="C17" s="3057">
        <v>4</v>
      </c>
      <c r="D17" s="3058">
        <v>4</v>
      </c>
      <c r="E17" s="3057" t="s">
        <v>37</v>
      </c>
      <c r="F17" s="3060" t="s">
        <v>37</v>
      </c>
      <c r="G17" s="3057" t="s">
        <v>35</v>
      </c>
      <c r="H17" s="3057" t="s">
        <v>35</v>
      </c>
      <c r="I17" s="3057" t="s">
        <v>35</v>
      </c>
      <c r="J17" s="3057" t="s">
        <v>35</v>
      </c>
      <c r="K17" s="3057" t="s">
        <v>35</v>
      </c>
      <c r="L17" s="3057"/>
      <c r="M17" s="3056"/>
      <c r="N17" s="3056">
        <v>1</v>
      </c>
      <c r="O17" s="3056">
        <v>1</v>
      </c>
      <c r="P17" s="3056">
        <v>1</v>
      </c>
      <c r="Q17" s="3056">
        <v>1</v>
      </c>
      <c r="R17" s="3056">
        <v>1</v>
      </c>
      <c r="S17" s="3056"/>
      <c r="T17" s="3057"/>
      <c r="U17" s="3057">
        <v>2</v>
      </c>
      <c r="V17" s="3057">
        <v>2</v>
      </c>
      <c r="W17" s="3057">
        <v>2</v>
      </c>
      <c r="X17" s="3058">
        <v>2</v>
      </c>
      <c r="Y17" s="3057">
        <v>2</v>
      </c>
      <c r="Z17" s="3057" t="s">
        <v>36</v>
      </c>
      <c r="AA17" s="3064" t="s">
        <v>36</v>
      </c>
      <c r="AB17" s="3064" t="s">
        <v>35</v>
      </c>
      <c r="AC17" s="3064" t="s">
        <v>35</v>
      </c>
      <c r="AD17" s="3064" t="s">
        <v>35</v>
      </c>
      <c r="AE17" s="3064" t="s">
        <v>35</v>
      </c>
      <c r="AF17" s="3064" t="s">
        <v>35</v>
      </c>
      <c r="AG17" s="3062"/>
      <c r="AH17" s="190"/>
      <c r="AI17" s="190"/>
    </row>
    <row r="18" spans="1:37" ht="22.15" customHeight="1" x14ac:dyDescent="0.2">
      <c r="A18" s="3054">
        <v>8546</v>
      </c>
      <c r="B18" s="3055" t="s">
        <v>41</v>
      </c>
      <c r="C18" s="3057">
        <v>1</v>
      </c>
      <c r="D18" s="3058">
        <v>1</v>
      </c>
      <c r="E18" s="3057"/>
      <c r="F18" s="3057"/>
      <c r="G18" s="3065">
        <v>2</v>
      </c>
      <c r="H18" s="3065">
        <v>2</v>
      </c>
      <c r="I18" s="3065">
        <v>2</v>
      </c>
      <c r="J18" s="3065">
        <v>2</v>
      </c>
      <c r="K18" s="3065">
        <v>2</v>
      </c>
      <c r="L18" s="3065" t="s">
        <v>36</v>
      </c>
      <c r="M18" s="3065" t="s">
        <v>36</v>
      </c>
      <c r="N18" s="3060" t="s">
        <v>35</v>
      </c>
      <c r="O18" s="3057" t="s">
        <v>35</v>
      </c>
      <c r="P18" s="3057" t="s">
        <v>35</v>
      </c>
      <c r="Q18" s="3057" t="s">
        <v>35</v>
      </c>
      <c r="R18" s="3057" t="s">
        <v>35</v>
      </c>
      <c r="S18" s="3057"/>
      <c r="T18" s="3057"/>
      <c r="U18" s="3060">
        <v>4</v>
      </c>
      <c r="V18" s="3060">
        <v>4</v>
      </c>
      <c r="W18" s="3057">
        <v>4</v>
      </c>
      <c r="X18" s="3057">
        <v>4</v>
      </c>
      <c r="Y18" s="3057">
        <v>4</v>
      </c>
      <c r="Z18" s="3057" t="s">
        <v>37</v>
      </c>
      <c r="AA18" s="3057" t="s">
        <v>37</v>
      </c>
      <c r="AB18" s="3057" t="s">
        <v>35</v>
      </c>
      <c r="AC18" s="3066" t="s">
        <v>35</v>
      </c>
      <c r="AD18" s="3057" t="s">
        <v>35</v>
      </c>
      <c r="AE18" s="3057" t="s">
        <v>35</v>
      </c>
      <c r="AF18" s="3057" t="s">
        <v>35</v>
      </c>
      <c r="AG18" s="3062"/>
      <c r="AH18" s="190"/>
      <c r="AI18" s="190"/>
    </row>
    <row r="19" spans="1:37" ht="22.15" customHeight="1" thickBot="1" x14ac:dyDescent="0.25">
      <c r="A19" s="3067" t="s">
        <v>42</v>
      </c>
      <c r="B19" s="3068"/>
      <c r="C19" s="3069"/>
      <c r="D19" s="3069"/>
      <c r="E19" s="3069"/>
      <c r="F19" s="3069"/>
      <c r="G19" s="3069"/>
      <c r="H19" s="3069"/>
      <c r="I19" s="3069"/>
      <c r="J19" s="3069"/>
      <c r="K19" s="3069"/>
      <c r="L19" s="3069"/>
      <c r="M19" s="3069"/>
      <c r="N19" s="3069"/>
      <c r="O19" s="3069"/>
      <c r="P19" s="3069"/>
      <c r="Q19" s="3069"/>
      <c r="R19" s="3069"/>
      <c r="S19" s="3069"/>
      <c r="T19" s="3069"/>
      <c r="U19" s="3069"/>
      <c r="V19" s="3069"/>
      <c r="W19" s="3069"/>
      <c r="X19" s="3069"/>
      <c r="Y19" s="3069"/>
      <c r="Z19" s="3069"/>
      <c r="AA19" s="3069"/>
      <c r="AB19" s="3069"/>
      <c r="AC19" s="3069"/>
      <c r="AD19" s="3069"/>
      <c r="AE19" s="3069"/>
      <c r="AF19" s="3069"/>
      <c r="AG19" s="3070"/>
      <c r="AH19" s="188"/>
      <c r="AI19" s="188"/>
    </row>
    <row r="20" spans="1:37" ht="22.15" customHeight="1" x14ac:dyDescent="0.2">
      <c r="A20" s="465">
        <v>8500</v>
      </c>
      <c r="B20" s="466" t="s">
        <v>43</v>
      </c>
      <c r="C20" s="458"/>
      <c r="D20" s="458"/>
      <c r="E20" s="458"/>
      <c r="F20" s="459"/>
      <c r="G20" s="459"/>
      <c r="H20" s="459" t="s">
        <v>31</v>
      </c>
      <c r="I20" s="460" t="s">
        <v>31</v>
      </c>
      <c r="J20" s="459" t="s">
        <v>31</v>
      </c>
      <c r="K20" s="459" t="s">
        <v>31</v>
      </c>
      <c r="L20" s="459"/>
      <c r="M20" s="459"/>
      <c r="N20" s="459" t="s">
        <v>31</v>
      </c>
      <c r="O20" s="459" t="s">
        <v>31</v>
      </c>
      <c r="P20" s="459" t="s">
        <v>31</v>
      </c>
      <c r="Q20" s="459" t="s">
        <v>31</v>
      </c>
      <c r="R20" s="459" t="s">
        <v>31</v>
      </c>
      <c r="S20" s="459"/>
      <c r="T20" s="459"/>
      <c r="U20" s="459" t="s">
        <v>31</v>
      </c>
      <c r="V20" s="459" t="s">
        <v>31</v>
      </c>
      <c r="W20" s="459" t="s">
        <v>31</v>
      </c>
      <c r="X20" s="459" t="s">
        <v>31</v>
      </c>
      <c r="Y20" s="459" t="s">
        <v>31</v>
      </c>
      <c r="Z20" s="459"/>
      <c r="AA20" s="459"/>
      <c r="AB20" s="459" t="s">
        <v>31</v>
      </c>
      <c r="AC20" s="459" t="s">
        <v>31</v>
      </c>
      <c r="AD20" s="459" t="s">
        <v>31</v>
      </c>
      <c r="AE20" s="459" t="s">
        <v>31</v>
      </c>
      <c r="AF20" s="458"/>
      <c r="AG20" s="537"/>
      <c r="AH20" s="190"/>
      <c r="AI20" s="190"/>
    </row>
    <row r="21" spans="1:37" ht="22.15" customHeight="1" x14ac:dyDescent="0.2">
      <c r="A21" s="2732">
        <v>8500</v>
      </c>
      <c r="B21" s="2733" t="s">
        <v>44</v>
      </c>
      <c r="C21" s="2734"/>
      <c r="D21" s="2734"/>
      <c r="E21" s="2734"/>
      <c r="F21" s="2734"/>
      <c r="G21" s="2734"/>
      <c r="H21" s="2735" t="s">
        <v>31</v>
      </c>
      <c r="I21" s="2735" t="s">
        <v>31</v>
      </c>
      <c r="J21" s="2734" t="s">
        <v>31</v>
      </c>
      <c r="K21" s="2734" t="s">
        <v>31</v>
      </c>
      <c r="L21" s="2736"/>
      <c r="M21" s="2734"/>
      <c r="N21" s="2735" t="s">
        <v>31</v>
      </c>
      <c r="O21" s="2734" t="s">
        <v>31</v>
      </c>
      <c r="P21" s="2734" t="s">
        <v>31</v>
      </c>
      <c r="Q21" s="2734" t="s">
        <v>31</v>
      </c>
      <c r="R21" s="2734" t="s">
        <v>31</v>
      </c>
      <c r="S21" s="2734"/>
      <c r="T21" s="2734"/>
      <c r="U21" s="2734" t="s">
        <v>31</v>
      </c>
      <c r="V21" s="2738" t="s">
        <v>31</v>
      </c>
      <c r="W21" s="2738" t="s">
        <v>31</v>
      </c>
      <c r="X21" s="2738" t="s">
        <v>31</v>
      </c>
      <c r="Y21" s="2736" t="s">
        <v>31</v>
      </c>
      <c r="Z21" s="2736"/>
      <c r="AA21" s="2734"/>
      <c r="AB21" s="2734" t="s">
        <v>31</v>
      </c>
      <c r="AC21" s="2734" t="s">
        <v>31</v>
      </c>
      <c r="AD21" s="2734" t="s">
        <v>31</v>
      </c>
      <c r="AE21" s="2735" t="s">
        <v>31</v>
      </c>
      <c r="AF21" s="2735"/>
      <c r="AG21" s="2138"/>
      <c r="AH21" s="190"/>
      <c r="AI21" s="190"/>
    </row>
    <row r="22" spans="1:37" ht="22.15" customHeight="1" x14ac:dyDescent="0.2">
      <c r="A22" s="2732">
        <v>8500</v>
      </c>
      <c r="B22" s="2739" t="s">
        <v>45</v>
      </c>
      <c r="C22" s="2734"/>
      <c r="D22" s="2734"/>
      <c r="E22" s="2734"/>
      <c r="F22" s="2735"/>
      <c r="G22" s="2734"/>
      <c r="H22" s="2734" t="s">
        <v>31</v>
      </c>
      <c r="I22" s="2734" t="s">
        <v>31</v>
      </c>
      <c r="J22" s="2734" t="s">
        <v>31</v>
      </c>
      <c r="K22" s="2734" t="s">
        <v>31</v>
      </c>
      <c r="L22" s="2734"/>
      <c r="M22" s="2734"/>
      <c r="N22" s="2740" t="s">
        <v>31</v>
      </c>
      <c r="O22" s="2740" t="s">
        <v>31</v>
      </c>
      <c r="P22" s="2740" t="s">
        <v>31</v>
      </c>
      <c r="Q22" s="2736" t="s">
        <v>31</v>
      </c>
      <c r="R22" s="2740" t="s">
        <v>31</v>
      </c>
      <c r="S22" s="2734"/>
      <c r="T22" s="2734"/>
      <c r="U22" s="2740" t="s">
        <v>31</v>
      </c>
      <c r="V22" s="2740" t="s">
        <v>31</v>
      </c>
      <c r="W22" s="2740" t="s">
        <v>31</v>
      </c>
      <c r="X22" s="2734" t="s">
        <v>31</v>
      </c>
      <c r="Y22" s="2740" t="s">
        <v>31</v>
      </c>
      <c r="Z22" s="2734"/>
      <c r="AA22" s="2734"/>
      <c r="AB22" s="2734" t="s">
        <v>31</v>
      </c>
      <c r="AC22" s="2734" t="s">
        <v>31</v>
      </c>
      <c r="AD22" s="2735" t="s">
        <v>31</v>
      </c>
      <c r="AE22" s="2734" t="s">
        <v>31</v>
      </c>
      <c r="AF22" s="2735"/>
      <c r="AG22" s="2138"/>
      <c r="AH22" s="190"/>
      <c r="AI22" s="190"/>
    </row>
    <row r="23" spans="1:37" ht="22.15" customHeight="1" x14ac:dyDescent="0.2">
      <c r="A23" s="2732"/>
      <c r="B23" s="2741"/>
      <c r="C23" s="2735"/>
      <c r="D23" s="2736"/>
      <c r="E23" s="2734"/>
      <c r="F23" s="2734"/>
      <c r="G23" s="2734"/>
      <c r="H23" s="2734"/>
      <c r="I23" s="2735"/>
      <c r="J23" s="2735"/>
      <c r="K23" s="2735"/>
      <c r="L23" s="2735"/>
      <c r="M23" s="2735"/>
      <c r="N23" s="2735"/>
      <c r="O23" s="2742"/>
      <c r="P23" s="2735"/>
      <c r="Q23" s="2735"/>
      <c r="R23" s="2743"/>
      <c r="S23" s="2743"/>
      <c r="T23" s="2735"/>
      <c r="U23" s="2735"/>
      <c r="V23" s="2735"/>
      <c r="W23" s="2735"/>
      <c r="X23" s="2735"/>
      <c r="Y23" s="2735"/>
      <c r="Z23" s="2735"/>
      <c r="AA23" s="2735"/>
      <c r="AB23" s="2735"/>
      <c r="AC23" s="2740"/>
      <c r="AD23" s="2740"/>
      <c r="AE23" s="2740"/>
      <c r="AF23" s="2740"/>
      <c r="AG23" s="2138"/>
    </row>
    <row r="24" spans="1:37" ht="22.15" customHeight="1" thickBot="1" x14ac:dyDescent="0.25">
      <c r="A24" s="688"/>
      <c r="B24" s="689" t="s">
        <v>338</v>
      </c>
      <c r="C24" s="690"/>
      <c r="D24" s="690"/>
      <c r="E24" s="690"/>
      <c r="F24" s="690"/>
      <c r="G24" s="690" t="s">
        <v>0</v>
      </c>
      <c r="H24" s="690"/>
      <c r="I24" s="690"/>
      <c r="J24" s="690"/>
      <c r="K24" s="690"/>
      <c r="L24" s="690" t="s">
        <v>0</v>
      </c>
      <c r="M24" s="690"/>
      <c r="N24" s="690" t="s">
        <v>0</v>
      </c>
      <c r="O24" s="690" t="s">
        <v>0</v>
      </c>
      <c r="P24" s="690"/>
      <c r="Q24" s="690"/>
      <c r="R24" s="690"/>
      <c r="S24" s="690"/>
      <c r="T24" s="690"/>
      <c r="U24" s="690" t="s">
        <v>0</v>
      </c>
      <c r="V24" s="690"/>
      <c r="W24" s="690"/>
      <c r="X24" s="690"/>
      <c r="Y24" s="690"/>
      <c r="Z24" s="690"/>
      <c r="AA24" s="690"/>
      <c r="AB24" s="690"/>
      <c r="AC24" s="690"/>
      <c r="AD24" s="690"/>
      <c r="AE24" s="690"/>
      <c r="AF24" s="690"/>
      <c r="AG24" s="218"/>
    </row>
    <row r="25" spans="1:37" ht="22.15" customHeight="1" x14ac:dyDescent="0.2">
      <c r="A25" s="102"/>
    </row>
    <row r="26" spans="1:37" ht="22.15" customHeight="1" x14ac:dyDescent="0.2">
      <c r="A26" s="102"/>
    </row>
    <row r="27" spans="1:37" ht="22.15" customHeight="1" x14ac:dyDescent="0.2">
      <c r="A27" s="102"/>
    </row>
    <row r="28" spans="1:37" ht="22.15" customHeight="1" x14ac:dyDescent="0.2">
      <c r="A28" s="102"/>
    </row>
    <row r="29" spans="1:37" ht="22.15" customHeight="1" x14ac:dyDescent="0.2">
      <c r="A29" s="102"/>
    </row>
    <row r="30" spans="1:37" ht="12.75" customHeight="1" thickBot="1" x14ac:dyDescent="0.25">
      <c r="A30" s="162" t="s">
        <v>48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37" ht="28.5" customHeight="1" x14ac:dyDescent="0.2">
      <c r="A31" s="302" t="s">
        <v>49</v>
      </c>
      <c r="B31" s="404"/>
      <c r="C31" s="404"/>
      <c r="D31" s="471" t="s">
        <v>50</v>
      </c>
      <c r="E31" s="405"/>
      <c r="F31" s="405"/>
      <c r="G31" s="405"/>
      <c r="H31" s="405"/>
      <c r="I31" s="405"/>
      <c r="J31" s="405"/>
      <c r="K31" s="405"/>
      <c r="L31" s="405"/>
      <c r="M31" s="406" t="s">
        <v>51</v>
      </c>
      <c r="N31" s="405"/>
      <c r="O31" s="405"/>
      <c r="P31" s="405"/>
      <c r="Q31" s="405"/>
      <c r="R31" s="405"/>
      <c r="S31" s="407"/>
      <c r="T31" s="3653" t="s">
        <v>52</v>
      </c>
      <c r="U31" s="3654"/>
      <c r="V31" s="3654"/>
      <c r="W31" s="3654"/>
      <c r="X31" s="3654"/>
      <c r="Y31" s="3654"/>
      <c r="Z31" s="3655"/>
      <c r="AA31" s="472" t="s">
        <v>53</v>
      </c>
      <c r="AB31" s="473"/>
      <c r="AC31" s="473"/>
      <c r="AD31" s="473"/>
      <c r="AE31" s="473"/>
      <c r="AF31" s="473"/>
      <c r="AG31" s="474"/>
      <c r="AK31" s="1"/>
    </row>
    <row r="32" spans="1:37" ht="22.15" customHeight="1" x14ac:dyDescent="0.2">
      <c r="A32" s="3071" t="s">
        <v>54</v>
      </c>
      <c r="B32" s="3043"/>
      <c r="C32" s="3043"/>
      <c r="D32" s="3072" t="s">
        <v>55</v>
      </c>
      <c r="E32" s="3073"/>
      <c r="F32" s="3030"/>
      <c r="G32" s="3030"/>
      <c r="H32" s="3030"/>
      <c r="I32" s="3030"/>
      <c r="J32" s="3030"/>
      <c r="K32" s="3030"/>
      <c r="L32" s="3038"/>
      <c r="M32" s="3074" t="s">
        <v>56</v>
      </c>
      <c r="N32" s="3043"/>
      <c r="O32" s="3075"/>
      <c r="P32" s="3043"/>
      <c r="Q32" s="3043"/>
      <c r="R32" s="3043"/>
      <c r="S32" s="3076"/>
      <c r="T32" s="3072" t="s">
        <v>57</v>
      </c>
      <c r="U32" s="3030"/>
      <c r="V32" s="3073"/>
      <c r="W32" s="3030"/>
      <c r="X32" s="3030"/>
      <c r="Y32" s="3030"/>
      <c r="Z32" s="3038"/>
      <c r="AA32" s="163" t="s">
        <v>58</v>
      </c>
      <c r="AD32" s="100"/>
      <c r="AG32" s="103"/>
      <c r="AK32" s="1"/>
    </row>
    <row r="33" spans="1:38" ht="22.15" customHeight="1" x14ac:dyDescent="0.2">
      <c r="A33" s="3077" t="s">
        <v>59</v>
      </c>
      <c r="B33" s="3030"/>
      <c r="C33" s="3030"/>
      <c r="D33" s="3078"/>
      <c r="E33" s="3030"/>
      <c r="F33" s="3030"/>
      <c r="G33" s="3038"/>
      <c r="H33" s="3045" t="s">
        <v>60</v>
      </c>
      <c r="I33" s="3030"/>
      <c r="J33" s="3030"/>
      <c r="K33" s="3030"/>
      <c r="L33" s="3030"/>
      <c r="M33" s="3079"/>
      <c r="N33" s="3030"/>
      <c r="O33" s="3030"/>
      <c r="P33" s="3030"/>
      <c r="Q33" s="3030"/>
      <c r="R33" s="3030"/>
      <c r="S33" s="3030"/>
      <c r="T33" s="3078"/>
      <c r="U33" s="162" t="s">
        <v>61</v>
      </c>
      <c r="AA33" s="3075"/>
      <c r="AB33" s="3043"/>
      <c r="AC33" s="3043"/>
      <c r="AD33" s="3043"/>
      <c r="AE33" s="3043"/>
      <c r="AF33" s="3043"/>
      <c r="AG33" s="3080"/>
      <c r="AK33" s="64"/>
    </row>
    <row r="34" spans="1:38" ht="22.15" customHeight="1" thickBot="1" x14ac:dyDescent="0.25">
      <c r="A34" s="3081" t="s">
        <v>62</v>
      </c>
      <c r="B34" s="3082"/>
      <c r="C34" s="3082"/>
      <c r="D34" s="3083"/>
      <c r="E34" s="3082"/>
      <c r="F34" s="3082"/>
      <c r="G34" s="3084"/>
      <c r="H34" s="3085" t="s">
        <v>63</v>
      </c>
      <c r="I34" s="3084"/>
      <c r="J34" s="3082"/>
      <c r="K34" s="3082"/>
      <c r="L34" s="3082"/>
      <c r="M34" s="3086"/>
      <c r="N34" s="3082"/>
      <c r="O34" s="3082"/>
      <c r="P34" s="3082"/>
      <c r="Q34" s="3087"/>
      <c r="R34" s="3087"/>
      <c r="S34" s="3087"/>
      <c r="T34" s="3083"/>
      <c r="U34" s="3088" t="s">
        <v>64</v>
      </c>
      <c r="V34" s="3082"/>
      <c r="W34" s="3082"/>
      <c r="X34" s="3082"/>
      <c r="Y34" s="3082"/>
      <c r="Z34" s="3082"/>
      <c r="AA34" s="3082"/>
      <c r="AB34" s="3082"/>
      <c r="AC34" s="3082"/>
      <c r="AD34" s="3082"/>
      <c r="AE34" s="3082"/>
      <c r="AF34" s="3082"/>
      <c r="AG34" s="3089"/>
      <c r="AK34" s="1"/>
    </row>
    <row r="35" spans="1:38" ht="22.1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  <c r="AJ35" s="177"/>
    </row>
    <row r="36" spans="1:38" ht="22.15" customHeight="1" thickBot="1" x14ac:dyDescent="0.25">
      <c r="A36" s="3090" t="s">
        <v>28</v>
      </c>
      <c r="B36" s="3091" t="s">
        <v>29</v>
      </c>
      <c r="C36" s="3048">
        <v>1</v>
      </c>
      <c r="D36" s="3048">
        <v>2</v>
      </c>
      <c r="E36" s="3048">
        <v>3</v>
      </c>
      <c r="F36" s="3048">
        <v>4</v>
      </c>
      <c r="G36" s="3048">
        <v>5</v>
      </c>
      <c r="H36" s="3049">
        <v>6</v>
      </c>
      <c r="I36" s="3049">
        <v>7</v>
      </c>
      <c r="J36" s="3049">
        <v>8</v>
      </c>
      <c r="K36" s="3049">
        <v>9</v>
      </c>
      <c r="L36" s="3048">
        <v>10</v>
      </c>
      <c r="M36" s="3048">
        <v>11</v>
      </c>
      <c r="N36" s="3049">
        <v>12</v>
      </c>
      <c r="O36" s="3049">
        <v>13</v>
      </c>
      <c r="P36" s="3049">
        <v>14</v>
      </c>
      <c r="Q36" s="3049">
        <v>15</v>
      </c>
      <c r="R36" s="3049">
        <v>16</v>
      </c>
      <c r="S36" s="3048">
        <v>17</v>
      </c>
      <c r="T36" s="3048">
        <v>18</v>
      </c>
      <c r="U36" s="3049">
        <v>19</v>
      </c>
      <c r="V36" s="3049">
        <v>20</v>
      </c>
      <c r="W36" s="3049">
        <v>21</v>
      </c>
      <c r="X36" s="3049">
        <v>22</v>
      </c>
      <c r="Y36" s="3049">
        <v>23</v>
      </c>
      <c r="Z36" s="3048">
        <v>24</v>
      </c>
      <c r="AA36" s="3048">
        <v>25</v>
      </c>
      <c r="AB36" s="3049">
        <v>26</v>
      </c>
      <c r="AC36" s="3049">
        <v>27</v>
      </c>
      <c r="AD36" s="3049">
        <v>28</v>
      </c>
      <c r="AE36" s="3049">
        <v>29</v>
      </c>
      <c r="AF36" s="3048">
        <v>30</v>
      </c>
      <c r="AG36" s="3050"/>
      <c r="AH36" s="184"/>
      <c r="AI36" s="185"/>
      <c r="AL36" t="s">
        <v>0</v>
      </c>
    </row>
    <row r="37" spans="1:38" ht="22.15" customHeight="1" x14ac:dyDescent="0.2">
      <c r="A37" s="475">
        <v>1</v>
      </c>
      <c r="B37" s="476" t="s">
        <v>65</v>
      </c>
      <c r="C37" s="206" t="s">
        <v>35</v>
      </c>
      <c r="D37" s="458" t="s">
        <v>35</v>
      </c>
      <c r="E37" s="477"/>
      <c r="F37" s="477"/>
      <c r="G37" s="532"/>
      <c r="H37" s="532">
        <v>5</v>
      </c>
      <c r="I37" s="532">
        <v>5</v>
      </c>
      <c r="J37" s="532">
        <v>5</v>
      </c>
      <c r="K37" s="532">
        <v>5</v>
      </c>
      <c r="L37" s="532"/>
      <c r="M37" s="532"/>
      <c r="N37" s="532">
        <v>10</v>
      </c>
      <c r="O37" s="532">
        <v>10</v>
      </c>
      <c r="P37" s="532">
        <v>10</v>
      </c>
      <c r="Q37" s="532">
        <v>10</v>
      </c>
      <c r="R37" s="532">
        <v>10</v>
      </c>
      <c r="S37" s="532" t="s">
        <v>67</v>
      </c>
      <c r="T37" s="532" t="s">
        <v>67</v>
      </c>
      <c r="U37" s="477" t="s">
        <v>35</v>
      </c>
      <c r="V37" s="477" t="s">
        <v>35</v>
      </c>
      <c r="W37" s="477" t="s">
        <v>35</v>
      </c>
      <c r="X37" s="459" t="s">
        <v>35</v>
      </c>
      <c r="Y37" s="459" t="s">
        <v>35</v>
      </c>
      <c r="Z37" s="477" t="s">
        <v>71</v>
      </c>
      <c r="AA37" s="477" t="s">
        <v>71</v>
      </c>
      <c r="AB37" s="459">
        <v>7</v>
      </c>
      <c r="AC37" s="459">
        <v>7</v>
      </c>
      <c r="AD37" s="459">
        <v>7</v>
      </c>
      <c r="AE37" s="477">
        <v>7</v>
      </c>
      <c r="AF37" s="477">
        <v>7</v>
      </c>
      <c r="AG37" s="478"/>
      <c r="AH37" s="189"/>
      <c r="AI37" s="190"/>
    </row>
    <row r="38" spans="1:38" ht="22.15" customHeight="1" x14ac:dyDescent="0.2">
      <c r="A38" s="3092">
        <v>6</v>
      </c>
      <c r="B38" s="2766" t="s">
        <v>180</v>
      </c>
      <c r="C38" s="3065">
        <v>4</v>
      </c>
      <c r="D38" s="3065">
        <v>4</v>
      </c>
      <c r="E38" s="3065"/>
      <c r="F38" s="3065"/>
      <c r="G38" s="3056">
        <v>3</v>
      </c>
      <c r="H38" s="3056">
        <v>3</v>
      </c>
      <c r="I38" s="3056">
        <v>3</v>
      </c>
      <c r="J38" s="3056">
        <v>3</v>
      </c>
      <c r="K38" s="3056">
        <v>3</v>
      </c>
      <c r="L38" s="3056"/>
      <c r="M38" s="3056"/>
      <c r="N38" s="3056">
        <v>11</v>
      </c>
      <c r="O38" s="3056">
        <v>11</v>
      </c>
      <c r="P38" s="3056">
        <v>11</v>
      </c>
      <c r="Q38" s="3056">
        <v>11</v>
      </c>
      <c r="R38" s="3056">
        <v>11</v>
      </c>
      <c r="S38" s="3056" t="s">
        <v>73</v>
      </c>
      <c r="T38" s="3056" t="s">
        <v>73</v>
      </c>
      <c r="U38" s="3056" t="s">
        <v>35</v>
      </c>
      <c r="V38" s="3056" t="s">
        <v>35</v>
      </c>
      <c r="W38" s="3056" t="s">
        <v>35</v>
      </c>
      <c r="X38" s="3056" t="s">
        <v>35</v>
      </c>
      <c r="Y38" s="3056" t="s">
        <v>35</v>
      </c>
      <c r="Z38" s="3056" t="s">
        <v>69</v>
      </c>
      <c r="AA38" s="3056" t="s">
        <v>69</v>
      </c>
      <c r="AB38" s="3056">
        <v>8</v>
      </c>
      <c r="AC38" s="3056">
        <v>8</v>
      </c>
      <c r="AD38" s="3056">
        <v>8</v>
      </c>
      <c r="AE38" s="3056">
        <v>8</v>
      </c>
      <c r="AF38" s="3056">
        <v>8</v>
      </c>
      <c r="AG38" s="3093"/>
      <c r="AH38" s="189"/>
      <c r="AI38" s="190"/>
    </row>
    <row r="39" spans="1:38" ht="22.15" customHeight="1" thickBot="1" x14ac:dyDescent="0.25">
      <c r="A39" s="3094">
        <v>11</v>
      </c>
      <c r="B39" s="3095" t="s">
        <v>72</v>
      </c>
      <c r="C39" s="3049" t="s">
        <v>35</v>
      </c>
      <c r="D39" s="3096" t="s">
        <v>35</v>
      </c>
      <c r="E39" s="3096"/>
      <c r="F39" s="3096"/>
      <c r="G39" s="3096">
        <v>1</v>
      </c>
      <c r="H39" s="3096">
        <v>1</v>
      </c>
      <c r="I39" s="3096">
        <v>1</v>
      </c>
      <c r="J39" s="3096">
        <v>1</v>
      </c>
      <c r="K39" s="3096">
        <v>1</v>
      </c>
      <c r="L39" s="3096"/>
      <c r="M39" s="3096"/>
      <c r="N39" s="3096">
        <v>9</v>
      </c>
      <c r="O39" s="3049">
        <v>9</v>
      </c>
      <c r="P39" s="3096">
        <v>9</v>
      </c>
      <c r="Q39" s="3049">
        <v>9</v>
      </c>
      <c r="R39" s="3049">
        <v>9</v>
      </c>
      <c r="S39" s="3096" t="s">
        <v>66</v>
      </c>
      <c r="T39" s="3097" t="s">
        <v>67</v>
      </c>
      <c r="U39" s="3097" t="s">
        <v>35</v>
      </c>
      <c r="V39" s="3097" t="s">
        <v>35</v>
      </c>
      <c r="W39" s="3097" t="s">
        <v>35</v>
      </c>
      <c r="X39" s="3097" t="s">
        <v>35</v>
      </c>
      <c r="Y39" s="3096" t="s">
        <v>35</v>
      </c>
      <c r="Z39" s="3096" t="s">
        <v>68</v>
      </c>
      <c r="AA39" s="3096" t="s">
        <v>69</v>
      </c>
      <c r="AB39" s="3098">
        <v>6</v>
      </c>
      <c r="AC39" s="3098">
        <v>6</v>
      </c>
      <c r="AD39" s="3098">
        <v>6</v>
      </c>
      <c r="AE39" s="3096">
        <v>6</v>
      </c>
      <c r="AF39" s="3096">
        <v>6</v>
      </c>
      <c r="AG39" s="3099"/>
      <c r="AH39" s="189"/>
      <c r="AI39" s="190"/>
    </row>
    <row r="40" spans="1:38" ht="22.15" customHeight="1" x14ac:dyDescent="0.2">
      <c r="A40" s="475">
        <v>2</v>
      </c>
      <c r="B40" s="183" t="s">
        <v>74</v>
      </c>
      <c r="C40" s="458"/>
      <c r="D40" s="458"/>
      <c r="E40" s="458"/>
      <c r="F40" s="458"/>
      <c r="G40" s="458">
        <v>10</v>
      </c>
      <c r="H40" s="477">
        <v>10</v>
      </c>
      <c r="I40" s="477">
        <v>10</v>
      </c>
      <c r="J40" s="458">
        <v>10</v>
      </c>
      <c r="K40" s="458">
        <v>10</v>
      </c>
      <c r="L40" s="477" t="s">
        <v>67</v>
      </c>
      <c r="M40" s="477" t="s">
        <v>67</v>
      </c>
      <c r="N40" s="477" t="s">
        <v>35</v>
      </c>
      <c r="O40" s="459" t="s">
        <v>35</v>
      </c>
      <c r="P40" s="477" t="s">
        <v>35</v>
      </c>
      <c r="Q40" s="459" t="s">
        <v>35</v>
      </c>
      <c r="R40" s="459" t="s">
        <v>35</v>
      </c>
      <c r="S40" s="458" t="s">
        <v>71</v>
      </c>
      <c r="T40" s="459" t="s">
        <v>71</v>
      </c>
      <c r="U40" s="459">
        <v>7</v>
      </c>
      <c r="V40" s="459">
        <v>7</v>
      </c>
      <c r="W40" s="459">
        <v>7</v>
      </c>
      <c r="X40" s="459">
        <v>7</v>
      </c>
      <c r="Y40" s="477">
        <v>7</v>
      </c>
      <c r="Z40" s="477"/>
      <c r="AA40" s="477"/>
      <c r="AB40" s="477">
        <v>4</v>
      </c>
      <c r="AC40" s="459">
        <v>4</v>
      </c>
      <c r="AD40" s="459">
        <v>4</v>
      </c>
      <c r="AE40" s="477">
        <v>4</v>
      </c>
      <c r="AF40" s="477">
        <v>4</v>
      </c>
      <c r="AG40" s="478"/>
      <c r="AH40" s="189"/>
      <c r="AI40" s="190"/>
    </row>
    <row r="41" spans="1:38" ht="22.15" customHeight="1" x14ac:dyDescent="0.2">
      <c r="A41" s="3092">
        <v>7</v>
      </c>
      <c r="B41" s="3063" t="s">
        <v>75</v>
      </c>
      <c r="C41" s="3059">
        <v>3</v>
      </c>
      <c r="D41" s="3059">
        <v>3</v>
      </c>
      <c r="E41" s="3100"/>
      <c r="F41" s="3100"/>
      <c r="G41" s="3100">
        <v>11</v>
      </c>
      <c r="H41" s="3100">
        <v>11</v>
      </c>
      <c r="I41" s="3100">
        <v>11</v>
      </c>
      <c r="J41" s="3059">
        <v>11</v>
      </c>
      <c r="K41" s="3101">
        <v>11</v>
      </c>
      <c r="L41" s="3101" t="s">
        <v>73</v>
      </c>
      <c r="M41" s="3101" t="s">
        <v>73</v>
      </c>
      <c r="N41" s="3100" t="s">
        <v>35</v>
      </c>
      <c r="O41" s="3100" t="s">
        <v>35</v>
      </c>
      <c r="P41" s="3100" t="s">
        <v>35</v>
      </c>
      <c r="Q41" s="3059" t="s">
        <v>35</v>
      </c>
      <c r="R41" s="3100" t="s">
        <v>35</v>
      </c>
      <c r="S41" s="3100" t="s">
        <v>69</v>
      </c>
      <c r="T41" s="3101" t="s">
        <v>69</v>
      </c>
      <c r="U41" s="3101">
        <v>8</v>
      </c>
      <c r="V41" s="3101">
        <v>8</v>
      </c>
      <c r="W41" s="3101">
        <v>8</v>
      </c>
      <c r="X41" s="3100">
        <v>8</v>
      </c>
      <c r="Y41" s="3100">
        <v>8</v>
      </c>
      <c r="Z41" s="3100"/>
      <c r="AA41" s="3100"/>
      <c r="AB41" s="3100" t="s">
        <v>35</v>
      </c>
      <c r="AC41" s="3100" t="s">
        <v>35</v>
      </c>
      <c r="AD41" s="3100" t="s">
        <v>35</v>
      </c>
      <c r="AE41" s="3100" t="s">
        <v>35</v>
      </c>
      <c r="AF41" s="3100" t="s">
        <v>35</v>
      </c>
      <c r="AG41" s="3102"/>
      <c r="AH41" s="189"/>
      <c r="AI41" s="190"/>
    </row>
    <row r="42" spans="1:38" ht="22.15" customHeight="1" thickBot="1" x14ac:dyDescent="0.25">
      <c r="A42" s="3094">
        <v>12</v>
      </c>
      <c r="B42" s="3103" t="s">
        <v>76</v>
      </c>
      <c r="C42" s="3096">
        <v>1</v>
      </c>
      <c r="D42" s="3098">
        <v>1</v>
      </c>
      <c r="E42" s="3096"/>
      <c r="F42" s="3096"/>
      <c r="G42" s="3096">
        <v>9</v>
      </c>
      <c r="H42" s="3096">
        <v>9</v>
      </c>
      <c r="I42" s="3096">
        <v>9</v>
      </c>
      <c r="J42" s="3096">
        <v>9</v>
      </c>
      <c r="K42" s="3049">
        <v>9</v>
      </c>
      <c r="L42" s="3096" t="s">
        <v>66</v>
      </c>
      <c r="M42" s="3096" t="s">
        <v>67</v>
      </c>
      <c r="N42" s="3096" t="s">
        <v>35</v>
      </c>
      <c r="O42" s="3096" t="s">
        <v>35</v>
      </c>
      <c r="P42" s="3096" t="s">
        <v>35</v>
      </c>
      <c r="Q42" s="3049" t="s">
        <v>35</v>
      </c>
      <c r="R42" s="3096" t="s">
        <v>35</v>
      </c>
      <c r="S42" s="3096" t="s">
        <v>68</v>
      </c>
      <c r="T42" s="3096" t="s">
        <v>69</v>
      </c>
      <c r="U42" s="3098">
        <v>6</v>
      </c>
      <c r="V42" s="3098">
        <v>6</v>
      </c>
      <c r="W42" s="3098">
        <v>6</v>
      </c>
      <c r="X42" s="3096">
        <v>6</v>
      </c>
      <c r="Y42" s="3096">
        <v>6</v>
      </c>
      <c r="Z42" s="3096"/>
      <c r="AA42" s="3096"/>
      <c r="AB42" s="3096" t="s">
        <v>35</v>
      </c>
      <c r="AC42" s="3049" t="s">
        <v>35</v>
      </c>
      <c r="AD42" s="3049" t="s">
        <v>35</v>
      </c>
      <c r="AE42" s="3049" t="s">
        <v>35</v>
      </c>
      <c r="AF42" s="3049" t="s">
        <v>35</v>
      </c>
      <c r="AG42" s="3050"/>
      <c r="AH42" s="189"/>
      <c r="AI42" s="190"/>
    </row>
    <row r="43" spans="1:38" ht="22.15" customHeight="1" x14ac:dyDescent="0.2">
      <c r="A43" s="475">
        <v>3</v>
      </c>
      <c r="B43" s="479" t="s">
        <v>77</v>
      </c>
      <c r="C43" s="480">
        <v>10</v>
      </c>
      <c r="D43" s="459">
        <v>10</v>
      </c>
      <c r="E43" s="477" t="s">
        <v>67</v>
      </c>
      <c r="F43" s="477" t="s">
        <v>67</v>
      </c>
      <c r="G43" s="477" t="s">
        <v>35</v>
      </c>
      <c r="H43" s="477" t="s">
        <v>35</v>
      </c>
      <c r="I43" s="477" t="s">
        <v>35</v>
      </c>
      <c r="J43" s="459" t="s">
        <v>35</v>
      </c>
      <c r="K43" s="459" t="s">
        <v>35</v>
      </c>
      <c r="L43" s="459" t="s">
        <v>71</v>
      </c>
      <c r="M43" s="459" t="s">
        <v>71</v>
      </c>
      <c r="N43" s="459">
        <v>7</v>
      </c>
      <c r="O43" s="459">
        <v>7</v>
      </c>
      <c r="P43" s="459">
        <v>7</v>
      </c>
      <c r="Q43" s="459">
        <v>7</v>
      </c>
      <c r="R43" s="477">
        <v>7</v>
      </c>
      <c r="S43" s="477"/>
      <c r="T43" s="477"/>
      <c r="U43" s="477">
        <v>4</v>
      </c>
      <c r="V43" s="459">
        <v>4</v>
      </c>
      <c r="W43" s="459">
        <v>4</v>
      </c>
      <c r="X43" s="458">
        <v>4</v>
      </c>
      <c r="Y43" s="477">
        <v>4</v>
      </c>
      <c r="Z43" s="477"/>
      <c r="AA43" s="477"/>
      <c r="AB43" s="477">
        <v>3</v>
      </c>
      <c r="AC43" s="482">
        <v>3</v>
      </c>
      <c r="AD43" s="477">
        <v>3</v>
      </c>
      <c r="AE43" s="477">
        <v>3</v>
      </c>
      <c r="AF43" s="477">
        <v>3</v>
      </c>
      <c r="AG43" s="478"/>
      <c r="AH43" s="189"/>
      <c r="AI43" s="190"/>
    </row>
    <row r="44" spans="1:38" ht="22.15" customHeight="1" x14ac:dyDescent="0.2">
      <c r="A44" s="3092">
        <v>8</v>
      </c>
      <c r="B44" s="3063" t="s">
        <v>111</v>
      </c>
      <c r="C44" s="3060">
        <v>11</v>
      </c>
      <c r="D44" s="3060">
        <v>11</v>
      </c>
      <c r="E44" s="3060" t="s">
        <v>73</v>
      </c>
      <c r="F44" s="3060" t="s">
        <v>73</v>
      </c>
      <c r="G44" s="3060" t="s">
        <v>35</v>
      </c>
      <c r="H44" s="3060" t="s">
        <v>35</v>
      </c>
      <c r="I44" s="3100" t="s">
        <v>35</v>
      </c>
      <c r="J44" s="3059" t="s">
        <v>35</v>
      </c>
      <c r="K44" s="3056" t="s">
        <v>35</v>
      </c>
      <c r="L44" s="3056" t="s">
        <v>69</v>
      </c>
      <c r="M44" s="3056" t="s">
        <v>69</v>
      </c>
      <c r="N44" s="3060">
        <v>8</v>
      </c>
      <c r="O44" s="3100">
        <v>8</v>
      </c>
      <c r="P44" s="3100">
        <v>8</v>
      </c>
      <c r="Q44" s="3100">
        <v>8</v>
      </c>
      <c r="R44" s="3100">
        <v>8</v>
      </c>
      <c r="S44" s="3100"/>
      <c r="T44" s="3100"/>
      <c r="U44" s="3100" t="s">
        <v>35</v>
      </c>
      <c r="V44" s="3100" t="s">
        <v>35</v>
      </c>
      <c r="W44" s="3100" t="s">
        <v>35</v>
      </c>
      <c r="X44" s="3059" t="s">
        <v>35</v>
      </c>
      <c r="Y44" s="3100" t="s">
        <v>35</v>
      </c>
      <c r="Z44" s="3100"/>
      <c r="AA44" s="3100"/>
      <c r="AB44" s="3100">
        <v>1</v>
      </c>
      <c r="AC44" s="3100">
        <v>1</v>
      </c>
      <c r="AD44" s="3060">
        <v>1</v>
      </c>
      <c r="AE44" s="3060">
        <v>1</v>
      </c>
      <c r="AF44" s="3061">
        <v>1</v>
      </c>
      <c r="AG44" s="3102"/>
      <c r="AH44" s="189"/>
      <c r="AI44" s="190"/>
    </row>
    <row r="45" spans="1:38" ht="22.15" customHeight="1" thickBot="1" x14ac:dyDescent="0.25">
      <c r="A45" s="3094">
        <v>13</v>
      </c>
      <c r="B45" s="3095" t="s">
        <v>79</v>
      </c>
      <c r="C45" s="3049">
        <v>9</v>
      </c>
      <c r="D45" s="3049">
        <v>9</v>
      </c>
      <c r="E45" s="3096" t="s">
        <v>66</v>
      </c>
      <c r="F45" s="3096" t="s">
        <v>67</v>
      </c>
      <c r="G45" s="3096" t="s">
        <v>35</v>
      </c>
      <c r="H45" s="3096" t="s">
        <v>35</v>
      </c>
      <c r="I45" s="3096" t="s">
        <v>35</v>
      </c>
      <c r="J45" s="3049" t="s">
        <v>35</v>
      </c>
      <c r="K45" s="3096" t="s">
        <v>35</v>
      </c>
      <c r="L45" s="3098" t="s">
        <v>68</v>
      </c>
      <c r="M45" s="3096" t="s">
        <v>69</v>
      </c>
      <c r="N45" s="3098">
        <v>6</v>
      </c>
      <c r="O45" s="3098">
        <v>6</v>
      </c>
      <c r="P45" s="3098">
        <v>6</v>
      </c>
      <c r="Q45" s="3096">
        <v>6</v>
      </c>
      <c r="R45" s="3096">
        <v>6</v>
      </c>
      <c r="S45" s="3096"/>
      <c r="T45" s="3096"/>
      <c r="U45" s="3096" t="s">
        <v>35</v>
      </c>
      <c r="V45" s="3096" t="s">
        <v>35</v>
      </c>
      <c r="W45" s="3096" t="s">
        <v>35</v>
      </c>
      <c r="X45" s="3096" t="s">
        <v>35</v>
      </c>
      <c r="Y45" s="3049" t="s">
        <v>35</v>
      </c>
      <c r="Z45" s="3096"/>
      <c r="AA45" s="3096"/>
      <c r="AB45" s="3104">
        <v>5</v>
      </c>
      <c r="AC45" s="3104">
        <v>5</v>
      </c>
      <c r="AD45" s="3104">
        <v>5</v>
      </c>
      <c r="AE45" s="3104">
        <v>5</v>
      </c>
      <c r="AF45" s="3096"/>
      <c r="AG45" s="3099"/>
      <c r="AH45" s="189"/>
      <c r="AI45" s="190"/>
    </row>
    <row r="46" spans="1:38" ht="22.15" customHeight="1" x14ac:dyDescent="0.2">
      <c r="A46" s="475">
        <v>4</v>
      </c>
      <c r="B46" s="476" t="s">
        <v>403</v>
      </c>
      <c r="C46" s="459" t="s">
        <v>35</v>
      </c>
      <c r="D46" s="459" t="s">
        <v>35</v>
      </c>
      <c r="E46" s="477" t="s">
        <v>71</v>
      </c>
      <c r="F46" s="458" t="s">
        <v>71</v>
      </c>
      <c r="G46" s="458">
        <v>7</v>
      </c>
      <c r="H46" s="458">
        <v>7</v>
      </c>
      <c r="I46" s="458">
        <v>7</v>
      </c>
      <c r="J46" s="458">
        <v>7</v>
      </c>
      <c r="K46" s="458">
        <v>7</v>
      </c>
      <c r="L46" s="458"/>
      <c r="M46" s="458"/>
      <c r="N46" s="458">
        <v>4</v>
      </c>
      <c r="O46" s="458">
        <v>4</v>
      </c>
      <c r="P46" s="458">
        <v>4</v>
      </c>
      <c r="Q46" s="458">
        <v>4</v>
      </c>
      <c r="R46" s="458">
        <v>4</v>
      </c>
      <c r="S46" s="458"/>
      <c r="T46" s="477"/>
      <c r="U46" s="477">
        <v>3</v>
      </c>
      <c r="V46" s="482">
        <v>3</v>
      </c>
      <c r="W46" s="477">
        <v>3</v>
      </c>
      <c r="X46" s="477">
        <v>3</v>
      </c>
      <c r="Y46" s="458">
        <v>3</v>
      </c>
      <c r="Z46" s="477"/>
      <c r="AA46" s="477"/>
      <c r="AB46" s="477">
        <v>11</v>
      </c>
      <c r="AC46" s="477">
        <v>11</v>
      </c>
      <c r="AD46" s="477">
        <v>11</v>
      </c>
      <c r="AE46" s="459">
        <v>11</v>
      </c>
      <c r="AF46" s="477">
        <v>11</v>
      </c>
      <c r="AG46" s="478"/>
      <c r="AH46" s="189"/>
      <c r="AI46" s="190"/>
    </row>
    <row r="47" spans="1:38" ht="22.15" customHeight="1" x14ac:dyDescent="0.2">
      <c r="A47" s="3092">
        <v>9</v>
      </c>
      <c r="B47" s="3063" t="s">
        <v>84</v>
      </c>
      <c r="C47" s="3059" t="s">
        <v>35</v>
      </c>
      <c r="D47" s="3100" t="s">
        <v>35</v>
      </c>
      <c r="E47" s="3100" t="s">
        <v>69</v>
      </c>
      <c r="F47" s="3100" t="s">
        <v>69</v>
      </c>
      <c r="G47" s="3100">
        <v>8</v>
      </c>
      <c r="H47" s="3100">
        <v>8</v>
      </c>
      <c r="I47" s="3100">
        <v>8</v>
      </c>
      <c r="J47" s="3100">
        <v>8</v>
      </c>
      <c r="K47" s="3100">
        <v>8</v>
      </c>
      <c r="L47" s="3100"/>
      <c r="M47" s="3100"/>
      <c r="N47" s="3100" t="s">
        <v>35</v>
      </c>
      <c r="O47" s="3100" t="s">
        <v>35</v>
      </c>
      <c r="P47" s="3100" t="s">
        <v>35</v>
      </c>
      <c r="Q47" s="3059" t="s">
        <v>35</v>
      </c>
      <c r="R47" s="3100" t="s">
        <v>35</v>
      </c>
      <c r="S47" s="3100"/>
      <c r="T47" s="3100"/>
      <c r="U47" s="3100">
        <v>1</v>
      </c>
      <c r="V47" s="3100">
        <v>1</v>
      </c>
      <c r="W47" s="3100">
        <v>1</v>
      </c>
      <c r="X47" s="3100">
        <v>1</v>
      </c>
      <c r="Y47" s="3100">
        <v>1</v>
      </c>
      <c r="Z47" s="3100"/>
      <c r="AA47" s="3100"/>
      <c r="AB47" s="3100">
        <v>9</v>
      </c>
      <c r="AC47" s="3100">
        <v>9</v>
      </c>
      <c r="AD47" s="3100">
        <v>9</v>
      </c>
      <c r="AE47" s="3100">
        <v>9</v>
      </c>
      <c r="AF47" s="3100">
        <v>9</v>
      </c>
      <c r="AG47" s="3102"/>
      <c r="AH47" s="189"/>
      <c r="AI47" s="190"/>
    </row>
    <row r="48" spans="1:38" ht="22.15" customHeight="1" thickBot="1" x14ac:dyDescent="0.25">
      <c r="A48" s="3094">
        <v>14</v>
      </c>
      <c r="B48" s="3095" t="s">
        <v>85</v>
      </c>
      <c r="C48" s="3049" t="s">
        <v>35</v>
      </c>
      <c r="D48" s="3096" t="s">
        <v>35</v>
      </c>
      <c r="E48" s="3096" t="s">
        <v>68</v>
      </c>
      <c r="F48" s="3096" t="s">
        <v>69</v>
      </c>
      <c r="G48" s="3098">
        <v>6</v>
      </c>
      <c r="H48" s="3098">
        <v>6</v>
      </c>
      <c r="I48" s="3098">
        <v>6</v>
      </c>
      <c r="J48" s="3096">
        <v>6</v>
      </c>
      <c r="K48" s="3096">
        <v>6</v>
      </c>
      <c r="L48" s="3096"/>
      <c r="M48" s="3096"/>
      <c r="N48" s="3096" t="s">
        <v>35</v>
      </c>
      <c r="O48" s="3049" t="s">
        <v>35</v>
      </c>
      <c r="P48" s="3096" t="s">
        <v>35</v>
      </c>
      <c r="Q48" s="3096" t="s">
        <v>35</v>
      </c>
      <c r="R48" s="3049" t="s">
        <v>35</v>
      </c>
      <c r="S48" s="3096"/>
      <c r="T48" s="3096"/>
      <c r="U48" s="3104">
        <v>5</v>
      </c>
      <c r="V48" s="3104">
        <v>5</v>
      </c>
      <c r="W48" s="3104">
        <v>5</v>
      </c>
      <c r="X48" s="3104">
        <v>5</v>
      </c>
      <c r="Y48" s="3104">
        <v>5</v>
      </c>
      <c r="Z48" s="3104"/>
      <c r="AA48" s="3104"/>
      <c r="AB48" s="3096">
        <v>10</v>
      </c>
      <c r="AC48" s="3049">
        <v>10</v>
      </c>
      <c r="AD48" s="3096">
        <v>10</v>
      </c>
      <c r="AE48" s="3096">
        <v>10</v>
      </c>
      <c r="AF48" s="3049">
        <v>10</v>
      </c>
      <c r="AG48" s="3050"/>
      <c r="AH48" s="189"/>
      <c r="AI48" s="190"/>
    </row>
    <row r="49" spans="1:35" ht="22.15" customHeight="1" x14ac:dyDescent="0.2">
      <c r="A49" s="475">
        <v>5</v>
      </c>
      <c r="B49" s="3063" t="s">
        <v>86</v>
      </c>
      <c r="C49" s="459">
        <v>7</v>
      </c>
      <c r="D49" s="477">
        <v>7</v>
      </c>
      <c r="E49" s="477"/>
      <c r="F49" s="459"/>
      <c r="G49" s="459">
        <v>4</v>
      </c>
      <c r="H49" s="459">
        <v>4</v>
      </c>
      <c r="I49" s="459">
        <v>4</v>
      </c>
      <c r="J49" s="459">
        <v>4</v>
      </c>
      <c r="K49" s="477">
        <v>4</v>
      </c>
      <c r="L49" s="477"/>
      <c r="M49" s="477"/>
      <c r="N49" s="477">
        <v>3</v>
      </c>
      <c r="O49" s="458">
        <v>3</v>
      </c>
      <c r="P49" s="477">
        <v>3</v>
      </c>
      <c r="Q49" s="477">
        <v>3</v>
      </c>
      <c r="R49" s="458">
        <v>3</v>
      </c>
      <c r="S49" s="477"/>
      <c r="T49" s="477"/>
      <c r="U49" s="459">
        <v>11</v>
      </c>
      <c r="V49" s="459">
        <v>11</v>
      </c>
      <c r="W49" s="459">
        <v>11</v>
      </c>
      <c r="X49" s="459">
        <v>11</v>
      </c>
      <c r="Y49" s="460">
        <v>11</v>
      </c>
      <c r="Z49" s="459" t="s">
        <v>73</v>
      </c>
      <c r="AA49" s="459" t="s">
        <v>73</v>
      </c>
      <c r="AB49" s="459" t="s">
        <v>35</v>
      </c>
      <c r="AC49" s="459" t="s">
        <v>35</v>
      </c>
      <c r="AD49" s="477" t="s">
        <v>35</v>
      </c>
      <c r="AE49" s="477" t="s">
        <v>35</v>
      </c>
      <c r="AF49" s="480" t="s">
        <v>35</v>
      </c>
      <c r="AG49" s="486"/>
      <c r="AH49" s="189"/>
      <c r="AI49" s="190"/>
    </row>
    <row r="50" spans="1:35" ht="22.15" customHeight="1" x14ac:dyDescent="0.2">
      <c r="A50" s="3092">
        <v>10</v>
      </c>
      <c r="B50" s="3063" t="s">
        <v>87</v>
      </c>
      <c r="C50" s="3100">
        <v>8</v>
      </c>
      <c r="D50" s="3100">
        <v>8</v>
      </c>
      <c r="E50" s="3100"/>
      <c r="F50" s="3060"/>
      <c r="G50" s="3056" t="s">
        <v>35</v>
      </c>
      <c r="H50" s="3056" t="s">
        <v>35</v>
      </c>
      <c r="I50" s="3056" t="s">
        <v>35</v>
      </c>
      <c r="J50" s="3056" t="s">
        <v>35</v>
      </c>
      <c r="K50" s="3056" t="s">
        <v>35</v>
      </c>
      <c r="L50" s="3056"/>
      <c r="M50" s="3056"/>
      <c r="N50" s="3056">
        <v>1</v>
      </c>
      <c r="O50" s="3056">
        <v>1</v>
      </c>
      <c r="P50" s="3056">
        <v>1</v>
      </c>
      <c r="Q50" s="3056">
        <v>1</v>
      </c>
      <c r="R50" s="3056">
        <v>1</v>
      </c>
      <c r="S50" s="3056"/>
      <c r="T50" s="3056"/>
      <c r="U50" s="3056">
        <v>9</v>
      </c>
      <c r="V50" s="3056">
        <v>9</v>
      </c>
      <c r="W50" s="3060">
        <v>9</v>
      </c>
      <c r="X50" s="3100">
        <v>9</v>
      </c>
      <c r="Y50" s="3059">
        <v>9</v>
      </c>
      <c r="Z50" s="3100" t="s">
        <v>66</v>
      </c>
      <c r="AA50" s="3100" t="s">
        <v>67</v>
      </c>
      <c r="AB50" s="3100" t="s">
        <v>35</v>
      </c>
      <c r="AC50" s="3100" t="s">
        <v>35</v>
      </c>
      <c r="AD50" s="3100" t="s">
        <v>35</v>
      </c>
      <c r="AE50" s="3100" t="s">
        <v>35</v>
      </c>
      <c r="AF50" s="3100" t="s">
        <v>35</v>
      </c>
      <c r="AG50" s="3102"/>
      <c r="AH50" s="189"/>
      <c r="AI50" s="190"/>
    </row>
    <row r="51" spans="1:35" ht="22.15" customHeight="1" thickBot="1" x14ac:dyDescent="0.25">
      <c r="A51" s="3094">
        <v>15</v>
      </c>
      <c r="B51" s="3095" t="s">
        <v>88</v>
      </c>
      <c r="C51" s="3096">
        <v>6</v>
      </c>
      <c r="D51" s="3096">
        <v>6</v>
      </c>
      <c r="E51" s="3096"/>
      <c r="F51" s="3098"/>
      <c r="G51" s="3098" t="s">
        <v>35</v>
      </c>
      <c r="H51" s="3098" t="s">
        <v>35</v>
      </c>
      <c r="I51" s="3098" t="s">
        <v>35</v>
      </c>
      <c r="J51" s="3098" t="s">
        <v>35</v>
      </c>
      <c r="K51" s="3049" t="s">
        <v>35</v>
      </c>
      <c r="L51" s="3096"/>
      <c r="M51" s="3096"/>
      <c r="N51" s="3104">
        <v>5</v>
      </c>
      <c r="O51" s="3104">
        <v>5</v>
      </c>
      <c r="P51" s="3104">
        <v>5</v>
      </c>
      <c r="Q51" s="3104">
        <v>5</v>
      </c>
      <c r="R51" s="3104">
        <v>5</v>
      </c>
      <c r="S51" s="3104"/>
      <c r="T51" s="3104"/>
      <c r="U51" s="3096">
        <v>10</v>
      </c>
      <c r="V51" s="3096">
        <v>10</v>
      </c>
      <c r="W51" s="3096">
        <v>10</v>
      </c>
      <c r="X51" s="3096">
        <v>10</v>
      </c>
      <c r="Y51" s="3049">
        <v>10</v>
      </c>
      <c r="Z51" s="3096" t="s">
        <v>67</v>
      </c>
      <c r="AA51" s="3096" t="s">
        <v>67</v>
      </c>
      <c r="AB51" s="3096" t="s">
        <v>35</v>
      </c>
      <c r="AC51" s="3096" t="s">
        <v>35</v>
      </c>
      <c r="AD51" s="3096" t="s">
        <v>35</v>
      </c>
      <c r="AE51" s="3049" t="s">
        <v>35</v>
      </c>
      <c r="AF51" s="3098" t="s">
        <v>35</v>
      </c>
      <c r="AG51" s="3105"/>
      <c r="AH51" s="189"/>
      <c r="AI51" s="190"/>
    </row>
    <row r="52" spans="1:35" ht="22.1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35" ht="22.15" customHeight="1" x14ac:dyDescent="0.2">
      <c r="A53" s="109"/>
      <c r="B53" s="64" t="s">
        <v>89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35" ht="22.15" customHeight="1" x14ac:dyDescent="0.2">
      <c r="A54" s="3106" t="s">
        <v>28</v>
      </c>
      <c r="B54" s="3106"/>
      <c r="C54" s="3107"/>
      <c r="D54" s="3106" t="s">
        <v>90</v>
      </c>
      <c r="E54" s="3108"/>
      <c r="F54" s="3107"/>
      <c r="G54" s="3106" t="s">
        <v>91</v>
      </c>
      <c r="H54" s="3108"/>
      <c r="I54" s="3107"/>
      <c r="J54" s="3106" t="s">
        <v>92</v>
      </c>
      <c r="K54" s="3108"/>
      <c r="L54" s="3107"/>
      <c r="M54" s="3106" t="s">
        <v>93</v>
      </c>
      <c r="N54" s="3108"/>
      <c r="O54" s="3107"/>
      <c r="P54" s="3106" t="s">
        <v>94</v>
      </c>
      <c r="Q54" s="3108"/>
      <c r="R54" s="3109"/>
      <c r="S54" s="3110" t="s">
        <v>95</v>
      </c>
      <c r="T54" s="3108"/>
      <c r="U54" s="3107"/>
      <c r="V54" s="3106" t="s">
        <v>96</v>
      </c>
      <c r="W54" s="3108"/>
      <c r="X54" s="3111" t="s">
        <v>97</v>
      </c>
      <c r="Y54" s="3108"/>
      <c r="Z54" s="3108"/>
      <c r="AA54" s="3112"/>
      <c r="AB54" s="3032"/>
      <c r="AC54" s="3032"/>
      <c r="AD54" s="3032"/>
      <c r="AE54" s="3032"/>
      <c r="AF54" s="3032"/>
      <c r="AG54" s="3033"/>
      <c r="AH54" s="1"/>
    </row>
    <row r="55" spans="1:35" ht="22.15" customHeight="1" x14ac:dyDescent="0.2">
      <c r="A55" s="3113">
        <v>8517</v>
      </c>
      <c r="B55" s="3114" t="s">
        <v>98</v>
      </c>
      <c r="C55" s="3115" t="s">
        <v>99</v>
      </c>
      <c r="D55" s="3116"/>
      <c r="E55" s="3031"/>
      <c r="F55" s="3115" t="s">
        <v>99</v>
      </c>
      <c r="G55" s="3116"/>
      <c r="H55" s="3031"/>
      <c r="I55" s="3115" t="s">
        <v>99</v>
      </c>
      <c r="J55" s="3116"/>
      <c r="K55" s="3031"/>
      <c r="L55" s="3115" t="s">
        <v>99</v>
      </c>
      <c r="M55" s="3116"/>
      <c r="N55" s="3031"/>
      <c r="O55" s="3115" t="s">
        <v>100</v>
      </c>
      <c r="P55" s="3116"/>
      <c r="Q55" s="3031"/>
      <c r="R55" s="3115" t="s">
        <v>99</v>
      </c>
      <c r="S55" s="3116"/>
      <c r="T55" s="3031"/>
      <c r="U55" s="3115" t="s">
        <v>99</v>
      </c>
      <c r="V55" s="3116"/>
      <c r="W55" s="3031"/>
      <c r="X55" s="3029"/>
      <c r="Y55" s="3032"/>
      <c r="Z55" s="3032"/>
      <c r="AA55" s="3032"/>
      <c r="AB55" s="3032"/>
      <c r="AC55" s="3032"/>
      <c r="AD55" s="3032"/>
      <c r="AE55" s="3032"/>
      <c r="AF55" s="3032"/>
      <c r="AG55" s="3033"/>
      <c r="AH55" s="1"/>
    </row>
    <row r="56" spans="1:35" ht="22.15" customHeight="1" x14ac:dyDescent="0.2">
      <c r="B56" s="3054" t="s">
        <v>101</v>
      </c>
      <c r="C56" s="3117" t="s">
        <v>102</v>
      </c>
      <c r="D56" s="3118"/>
      <c r="E56" s="3119"/>
      <c r="F56" s="3117" t="s">
        <v>102</v>
      </c>
      <c r="G56" s="3120"/>
      <c r="H56" s="3119"/>
      <c r="I56" s="3115" t="s">
        <v>102</v>
      </c>
      <c r="J56" s="3116"/>
      <c r="K56" s="3121"/>
      <c r="L56" s="3115" t="s">
        <v>102</v>
      </c>
      <c r="M56" s="3116"/>
      <c r="N56" s="3121"/>
      <c r="O56" s="3115" t="s">
        <v>103</v>
      </c>
      <c r="P56" s="3116"/>
      <c r="Q56" s="3031"/>
      <c r="R56" s="3122" t="s">
        <v>0</v>
      </c>
      <c r="S56" s="3116"/>
      <c r="T56" s="3121"/>
      <c r="U56" s="3116" t="s">
        <v>0</v>
      </c>
      <c r="V56" s="3116"/>
      <c r="W56" s="3031"/>
      <c r="X56" s="2798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35" ht="22.15" customHeight="1" x14ac:dyDescent="0.2">
      <c r="A57" s="3123"/>
      <c r="B57" s="3114" t="s">
        <v>104</v>
      </c>
      <c r="C57" s="3115" t="s">
        <v>105</v>
      </c>
      <c r="D57" s="3116"/>
      <c r="E57" s="3031"/>
      <c r="F57" s="3115" t="s">
        <v>105</v>
      </c>
      <c r="G57" s="3116"/>
      <c r="H57" s="3121"/>
      <c r="I57" s="3115" t="s">
        <v>105</v>
      </c>
      <c r="J57" s="3116"/>
      <c r="K57" s="3121"/>
      <c r="L57" s="3115" t="s">
        <v>105</v>
      </c>
      <c r="M57" s="3116"/>
      <c r="N57" s="3121"/>
      <c r="O57" s="3115" t="s">
        <v>106</v>
      </c>
      <c r="P57" s="3116"/>
      <c r="Q57" s="3031"/>
      <c r="R57" s="112"/>
      <c r="S57" s="113"/>
      <c r="T57" s="3121"/>
      <c r="U57" s="3116"/>
      <c r="V57" s="3116"/>
      <c r="W57" s="3031"/>
      <c r="X57" s="3029"/>
      <c r="Y57" s="3032"/>
      <c r="Z57" s="3032"/>
      <c r="AA57" s="3032"/>
      <c r="AB57" s="3032"/>
      <c r="AC57" s="3032"/>
      <c r="AD57" s="3032"/>
      <c r="AE57" s="3032"/>
      <c r="AF57" s="3032"/>
      <c r="AG57" s="3033"/>
      <c r="AH57" s="1"/>
    </row>
    <row r="58" spans="1:35" ht="22.15" customHeight="1" x14ac:dyDescent="0.2">
      <c r="A58" s="3106"/>
      <c r="B58" s="3054" t="s">
        <v>107</v>
      </c>
      <c r="C58" s="3124" t="s">
        <v>108</v>
      </c>
      <c r="D58" s="3124"/>
      <c r="E58" s="3125"/>
      <c r="F58" s="3124" t="s">
        <v>108</v>
      </c>
      <c r="G58" s="3124"/>
      <c r="H58" s="3125"/>
      <c r="I58" s="3124" t="s">
        <v>108</v>
      </c>
      <c r="J58" s="3124"/>
      <c r="K58" s="3125"/>
      <c r="L58" s="3124" t="s">
        <v>108</v>
      </c>
      <c r="M58" s="3124"/>
      <c r="N58" s="3125"/>
      <c r="O58" s="3124" t="s">
        <v>108</v>
      </c>
      <c r="P58" s="3124"/>
      <c r="Q58" s="3125"/>
      <c r="R58" s="3124" t="s">
        <v>108</v>
      </c>
      <c r="S58" s="3124"/>
      <c r="T58" s="3125"/>
      <c r="U58" s="3124" t="s">
        <v>108</v>
      </c>
      <c r="V58" s="3124"/>
      <c r="W58" s="3125"/>
      <c r="X58" s="3029"/>
      <c r="Y58" s="3032"/>
      <c r="Z58" s="3032"/>
      <c r="AA58" s="3032"/>
      <c r="AB58" s="3032"/>
      <c r="AC58" s="3032"/>
      <c r="AD58" s="3032"/>
      <c r="AE58" s="3032"/>
      <c r="AF58" s="3032"/>
      <c r="AG58" s="3033"/>
      <c r="AH58" s="1"/>
    </row>
    <row r="59" spans="1:35" ht="22.1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35" ht="22.15" customHeight="1" thickBot="1" x14ac:dyDescent="0.25">
      <c r="A60" s="3126"/>
      <c r="B60" s="3047" t="s">
        <v>29</v>
      </c>
      <c r="C60" s="3048">
        <v>1</v>
      </c>
      <c r="D60" s="3048">
        <v>2</v>
      </c>
      <c r="E60" s="3048">
        <v>3</v>
      </c>
      <c r="F60" s="3048">
        <v>4</v>
      </c>
      <c r="G60" s="3048">
        <v>5</v>
      </c>
      <c r="H60" s="3049">
        <v>6</v>
      </c>
      <c r="I60" s="3049">
        <v>7</v>
      </c>
      <c r="J60" s="3049">
        <v>8</v>
      </c>
      <c r="K60" s="3049">
        <v>9</v>
      </c>
      <c r="L60" s="3048">
        <v>10</v>
      </c>
      <c r="M60" s="3048">
        <v>11</v>
      </c>
      <c r="N60" s="3049">
        <v>12</v>
      </c>
      <c r="O60" s="3049">
        <v>13</v>
      </c>
      <c r="P60" s="3049">
        <v>14</v>
      </c>
      <c r="Q60" s="3049">
        <v>15</v>
      </c>
      <c r="R60" s="3049">
        <v>16</v>
      </c>
      <c r="S60" s="3048">
        <v>17</v>
      </c>
      <c r="T60" s="3048">
        <v>18</v>
      </c>
      <c r="U60" s="3049">
        <v>19</v>
      </c>
      <c r="V60" s="3049">
        <v>20</v>
      </c>
      <c r="W60" s="3049">
        <v>21</v>
      </c>
      <c r="X60" s="3049">
        <v>22</v>
      </c>
      <c r="Y60" s="3049">
        <v>23</v>
      </c>
      <c r="Z60" s="3048">
        <v>24</v>
      </c>
      <c r="AA60" s="3048">
        <v>25</v>
      </c>
      <c r="AB60" s="3049">
        <v>26</v>
      </c>
      <c r="AC60" s="3049">
        <v>27</v>
      </c>
      <c r="AD60" s="3049">
        <v>28</v>
      </c>
      <c r="AE60" s="3049">
        <v>29</v>
      </c>
      <c r="AF60" s="3048">
        <v>30</v>
      </c>
      <c r="AG60" s="3050"/>
      <c r="AH60" s="1"/>
    </row>
    <row r="61" spans="1:35" ht="22.15" customHeight="1" x14ac:dyDescent="0.2">
      <c r="A61" s="252"/>
      <c r="B61" s="265" t="s">
        <v>109</v>
      </c>
      <c r="C61" s="271"/>
      <c r="D61" s="271"/>
      <c r="E61" s="271"/>
      <c r="F61" s="266"/>
      <c r="G61" s="271"/>
      <c r="H61" s="271" t="s">
        <v>31</v>
      </c>
      <c r="I61" s="271" t="s">
        <v>31</v>
      </c>
      <c r="J61" s="271" t="s">
        <v>31</v>
      </c>
      <c r="K61" s="271" t="s">
        <v>31</v>
      </c>
      <c r="L61" s="271"/>
      <c r="M61" s="271"/>
      <c r="N61" s="272" t="s">
        <v>31</v>
      </c>
      <c r="O61" s="272" t="s">
        <v>31</v>
      </c>
      <c r="P61" s="272" t="s">
        <v>31</v>
      </c>
      <c r="Q61" s="267" t="s">
        <v>31</v>
      </c>
      <c r="R61" s="272" t="s">
        <v>31</v>
      </c>
      <c r="S61" s="271"/>
      <c r="T61" s="271"/>
      <c r="U61" s="272" t="s">
        <v>31</v>
      </c>
      <c r="V61" s="272" t="s">
        <v>31</v>
      </c>
      <c r="W61" s="272" t="s">
        <v>31</v>
      </c>
      <c r="X61" s="271" t="s">
        <v>31</v>
      </c>
      <c r="Y61" s="272" t="s">
        <v>31</v>
      </c>
      <c r="Z61" s="271"/>
      <c r="AA61" s="271"/>
      <c r="AB61" s="271" t="s">
        <v>31</v>
      </c>
      <c r="AC61" s="271" t="s">
        <v>31</v>
      </c>
      <c r="AD61" s="266" t="s">
        <v>31</v>
      </c>
      <c r="AE61" s="271" t="s">
        <v>31</v>
      </c>
      <c r="AF61" s="266"/>
      <c r="AG61" s="270"/>
      <c r="AH61" s="1"/>
    </row>
    <row r="62" spans="1:35" ht="22.15" customHeight="1" x14ac:dyDescent="0.2">
      <c r="A62" s="2803"/>
      <c r="B62" s="2766" t="s">
        <v>113</v>
      </c>
      <c r="C62" s="3059"/>
      <c r="D62" s="3059"/>
      <c r="E62" s="3059" t="s">
        <v>204</v>
      </c>
      <c r="F62" s="3127"/>
      <c r="G62" s="3127"/>
      <c r="H62" s="3127" t="s">
        <v>205</v>
      </c>
      <c r="I62" s="3127" t="s">
        <v>205</v>
      </c>
      <c r="J62" s="3127" t="s">
        <v>205</v>
      </c>
      <c r="K62" s="3127" t="s">
        <v>35</v>
      </c>
      <c r="L62" s="3127"/>
      <c r="M62" s="3127"/>
      <c r="N62" s="3127" t="s">
        <v>207</v>
      </c>
      <c r="O62" s="3127" t="s">
        <v>207</v>
      </c>
      <c r="P62" s="3127" t="s">
        <v>207</v>
      </c>
      <c r="Q62" s="3127" t="s">
        <v>207</v>
      </c>
      <c r="R62" s="3127" t="s">
        <v>207</v>
      </c>
      <c r="S62" s="3127"/>
      <c r="T62" s="3127"/>
      <c r="U62" s="3059" t="s">
        <v>204</v>
      </c>
      <c r="V62" s="3059" t="s">
        <v>204</v>
      </c>
      <c r="W62" s="3059" t="s">
        <v>204</v>
      </c>
      <c r="X62" s="3059" t="s">
        <v>204</v>
      </c>
      <c r="Y62" s="3059" t="s">
        <v>204</v>
      </c>
      <c r="Z62" s="3059" t="s">
        <v>204</v>
      </c>
      <c r="AA62" s="3128"/>
      <c r="AB62" s="3128" t="s">
        <v>205</v>
      </c>
      <c r="AC62" s="3128" t="s">
        <v>205</v>
      </c>
      <c r="AD62" s="3128" t="s">
        <v>205</v>
      </c>
      <c r="AE62" s="3128" t="s">
        <v>205</v>
      </c>
      <c r="AF62" s="3128" t="s">
        <v>35</v>
      </c>
      <c r="AG62" s="2138"/>
      <c r="AH62" s="1"/>
    </row>
    <row r="63" spans="1:35" ht="22.15" customHeight="1" x14ac:dyDescent="0.2">
      <c r="A63" s="2739"/>
      <c r="B63" s="2807" t="s">
        <v>114</v>
      </c>
      <c r="C63" s="2734" t="s">
        <v>31</v>
      </c>
      <c r="D63" s="2734" t="s">
        <v>31</v>
      </c>
      <c r="E63" s="2734" t="s">
        <v>31</v>
      </c>
      <c r="F63" s="2735" t="s">
        <v>31</v>
      </c>
      <c r="G63" s="2734" t="s">
        <v>31</v>
      </c>
      <c r="H63" s="2734"/>
      <c r="I63" s="2734"/>
      <c r="J63" s="2734" t="s">
        <v>31</v>
      </c>
      <c r="K63" s="2734" t="s">
        <v>31</v>
      </c>
      <c r="L63" s="2734" t="s">
        <v>31</v>
      </c>
      <c r="M63" s="2734" t="s">
        <v>31</v>
      </c>
      <c r="N63" s="3129" t="s">
        <v>31</v>
      </c>
      <c r="O63" s="3129"/>
      <c r="P63" s="3129"/>
      <c r="Q63" s="3130" t="s">
        <v>31</v>
      </c>
      <c r="R63" s="3129" t="s">
        <v>31</v>
      </c>
      <c r="S63" s="2808" t="s">
        <v>31</v>
      </c>
      <c r="T63" s="2808" t="s">
        <v>31</v>
      </c>
      <c r="U63" s="3129" t="s">
        <v>31</v>
      </c>
      <c r="V63" s="3129"/>
      <c r="W63" s="3129"/>
      <c r="X63" s="2808" t="s">
        <v>31</v>
      </c>
      <c r="Y63" s="3129" t="s">
        <v>31</v>
      </c>
      <c r="Z63" s="2808" t="s">
        <v>31</v>
      </c>
      <c r="AA63" s="2808" t="s">
        <v>31</v>
      </c>
      <c r="AB63" s="2734" t="s">
        <v>31</v>
      </c>
      <c r="AC63" s="2734"/>
      <c r="AD63" s="2735"/>
      <c r="AE63" s="2734" t="s">
        <v>31</v>
      </c>
      <c r="AF63" s="2735" t="s">
        <v>31</v>
      </c>
      <c r="AG63" s="2138" t="s">
        <v>31</v>
      </c>
      <c r="AH63" s="1"/>
    </row>
    <row r="64" spans="1:35" ht="22.15" customHeight="1" x14ac:dyDescent="0.2">
      <c r="A64" s="2766"/>
      <c r="B64" s="2766" t="s">
        <v>117</v>
      </c>
      <c r="C64" s="2734" t="s">
        <v>31</v>
      </c>
      <c r="D64" s="2734" t="s">
        <v>31</v>
      </c>
      <c r="E64" s="2734" t="s">
        <v>31</v>
      </c>
      <c r="F64" s="2735" t="s">
        <v>31</v>
      </c>
      <c r="G64" s="2734" t="s">
        <v>31</v>
      </c>
      <c r="H64" s="2734"/>
      <c r="I64" s="2734"/>
      <c r="J64" s="2734" t="s">
        <v>31</v>
      </c>
      <c r="K64" s="2734" t="s">
        <v>31</v>
      </c>
      <c r="L64" s="2734" t="s">
        <v>31</v>
      </c>
      <c r="M64" s="2734" t="s">
        <v>31</v>
      </c>
      <c r="N64" s="2740" t="s">
        <v>31</v>
      </c>
      <c r="O64" s="2740"/>
      <c r="P64" s="2740"/>
      <c r="Q64" s="2736" t="s">
        <v>31</v>
      </c>
      <c r="R64" s="2740" t="s">
        <v>31</v>
      </c>
      <c r="S64" s="2734" t="s">
        <v>31</v>
      </c>
      <c r="T64" s="2734" t="s">
        <v>31</v>
      </c>
      <c r="U64" s="2740" t="s">
        <v>31</v>
      </c>
      <c r="V64" s="2740"/>
      <c r="W64" s="2740"/>
      <c r="X64" s="2734" t="s">
        <v>31</v>
      </c>
      <c r="Y64" s="2740" t="s">
        <v>31</v>
      </c>
      <c r="Z64" s="2734" t="s">
        <v>31</v>
      </c>
      <c r="AA64" s="2734" t="s">
        <v>31</v>
      </c>
      <c r="AB64" s="2734" t="s">
        <v>31</v>
      </c>
      <c r="AC64" s="2734"/>
      <c r="AD64" s="2735"/>
      <c r="AE64" s="2734" t="s">
        <v>31</v>
      </c>
      <c r="AF64" s="2735" t="s">
        <v>31</v>
      </c>
      <c r="AG64" s="2138" t="s">
        <v>31</v>
      </c>
      <c r="AH64" s="1"/>
    </row>
    <row r="65" spans="1:34" ht="22.15" customHeight="1" x14ac:dyDescent="0.2">
      <c r="A65" s="2766"/>
      <c r="B65" s="2810" t="s">
        <v>404</v>
      </c>
      <c r="C65" s="2734" t="s">
        <v>31</v>
      </c>
      <c r="D65" s="2734" t="s">
        <v>31</v>
      </c>
      <c r="E65" s="2734" t="s">
        <v>31</v>
      </c>
      <c r="F65" s="2735" t="s">
        <v>31</v>
      </c>
      <c r="G65" s="2734" t="s">
        <v>31</v>
      </c>
      <c r="H65" s="2734"/>
      <c r="I65" s="2734"/>
      <c r="J65" s="2734" t="s">
        <v>31</v>
      </c>
      <c r="K65" s="2734" t="s">
        <v>31</v>
      </c>
      <c r="L65" s="2734" t="s">
        <v>31</v>
      </c>
      <c r="M65" s="2734" t="s">
        <v>31</v>
      </c>
      <c r="N65" s="2740" t="s">
        <v>31</v>
      </c>
      <c r="O65" s="2740"/>
      <c r="P65" s="2740"/>
      <c r="Q65" s="2736" t="s">
        <v>31</v>
      </c>
      <c r="R65" s="2740" t="s">
        <v>31</v>
      </c>
      <c r="S65" s="2734" t="s">
        <v>31</v>
      </c>
      <c r="T65" s="2734" t="s">
        <v>31</v>
      </c>
      <c r="U65" s="2740" t="s">
        <v>31</v>
      </c>
      <c r="V65" s="2740"/>
      <c r="W65" s="2740"/>
      <c r="X65" s="2734" t="s">
        <v>31</v>
      </c>
      <c r="Y65" s="2740" t="s">
        <v>31</v>
      </c>
      <c r="Z65" s="2734" t="s">
        <v>31</v>
      </c>
      <c r="AA65" s="2734" t="s">
        <v>31</v>
      </c>
      <c r="AB65" s="2734" t="s">
        <v>31</v>
      </c>
      <c r="AC65" s="2734"/>
      <c r="AD65" s="2735"/>
      <c r="AE65" s="2734" t="s">
        <v>31</v>
      </c>
      <c r="AF65" s="2735" t="s">
        <v>31</v>
      </c>
      <c r="AG65" s="2138" t="s">
        <v>31</v>
      </c>
      <c r="AH65" s="1"/>
    </row>
    <row r="66" spans="1:34" ht="22.15" customHeight="1" x14ac:dyDescent="0.2">
      <c r="A66" s="2766"/>
      <c r="B66" s="2807" t="s">
        <v>119</v>
      </c>
      <c r="C66" s="2734" t="s">
        <v>31</v>
      </c>
      <c r="D66" s="2734" t="s">
        <v>31</v>
      </c>
      <c r="E66" s="2734" t="s">
        <v>31</v>
      </c>
      <c r="F66" s="2735" t="s">
        <v>31</v>
      </c>
      <c r="G66" s="2734" t="s">
        <v>31</v>
      </c>
      <c r="H66" s="2734"/>
      <c r="I66" s="2734"/>
      <c r="J66" s="2734" t="s">
        <v>31</v>
      </c>
      <c r="K66" s="2734" t="s">
        <v>31</v>
      </c>
      <c r="L66" s="2734" t="s">
        <v>31</v>
      </c>
      <c r="M66" s="2734" t="s">
        <v>31</v>
      </c>
      <c r="N66" s="2740" t="s">
        <v>31</v>
      </c>
      <c r="O66" s="2740"/>
      <c r="P66" s="2740"/>
      <c r="Q66" s="2736" t="s">
        <v>31</v>
      </c>
      <c r="R66" s="2740" t="s">
        <v>31</v>
      </c>
      <c r="S66" s="2734" t="s">
        <v>31</v>
      </c>
      <c r="T66" s="2734" t="s">
        <v>31</v>
      </c>
      <c r="U66" s="2740" t="s">
        <v>31</v>
      </c>
      <c r="V66" s="2740"/>
      <c r="W66" s="2740"/>
      <c r="X66" s="2734" t="s">
        <v>31</v>
      </c>
      <c r="Y66" s="2740" t="s">
        <v>31</v>
      </c>
      <c r="Z66" s="2734" t="s">
        <v>31</v>
      </c>
      <c r="AA66" s="2734" t="s">
        <v>31</v>
      </c>
      <c r="AB66" s="2734" t="s">
        <v>31</v>
      </c>
      <c r="AC66" s="2734"/>
      <c r="AD66" s="2735"/>
      <c r="AE66" s="2734" t="s">
        <v>31</v>
      </c>
      <c r="AF66" s="2735" t="s">
        <v>31</v>
      </c>
      <c r="AG66" s="2138" t="s">
        <v>31</v>
      </c>
      <c r="AH66" s="1"/>
    </row>
    <row r="67" spans="1:34" ht="22.15" customHeight="1" x14ac:dyDescent="0.2">
      <c r="A67" s="2766"/>
      <c r="B67" s="2807" t="s">
        <v>120</v>
      </c>
      <c r="C67" s="2734" t="s">
        <v>31</v>
      </c>
      <c r="D67" s="2734" t="s">
        <v>31</v>
      </c>
      <c r="E67" s="2734" t="s">
        <v>31</v>
      </c>
      <c r="F67" s="2735" t="s">
        <v>31</v>
      </c>
      <c r="G67" s="2734" t="s">
        <v>31</v>
      </c>
      <c r="H67" s="2734"/>
      <c r="I67" s="2734"/>
      <c r="J67" s="2734" t="s">
        <v>31</v>
      </c>
      <c r="K67" s="2734" t="s">
        <v>31</v>
      </c>
      <c r="L67" s="2734" t="s">
        <v>31</v>
      </c>
      <c r="M67" s="2734" t="s">
        <v>31</v>
      </c>
      <c r="N67" s="2740" t="s">
        <v>31</v>
      </c>
      <c r="O67" s="2740"/>
      <c r="P67" s="2740"/>
      <c r="Q67" s="2736" t="s">
        <v>31</v>
      </c>
      <c r="R67" s="2740" t="s">
        <v>31</v>
      </c>
      <c r="S67" s="2734" t="s">
        <v>31</v>
      </c>
      <c r="T67" s="2734" t="s">
        <v>31</v>
      </c>
      <c r="U67" s="2740" t="s">
        <v>31</v>
      </c>
      <c r="V67" s="2740"/>
      <c r="W67" s="2740"/>
      <c r="X67" s="2734" t="s">
        <v>31</v>
      </c>
      <c r="Y67" s="2740" t="s">
        <v>31</v>
      </c>
      <c r="Z67" s="2734" t="s">
        <v>31</v>
      </c>
      <c r="AA67" s="2734" t="s">
        <v>31</v>
      </c>
      <c r="AB67" s="2734" t="s">
        <v>31</v>
      </c>
      <c r="AC67" s="2734"/>
      <c r="AD67" s="2735"/>
      <c r="AE67" s="2734" t="s">
        <v>31</v>
      </c>
      <c r="AF67" s="2735" t="s">
        <v>31</v>
      </c>
      <c r="AG67" s="2138" t="s">
        <v>31</v>
      </c>
      <c r="AH67" s="1"/>
    </row>
    <row r="68" spans="1:34" ht="22.15" customHeight="1" x14ac:dyDescent="0.2">
      <c r="A68" s="2766"/>
      <c r="B68" s="2811" t="s">
        <v>372</v>
      </c>
      <c r="C68" s="2734" t="s">
        <v>31</v>
      </c>
      <c r="D68" s="2734" t="s">
        <v>31</v>
      </c>
      <c r="E68" s="2734" t="s">
        <v>31</v>
      </c>
      <c r="F68" s="2735" t="s">
        <v>31</v>
      </c>
      <c r="G68" s="2734" t="s">
        <v>31</v>
      </c>
      <c r="H68" s="2734"/>
      <c r="I68" s="2734"/>
      <c r="J68" s="2734" t="s">
        <v>31</v>
      </c>
      <c r="K68" s="2734" t="s">
        <v>31</v>
      </c>
      <c r="L68" s="2734" t="s">
        <v>31</v>
      </c>
      <c r="M68" s="2734" t="s">
        <v>31</v>
      </c>
      <c r="N68" s="2740" t="s">
        <v>31</v>
      </c>
      <c r="O68" s="2740"/>
      <c r="P68" s="2740"/>
      <c r="Q68" s="2736" t="s">
        <v>31</v>
      </c>
      <c r="R68" s="2740" t="s">
        <v>31</v>
      </c>
      <c r="S68" s="2734" t="s">
        <v>31</v>
      </c>
      <c r="T68" s="2734" t="s">
        <v>31</v>
      </c>
      <c r="U68" s="2740" t="s">
        <v>31</v>
      </c>
      <c r="V68" s="2740"/>
      <c r="W68" s="2740"/>
      <c r="X68" s="2734" t="s">
        <v>31</v>
      </c>
      <c r="Y68" s="2740" t="s">
        <v>31</v>
      </c>
      <c r="Z68" s="2734" t="s">
        <v>31</v>
      </c>
      <c r="AA68" s="2734" t="s">
        <v>31</v>
      </c>
      <c r="AB68" s="2734" t="s">
        <v>31</v>
      </c>
      <c r="AC68" s="2734"/>
      <c r="AD68" s="2735"/>
      <c r="AE68" s="2734" t="s">
        <v>31</v>
      </c>
      <c r="AF68" s="2735" t="s">
        <v>31</v>
      </c>
      <c r="AG68" s="2138" t="s">
        <v>31</v>
      </c>
      <c r="AH68" s="1"/>
    </row>
    <row r="69" spans="1:34" ht="22.15" customHeight="1" x14ac:dyDescent="0.2">
      <c r="A69" s="2807"/>
      <c r="B69" s="2733" t="s">
        <v>124</v>
      </c>
      <c r="C69" s="2734" t="s">
        <v>31</v>
      </c>
      <c r="D69" s="2734" t="s">
        <v>31</v>
      </c>
      <c r="E69" s="2734" t="s">
        <v>31</v>
      </c>
      <c r="F69" s="2735" t="s">
        <v>31</v>
      </c>
      <c r="G69" s="2734" t="s">
        <v>31</v>
      </c>
      <c r="H69" s="2734"/>
      <c r="I69" s="2734"/>
      <c r="J69" s="2734" t="s">
        <v>31</v>
      </c>
      <c r="K69" s="2734" t="s">
        <v>31</v>
      </c>
      <c r="L69" s="2734" t="s">
        <v>31</v>
      </c>
      <c r="M69" s="2734" t="s">
        <v>31</v>
      </c>
      <c r="N69" s="2740" t="s">
        <v>31</v>
      </c>
      <c r="O69" s="2740"/>
      <c r="P69" s="2740"/>
      <c r="Q69" s="2736" t="s">
        <v>31</v>
      </c>
      <c r="R69" s="2740" t="s">
        <v>31</v>
      </c>
      <c r="S69" s="2734" t="s">
        <v>31</v>
      </c>
      <c r="T69" s="2734" t="s">
        <v>31</v>
      </c>
      <c r="U69" s="2740" t="s">
        <v>31</v>
      </c>
      <c r="V69" s="2740"/>
      <c r="W69" s="2740"/>
      <c r="X69" s="2734" t="s">
        <v>31</v>
      </c>
      <c r="Y69" s="2740" t="s">
        <v>31</v>
      </c>
      <c r="Z69" s="2734" t="s">
        <v>31</v>
      </c>
      <c r="AA69" s="2734" t="s">
        <v>31</v>
      </c>
      <c r="AB69" s="2734" t="s">
        <v>31</v>
      </c>
      <c r="AC69" s="2734"/>
      <c r="AD69" s="2735"/>
      <c r="AE69" s="2734" t="s">
        <v>31</v>
      </c>
      <c r="AF69" s="2735" t="s">
        <v>31</v>
      </c>
      <c r="AG69" s="2138" t="s">
        <v>31</v>
      </c>
      <c r="AH69" s="1"/>
    </row>
    <row r="70" spans="1:34" ht="22.15" customHeight="1" thickBot="1" x14ac:dyDescent="0.25">
      <c r="A70" s="2807"/>
      <c r="B70" s="2733" t="s">
        <v>122</v>
      </c>
      <c r="C70" s="2734" t="s">
        <v>31</v>
      </c>
      <c r="D70" s="2734" t="s">
        <v>31</v>
      </c>
      <c r="E70" s="2734" t="s">
        <v>31</v>
      </c>
      <c r="F70" s="2735" t="s">
        <v>31</v>
      </c>
      <c r="G70" s="2734" t="s">
        <v>31</v>
      </c>
      <c r="H70" s="2734"/>
      <c r="I70" s="2734"/>
      <c r="J70" s="2734" t="s">
        <v>31</v>
      </c>
      <c r="K70" s="2734" t="s">
        <v>31</v>
      </c>
      <c r="L70" s="2734" t="s">
        <v>31</v>
      </c>
      <c r="M70" s="2734" t="s">
        <v>31</v>
      </c>
      <c r="N70" s="2740" t="s">
        <v>31</v>
      </c>
      <c r="O70" s="2740"/>
      <c r="P70" s="2740"/>
      <c r="Q70" s="2736" t="s">
        <v>31</v>
      </c>
      <c r="R70" s="2740" t="s">
        <v>31</v>
      </c>
      <c r="S70" s="2734" t="s">
        <v>31</v>
      </c>
      <c r="T70" s="2734" t="s">
        <v>31</v>
      </c>
      <c r="U70" s="2740" t="s">
        <v>31</v>
      </c>
      <c r="V70" s="2740"/>
      <c r="W70" s="2740"/>
      <c r="X70" s="2734" t="s">
        <v>31</v>
      </c>
      <c r="Y70" s="2740" t="s">
        <v>31</v>
      </c>
      <c r="Z70" s="2734" t="s">
        <v>31</v>
      </c>
      <c r="AA70" s="2734" t="s">
        <v>31</v>
      </c>
      <c r="AB70" s="2734" t="s">
        <v>31</v>
      </c>
      <c r="AC70" s="2734"/>
      <c r="AD70" s="2735"/>
      <c r="AE70" s="2734" t="s">
        <v>31</v>
      </c>
      <c r="AF70" s="2735" t="s">
        <v>31</v>
      </c>
      <c r="AG70" s="2138" t="s">
        <v>31</v>
      </c>
      <c r="AH70" s="1"/>
    </row>
    <row r="71" spans="1:34" ht="22.15" customHeight="1" x14ac:dyDescent="0.2">
      <c r="A71" s="2812"/>
      <c r="B71" s="379" t="s">
        <v>123</v>
      </c>
      <c r="C71" s="2734" t="s">
        <v>31</v>
      </c>
      <c r="D71" s="2734" t="s">
        <v>31</v>
      </c>
      <c r="E71" s="2734" t="s">
        <v>31</v>
      </c>
      <c r="F71" s="2735" t="s">
        <v>31</v>
      </c>
      <c r="G71" s="2734" t="s">
        <v>31</v>
      </c>
      <c r="H71" s="2734"/>
      <c r="I71" s="2734"/>
      <c r="J71" s="2734" t="s">
        <v>31</v>
      </c>
      <c r="K71" s="2734" t="s">
        <v>31</v>
      </c>
      <c r="L71" s="2734" t="s">
        <v>31</v>
      </c>
      <c r="M71" s="2734" t="s">
        <v>31</v>
      </c>
      <c r="N71" s="2740" t="s">
        <v>31</v>
      </c>
      <c r="O71" s="2740"/>
      <c r="P71" s="2740"/>
      <c r="Q71" s="2736" t="s">
        <v>31</v>
      </c>
      <c r="R71" s="2740" t="s">
        <v>31</v>
      </c>
      <c r="S71" s="2734" t="s">
        <v>31</v>
      </c>
      <c r="T71" s="2734" t="s">
        <v>31</v>
      </c>
      <c r="U71" s="2740" t="s">
        <v>31</v>
      </c>
      <c r="V71" s="2740"/>
      <c r="W71" s="2740"/>
      <c r="X71" s="2734" t="s">
        <v>31</v>
      </c>
      <c r="Y71" s="2740" t="s">
        <v>31</v>
      </c>
      <c r="Z71" s="2734" t="s">
        <v>31</v>
      </c>
      <c r="AA71" s="2734" t="s">
        <v>31</v>
      </c>
      <c r="AB71" s="2734" t="s">
        <v>31</v>
      </c>
      <c r="AC71" s="2734"/>
      <c r="AD71" s="2735"/>
      <c r="AE71" s="2734" t="s">
        <v>31</v>
      </c>
      <c r="AF71" s="2735" t="s">
        <v>31</v>
      </c>
      <c r="AG71" s="2138" t="s">
        <v>31</v>
      </c>
      <c r="AH71" s="1"/>
    </row>
    <row r="72" spans="1:34" ht="22.15" customHeight="1" x14ac:dyDescent="0.2">
      <c r="A72" s="2812"/>
      <c r="B72" s="2811" t="s">
        <v>127</v>
      </c>
      <c r="C72" s="2734" t="s">
        <v>31</v>
      </c>
      <c r="D72" s="2734" t="s">
        <v>31</v>
      </c>
      <c r="E72" s="2734" t="s">
        <v>31</v>
      </c>
      <c r="F72" s="2735" t="s">
        <v>31</v>
      </c>
      <c r="G72" s="2734" t="s">
        <v>31</v>
      </c>
      <c r="H72" s="2734"/>
      <c r="I72" s="2734"/>
      <c r="J72" s="2734" t="s">
        <v>31</v>
      </c>
      <c r="K72" s="2734" t="s">
        <v>31</v>
      </c>
      <c r="L72" s="2734" t="s">
        <v>31</v>
      </c>
      <c r="M72" s="2734" t="s">
        <v>31</v>
      </c>
      <c r="N72" s="2740" t="s">
        <v>31</v>
      </c>
      <c r="O72" s="2740"/>
      <c r="P72" s="2740"/>
      <c r="Q72" s="2736" t="s">
        <v>31</v>
      </c>
      <c r="R72" s="2740" t="s">
        <v>31</v>
      </c>
      <c r="S72" s="2734" t="s">
        <v>31</v>
      </c>
      <c r="T72" s="2734" t="s">
        <v>31</v>
      </c>
      <c r="U72" s="2740" t="s">
        <v>31</v>
      </c>
      <c r="V72" s="2740"/>
      <c r="W72" s="2740"/>
      <c r="X72" s="2734" t="s">
        <v>31</v>
      </c>
      <c r="Y72" s="2740" t="s">
        <v>31</v>
      </c>
      <c r="Z72" s="2734" t="s">
        <v>31</v>
      </c>
      <c r="AA72" s="2734" t="s">
        <v>31</v>
      </c>
      <c r="AB72" s="2734" t="s">
        <v>31</v>
      </c>
      <c r="AC72" s="2734"/>
      <c r="AD72" s="2735"/>
      <c r="AE72" s="2734" t="s">
        <v>31</v>
      </c>
      <c r="AF72" s="2735" t="s">
        <v>31</v>
      </c>
      <c r="AG72" s="2138" t="s">
        <v>31</v>
      </c>
      <c r="AH72" s="1"/>
    </row>
    <row r="73" spans="1:34" ht="22.15" customHeight="1" x14ac:dyDescent="0.2">
      <c r="A73" s="2812"/>
      <c r="B73" s="2813" t="s">
        <v>348</v>
      </c>
      <c r="C73" s="2734" t="s">
        <v>31</v>
      </c>
      <c r="D73" s="2734" t="s">
        <v>31</v>
      </c>
      <c r="E73" s="2734" t="s">
        <v>31</v>
      </c>
      <c r="F73" s="2735" t="s">
        <v>31</v>
      </c>
      <c r="G73" s="2734" t="s">
        <v>31</v>
      </c>
      <c r="H73" s="2734"/>
      <c r="I73" s="2734"/>
      <c r="J73" s="2734" t="s">
        <v>31</v>
      </c>
      <c r="K73" s="2734" t="s">
        <v>31</v>
      </c>
      <c r="L73" s="2734" t="s">
        <v>31</v>
      </c>
      <c r="M73" s="2734" t="s">
        <v>31</v>
      </c>
      <c r="N73" s="2740" t="s">
        <v>31</v>
      </c>
      <c r="O73" s="2740"/>
      <c r="P73" s="2740"/>
      <c r="Q73" s="2736" t="s">
        <v>31</v>
      </c>
      <c r="R73" s="2740" t="s">
        <v>31</v>
      </c>
      <c r="S73" s="2734" t="s">
        <v>31</v>
      </c>
      <c r="T73" s="2734" t="s">
        <v>31</v>
      </c>
      <c r="U73" s="2740" t="s">
        <v>31</v>
      </c>
      <c r="V73" s="2740"/>
      <c r="W73" s="2740"/>
      <c r="X73" s="2734" t="s">
        <v>31</v>
      </c>
      <c r="Y73" s="2740" t="s">
        <v>31</v>
      </c>
      <c r="Z73" s="2734" t="s">
        <v>31</v>
      </c>
      <c r="AA73" s="2734" t="s">
        <v>31</v>
      </c>
      <c r="AB73" s="2734" t="s">
        <v>31</v>
      </c>
      <c r="AC73" s="2734"/>
      <c r="AD73" s="2735"/>
      <c r="AE73" s="2734" t="s">
        <v>31</v>
      </c>
      <c r="AF73" s="2735" t="s">
        <v>31</v>
      </c>
      <c r="AG73" s="2138" t="s">
        <v>31</v>
      </c>
      <c r="AH73" s="1"/>
    </row>
    <row r="74" spans="1:34" ht="22.15" customHeight="1" thickBot="1" x14ac:dyDescent="0.25">
      <c r="A74" s="669"/>
      <c r="B74" s="668"/>
      <c r="C74" s="669"/>
      <c r="D74" s="669"/>
      <c r="E74" s="669"/>
      <c r="F74" s="669"/>
      <c r="G74" s="669"/>
      <c r="H74" s="669"/>
      <c r="I74" s="669"/>
      <c r="J74" s="669"/>
      <c r="K74" s="669"/>
      <c r="L74" s="669"/>
      <c r="M74" s="669"/>
      <c r="N74" s="669"/>
      <c r="O74" s="669"/>
      <c r="P74" s="669"/>
      <c r="Q74" s="669"/>
      <c r="R74" s="669"/>
      <c r="S74" s="669"/>
      <c r="T74" s="669"/>
      <c r="U74" s="669"/>
      <c r="V74" s="669"/>
      <c r="W74" s="669"/>
      <c r="X74" s="669"/>
      <c r="Y74" s="669"/>
      <c r="Z74" s="669"/>
      <c r="AA74" s="669"/>
      <c r="AB74" s="669"/>
      <c r="AC74" s="669"/>
      <c r="AD74" s="669"/>
      <c r="AE74" s="669"/>
      <c r="AF74" s="669"/>
      <c r="AG74" s="237"/>
      <c r="AH74" s="1"/>
    </row>
    <row r="75" spans="1:34" ht="22.15" customHeight="1" thickBot="1" x14ac:dyDescent="0.25">
      <c r="A75" s="2814"/>
      <c r="B75" s="3131"/>
      <c r="C75" s="245"/>
      <c r="D75" s="245"/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3132"/>
      <c r="AH75" s="1"/>
    </row>
    <row r="76" spans="1:34" ht="22.15" customHeight="1" thickBot="1" x14ac:dyDescent="0.25">
      <c r="A76" s="377"/>
      <c r="B76" s="378" t="s">
        <v>125</v>
      </c>
      <c r="C76" s="3048">
        <v>1</v>
      </c>
      <c r="D76" s="3048">
        <v>2</v>
      </c>
      <c r="E76" s="3048">
        <v>3</v>
      </c>
      <c r="F76" s="3048">
        <v>4</v>
      </c>
      <c r="G76" s="3048">
        <v>5</v>
      </c>
      <c r="H76" s="3049">
        <v>6</v>
      </c>
      <c r="I76" s="3049">
        <v>7</v>
      </c>
      <c r="J76" s="3049">
        <v>8</v>
      </c>
      <c r="K76" s="3049">
        <v>9</v>
      </c>
      <c r="L76" s="3048">
        <v>10</v>
      </c>
      <c r="M76" s="3048">
        <v>11</v>
      </c>
      <c r="N76" s="3049">
        <v>12</v>
      </c>
      <c r="O76" s="3049">
        <v>13</v>
      </c>
      <c r="P76" s="3049">
        <v>14</v>
      </c>
      <c r="Q76" s="3049">
        <v>15</v>
      </c>
      <c r="R76" s="3049">
        <v>16</v>
      </c>
      <c r="S76" s="3048">
        <v>17</v>
      </c>
      <c r="T76" s="3048">
        <v>18</v>
      </c>
      <c r="U76" s="3049">
        <v>19</v>
      </c>
      <c r="V76" s="3049">
        <v>20</v>
      </c>
      <c r="W76" s="3049">
        <v>21</v>
      </c>
      <c r="X76" s="3049">
        <v>22</v>
      </c>
      <c r="Y76" s="3049">
        <v>23</v>
      </c>
      <c r="Z76" s="3048">
        <v>24</v>
      </c>
      <c r="AA76" s="3048">
        <v>25</v>
      </c>
      <c r="AB76" s="3049">
        <v>26</v>
      </c>
      <c r="AC76" s="3049">
        <v>27</v>
      </c>
      <c r="AD76" s="3049">
        <v>28</v>
      </c>
      <c r="AE76" s="3049">
        <v>29</v>
      </c>
      <c r="AF76" s="3048">
        <v>30</v>
      </c>
      <c r="AG76" s="3050"/>
      <c r="AH76" s="1"/>
    </row>
    <row r="77" spans="1:34" ht="22.15" customHeight="1" x14ac:dyDescent="0.2">
      <c r="A77" s="379"/>
      <c r="B77" s="379"/>
      <c r="C77" s="2734"/>
      <c r="D77" s="2734"/>
      <c r="E77" s="2734"/>
      <c r="F77" s="2735"/>
      <c r="G77" s="2734"/>
      <c r="H77" s="2734"/>
      <c r="I77" s="2734"/>
      <c r="J77" s="2734"/>
      <c r="K77" s="2734"/>
      <c r="L77" s="2734"/>
      <c r="M77" s="2734"/>
      <c r="N77" s="2740"/>
      <c r="O77" s="2740"/>
      <c r="P77" s="2740"/>
      <c r="Q77" s="2736"/>
      <c r="R77" s="2740"/>
      <c r="S77" s="2734"/>
      <c r="T77" s="2734"/>
      <c r="U77" s="2740"/>
      <c r="V77" s="2740"/>
      <c r="W77" s="2740"/>
      <c r="X77" s="2734"/>
      <c r="Y77" s="2740"/>
      <c r="Z77" s="2734"/>
      <c r="AA77" s="2734"/>
      <c r="AB77" s="2734"/>
      <c r="AC77" s="2734"/>
      <c r="AD77" s="2735"/>
      <c r="AE77" s="2734"/>
      <c r="AF77" s="2735"/>
      <c r="AG77" s="387"/>
      <c r="AH77" s="1"/>
    </row>
    <row r="78" spans="1:34" ht="22.15" customHeight="1" x14ac:dyDescent="0.2">
      <c r="A78" s="2807"/>
      <c r="B78" s="2807"/>
      <c r="C78" s="2812"/>
      <c r="D78" s="2812"/>
      <c r="E78" s="2812"/>
      <c r="F78" s="2812"/>
      <c r="G78" s="2735"/>
      <c r="H78" s="2735"/>
      <c r="I78" s="2735"/>
      <c r="J78" s="2735"/>
      <c r="K78" s="2742"/>
      <c r="L78" s="2742"/>
      <c r="M78" s="2742"/>
      <c r="N78" s="2742"/>
      <c r="O78" s="2742"/>
      <c r="P78" s="2742"/>
      <c r="Q78" s="2742"/>
      <c r="R78" s="2742"/>
      <c r="S78" s="2735"/>
      <c r="T78" s="2735"/>
      <c r="U78" s="2817"/>
      <c r="V78" s="2817"/>
      <c r="W78" s="2817"/>
      <c r="X78" s="2735"/>
      <c r="Y78" s="2817"/>
      <c r="Z78" s="2817"/>
      <c r="AA78" s="2817"/>
      <c r="AB78" s="2735"/>
      <c r="AC78" s="2735"/>
      <c r="AD78" s="2735"/>
      <c r="AE78" s="2735"/>
      <c r="AF78" s="2735"/>
      <c r="AG78" s="2159"/>
      <c r="AH78" s="1"/>
    </row>
    <row r="79" spans="1:34" ht="22.15" customHeight="1" x14ac:dyDescent="0.2">
      <c r="A79" s="2820"/>
      <c r="B79" s="2807"/>
      <c r="C79" s="2735"/>
      <c r="D79" s="2735"/>
      <c r="E79" s="2735"/>
      <c r="F79" s="2735"/>
      <c r="G79" s="2735"/>
      <c r="H79" s="2735"/>
      <c r="I79" s="2735"/>
      <c r="J79" s="2735"/>
      <c r="K79" s="2735"/>
      <c r="L79" s="2735"/>
      <c r="M79" s="2735"/>
      <c r="N79" s="2735"/>
      <c r="O79" s="2735"/>
      <c r="P79" s="2735"/>
      <c r="Q79" s="2735"/>
      <c r="R79" s="2735"/>
      <c r="S79" s="2735"/>
      <c r="T79" s="2735"/>
      <c r="U79" s="2735"/>
      <c r="V79" s="2735"/>
      <c r="W79" s="2735"/>
      <c r="X79" s="2735"/>
      <c r="Y79" s="2735"/>
      <c r="Z79" s="2735"/>
      <c r="AA79" s="2735"/>
      <c r="AB79" s="2735"/>
      <c r="AC79" s="2735"/>
      <c r="AD79" s="2735"/>
      <c r="AE79" s="2735"/>
      <c r="AF79" s="2735"/>
      <c r="AG79" s="2156"/>
      <c r="AH79" s="1"/>
    </row>
    <row r="80" spans="1:34" ht="22.15" customHeight="1" thickBot="1" x14ac:dyDescent="0.25">
      <c r="A80" s="691"/>
      <c r="B80" s="692"/>
      <c r="C80" s="690"/>
      <c r="D80" s="693"/>
      <c r="E80" s="693"/>
      <c r="F80" s="693"/>
      <c r="G80" s="693"/>
      <c r="H80" s="693"/>
      <c r="I80" s="690"/>
      <c r="J80" s="690"/>
      <c r="K80" s="693"/>
      <c r="L80" s="693"/>
      <c r="M80" s="693"/>
      <c r="N80" s="693"/>
      <c r="O80" s="693"/>
      <c r="P80" s="696"/>
      <c r="Q80" s="696"/>
      <c r="R80" s="690"/>
      <c r="S80" s="696"/>
      <c r="T80" s="696"/>
      <c r="U80" s="696"/>
      <c r="V80" s="696"/>
      <c r="W80" s="696"/>
      <c r="X80" s="690"/>
      <c r="Y80" s="696"/>
      <c r="Z80" s="696"/>
      <c r="AA80" s="696"/>
      <c r="AB80" s="696"/>
      <c r="AC80" s="690"/>
      <c r="AD80" s="696"/>
      <c r="AE80" s="696"/>
      <c r="AF80" s="690"/>
      <c r="AG80" s="218"/>
      <c r="AH80" s="1"/>
    </row>
    <row r="81" spans="1:35" ht="22.15" customHeight="1" thickBot="1" x14ac:dyDescent="0.25">
      <c r="A81" s="223"/>
      <c r="B81" s="224" t="s">
        <v>387</v>
      </c>
      <c r="C81" s="219"/>
      <c r="D81" s="225"/>
      <c r="E81" s="225"/>
      <c r="F81" s="225"/>
      <c r="G81" s="225"/>
      <c r="H81" s="225"/>
      <c r="I81" s="219"/>
      <c r="J81" s="219"/>
      <c r="K81" s="225"/>
      <c r="L81" s="225"/>
      <c r="M81" s="225"/>
      <c r="N81" s="225"/>
      <c r="O81" s="225"/>
      <c r="P81" s="219"/>
      <c r="Q81" s="219"/>
      <c r="R81" s="219"/>
      <c r="S81" s="226"/>
      <c r="T81" s="226"/>
      <c r="U81" s="226"/>
      <c r="V81" s="220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48"/>
      <c r="AH81" s="1"/>
    </row>
    <row r="82" spans="1:35" ht="22.15" customHeight="1" thickBot="1" x14ac:dyDescent="0.25">
      <c r="A82" s="221"/>
      <c r="B82" s="222"/>
      <c r="C82" s="2734"/>
      <c r="D82" s="2734"/>
      <c r="E82" s="2734"/>
      <c r="F82" s="2735"/>
      <c r="G82" s="2734"/>
      <c r="H82" s="2734" t="s">
        <v>31</v>
      </c>
      <c r="I82" s="2734" t="s">
        <v>31</v>
      </c>
      <c r="J82" s="2734" t="s">
        <v>31</v>
      </c>
      <c r="K82" s="2734" t="s">
        <v>31</v>
      </c>
      <c r="L82" s="2734"/>
      <c r="M82" s="2734"/>
      <c r="N82" s="2740" t="s">
        <v>31</v>
      </c>
      <c r="O82" s="2740" t="s">
        <v>31</v>
      </c>
      <c r="P82" s="2740" t="s">
        <v>31</v>
      </c>
      <c r="Q82" s="2736" t="s">
        <v>31</v>
      </c>
      <c r="R82" s="2740" t="s">
        <v>31</v>
      </c>
      <c r="S82" s="2734"/>
      <c r="T82" s="2734"/>
      <c r="U82" s="2740" t="s">
        <v>31</v>
      </c>
      <c r="V82" s="2740" t="s">
        <v>31</v>
      </c>
      <c r="W82" s="2740" t="s">
        <v>31</v>
      </c>
      <c r="X82" s="2734" t="s">
        <v>31</v>
      </c>
      <c r="Y82" s="2740" t="s">
        <v>31</v>
      </c>
      <c r="Z82" s="2734"/>
      <c r="AA82" s="2734"/>
      <c r="AB82" s="2734" t="s">
        <v>31</v>
      </c>
      <c r="AC82" s="2734" t="s">
        <v>31</v>
      </c>
      <c r="AD82" s="2735" t="s">
        <v>31</v>
      </c>
      <c r="AE82" s="2734" t="s">
        <v>31</v>
      </c>
      <c r="AF82" s="2735"/>
      <c r="AG82" s="3133"/>
      <c r="AH82" s="1"/>
    </row>
    <row r="83" spans="1:35" ht="22.15" customHeight="1" x14ac:dyDescent="0.2">
      <c r="A83" s="64" t="s">
        <v>134</v>
      </c>
      <c r="AH83" s="1"/>
    </row>
    <row r="84" spans="1:35" ht="22.15" customHeight="1" thickBot="1" x14ac:dyDescent="0.25">
      <c r="A84" s="3134"/>
      <c r="B84" s="3091" t="s">
        <v>29</v>
      </c>
      <c r="C84" s="3048">
        <v>1</v>
      </c>
      <c r="D84" s="3048">
        <v>2</v>
      </c>
      <c r="E84" s="3048">
        <v>3</v>
      </c>
      <c r="F84" s="3048">
        <v>4</v>
      </c>
      <c r="G84" s="3048">
        <v>5</v>
      </c>
      <c r="H84" s="3049">
        <v>6</v>
      </c>
      <c r="I84" s="3049">
        <v>7</v>
      </c>
      <c r="J84" s="3049">
        <v>8</v>
      </c>
      <c r="K84" s="3049">
        <v>9</v>
      </c>
      <c r="L84" s="3048">
        <v>10</v>
      </c>
      <c r="M84" s="3048">
        <v>11</v>
      </c>
      <c r="N84" s="3049">
        <v>12</v>
      </c>
      <c r="O84" s="3049">
        <v>13</v>
      </c>
      <c r="P84" s="3049">
        <v>14</v>
      </c>
      <c r="Q84" s="3049">
        <v>15</v>
      </c>
      <c r="R84" s="3049">
        <v>16</v>
      </c>
      <c r="S84" s="3048">
        <v>17</v>
      </c>
      <c r="T84" s="3048">
        <v>18</v>
      </c>
      <c r="U84" s="3049">
        <v>19</v>
      </c>
      <c r="V84" s="3049">
        <v>20</v>
      </c>
      <c r="W84" s="3049">
        <v>21</v>
      </c>
      <c r="X84" s="3049">
        <v>22</v>
      </c>
      <c r="Y84" s="3049">
        <v>23</v>
      </c>
      <c r="Z84" s="3048">
        <v>24</v>
      </c>
      <c r="AA84" s="3048">
        <v>25</v>
      </c>
      <c r="AB84" s="3049">
        <v>26</v>
      </c>
      <c r="AC84" s="3049">
        <v>27</v>
      </c>
      <c r="AD84" s="3049">
        <v>28</v>
      </c>
      <c r="AE84" s="3049">
        <v>29</v>
      </c>
      <c r="AF84" s="3048">
        <v>30</v>
      </c>
      <c r="AG84" s="3050"/>
      <c r="AH84" s="1"/>
    </row>
    <row r="85" spans="1:35" ht="22.15" customHeight="1" x14ac:dyDescent="0.2">
      <c r="A85" s="487"/>
      <c r="B85" s="488" t="s">
        <v>135</v>
      </c>
      <c r="C85" s="458"/>
      <c r="D85" s="482"/>
      <c r="E85" s="458"/>
      <c r="F85" s="458"/>
      <c r="G85" s="458"/>
      <c r="H85" s="458"/>
      <c r="I85" s="458"/>
      <c r="J85" s="458"/>
      <c r="K85" s="458"/>
      <c r="L85" s="458"/>
      <c r="M85" s="458"/>
      <c r="N85" s="458"/>
      <c r="O85" s="458"/>
      <c r="P85" s="458"/>
      <c r="Q85" s="458"/>
      <c r="R85" s="458"/>
      <c r="S85" s="458"/>
      <c r="T85" s="458"/>
      <c r="U85" s="458"/>
      <c r="V85" s="458"/>
      <c r="W85" s="458"/>
      <c r="X85" s="458"/>
      <c r="Y85" s="458"/>
      <c r="Z85" s="458"/>
      <c r="AA85" s="458"/>
      <c r="AB85" s="458"/>
      <c r="AC85" s="458"/>
      <c r="AD85" s="458"/>
      <c r="AE85" s="458"/>
      <c r="AF85" s="458"/>
      <c r="AG85" s="464"/>
      <c r="AH85" s="1"/>
    </row>
    <row r="86" spans="1:35" ht="22.15" customHeight="1" x14ac:dyDescent="0.2">
      <c r="A86" s="3135">
        <v>2</v>
      </c>
      <c r="B86" s="3136"/>
      <c r="C86" s="3137"/>
      <c r="D86" s="3137"/>
      <c r="E86" s="3137"/>
      <c r="F86" s="3138"/>
      <c r="G86" s="3138"/>
      <c r="H86" s="3138"/>
      <c r="I86" s="3138"/>
      <c r="J86" s="3138"/>
      <c r="K86" s="3138"/>
      <c r="L86" s="3138"/>
      <c r="M86" s="3138"/>
      <c r="N86" s="3138"/>
      <c r="O86" s="3138"/>
      <c r="P86" s="3138"/>
      <c r="Q86" s="3138"/>
      <c r="R86" s="3139"/>
      <c r="S86" s="3139"/>
      <c r="T86" s="3139"/>
      <c r="U86" s="3139"/>
      <c r="V86" s="3139"/>
      <c r="W86" s="3137"/>
      <c r="X86" s="3137"/>
      <c r="Y86" s="3139"/>
      <c r="Z86" s="3139"/>
      <c r="AA86" s="3139"/>
      <c r="AB86" s="3139"/>
      <c r="AC86" s="3139"/>
      <c r="AD86" s="3137"/>
      <c r="AE86" s="3137"/>
      <c r="AF86" s="3140"/>
      <c r="AG86" s="3141"/>
      <c r="AH86" s="1"/>
    </row>
    <row r="87" spans="1:35" ht="22.15" customHeight="1" x14ac:dyDescent="0.2">
      <c r="A87" s="3135">
        <v>3</v>
      </c>
      <c r="B87" s="3142"/>
      <c r="C87" s="3143"/>
      <c r="D87" s="3143"/>
      <c r="E87" s="3143"/>
      <c r="F87" s="3143"/>
      <c r="G87" s="3143"/>
      <c r="H87" s="3143"/>
      <c r="I87" s="3143"/>
      <c r="J87" s="3143"/>
      <c r="K87" s="3143"/>
      <c r="L87" s="3143"/>
      <c r="M87" s="3143"/>
      <c r="N87" s="3143"/>
      <c r="O87" s="3143"/>
      <c r="P87" s="3143"/>
      <c r="Q87" s="3143"/>
      <c r="R87" s="3143"/>
      <c r="S87" s="3143"/>
      <c r="T87" s="3143"/>
      <c r="U87" s="3143"/>
      <c r="V87" s="3143"/>
      <c r="W87" s="3143"/>
      <c r="X87" s="3143"/>
      <c r="Y87" s="3143"/>
      <c r="Z87" s="3143"/>
      <c r="AA87" s="3143"/>
      <c r="AB87" s="3143"/>
      <c r="AC87" s="3143"/>
      <c r="AD87" s="3143"/>
      <c r="AE87" s="3143"/>
      <c r="AF87" s="3144"/>
      <c r="AG87" s="3093"/>
      <c r="AH87" s="1"/>
    </row>
    <row r="88" spans="1:35" ht="22.15" customHeight="1" thickBot="1" x14ac:dyDescent="0.25">
      <c r="A88" s="3135">
        <v>4</v>
      </c>
      <c r="B88" s="3095"/>
      <c r="C88" s="3145"/>
      <c r="D88" s="3145"/>
      <c r="E88" s="3145"/>
      <c r="F88" s="3145"/>
      <c r="G88" s="3145"/>
      <c r="H88" s="3145"/>
      <c r="I88" s="3145"/>
      <c r="J88" s="3145"/>
      <c r="K88" s="3145"/>
      <c r="L88" s="3145"/>
      <c r="M88" s="3145"/>
      <c r="N88" s="3145"/>
      <c r="O88" s="3145"/>
      <c r="P88" s="3145"/>
      <c r="Q88" s="3145"/>
      <c r="R88" s="3146"/>
      <c r="S88" s="3146"/>
      <c r="T88" s="3146"/>
      <c r="U88" s="3145"/>
      <c r="V88" s="3145"/>
      <c r="W88" s="3145"/>
      <c r="X88" s="3145"/>
      <c r="Y88" s="3145"/>
      <c r="Z88" s="3145"/>
      <c r="AA88" s="3145"/>
      <c r="AB88" s="3145"/>
      <c r="AC88" s="3145"/>
      <c r="AD88" s="3145"/>
      <c r="AE88" s="3145"/>
      <c r="AF88" s="3049"/>
      <c r="AG88" s="3050"/>
      <c r="AH88" s="1"/>
    </row>
    <row r="89" spans="1:35" ht="22.15" customHeight="1" x14ac:dyDescent="0.2">
      <c r="A89" s="227"/>
      <c r="B89" s="228"/>
      <c r="C89" s="229"/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  <c r="Q89" s="229"/>
      <c r="R89" s="230"/>
      <c r="S89" s="230"/>
      <c r="T89" s="230"/>
      <c r="U89" s="229"/>
      <c r="V89" s="229"/>
      <c r="W89" s="229"/>
      <c r="X89" s="229"/>
      <c r="Y89" s="229"/>
      <c r="Z89" s="229"/>
      <c r="AA89" s="229"/>
      <c r="AB89" s="229"/>
      <c r="AC89" s="229"/>
      <c r="AD89" s="229"/>
      <c r="AE89" s="229"/>
      <c r="AF89" s="229"/>
      <c r="AG89" s="229"/>
      <c r="AH89" s="1"/>
    </row>
    <row r="90" spans="1:35" ht="22.15" customHeight="1" x14ac:dyDescent="0.2">
      <c r="A90" s="227"/>
      <c r="B90" s="228"/>
      <c r="C90" s="229"/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  <c r="Q90" s="229"/>
      <c r="R90" s="230"/>
      <c r="S90" s="230"/>
      <c r="T90" s="230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29"/>
      <c r="AG90" s="229"/>
      <c r="AH90" s="1"/>
    </row>
    <row r="91" spans="1:35" ht="22.15" customHeight="1" thickBot="1" x14ac:dyDescent="0.25">
      <c r="A91" s="176" t="s">
        <v>136</v>
      </c>
      <c r="B91" s="177"/>
      <c r="C91" s="177"/>
      <c r="D91" s="177"/>
      <c r="E91" s="177"/>
      <c r="F91" s="177"/>
      <c r="G91" s="178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  <c r="AI91" s="177"/>
    </row>
    <row r="92" spans="1:35" ht="22.15" customHeight="1" thickBot="1" x14ac:dyDescent="0.25">
      <c r="A92" s="179"/>
      <c r="B92" s="303" t="s">
        <v>137</v>
      </c>
      <c r="C92" s="281"/>
      <c r="D92" s="282" t="s">
        <v>90</v>
      </c>
      <c r="E92" s="283"/>
      <c r="F92" s="284"/>
      <c r="G92" s="281"/>
      <c r="H92" s="282" t="s">
        <v>91</v>
      </c>
      <c r="I92" s="283"/>
      <c r="J92" s="284"/>
      <c r="K92" s="281"/>
      <c r="L92" s="282" t="s">
        <v>92</v>
      </c>
      <c r="M92" s="283"/>
      <c r="N92" s="284"/>
      <c r="O92" s="281"/>
      <c r="P92" s="282" t="s">
        <v>93</v>
      </c>
      <c r="Q92" s="283"/>
      <c r="R92" s="284"/>
      <c r="S92" s="285"/>
      <c r="T92" s="282" t="s">
        <v>94</v>
      </c>
      <c r="U92" s="283"/>
      <c r="V92" s="284"/>
      <c r="W92" s="281"/>
      <c r="X92" s="282" t="s">
        <v>95</v>
      </c>
      <c r="Y92" s="283"/>
      <c r="Z92" s="284"/>
      <c r="AA92" s="281"/>
      <c r="AB92" s="282" t="s">
        <v>96</v>
      </c>
      <c r="AC92" s="283"/>
      <c r="AD92" s="283"/>
      <c r="AE92" s="286" t="s">
        <v>138</v>
      </c>
      <c r="AF92" s="283"/>
      <c r="AG92" s="283"/>
      <c r="AH92" s="283"/>
      <c r="AI92" s="287"/>
    </row>
    <row r="93" spans="1:35" ht="22.15" customHeight="1" x14ac:dyDescent="0.2">
      <c r="A93" s="179"/>
      <c r="B93" s="489" t="s">
        <v>139</v>
      </c>
      <c r="C93" s="490" t="s">
        <v>140</v>
      </c>
      <c r="D93" s="283"/>
      <c r="E93" s="491"/>
      <c r="F93" s="492"/>
      <c r="G93" s="490" t="s">
        <v>140</v>
      </c>
      <c r="H93" s="491"/>
      <c r="I93" s="491"/>
      <c r="J93" s="492"/>
      <c r="K93" s="288" t="s">
        <v>140</v>
      </c>
      <c r="L93" s="283"/>
      <c r="M93" s="283"/>
      <c r="N93" s="289"/>
      <c r="O93" s="288" t="s">
        <v>141</v>
      </c>
      <c r="P93" s="283"/>
      <c r="Q93" s="491"/>
      <c r="R93" s="492"/>
      <c r="S93" s="490" t="s">
        <v>142</v>
      </c>
      <c r="T93" s="491"/>
      <c r="U93" s="491"/>
      <c r="V93" s="493"/>
      <c r="W93" s="494"/>
      <c r="X93" s="495"/>
      <c r="Y93" s="495"/>
      <c r="Z93" s="496"/>
      <c r="AA93" s="493"/>
      <c r="AB93" s="491"/>
      <c r="AC93" s="491"/>
      <c r="AD93" s="493"/>
      <c r="AE93" s="497">
        <v>37</v>
      </c>
      <c r="AF93" s="283"/>
      <c r="AG93" s="491"/>
      <c r="AH93" s="493"/>
      <c r="AI93" s="498"/>
    </row>
    <row r="94" spans="1:35" ht="22.15" customHeight="1" x14ac:dyDescent="0.2">
      <c r="A94" s="179"/>
      <c r="B94" s="3147" t="s">
        <v>143</v>
      </c>
      <c r="C94" s="3148" t="s">
        <v>144</v>
      </c>
      <c r="D94" s="3149"/>
      <c r="E94" s="3149"/>
      <c r="F94" s="3150"/>
      <c r="G94" s="3148" t="s">
        <v>145</v>
      </c>
      <c r="H94" s="3149"/>
      <c r="I94" s="3149"/>
      <c r="J94" s="3150"/>
      <c r="K94" s="3148" t="s">
        <v>146</v>
      </c>
      <c r="L94" s="3151" t="s">
        <v>147</v>
      </c>
      <c r="M94" s="3149"/>
      <c r="N94" s="3150"/>
      <c r="O94" s="3148" t="s">
        <v>146</v>
      </c>
      <c r="P94" s="3151" t="s">
        <v>147</v>
      </c>
      <c r="Q94" s="3149"/>
      <c r="R94" s="3150"/>
      <c r="S94" s="3148" t="s">
        <v>145</v>
      </c>
      <c r="T94" s="3151" t="s">
        <v>148</v>
      </c>
      <c r="U94" s="3149"/>
      <c r="V94" s="3150"/>
      <c r="W94" s="180" t="s">
        <v>46</v>
      </c>
      <c r="X94" s="254" t="s">
        <v>152</v>
      </c>
      <c r="Y94" s="181"/>
      <c r="Z94" s="181"/>
      <c r="AA94" s="3148" t="s">
        <v>46</v>
      </c>
      <c r="AB94" s="3151" t="s">
        <v>152</v>
      </c>
      <c r="AC94" s="3148"/>
      <c r="AD94" s="3148"/>
      <c r="AE94" s="3152">
        <v>68</v>
      </c>
      <c r="AF94" s="3149"/>
      <c r="AG94" s="3153"/>
      <c r="AH94" s="3154"/>
      <c r="AI94" s="3155"/>
    </row>
    <row r="95" spans="1:35" ht="22.15" customHeight="1" x14ac:dyDescent="0.2">
      <c r="A95" s="179"/>
      <c r="B95" s="3147" t="s">
        <v>153</v>
      </c>
      <c r="C95" s="3156" t="s">
        <v>154</v>
      </c>
      <c r="D95" s="3149"/>
      <c r="E95" s="3149"/>
      <c r="F95" s="3150"/>
      <c r="G95" s="3149" t="s">
        <v>154</v>
      </c>
      <c r="H95" s="3149"/>
      <c r="I95" s="3149"/>
      <c r="J95" s="3150"/>
      <c r="K95" s="3149" t="s">
        <v>154</v>
      </c>
      <c r="L95" s="3149"/>
      <c r="M95" s="3149"/>
      <c r="N95" s="3150"/>
      <c r="O95" s="3149" t="s">
        <v>154</v>
      </c>
      <c r="P95" s="3149"/>
      <c r="Q95" s="3149"/>
      <c r="R95" s="3150"/>
      <c r="S95" s="3149" t="s">
        <v>154</v>
      </c>
      <c r="T95" s="3149"/>
      <c r="U95" s="3149"/>
      <c r="V95" s="3150"/>
      <c r="W95" s="3148"/>
      <c r="X95" s="3149"/>
      <c r="Y95" s="3149"/>
      <c r="Z95" s="3150"/>
      <c r="AA95" s="3148"/>
      <c r="AB95" s="3149"/>
      <c r="AC95" s="3149"/>
      <c r="AD95" s="3151"/>
      <c r="AE95" s="3152">
        <v>0</v>
      </c>
      <c r="AF95" s="3153"/>
      <c r="AG95" s="3149"/>
      <c r="AH95" s="3151"/>
      <c r="AI95" s="3157"/>
    </row>
    <row r="96" spans="1:35" ht="22.15" customHeight="1" thickBot="1" x14ac:dyDescent="0.25">
      <c r="A96" s="179"/>
      <c r="B96" s="3158" t="s">
        <v>155</v>
      </c>
      <c r="C96" s="3159" t="s">
        <v>140</v>
      </c>
      <c r="D96" s="3160"/>
      <c r="E96" s="3161"/>
      <c r="F96" s="3162"/>
      <c r="G96" s="3159" t="s">
        <v>140</v>
      </c>
      <c r="H96" s="3160"/>
      <c r="I96" s="3161"/>
      <c r="J96" s="3162"/>
      <c r="K96" s="3159" t="s">
        <v>140</v>
      </c>
      <c r="L96" s="3160"/>
      <c r="M96" s="3161"/>
      <c r="N96" s="3162"/>
      <c r="O96" s="3159" t="s">
        <v>141</v>
      </c>
      <c r="P96" s="3161"/>
      <c r="Q96" s="3161"/>
      <c r="R96" s="3162"/>
      <c r="S96" s="3159" t="s">
        <v>142</v>
      </c>
      <c r="T96" s="3161"/>
      <c r="U96" s="3161"/>
      <c r="V96" s="3163"/>
      <c r="W96" s="3164"/>
      <c r="X96" s="3161"/>
      <c r="Y96" s="3161"/>
      <c r="Z96" s="3165"/>
      <c r="AA96" s="3163"/>
      <c r="AB96" s="3161"/>
      <c r="AC96" s="3161"/>
      <c r="AD96" s="3163"/>
      <c r="AE96" s="3166">
        <v>37</v>
      </c>
      <c r="AF96" s="3161"/>
      <c r="AG96" s="3161"/>
      <c r="AH96" s="3163"/>
      <c r="AI96" s="3167"/>
    </row>
    <row r="97" spans="1:35" ht="22.15" customHeight="1" x14ac:dyDescent="0.2">
      <c r="A97" s="182"/>
      <c r="B97" s="179"/>
      <c r="C97" s="177"/>
      <c r="D97" s="181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  <c r="AI97" s="177"/>
    </row>
    <row r="98" spans="1:35" ht="22.15" customHeight="1" thickBot="1" x14ac:dyDescent="0.25">
      <c r="A98" s="3168"/>
      <c r="B98" s="3169" t="s">
        <v>29</v>
      </c>
      <c r="C98" s="3048">
        <v>1</v>
      </c>
      <c r="D98" s="3048">
        <v>2</v>
      </c>
      <c r="E98" s="3048">
        <v>3</v>
      </c>
      <c r="F98" s="3048">
        <v>4</v>
      </c>
      <c r="G98" s="3048">
        <v>5</v>
      </c>
      <c r="H98" s="3049">
        <v>6</v>
      </c>
      <c r="I98" s="3049">
        <v>7</v>
      </c>
      <c r="J98" s="3049">
        <v>8</v>
      </c>
      <c r="K98" s="3049">
        <v>9</v>
      </c>
      <c r="L98" s="3048">
        <v>10</v>
      </c>
      <c r="M98" s="3048">
        <v>11</v>
      </c>
      <c r="N98" s="3049">
        <v>12</v>
      </c>
      <c r="O98" s="3049">
        <v>13</v>
      </c>
      <c r="P98" s="3049">
        <v>14</v>
      </c>
      <c r="Q98" s="3049">
        <v>15</v>
      </c>
      <c r="R98" s="3049">
        <v>16</v>
      </c>
      <c r="S98" s="3048">
        <v>17</v>
      </c>
      <c r="T98" s="3048">
        <v>18</v>
      </c>
      <c r="U98" s="3049">
        <v>19</v>
      </c>
      <c r="V98" s="3049">
        <v>20</v>
      </c>
      <c r="W98" s="3049">
        <v>21</v>
      </c>
      <c r="X98" s="3049">
        <v>22</v>
      </c>
      <c r="Y98" s="3049">
        <v>23</v>
      </c>
      <c r="Z98" s="3048">
        <v>24</v>
      </c>
      <c r="AA98" s="3048">
        <v>25</v>
      </c>
      <c r="AB98" s="3049">
        <v>26</v>
      </c>
      <c r="AC98" s="3049">
        <v>27</v>
      </c>
      <c r="AD98" s="3049">
        <v>28</v>
      </c>
      <c r="AE98" s="3049">
        <v>29</v>
      </c>
      <c r="AF98" s="3048">
        <v>30</v>
      </c>
      <c r="AG98" s="3050"/>
      <c r="AH98" s="191"/>
      <c r="AI98" s="192"/>
    </row>
    <row r="99" spans="1:35" ht="22.15" customHeight="1" x14ac:dyDescent="0.2">
      <c r="A99" s="499">
        <v>1</v>
      </c>
      <c r="B99" s="476"/>
      <c r="C99" s="541" t="s">
        <v>110</v>
      </c>
      <c r="D99" s="541" t="s">
        <v>110</v>
      </c>
      <c r="E99" s="541" t="s">
        <v>46</v>
      </c>
      <c r="F99" s="541" t="s">
        <v>46</v>
      </c>
      <c r="G99" s="541" t="s">
        <v>35</v>
      </c>
      <c r="H99" s="541" t="s">
        <v>35</v>
      </c>
      <c r="I99" s="541" t="s">
        <v>35</v>
      </c>
      <c r="J99" s="541" t="s">
        <v>35</v>
      </c>
      <c r="K99" s="541" t="s">
        <v>35</v>
      </c>
      <c r="L99" s="541"/>
      <c r="M99" s="541"/>
      <c r="N99" s="541" t="s">
        <v>156</v>
      </c>
      <c r="O99" s="541" t="s">
        <v>156</v>
      </c>
      <c r="P99" s="544" t="s">
        <v>156</v>
      </c>
      <c r="Q99" s="541" t="s">
        <v>156</v>
      </c>
      <c r="R99" s="541" t="s">
        <v>156</v>
      </c>
      <c r="S99" s="541"/>
      <c r="T99" s="541"/>
      <c r="U99" s="541" t="s">
        <v>156</v>
      </c>
      <c r="V99" s="541" t="s">
        <v>156</v>
      </c>
      <c r="W99" s="541" t="s">
        <v>156</v>
      </c>
      <c r="X99" s="540" t="s">
        <v>156</v>
      </c>
      <c r="Y99" s="540" t="s">
        <v>156</v>
      </c>
      <c r="Z99" s="540"/>
      <c r="AA99" s="540"/>
      <c r="AB99" s="541" t="s">
        <v>110</v>
      </c>
      <c r="AC99" s="541" t="s">
        <v>110</v>
      </c>
      <c r="AD99" s="541" t="s">
        <v>110</v>
      </c>
      <c r="AE99" s="541" t="s">
        <v>110</v>
      </c>
      <c r="AF99" s="541" t="s">
        <v>110</v>
      </c>
      <c r="AG99" s="545"/>
      <c r="AH99" s="193"/>
      <c r="AI99" s="194"/>
    </row>
    <row r="100" spans="1:35" ht="22.15" customHeight="1" x14ac:dyDescent="0.2">
      <c r="A100" s="3170">
        <v>2</v>
      </c>
      <c r="B100" s="3063" t="s">
        <v>157</v>
      </c>
      <c r="C100" s="3171"/>
      <c r="D100" s="3171"/>
      <c r="E100" s="3171"/>
      <c r="F100" s="3171"/>
      <c r="G100" s="3171" t="s">
        <v>110</v>
      </c>
      <c r="H100" s="3171" t="s">
        <v>110</v>
      </c>
      <c r="I100" s="3171" t="s">
        <v>110</v>
      </c>
      <c r="J100" s="3171" t="s">
        <v>110</v>
      </c>
      <c r="K100" s="3060" t="s">
        <v>110</v>
      </c>
      <c r="L100" s="3172" t="s">
        <v>46</v>
      </c>
      <c r="M100" s="3172" t="s">
        <v>46</v>
      </c>
      <c r="N100" s="3172" t="s">
        <v>35</v>
      </c>
      <c r="O100" s="3172" t="s">
        <v>35</v>
      </c>
      <c r="P100" s="3172" t="s">
        <v>35</v>
      </c>
      <c r="Q100" s="3172" t="s">
        <v>35</v>
      </c>
      <c r="R100" s="3172" t="s">
        <v>35</v>
      </c>
      <c r="S100" s="3172"/>
      <c r="T100" s="3172"/>
      <c r="U100" s="3127" t="s">
        <v>156</v>
      </c>
      <c r="V100" s="3172" t="s">
        <v>156</v>
      </c>
      <c r="W100" s="3128" t="s">
        <v>156</v>
      </c>
      <c r="X100" s="3172" t="s">
        <v>156</v>
      </c>
      <c r="Y100" s="3172" t="s">
        <v>156</v>
      </c>
      <c r="Z100" s="3172"/>
      <c r="AA100" s="3127"/>
      <c r="AB100" s="3127" t="s">
        <v>156</v>
      </c>
      <c r="AC100" s="3127" t="s">
        <v>156</v>
      </c>
      <c r="AD100" s="3127" t="s">
        <v>156</v>
      </c>
      <c r="AE100" s="3127" t="s">
        <v>156</v>
      </c>
      <c r="AF100" s="3127"/>
      <c r="AG100" s="3173"/>
      <c r="AH100" s="193"/>
      <c r="AI100" s="194"/>
    </row>
    <row r="101" spans="1:35" ht="22.15" customHeight="1" x14ac:dyDescent="0.2">
      <c r="A101" s="3170">
        <v>3</v>
      </c>
      <c r="B101" s="3174" t="s">
        <v>159</v>
      </c>
      <c r="C101" s="3172"/>
      <c r="D101" s="3175"/>
      <c r="E101" s="3061"/>
      <c r="F101" s="3101"/>
      <c r="G101" s="3101"/>
      <c r="H101" s="3101" t="s">
        <v>156</v>
      </c>
      <c r="I101" s="3101" t="s">
        <v>156</v>
      </c>
      <c r="J101" s="3171" t="s">
        <v>156</v>
      </c>
      <c r="K101" s="3171" t="s">
        <v>156</v>
      </c>
      <c r="L101" s="3171"/>
      <c r="M101" s="3171"/>
      <c r="N101" s="3100" t="s">
        <v>110</v>
      </c>
      <c r="O101" s="3100" t="s">
        <v>110</v>
      </c>
      <c r="P101" s="3100" t="s">
        <v>110</v>
      </c>
      <c r="Q101" s="3100" t="s">
        <v>110</v>
      </c>
      <c r="R101" s="3100" t="s">
        <v>110</v>
      </c>
      <c r="S101" s="3127" t="s">
        <v>46</v>
      </c>
      <c r="T101" s="3127" t="s">
        <v>46</v>
      </c>
      <c r="U101" s="3172" t="s">
        <v>35</v>
      </c>
      <c r="V101" s="3172" t="s">
        <v>35</v>
      </c>
      <c r="W101" s="3172" t="s">
        <v>35</v>
      </c>
      <c r="X101" s="3172" t="s">
        <v>35</v>
      </c>
      <c r="Y101" s="3100" t="s">
        <v>35</v>
      </c>
      <c r="Z101" s="3127"/>
      <c r="AA101" s="3127"/>
      <c r="AB101" s="3127" t="s">
        <v>156</v>
      </c>
      <c r="AC101" s="3127" t="s">
        <v>156</v>
      </c>
      <c r="AD101" s="3128" t="s">
        <v>156</v>
      </c>
      <c r="AE101" s="3172" t="s">
        <v>156</v>
      </c>
      <c r="AF101" s="3172"/>
      <c r="AG101" s="3176"/>
      <c r="AH101" s="193"/>
      <c r="AI101" s="194"/>
    </row>
    <row r="102" spans="1:35" ht="22.15" customHeight="1" thickBot="1" x14ac:dyDescent="0.25">
      <c r="A102" s="3177">
        <v>4</v>
      </c>
      <c r="B102" s="3178"/>
      <c r="C102" s="3179" t="s">
        <v>35</v>
      </c>
      <c r="D102" s="3179" t="s">
        <v>35</v>
      </c>
      <c r="E102" s="3179"/>
      <c r="F102" s="3179"/>
      <c r="G102" s="3179"/>
      <c r="H102" s="3179" t="s">
        <v>156</v>
      </c>
      <c r="I102" s="3179" t="s">
        <v>156</v>
      </c>
      <c r="J102" s="3179" t="s">
        <v>156</v>
      </c>
      <c r="K102" s="3179" t="s">
        <v>156</v>
      </c>
      <c r="L102" s="3179"/>
      <c r="M102" s="3179"/>
      <c r="N102" s="3179" t="s">
        <v>156</v>
      </c>
      <c r="O102" s="3179" t="s">
        <v>156</v>
      </c>
      <c r="P102" s="3179" t="s">
        <v>156</v>
      </c>
      <c r="Q102" s="3179" t="s">
        <v>156</v>
      </c>
      <c r="R102" s="3179" t="s">
        <v>156</v>
      </c>
      <c r="S102" s="3179" t="s">
        <v>0</v>
      </c>
      <c r="T102" s="3179" t="s">
        <v>0</v>
      </c>
      <c r="U102" s="3179" t="s">
        <v>110</v>
      </c>
      <c r="V102" s="3179" t="s">
        <v>110</v>
      </c>
      <c r="W102" s="3179" t="s">
        <v>110</v>
      </c>
      <c r="X102" s="3179" t="s">
        <v>110</v>
      </c>
      <c r="Y102" s="3179" t="s">
        <v>110</v>
      </c>
      <c r="Z102" s="3179" t="s">
        <v>46</v>
      </c>
      <c r="AA102" s="3180" t="s">
        <v>46</v>
      </c>
      <c r="AB102" s="3180" t="s">
        <v>35</v>
      </c>
      <c r="AC102" s="3180" t="s">
        <v>35</v>
      </c>
      <c r="AD102" s="3180" t="s">
        <v>35</v>
      </c>
      <c r="AE102" s="3180" t="s">
        <v>35</v>
      </c>
      <c r="AF102" s="3179" t="s">
        <v>35</v>
      </c>
      <c r="AG102" s="3181"/>
      <c r="AH102" s="193"/>
      <c r="AI102" s="194"/>
    </row>
    <row r="103" spans="1:35" ht="22.15" customHeight="1" thickBot="1" x14ac:dyDescent="0.25">
      <c r="A103" s="231"/>
      <c r="B103" s="232"/>
      <c r="C103" s="233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3"/>
      <c r="U103" s="233"/>
      <c r="V103" s="233"/>
      <c r="W103" s="233"/>
      <c r="X103" s="233"/>
      <c r="Y103" s="233"/>
      <c r="Z103" s="233"/>
      <c r="AA103" s="233"/>
      <c r="AB103" s="233"/>
      <c r="AC103" s="233"/>
      <c r="AD103" s="233"/>
      <c r="AE103" s="233"/>
      <c r="AF103" s="233"/>
      <c r="AG103" s="234"/>
      <c r="AH103" s="235"/>
      <c r="AI103" s="194"/>
    </row>
    <row r="104" spans="1:35" ht="22.15" customHeight="1" x14ac:dyDescent="0.2">
      <c r="A104" s="72"/>
      <c r="B104" s="304" t="s">
        <v>160</v>
      </c>
      <c r="C104" s="500"/>
      <c r="D104" s="501" t="s">
        <v>90</v>
      </c>
      <c r="E104" s="502"/>
      <c r="F104" s="500"/>
      <c r="G104" s="503" t="s">
        <v>91</v>
      </c>
      <c r="H104" s="504"/>
      <c r="I104" s="505"/>
      <c r="J104" s="503" t="s">
        <v>92</v>
      </c>
      <c r="K104" s="506"/>
      <c r="L104" s="505"/>
      <c r="M104" s="507" t="s">
        <v>93</v>
      </c>
      <c r="N104" s="506"/>
      <c r="O104" s="505"/>
      <c r="P104" s="503" t="s">
        <v>94</v>
      </c>
      <c r="Q104" s="508"/>
      <c r="R104" s="505"/>
      <c r="S104" s="503" t="s">
        <v>95</v>
      </c>
      <c r="T104" s="509"/>
      <c r="U104" s="505"/>
      <c r="V104" s="503" t="s">
        <v>96</v>
      </c>
      <c r="W104" s="508"/>
      <c r="X104" s="510" t="s">
        <v>138</v>
      </c>
      <c r="Y104" s="511"/>
      <c r="Z104" s="511"/>
      <c r="AA104" s="512"/>
      <c r="AB104" s="290" t="s">
        <v>97</v>
      </c>
      <c r="AC104" s="291"/>
      <c r="AD104" s="291"/>
      <c r="AE104" s="292"/>
      <c r="AF104" s="292"/>
      <c r="AG104" s="293"/>
      <c r="AH104" s="235"/>
      <c r="AI104" s="194"/>
    </row>
    <row r="105" spans="1:35" ht="22.15" customHeight="1" x14ac:dyDescent="0.2">
      <c r="A105" s="72"/>
      <c r="B105" s="3182" t="s">
        <v>161</v>
      </c>
      <c r="C105" s="3183" t="s">
        <v>162</v>
      </c>
      <c r="D105" s="3032"/>
      <c r="E105" s="3033"/>
      <c r="F105" s="3183" t="s">
        <v>162</v>
      </c>
      <c r="G105" s="3032"/>
      <c r="H105" s="3033"/>
      <c r="I105" s="3183" t="s">
        <v>162</v>
      </c>
      <c r="J105" s="3032"/>
      <c r="K105" s="3033"/>
      <c r="L105" s="3183" t="s">
        <v>162</v>
      </c>
      <c r="M105" s="3032"/>
      <c r="N105" s="3033"/>
      <c r="O105" s="3183" t="s">
        <v>163</v>
      </c>
      <c r="P105" s="3032"/>
      <c r="Q105" s="3033"/>
      <c r="R105" s="3183"/>
      <c r="S105" s="3032"/>
      <c r="T105" s="3033"/>
      <c r="U105" s="3183"/>
      <c r="V105" s="3032"/>
      <c r="W105" s="3033"/>
      <c r="X105" s="3183"/>
      <c r="Y105" s="3184"/>
      <c r="Z105" s="3184"/>
      <c r="AA105" s="3184"/>
      <c r="AB105" s="3029"/>
      <c r="AC105" s="3184"/>
      <c r="AD105" s="3184"/>
      <c r="AE105" s="3184"/>
      <c r="AF105" s="3184"/>
      <c r="AG105" s="3185"/>
      <c r="AH105" s="235"/>
      <c r="AI105" s="194"/>
    </row>
    <row r="106" spans="1:35" ht="22.15" customHeight="1" x14ac:dyDescent="0.2">
      <c r="A106" s="72"/>
      <c r="B106" s="17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235"/>
      <c r="AI106" s="194"/>
    </row>
    <row r="107" spans="1:35" ht="22.15" customHeight="1" thickBot="1" x14ac:dyDescent="0.25">
      <c r="A107" s="3134" t="s">
        <v>28</v>
      </c>
      <c r="B107" s="3091" t="s">
        <v>29</v>
      </c>
      <c r="C107" s="3048">
        <v>1</v>
      </c>
      <c r="D107" s="3048">
        <v>2</v>
      </c>
      <c r="E107" s="3048">
        <v>3</v>
      </c>
      <c r="F107" s="3048">
        <v>4</v>
      </c>
      <c r="G107" s="3048">
        <v>5</v>
      </c>
      <c r="H107" s="3049">
        <v>6</v>
      </c>
      <c r="I107" s="3049">
        <v>7</v>
      </c>
      <c r="J107" s="3049">
        <v>8</v>
      </c>
      <c r="K107" s="3049">
        <v>9</v>
      </c>
      <c r="L107" s="3048">
        <v>10</v>
      </c>
      <c r="M107" s="3048">
        <v>11</v>
      </c>
      <c r="N107" s="3049">
        <v>12</v>
      </c>
      <c r="O107" s="3049">
        <v>13</v>
      </c>
      <c r="P107" s="3049">
        <v>14</v>
      </c>
      <c r="Q107" s="3049">
        <v>15</v>
      </c>
      <c r="R107" s="3049">
        <v>16</v>
      </c>
      <c r="S107" s="3048">
        <v>17</v>
      </c>
      <c r="T107" s="3048">
        <v>18</v>
      </c>
      <c r="U107" s="3049">
        <v>19</v>
      </c>
      <c r="V107" s="3049">
        <v>20</v>
      </c>
      <c r="W107" s="3049">
        <v>21</v>
      </c>
      <c r="X107" s="3049">
        <v>22</v>
      </c>
      <c r="Y107" s="3049">
        <v>23</v>
      </c>
      <c r="Z107" s="3048">
        <v>24</v>
      </c>
      <c r="AA107" s="3048">
        <v>25</v>
      </c>
      <c r="AB107" s="3049">
        <v>26</v>
      </c>
      <c r="AC107" s="3049">
        <v>27</v>
      </c>
      <c r="AD107" s="3049">
        <v>28</v>
      </c>
      <c r="AE107" s="3049">
        <v>29</v>
      </c>
      <c r="AF107" s="3048">
        <v>30</v>
      </c>
      <c r="AG107" s="3050"/>
      <c r="AH107" s="235"/>
      <c r="AI107" s="194"/>
    </row>
    <row r="108" spans="1:35" ht="22.15" customHeight="1" x14ac:dyDescent="0.2">
      <c r="A108" s="513">
        <v>8520</v>
      </c>
      <c r="B108" s="514" t="s">
        <v>164</v>
      </c>
      <c r="C108" s="458"/>
      <c r="D108" s="458"/>
      <c r="E108" s="458"/>
      <c r="F108" s="458"/>
      <c r="G108" s="458"/>
      <c r="H108" s="458" t="s">
        <v>165</v>
      </c>
      <c r="I108" s="458" t="s">
        <v>165</v>
      </c>
      <c r="J108" s="458" t="s">
        <v>165</v>
      </c>
      <c r="K108" s="458" t="s">
        <v>165</v>
      </c>
      <c r="L108" s="458"/>
      <c r="M108" s="458"/>
      <c r="N108" s="458" t="s">
        <v>165</v>
      </c>
      <c r="O108" s="458" t="s">
        <v>165</v>
      </c>
      <c r="P108" s="458" t="s">
        <v>165</v>
      </c>
      <c r="Q108" s="458" t="s">
        <v>165</v>
      </c>
      <c r="R108" s="458" t="s">
        <v>165</v>
      </c>
      <c r="S108" s="458"/>
      <c r="T108" s="458"/>
      <c r="U108" s="458" t="s">
        <v>165</v>
      </c>
      <c r="V108" s="458" t="s">
        <v>165</v>
      </c>
      <c r="W108" s="458" t="s">
        <v>165</v>
      </c>
      <c r="X108" s="458" t="s">
        <v>165</v>
      </c>
      <c r="Y108" s="458" t="s">
        <v>165</v>
      </c>
      <c r="Z108" s="458"/>
      <c r="AA108" s="458"/>
      <c r="AB108" s="458" t="s">
        <v>165</v>
      </c>
      <c r="AC108" s="458" t="s">
        <v>165</v>
      </c>
      <c r="AD108" s="458" t="s">
        <v>165</v>
      </c>
      <c r="AE108" s="458" t="s">
        <v>165</v>
      </c>
      <c r="AF108" s="458"/>
      <c r="AG108" s="464"/>
      <c r="AH108" s="235"/>
      <c r="AI108" s="194"/>
    </row>
    <row r="109" spans="1:35" ht="22.15" customHeight="1" x14ac:dyDescent="0.2">
      <c r="A109" s="243"/>
      <c r="B109" s="242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35"/>
      <c r="AI109" s="194"/>
    </row>
    <row r="110" spans="1:35" ht="22.15" customHeight="1" x14ac:dyDescent="0.2">
      <c r="AH110" s="107"/>
      <c r="AI110" s="107"/>
    </row>
    <row r="111" spans="1:35" ht="22.15" customHeight="1" thickBot="1" x14ac:dyDescent="0.25">
      <c r="A111" s="173" t="s">
        <v>166</v>
      </c>
      <c r="B111" s="174"/>
      <c r="C111" s="174"/>
      <c r="D111" s="175"/>
      <c r="E111" s="175"/>
      <c r="F111" s="175"/>
      <c r="G111" s="10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4"/>
      <c r="AI111" s="174"/>
    </row>
    <row r="112" spans="1:35" ht="22.15" customHeight="1" x14ac:dyDescent="0.2">
      <c r="A112" s="173"/>
      <c r="B112" s="304" t="s">
        <v>167</v>
      </c>
      <c r="C112" s="515"/>
      <c r="D112" s="516" t="s">
        <v>90</v>
      </c>
      <c r="E112" s="517"/>
      <c r="F112" s="518"/>
      <c r="G112" s="515"/>
      <c r="H112" s="516" t="s">
        <v>91</v>
      </c>
      <c r="I112" s="517"/>
      <c r="J112" s="518"/>
      <c r="K112" s="515"/>
      <c r="L112" s="516" t="s">
        <v>92</v>
      </c>
      <c r="M112" s="517"/>
      <c r="N112" s="518"/>
      <c r="O112" s="515"/>
      <c r="P112" s="516" t="s">
        <v>93</v>
      </c>
      <c r="Q112" s="517"/>
      <c r="R112" s="518"/>
      <c r="S112" s="515"/>
      <c r="T112" s="516" t="s">
        <v>94</v>
      </c>
      <c r="U112" s="517"/>
      <c r="V112" s="518"/>
      <c r="W112" s="515"/>
      <c r="X112" s="516" t="s">
        <v>95</v>
      </c>
      <c r="Y112" s="517"/>
      <c r="Z112" s="518"/>
      <c r="AA112" s="515"/>
      <c r="AB112" s="516" t="s">
        <v>96</v>
      </c>
      <c r="AC112" s="517"/>
      <c r="AD112" s="517"/>
      <c r="AE112" s="519" t="s">
        <v>97</v>
      </c>
      <c r="AF112" s="517"/>
      <c r="AG112" s="517"/>
      <c r="AH112" s="517"/>
      <c r="AI112" s="520"/>
    </row>
    <row r="113" spans="1:35" ht="22.15" customHeight="1" x14ac:dyDescent="0.2">
      <c r="A113" s="173"/>
      <c r="B113" s="3186" t="s">
        <v>139</v>
      </c>
      <c r="C113" s="3187">
        <v>69</v>
      </c>
      <c r="D113" s="3188" t="s">
        <v>168</v>
      </c>
      <c r="E113" s="3188"/>
      <c r="F113" s="3189"/>
      <c r="G113" s="3187">
        <v>69</v>
      </c>
      <c r="H113" s="3188" t="s">
        <v>168</v>
      </c>
      <c r="I113" s="3188"/>
      <c r="J113" s="3189"/>
      <c r="K113" s="3187">
        <v>69</v>
      </c>
      <c r="L113" s="3188" t="s">
        <v>168</v>
      </c>
      <c r="M113" s="3188"/>
      <c r="N113" s="3189"/>
      <c r="O113" s="3187">
        <v>69</v>
      </c>
      <c r="P113" s="3188" t="s">
        <v>168</v>
      </c>
      <c r="Q113" s="3188"/>
      <c r="R113" s="3189"/>
      <c r="S113" s="3187">
        <v>69</v>
      </c>
      <c r="T113" s="3188" t="s">
        <v>168</v>
      </c>
      <c r="U113" s="3188"/>
      <c r="V113" s="3189"/>
      <c r="W113" s="3187"/>
      <c r="X113" s="3190"/>
      <c r="Y113" s="3190"/>
      <c r="Z113" s="3191"/>
      <c r="AA113" s="3187"/>
      <c r="AB113" s="3188"/>
      <c r="AC113" s="3188"/>
      <c r="AD113" s="3116"/>
      <c r="AE113" s="3192">
        <v>35</v>
      </c>
      <c r="AF113" s="3188"/>
      <c r="AG113" s="3188"/>
      <c r="AH113" s="3116"/>
      <c r="AI113" s="3193"/>
    </row>
    <row r="114" spans="1:35" ht="22.15" customHeight="1" x14ac:dyDescent="0.2">
      <c r="A114" s="173"/>
      <c r="B114" s="3186" t="s">
        <v>143</v>
      </c>
      <c r="C114" s="3187">
        <v>79</v>
      </c>
      <c r="D114" s="3188" t="s">
        <v>169</v>
      </c>
      <c r="E114" s="3188"/>
      <c r="F114" s="3189"/>
      <c r="G114" s="3187">
        <v>79</v>
      </c>
      <c r="H114" s="3188" t="s">
        <v>169</v>
      </c>
      <c r="I114" s="3188"/>
      <c r="J114" s="3189"/>
      <c r="K114" s="3187">
        <v>79</v>
      </c>
      <c r="L114" s="3188" t="s">
        <v>169</v>
      </c>
      <c r="M114" s="3188"/>
      <c r="N114" s="3189"/>
      <c r="O114" s="3187">
        <v>79</v>
      </c>
      <c r="P114" s="3188" t="s">
        <v>169</v>
      </c>
      <c r="Q114" s="3188"/>
      <c r="R114" s="3189"/>
      <c r="S114" s="3187">
        <v>79</v>
      </c>
      <c r="T114" s="3188" t="s">
        <v>169</v>
      </c>
      <c r="U114" s="3188"/>
      <c r="V114" s="3189"/>
      <c r="W114" s="3187"/>
      <c r="X114" s="3188"/>
      <c r="Y114" s="3188"/>
      <c r="Z114" s="3189"/>
      <c r="AA114" s="3188"/>
      <c r="AB114" s="3188"/>
      <c r="AC114" s="3188"/>
      <c r="AD114" s="3116"/>
      <c r="AE114" s="3192">
        <v>40</v>
      </c>
      <c r="AF114" s="3188"/>
      <c r="AG114" s="3188"/>
      <c r="AH114" s="3116"/>
      <c r="AI114" s="3193"/>
    </row>
    <row r="115" spans="1:35" ht="22.15" customHeight="1" x14ac:dyDescent="0.2">
      <c r="A115" s="173"/>
      <c r="B115" s="3186" t="s">
        <v>153</v>
      </c>
      <c r="C115" s="3187">
        <v>89</v>
      </c>
      <c r="D115" s="3188" t="s">
        <v>170</v>
      </c>
      <c r="E115" s="3188"/>
      <c r="F115" s="3189"/>
      <c r="G115" s="3187">
        <v>89</v>
      </c>
      <c r="H115" s="3188" t="s">
        <v>170</v>
      </c>
      <c r="I115" s="3188"/>
      <c r="J115" s="3189"/>
      <c r="K115" s="3187">
        <v>89</v>
      </c>
      <c r="L115" s="3188" t="s">
        <v>170</v>
      </c>
      <c r="M115" s="3188"/>
      <c r="N115" s="3189"/>
      <c r="O115" s="3187">
        <v>89</v>
      </c>
      <c r="P115" s="3188" t="s">
        <v>170</v>
      </c>
      <c r="Q115" s="3188"/>
      <c r="R115" s="3189"/>
      <c r="S115" s="3187">
        <v>89</v>
      </c>
      <c r="T115" s="3188" t="s">
        <v>171</v>
      </c>
      <c r="U115" s="3188"/>
      <c r="V115" s="3189"/>
      <c r="W115" s="3194"/>
      <c r="X115" s="3195" t="s">
        <v>172</v>
      </c>
      <c r="Y115" s="3195"/>
      <c r="Z115" s="3196"/>
      <c r="AA115" s="3194"/>
      <c r="AB115" s="3195"/>
      <c r="AC115" s="3195"/>
      <c r="AD115" s="3118"/>
      <c r="AE115" s="3192">
        <v>44</v>
      </c>
      <c r="AF115" s="3188"/>
      <c r="AG115" s="3188"/>
      <c r="AH115" s="3116"/>
      <c r="AI115" s="3193"/>
    </row>
    <row r="116" spans="1:35" ht="22.15" customHeight="1" x14ac:dyDescent="0.2">
      <c r="A116" s="173"/>
      <c r="B116" s="38" t="s">
        <v>155</v>
      </c>
      <c r="C116" s="3194">
        <v>99</v>
      </c>
      <c r="D116" s="3195" t="s">
        <v>173</v>
      </c>
      <c r="E116" s="3195"/>
      <c r="F116" s="3196"/>
      <c r="G116" s="3194">
        <v>99</v>
      </c>
      <c r="H116" s="3195" t="s">
        <v>173</v>
      </c>
      <c r="I116" s="3195"/>
      <c r="J116" s="3196"/>
      <c r="K116" s="3194">
        <v>99</v>
      </c>
      <c r="L116" s="3195" t="s">
        <v>173</v>
      </c>
      <c r="M116" s="3195"/>
      <c r="N116" s="3196"/>
      <c r="O116" s="3194">
        <v>99</v>
      </c>
      <c r="P116" s="3195" t="s">
        <v>173</v>
      </c>
      <c r="Q116" s="3195"/>
      <c r="R116" s="3196"/>
      <c r="S116" s="3194">
        <v>99</v>
      </c>
      <c r="T116" s="3195" t="s">
        <v>154</v>
      </c>
      <c r="U116" s="3195"/>
      <c r="V116" s="3118"/>
      <c r="W116" s="3117"/>
      <c r="X116" s="3118"/>
      <c r="Y116" s="3195"/>
      <c r="Z116" s="3196"/>
      <c r="AA116" s="3117"/>
      <c r="AB116" s="3118"/>
      <c r="AC116" s="3195"/>
      <c r="AD116" s="3196"/>
      <c r="AE116" s="3197">
        <v>28</v>
      </c>
      <c r="AF116" s="3195"/>
      <c r="AG116" s="3195"/>
      <c r="AH116" s="3118"/>
      <c r="AI116" s="3198"/>
    </row>
    <row r="117" spans="1:35" ht="22.15" customHeight="1" thickBot="1" x14ac:dyDescent="0.25">
      <c r="A117" s="173"/>
      <c r="B117" s="3199" t="s">
        <v>174</v>
      </c>
      <c r="C117" s="3200" t="s">
        <v>175</v>
      </c>
      <c r="D117" s="3201" t="s">
        <v>176</v>
      </c>
      <c r="E117" s="3202"/>
      <c r="F117" s="3084"/>
      <c r="G117" s="3200" t="s">
        <v>175</v>
      </c>
      <c r="H117" s="3201" t="s">
        <v>176</v>
      </c>
      <c r="I117" s="3082"/>
      <c r="J117" s="3202"/>
      <c r="K117" s="3200" t="s">
        <v>175</v>
      </c>
      <c r="L117" s="3201" t="s">
        <v>176</v>
      </c>
      <c r="M117" s="3202"/>
      <c r="N117" s="3203"/>
      <c r="O117" s="3200" t="s">
        <v>175</v>
      </c>
      <c r="P117" s="3201" t="s">
        <v>176</v>
      </c>
      <c r="Q117" s="3202"/>
      <c r="R117" s="3201"/>
      <c r="S117" s="3200" t="s">
        <v>175</v>
      </c>
      <c r="T117" s="3086" t="s">
        <v>177</v>
      </c>
      <c r="U117" s="3201"/>
      <c r="V117" s="3203"/>
      <c r="W117" s="3202"/>
      <c r="X117" s="3201"/>
      <c r="Y117" s="3201"/>
      <c r="Z117" s="3201"/>
      <c r="AA117" s="3204"/>
      <c r="AB117" s="3205"/>
      <c r="AC117" s="3201"/>
      <c r="AD117" s="3206"/>
      <c r="AE117" s="3201"/>
      <c r="AF117" s="3201"/>
      <c r="AG117" s="3201"/>
      <c r="AH117" s="3207"/>
      <c r="AI117" s="3208"/>
    </row>
    <row r="118" spans="1:35" ht="22.15" customHeight="1" x14ac:dyDescent="0.2">
      <c r="A118" s="108"/>
      <c r="B118" s="173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4"/>
      <c r="AI118" s="174"/>
    </row>
    <row r="119" spans="1:35" ht="22.15" customHeight="1" thickBot="1" x14ac:dyDescent="0.25">
      <c r="A119" s="3134"/>
      <c r="B119" s="3091" t="s">
        <v>29</v>
      </c>
      <c r="C119" s="3048">
        <v>1</v>
      </c>
      <c r="D119" s="3048">
        <v>2</v>
      </c>
      <c r="E119" s="3048">
        <v>3</v>
      </c>
      <c r="F119" s="3048">
        <v>4</v>
      </c>
      <c r="G119" s="3048">
        <v>5</v>
      </c>
      <c r="H119" s="3049">
        <v>6</v>
      </c>
      <c r="I119" s="3049">
        <v>7</v>
      </c>
      <c r="J119" s="3049">
        <v>8</v>
      </c>
      <c r="K119" s="3049">
        <v>9</v>
      </c>
      <c r="L119" s="3048">
        <v>10</v>
      </c>
      <c r="M119" s="3048">
        <v>11</v>
      </c>
      <c r="N119" s="3049">
        <v>12</v>
      </c>
      <c r="O119" s="3049">
        <v>13</v>
      </c>
      <c r="P119" s="3049">
        <v>14</v>
      </c>
      <c r="Q119" s="3049">
        <v>15</v>
      </c>
      <c r="R119" s="3049">
        <v>16</v>
      </c>
      <c r="S119" s="3048">
        <v>17</v>
      </c>
      <c r="T119" s="3048">
        <v>18</v>
      </c>
      <c r="U119" s="3049">
        <v>19</v>
      </c>
      <c r="V119" s="3049">
        <v>20</v>
      </c>
      <c r="W119" s="3049">
        <v>21</v>
      </c>
      <c r="X119" s="3049">
        <v>22</v>
      </c>
      <c r="Y119" s="3049">
        <v>23</v>
      </c>
      <c r="Z119" s="3048">
        <v>24</v>
      </c>
      <c r="AA119" s="3048">
        <v>25</v>
      </c>
      <c r="AB119" s="3049">
        <v>26</v>
      </c>
      <c r="AC119" s="3049">
        <v>27</v>
      </c>
      <c r="AD119" s="3049">
        <v>28</v>
      </c>
      <c r="AE119" s="3049">
        <v>29</v>
      </c>
      <c r="AF119" s="3048">
        <v>30</v>
      </c>
      <c r="AG119" s="3050"/>
      <c r="AH119" s="184"/>
      <c r="AI119" s="185"/>
    </row>
    <row r="120" spans="1:35" ht="22.15" customHeight="1" x14ac:dyDescent="0.2">
      <c r="A120" s="521">
        <v>1</v>
      </c>
      <c r="B120" s="522" t="s">
        <v>178</v>
      </c>
      <c r="C120" s="477"/>
      <c r="D120" s="477"/>
      <c r="E120" s="458">
        <v>89</v>
      </c>
      <c r="F120" s="458"/>
      <c r="G120" s="459"/>
      <c r="H120" s="477">
        <v>99</v>
      </c>
      <c r="I120" s="459">
        <v>99</v>
      </c>
      <c r="J120" s="459">
        <v>99</v>
      </c>
      <c r="K120" s="477" t="s">
        <v>35</v>
      </c>
      <c r="L120" s="459"/>
      <c r="M120" s="458"/>
      <c r="N120" s="477" t="s">
        <v>175</v>
      </c>
      <c r="O120" s="477" t="s">
        <v>175</v>
      </c>
      <c r="P120" s="477" t="s">
        <v>175</v>
      </c>
      <c r="Q120" s="477" t="s">
        <v>175</v>
      </c>
      <c r="R120" s="477" t="s">
        <v>175</v>
      </c>
      <c r="S120" s="458"/>
      <c r="T120" s="458"/>
      <c r="U120" s="477">
        <v>69</v>
      </c>
      <c r="V120" s="477">
        <v>69</v>
      </c>
      <c r="W120" s="477">
        <v>69</v>
      </c>
      <c r="X120" s="477">
        <v>69</v>
      </c>
      <c r="Y120" s="477">
        <v>69</v>
      </c>
      <c r="Z120" s="477"/>
      <c r="AA120" s="459"/>
      <c r="AB120" s="477">
        <v>79</v>
      </c>
      <c r="AC120" s="477">
        <v>79</v>
      </c>
      <c r="AD120" s="477">
        <v>79</v>
      </c>
      <c r="AE120" s="459">
        <v>79</v>
      </c>
      <c r="AF120" s="459"/>
      <c r="AG120" s="478"/>
      <c r="AH120" s="215"/>
      <c r="AI120" s="107"/>
    </row>
    <row r="121" spans="1:35" ht="22.15" customHeight="1" x14ac:dyDescent="0.2">
      <c r="A121" s="3209">
        <v>2</v>
      </c>
      <c r="B121" s="3136" t="s">
        <v>179</v>
      </c>
      <c r="C121" s="3060"/>
      <c r="D121" s="3100" t="s">
        <v>35</v>
      </c>
      <c r="E121" s="3059"/>
      <c r="F121" s="3059"/>
      <c r="G121" s="3100"/>
      <c r="H121" s="3100" t="s">
        <v>175</v>
      </c>
      <c r="I121" s="3100" t="s">
        <v>175</v>
      </c>
      <c r="J121" s="3100" t="s">
        <v>175</v>
      </c>
      <c r="K121" s="3100" t="s">
        <v>175</v>
      </c>
      <c r="L121" s="3059"/>
      <c r="M121" s="3059"/>
      <c r="N121" s="3100">
        <v>69</v>
      </c>
      <c r="O121" s="3100">
        <v>69</v>
      </c>
      <c r="P121" s="3100">
        <v>69</v>
      </c>
      <c r="Q121" s="3100">
        <v>69</v>
      </c>
      <c r="R121" s="3060">
        <v>69</v>
      </c>
      <c r="S121" s="3100"/>
      <c r="T121" s="3059"/>
      <c r="U121" s="3100">
        <v>79</v>
      </c>
      <c r="V121" s="3100">
        <v>79</v>
      </c>
      <c r="W121" s="3100">
        <v>79</v>
      </c>
      <c r="X121" s="3100">
        <v>79</v>
      </c>
      <c r="Y121" s="3100">
        <v>79</v>
      </c>
      <c r="Z121" s="3059"/>
      <c r="AA121" s="3059"/>
      <c r="AB121" s="3060">
        <v>89</v>
      </c>
      <c r="AC121" s="3100">
        <v>89</v>
      </c>
      <c r="AD121" s="3060">
        <v>89</v>
      </c>
      <c r="AE121" s="3060">
        <v>89</v>
      </c>
      <c r="AF121" s="3100"/>
      <c r="AG121" s="3210"/>
      <c r="AH121" s="216"/>
      <c r="AI121" s="172"/>
    </row>
    <row r="122" spans="1:35" ht="22.15" customHeight="1" x14ac:dyDescent="0.2">
      <c r="A122" s="3209">
        <v>3</v>
      </c>
      <c r="B122" s="3136" t="s">
        <v>121</v>
      </c>
      <c r="C122" s="3211"/>
      <c r="D122" s="3211"/>
      <c r="E122" s="3211"/>
      <c r="F122" s="3211"/>
      <c r="G122" s="3212"/>
      <c r="H122" s="3212">
        <v>69</v>
      </c>
      <c r="I122" s="3212">
        <v>69</v>
      </c>
      <c r="J122" s="3212">
        <v>69</v>
      </c>
      <c r="K122" s="3212">
        <v>69</v>
      </c>
      <c r="L122" s="3212"/>
      <c r="M122" s="3212"/>
      <c r="N122" s="3212">
        <v>79</v>
      </c>
      <c r="O122" s="3212">
        <v>79</v>
      </c>
      <c r="P122" s="3212">
        <v>79</v>
      </c>
      <c r="Q122" s="3212">
        <v>79</v>
      </c>
      <c r="R122" s="3212">
        <v>79</v>
      </c>
      <c r="S122" s="3212"/>
      <c r="T122" s="3212"/>
      <c r="U122" s="3212">
        <v>89</v>
      </c>
      <c r="V122" s="3212">
        <v>89</v>
      </c>
      <c r="W122" s="3212">
        <v>89</v>
      </c>
      <c r="X122" s="3212">
        <v>89</v>
      </c>
      <c r="Y122" s="3212">
        <v>89</v>
      </c>
      <c r="Z122" s="3212">
        <v>89</v>
      </c>
      <c r="AA122" s="3212"/>
      <c r="AB122" s="3212">
        <v>99</v>
      </c>
      <c r="AC122" s="3212">
        <v>99</v>
      </c>
      <c r="AD122" s="3212">
        <v>99</v>
      </c>
      <c r="AE122" s="3212">
        <v>99</v>
      </c>
      <c r="AF122" s="3212" t="s">
        <v>35</v>
      </c>
      <c r="AG122" s="3213"/>
      <c r="AH122" s="215"/>
      <c r="AI122" s="107"/>
    </row>
    <row r="123" spans="1:35" ht="22.15" customHeight="1" x14ac:dyDescent="0.2">
      <c r="A123" s="3209">
        <v>4</v>
      </c>
      <c r="B123" s="3136" t="s">
        <v>254</v>
      </c>
      <c r="C123" s="3140"/>
      <c r="D123" s="3140"/>
      <c r="E123" s="3140"/>
      <c r="F123" s="3059"/>
      <c r="G123" s="3059"/>
      <c r="H123" s="3059">
        <v>79</v>
      </c>
      <c r="I123" s="3059">
        <v>79</v>
      </c>
      <c r="J123" s="3059">
        <v>79</v>
      </c>
      <c r="K123" s="3100">
        <v>79</v>
      </c>
      <c r="L123" s="3059"/>
      <c r="M123" s="3059"/>
      <c r="N123" s="3059">
        <v>89</v>
      </c>
      <c r="O123" s="3059">
        <v>89</v>
      </c>
      <c r="P123" s="3059">
        <v>89</v>
      </c>
      <c r="Q123" s="3140">
        <v>89</v>
      </c>
      <c r="R123" s="3140">
        <v>89</v>
      </c>
      <c r="S123" s="3059">
        <v>89</v>
      </c>
      <c r="T123" s="3059"/>
      <c r="U123" s="3059">
        <v>99</v>
      </c>
      <c r="V123" s="3059">
        <v>99</v>
      </c>
      <c r="W123" s="3059">
        <v>99</v>
      </c>
      <c r="X123" s="3059">
        <v>99</v>
      </c>
      <c r="Y123" s="3140" t="s">
        <v>35</v>
      </c>
      <c r="Z123" s="3128"/>
      <c r="AA123" s="3059"/>
      <c r="AB123" s="3059" t="s">
        <v>175</v>
      </c>
      <c r="AC123" s="3059" t="s">
        <v>175</v>
      </c>
      <c r="AD123" s="3059" t="s">
        <v>175</v>
      </c>
      <c r="AE123" s="3059" t="s">
        <v>181</v>
      </c>
      <c r="AF123" s="3140"/>
      <c r="AG123" s="3214"/>
      <c r="AH123" s="215"/>
      <c r="AI123" s="107"/>
    </row>
    <row r="124" spans="1:35" ht="22.15" customHeight="1" thickBot="1" x14ac:dyDescent="0.25">
      <c r="A124" s="3215">
        <v>5</v>
      </c>
      <c r="B124" s="3216" t="s">
        <v>182</v>
      </c>
      <c r="C124" s="3217"/>
      <c r="D124" s="3217"/>
      <c r="E124" s="3217"/>
      <c r="F124" s="3049"/>
      <c r="G124" s="3104"/>
      <c r="H124" s="3104">
        <v>89</v>
      </c>
      <c r="I124" s="3104">
        <v>89</v>
      </c>
      <c r="J124" s="3104">
        <v>89</v>
      </c>
      <c r="K124" s="3104">
        <v>89</v>
      </c>
      <c r="L124" s="3104">
        <v>89</v>
      </c>
      <c r="M124" s="3104"/>
      <c r="N124" s="3217">
        <v>99</v>
      </c>
      <c r="O124" s="3217">
        <v>99</v>
      </c>
      <c r="P124" s="3217">
        <v>99</v>
      </c>
      <c r="Q124" s="3217">
        <v>99</v>
      </c>
      <c r="R124" s="3217" t="s">
        <v>35</v>
      </c>
      <c r="S124" s="3049"/>
      <c r="T124" s="3218"/>
      <c r="U124" s="3217" t="s">
        <v>175</v>
      </c>
      <c r="V124" s="3217" t="s">
        <v>175</v>
      </c>
      <c r="W124" s="3217" t="s">
        <v>175</v>
      </c>
      <c r="X124" s="3217" t="s">
        <v>175</v>
      </c>
      <c r="Y124" s="3217" t="s">
        <v>175</v>
      </c>
      <c r="Z124" s="3219"/>
      <c r="AA124" s="3219"/>
      <c r="AB124" s="3217">
        <v>69</v>
      </c>
      <c r="AC124" s="3217">
        <v>69</v>
      </c>
      <c r="AD124" s="3217">
        <v>69</v>
      </c>
      <c r="AE124" s="3217">
        <v>69</v>
      </c>
      <c r="AF124" s="3217"/>
      <c r="AG124" s="3220"/>
      <c r="AH124" s="215"/>
      <c r="AI124" s="107"/>
    </row>
    <row r="125" spans="1:35" ht="22.15" customHeight="1" x14ac:dyDescent="0.2">
      <c r="A125" s="256"/>
      <c r="B125" s="257"/>
      <c r="C125" s="258"/>
      <c r="D125" s="258"/>
      <c r="E125" s="258"/>
      <c r="F125" s="229"/>
      <c r="G125" s="255"/>
      <c r="H125" s="255"/>
      <c r="I125" s="255"/>
      <c r="J125" s="255"/>
      <c r="K125" s="255"/>
      <c r="L125" s="229"/>
      <c r="M125" s="229"/>
      <c r="N125" s="258"/>
      <c r="O125" s="258"/>
      <c r="P125" s="258"/>
      <c r="Q125" s="258"/>
      <c r="R125" s="258"/>
      <c r="S125" s="229"/>
      <c r="T125" s="259"/>
      <c r="U125" s="258"/>
      <c r="V125" s="258"/>
      <c r="W125" s="258"/>
      <c r="X125" s="258"/>
      <c r="Y125" s="258"/>
      <c r="Z125" s="260"/>
      <c r="AA125" s="260"/>
      <c r="AB125" s="258"/>
      <c r="AC125" s="258"/>
      <c r="AD125" s="258"/>
      <c r="AE125" s="258"/>
      <c r="AF125" s="258"/>
      <c r="AG125" s="260"/>
      <c r="AH125" s="215"/>
      <c r="AI125" s="107"/>
    </row>
    <row r="126" spans="1:35" ht="22.15" customHeight="1" x14ac:dyDescent="0.2">
      <c r="A126" s="109"/>
      <c r="B126" s="110"/>
      <c r="C126" s="106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7"/>
      <c r="AI126" s="107"/>
    </row>
    <row r="127" spans="1:35" ht="22.15" customHeight="1" thickBot="1" x14ac:dyDescent="0.25">
      <c r="A127" s="173" t="s">
        <v>183</v>
      </c>
      <c r="B127" s="174"/>
      <c r="C127" s="174"/>
      <c r="D127" s="175"/>
      <c r="E127" s="175"/>
      <c r="F127" s="175"/>
      <c r="G127" s="10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4"/>
      <c r="AI127" s="174"/>
    </row>
    <row r="128" spans="1:35" ht="22.15" customHeight="1" x14ac:dyDescent="0.2">
      <c r="A128" s="173"/>
      <c r="B128" s="304" t="s">
        <v>167</v>
      </c>
      <c r="C128" s="515"/>
      <c r="D128" s="516" t="s">
        <v>90</v>
      </c>
      <c r="E128" s="517"/>
      <c r="F128" s="518"/>
      <c r="G128" s="515"/>
      <c r="H128" s="516" t="s">
        <v>91</v>
      </c>
      <c r="I128" s="517"/>
      <c r="J128" s="518"/>
      <c r="K128" s="515"/>
      <c r="L128" s="516" t="s">
        <v>92</v>
      </c>
      <c r="M128" s="517"/>
      <c r="N128" s="518"/>
      <c r="O128" s="515"/>
      <c r="P128" s="516" t="s">
        <v>93</v>
      </c>
      <c r="Q128" s="517"/>
      <c r="R128" s="518"/>
      <c r="S128" s="515"/>
      <c r="T128" s="516" t="s">
        <v>94</v>
      </c>
      <c r="U128" s="517"/>
      <c r="V128" s="518"/>
      <c r="W128" s="515"/>
      <c r="X128" s="516" t="s">
        <v>95</v>
      </c>
      <c r="Y128" s="517"/>
      <c r="Z128" s="518"/>
      <c r="AA128" s="515"/>
      <c r="AB128" s="516" t="s">
        <v>96</v>
      </c>
      <c r="AC128" s="517"/>
      <c r="AD128" s="517"/>
      <c r="AE128" s="519" t="s">
        <v>97</v>
      </c>
      <c r="AF128" s="517"/>
      <c r="AG128" s="517"/>
      <c r="AH128" s="517"/>
      <c r="AI128" s="520"/>
    </row>
    <row r="129" spans="1:35" ht="22.15" customHeight="1" x14ac:dyDescent="0.2">
      <c r="A129" s="173"/>
      <c r="B129" s="3186" t="s">
        <v>184</v>
      </c>
      <c r="C129" s="3115" t="s">
        <v>185</v>
      </c>
      <c r="D129" s="3188"/>
      <c r="E129" s="3188"/>
      <c r="F129" s="3189"/>
      <c r="G129" s="3115" t="s">
        <v>185</v>
      </c>
      <c r="H129" s="3188"/>
      <c r="I129" s="3188"/>
      <c r="J129" s="3189"/>
      <c r="K129" s="3115" t="s">
        <v>185</v>
      </c>
      <c r="L129" s="3188"/>
      <c r="M129" s="3188"/>
      <c r="N129" s="3189"/>
      <c r="O129" s="3115" t="s">
        <v>185</v>
      </c>
      <c r="P129" s="3188"/>
      <c r="Q129" s="3188"/>
      <c r="R129" s="3189"/>
      <c r="S129" s="3115" t="s">
        <v>185</v>
      </c>
      <c r="T129" s="3188"/>
      <c r="U129" s="3188"/>
      <c r="V129" s="3189"/>
      <c r="W129" s="3115" t="s">
        <v>186</v>
      </c>
      <c r="X129" s="3190"/>
      <c r="Y129" s="3190"/>
      <c r="Z129" s="3191"/>
      <c r="AA129" s="3115" t="s">
        <v>186</v>
      </c>
      <c r="AB129" s="3188"/>
      <c r="AC129" s="3188"/>
      <c r="AD129" s="3116"/>
      <c r="AE129" s="3192">
        <v>68</v>
      </c>
      <c r="AF129" s="208"/>
      <c r="AG129" s="208"/>
      <c r="AH129" s="208"/>
      <c r="AI129" s="209"/>
    </row>
    <row r="130" spans="1:35" ht="22.15" customHeight="1" x14ac:dyDescent="0.2">
      <c r="A130" s="173"/>
      <c r="B130" s="3186" t="s">
        <v>143</v>
      </c>
      <c r="C130" s="3115" t="s">
        <v>154</v>
      </c>
      <c r="D130" s="3188"/>
      <c r="E130" s="3188"/>
      <c r="F130" s="3189"/>
      <c r="G130" s="3115" t="s">
        <v>154</v>
      </c>
      <c r="H130" s="3188"/>
      <c r="I130" s="3188"/>
      <c r="J130" s="3189"/>
      <c r="K130" s="3115" t="s">
        <v>154</v>
      </c>
      <c r="L130" s="3188"/>
      <c r="M130" s="3188"/>
      <c r="N130" s="3189"/>
      <c r="O130" s="3115" t="s">
        <v>154</v>
      </c>
      <c r="P130" s="3188"/>
      <c r="Q130" s="3188"/>
      <c r="R130" s="3189"/>
      <c r="S130" s="3115" t="s">
        <v>154</v>
      </c>
      <c r="T130" s="3188"/>
      <c r="U130" s="3188"/>
      <c r="V130" s="3189"/>
      <c r="W130" s="3115" t="s">
        <v>154</v>
      </c>
      <c r="X130" s="3188"/>
      <c r="Y130" s="3188"/>
      <c r="Z130" s="3189"/>
      <c r="AA130" s="3188" t="s">
        <v>154</v>
      </c>
      <c r="AB130" s="3188"/>
      <c r="AC130" s="3188"/>
      <c r="AD130" s="3116"/>
      <c r="AE130" s="3192">
        <v>0</v>
      </c>
      <c r="AF130" s="208"/>
      <c r="AG130" s="208"/>
      <c r="AH130" s="208"/>
      <c r="AI130" s="209"/>
    </row>
    <row r="131" spans="1:35" ht="22.15" customHeight="1" x14ac:dyDescent="0.2">
      <c r="A131" s="173"/>
      <c r="B131" s="3186" t="s">
        <v>187</v>
      </c>
      <c r="C131" s="3115" t="s">
        <v>185</v>
      </c>
      <c r="D131" s="3188"/>
      <c r="E131" s="3188"/>
      <c r="F131" s="3189"/>
      <c r="G131" s="3115" t="s">
        <v>185</v>
      </c>
      <c r="H131" s="3188"/>
      <c r="I131" s="3188"/>
      <c r="J131" s="3189"/>
      <c r="K131" s="3115" t="s">
        <v>185</v>
      </c>
      <c r="L131" s="3188"/>
      <c r="M131" s="3188"/>
      <c r="N131" s="3189"/>
      <c r="O131" s="3115" t="s">
        <v>185</v>
      </c>
      <c r="P131" s="3188"/>
      <c r="Q131" s="3188"/>
      <c r="R131" s="3189"/>
      <c r="S131" s="3115" t="s">
        <v>185</v>
      </c>
      <c r="T131" s="3188"/>
      <c r="U131" s="3188"/>
      <c r="V131" s="3189"/>
      <c r="W131" s="3115" t="s">
        <v>186</v>
      </c>
      <c r="X131" s="3190"/>
      <c r="Y131" s="3190"/>
      <c r="Z131" s="3191"/>
      <c r="AA131" s="3115" t="s">
        <v>186</v>
      </c>
      <c r="AB131" s="3188"/>
      <c r="AC131" s="3188"/>
      <c r="AD131" s="3116"/>
      <c r="AE131" s="3192">
        <v>68</v>
      </c>
      <c r="AF131" s="3188"/>
      <c r="AG131" s="3188" t="s">
        <v>0</v>
      </c>
      <c r="AH131" s="3116"/>
      <c r="AI131" s="3193"/>
    </row>
    <row r="132" spans="1:35" ht="22.15" customHeight="1" x14ac:dyDescent="0.2">
      <c r="A132" s="173"/>
      <c r="B132" s="3186" t="s">
        <v>155</v>
      </c>
      <c r="C132" s="3115" t="s">
        <v>154</v>
      </c>
      <c r="D132" s="3188"/>
      <c r="E132" s="3188"/>
      <c r="F132" s="3189"/>
      <c r="G132" s="3115" t="s">
        <v>154</v>
      </c>
      <c r="H132" s="3188"/>
      <c r="I132" s="3188"/>
      <c r="J132" s="3189"/>
      <c r="K132" s="3115" t="s">
        <v>154</v>
      </c>
      <c r="L132" s="3188"/>
      <c r="M132" s="3188"/>
      <c r="N132" s="3189"/>
      <c r="O132" s="3115" t="s">
        <v>154</v>
      </c>
      <c r="P132" s="3188"/>
      <c r="Q132" s="3188"/>
      <c r="R132" s="3189"/>
      <c r="S132" s="3115" t="s">
        <v>154</v>
      </c>
      <c r="T132" s="3188"/>
      <c r="U132" s="3188"/>
      <c r="V132" s="3189"/>
      <c r="W132" s="3115" t="s">
        <v>154</v>
      </c>
      <c r="X132" s="3188"/>
      <c r="Y132" s="3188"/>
      <c r="Z132" s="3189"/>
      <c r="AA132" s="3188" t="s">
        <v>154</v>
      </c>
      <c r="AB132" s="3188"/>
      <c r="AC132" s="3188"/>
      <c r="AD132" s="3116"/>
      <c r="AE132" s="3192">
        <v>0</v>
      </c>
      <c r="AF132" s="3188"/>
      <c r="AG132" s="3188"/>
      <c r="AH132" s="3116"/>
      <c r="AI132" s="3193"/>
    </row>
    <row r="133" spans="1:35" ht="22.15" customHeight="1" x14ac:dyDescent="0.2">
      <c r="A133" s="173"/>
      <c r="B133" s="3186" t="s">
        <v>188</v>
      </c>
      <c r="C133" s="3115" t="s">
        <v>185</v>
      </c>
      <c r="D133" s="3188"/>
      <c r="E133" s="3188"/>
      <c r="F133" s="3189"/>
      <c r="G133" s="3115" t="s">
        <v>185</v>
      </c>
      <c r="H133" s="3188"/>
      <c r="I133" s="3188"/>
      <c r="J133" s="3189"/>
      <c r="K133" s="3115" t="s">
        <v>185</v>
      </c>
      <c r="L133" s="3188"/>
      <c r="M133" s="3188"/>
      <c r="N133" s="3189"/>
      <c r="O133" s="3115" t="s">
        <v>185</v>
      </c>
      <c r="P133" s="3188"/>
      <c r="Q133" s="3188"/>
      <c r="R133" s="3189"/>
      <c r="S133" s="3115" t="s">
        <v>185</v>
      </c>
      <c r="T133" s="3188"/>
      <c r="U133" s="3188"/>
      <c r="V133" s="3189"/>
      <c r="W133" s="3115" t="s">
        <v>189</v>
      </c>
      <c r="X133" s="3195"/>
      <c r="Y133" s="3195"/>
      <c r="Z133" s="3196"/>
      <c r="AA133" s="3115" t="s">
        <v>189</v>
      </c>
      <c r="AB133" s="3195"/>
      <c r="AC133" s="3195"/>
      <c r="AD133" s="3118"/>
      <c r="AE133" s="3192">
        <v>68</v>
      </c>
      <c r="AF133" s="3188"/>
      <c r="AG133" s="3188"/>
      <c r="AH133" s="3116"/>
      <c r="AI133" s="3193"/>
    </row>
    <row r="134" spans="1:35" ht="22.15" customHeight="1" thickBot="1" x14ac:dyDescent="0.25">
      <c r="A134" s="173"/>
      <c r="B134" s="3186" t="s">
        <v>190</v>
      </c>
      <c r="C134" s="3221" t="s">
        <v>154</v>
      </c>
      <c r="D134" s="3222"/>
      <c r="E134" s="3222"/>
      <c r="F134" s="3223"/>
      <c r="G134" s="3221" t="s">
        <v>154</v>
      </c>
      <c r="H134" s="3222"/>
      <c r="I134" s="3222"/>
      <c r="J134" s="3223"/>
      <c r="K134" s="3221" t="s">
        <v>154</v>
      </c>
      <c r="L134" s="3222"/>
      <c r="M134" s="3222"/>
      <c r="N134" s="3223"/>
      <c r="O134" s="3221" t="s">
        <v>154</v>
      </c>
      <c r="P134" s="3222"/>
      <c r="Q134" s="3222"/>
      <c r="R134" s="3223"/>
      <c r="S134" s="3221" t="s">
        <v>154</v>
      </c>
      <c r="T134" s="3222"/>
      <c r="U134" s="3222"/>
      <c r="V134" s="3207"/>
      <c r="W134" s="3221" t="s">
        <v>154</v>
      </c>
      <c r="X134" s="3207"/>
      <c r="Y134" s="3222"/>
      <c r="Z134" s="3223"/>
      <c r="AA134" s="3221" t="s">
        <v>154</v>
      </c>
      <c r="AB134" s="3207"/>
      <c r="AC134" s="3222"/>
      <c r="AD134" s="3223"/>
      <c r="AE134" s="3224" t="s">
        <v>191</v>
      </c>
      <c r="AF134" s="3222"/>
      <c r="AG134" s="3222"/>
      <c r="AH134" s="3207"/>
      <c r="AI134" s="3208"/>
    </row>
    <row r="135" spans="1:35" ht="22.15" customHeight="1" x14ac:dyDescent="0.2">
      <c r="A135" s="108"/>
      <c r="B135" s="173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4"/>
      <c r="AI135" s="174"/>
    </row>
    <row r="136" spans="1:35" ht="22.15" customHeight="1" thickBot="1" x14ac:dyDescent="0.25">
      <c r="A136" s="3134"/>
      <c r="B136" s="3047" t="s">
        <v>29</v>
      </c>
      <c r="C136" s="3048">
        <v>1</v>
      </c>
      <c r="D136" s="3048">
        <v>2</v>
      </c>
      <c r="E136" s="3048">
        <v>3</v>
      </c>
      <c r="F136" s="3048">
        <v>4</v>
      </c>
      <c r="G136" s="3048">
        <v>5</v>
      </c>
      <c r="H136" s="3049">
        <v>6</v>
      </c>
      <c r="I136" s="3049">
        <v>7</v>
      </c>
      <c r="J136" s="3049">
        <v>8</v>
      </c>
      <c r="K136" s="3049">
        <v>9</v>
      </c>
      <c r="L136" s="3048">
        <v>10</v>
      </c>
      <c r="M136" s="3048">
        <v>11</v>
      </c>
      <c r="N136" s="3049">
        <v>12</v>
      </c>
      <c r="O136" s="3049">
        <v>13</v>
      </c>
      <c r="P136" s="3049">
        <v>14</v>
      </c>
      <c r="Q136" s="3049">
        <v>15</v>
      </c>
      <c r="R136" s="3049">
        <v>16</v>
      </c>
      <c r="S136" s="3048">
        <v>17</v>
      </c>
      <c r="T136" s="3048">
        <v>18</v>
      </c>
      <c r="U136" s="3049">
        <v>19</v>
      </c>
      <c r="V136" s="3049">
        <v>20</v>
      </c>
      <c r="W136" s="3049">
        <v>21</v>
      </c>
      <c r="X136" s="3049">
        <v>22</v>
      </c>
      <c r="Y136" s="3049">
        <v>23</v>
      </c>
      <c r="Z136" s="3048">
        <v>24</v>
      </c>
      <c r="AA136" s="3048">
        <v>25</v>
      </c>
      <c r="AB136" s="3049">
        <v>26</v>
      </c>
      <c r="AC136" s="3049">
        <v>27</v>
      </c>
      <c r="AD136" s="3049">
        <v>28</v>
      </c>
      <c r="AE136" s="3049">
        <v>29</v>
      </c>
      <c r="AF136" s="3048">
        <v>30</v>
      </c>
      <c r="AG136" s="3050"/>
      <c r="AH136" s="184"/>
      <c r="AI136" s="185"/>
    </row>
    <row r="137" spans="1:35" ht="22.15" customHeight="1" x14ac:dyDescent="0.2">
      <c r="A137" s="408">
        <v>1</v>
      </c>
      <c r="B137" s="252" t="s">
        <v>192</v>
      </c>
      <c r="C137" s="380">
        <v>21</v>
      </c>
      <c r="D137" s="380">
        <v>21</v>
      </c>
      <c r="E137" s="380">
        <v>21</v>
      </c>
      <c r="F137" s="380">
        <v>21</v>
      </c>
      <c r="G137" s="390" t="s">
        <v>35</v>
      </c>
      <c r="H137" s="380" t="s">
        <v>35</v>
      </c>
      <c r="I137" s="385" t="s">
        <v>35</v>
      </c>
      <c r="J137" s="390" t="s">
        <v>35</v>
      </c>
      <c r="K137" s="380" t="s">
        <v>35</v>
      </c>
      <c r="L137" s="385"/>
      <c r="M137" s="390"/>
      <c r="N137" s="390">
        <v>22</v>
      </c>
      <c r="O137" s="380">
        <v>22</v>
      </c>
      <c r="P137" s="380">
        <v>22</v>
      </c>
      <c r="Q137" s="380">
        <v>22</v>
      </c>
      <c r="R137" s="380">
        <v>22</v>
      </c>
      <c r="S137" s="380">
        <v>22</v>
      </c>
      <c r="T137" s="380">
        <v>22</v>
      </c>
      <c r="U137" s="380" t="s">
        <v>35</v>
      </c>
      <c r="V137" s="380" t="s">
        <v>35</v>
      </c>
      <c r="W137" s="385" t="s">
        <v>35</v>
      </c>
      <c r="X137" s="380" t="s">
        <v>35</v>
      </c>
      <c r="Y137" s="380" t="s">
        <v>35</v>
      </c>
      <c r="Z137" s="385"/>
      <c r="AA137" s="380"/>
      <c r="AB137" s="380">
        <v>23</v>
      </c>
      <c r="AC137" s="380">
        <v>23</v>
      </c>
      <c r="AD137" s="380">
        <v>23</v>
      </c>
      <c r="AE137" s="380">
        <v>23</v>
      </c>
      <c r="AF137" s="380">
        <v>23</v>
      </c>
      <c r="AG137" s="387"/>
      <c r="AH137" s="107"/>
      <c r="AI137" s="107"/>
    </row>
    <row r="138" spans="1:35" ht="22.15" customHeight="1" x14ac:dyDescent="0.2">
      <c r="A138" s="3225">
        <v>2</v>
      </c>
      <c r="B138" s="3226" t="s">
        <v>193</v>
      </c>
      <c r="C138" s="2735">
        <v>22</v>
      </c>
      <c r="D138" s="2735">
        <v>22</v>
      </c>
      <c r="E138" s="2735">
        <v>22</v>
      </c>
      <c r="F138" s="2735">
        <v>22</v>
      </c>
      <c r="G138" s="2735" t="s">
        <v>35</v>
      </c>
      <c r="H138" s="2735" t="s">
        <v>35</v>
      </c>
      <c r="I138" s="2817" t="s">
        <v>35</v>
      </c>
      <c r="J138" s="2735" t="s">
        <v>35</v>
      </c>
      <c r="K138" s="2735" t="s">
        <v>35</v>
      </c>
      <c r="L138" s="2817"/>
      <c r="M138" s="2736"/>
      <c r="N138" s="2736">
        <v>23</v>
      </c>
      <c r="O138" s="2736">
        <v>23</v>
      </c>
      <c r="P138" s="2736">
        <v>23</v>
      </c>
      <c r="Q138" s="2736">
        <v>23</v>
      </c>
      <c r="R138" s="2736">
        <v>23</v>
      </c>
      <c r="S138" s="2736">
        <v>23</v>
      </c>
      <c r="T138" s="2736">
        <v>23</v>
      </c>
      <c r="U138" s="2736" t="s">
        <v>35</v>
      </c>
      <c r="V138" s="2736" t="s">
        <v>35</v>
      </c>
      <c r="W138" s="2817" t="s">
        <v>35</v>
      </c>
      <c r="X138" s="2735" t="s">
        <v>35</v>
      </c>
      <c r="Y138" s="2735" t="s">
        <v>35</v>
      </c>
      <c r="Z138" s="2817"/>
      <c r="AA138" s="2736"/>
      <c r="AB138" s="2736">
        <v>21</v>
      </c>
      <c r="AC138" s="2736">
        <v>21</v>
      </c>
      <c r="AD138" s="2736">
        <v>21</v>
      </c>
      <c r="AE138" s="2736">
        <v>21</v>
      </c>
      <c r="AF138" s="2736">
        <v>21</v>
      </c>
      <c r="AG138" s="2138"/>
      <c r="AH138" s="107"/>
      <c r="AI138" s="107"/>
    </row>
    <row r="139" spans="1:35" ht="22.15" customHeight="1" x14ac:dyDescent="0.2">
      <c r="A139" s="3225">
        <v>3</v>
      </c>
      <c r="B139" s="3226" t="s">
        <v>194</v>
      </c>
      <c r="C139" s="2735">
        <v>23</v>
      </c>
      <c r="D139" s="2735">
        <v>23</v>
      </c>
      <c r="E139" s="2735">
        <v>23</v>
      </c>
      <c r="F139" s="2735">
        <v>23</v>
      </c>
      <c r="G139" s="2736" t="s">
        <v>35</v>
      </c>
      <c r="H139" s="2736" t="s">
        <v>35</v>
      </c>
      <c r="I139" s="2817" t="s">
        <v>35</v>
      </c>
      <c r="J139" s="2735" t="s">
        <v>35</v>
      </c>
      <c r="K139" s="2735" t="s">
        <v>35</v>
      </c>
      <c r="L139" s="2817"/>
      <c r="M139" s="2735"/>
      <c r="N139" s="2735">
        <v>21</v>
      </c>
      <c r="O139" s="2735">
        <v>21</v>
      </c>
      <c r="P139" s="2735">
        <v>21</v>
      </c>
      <c r="Q139" s="3227">
        <v>21</v>
      </c>
      <c r="R139" s="3228">
        <v>21</v>
      </c>
      <c r="S139" s="2743">
        <v>21</v>
      </c>
      <c r="T139" s="2735">
        <v>21</v>
      </c>
      <c r="U139" s="2736" t="s">
        <v>35</v>
      </c>
      <c r="V139" s="2736" t="s">
        <v>35</v>
      </c>
      <c r="W139" s="2817" t="s">
        <v>35</v>
      </c>
      <c r="X139" s="2735" t="s">
        <v>35</v>
      </c>
      <c r="Y139" s="2735" t="s">
        <v>35</v>
      </c>
      <c r="Z139" s="2817"/>
      <c r="AA139" s="2735"/>
      <c r="AB139" s="2735">
        <v>22</v>
      </c>
      <c r="AC139" s="2735">
        <v>22</v>
      </c>
      <c r="AD139" s="2735">
        <v>22</v>
      </c>
      <c r="AE139" s="2735">
        <v>22</v>
      </c>
      <c r="AF139" s="2735">
        <v>22</v>
      </c>
      <c r="AG139" s="2138"/>
      <c r="AH139" s="107"/>
      <c r="AI139" s="107"/>
    </row>
    <row r="140" spans="1:35" ht="22.15" customHeight="1" x14ac:dyDescent="0.2">
      <c r="A140" s="3225">
        <v>4</v>
      </c>
      <c r="B140" s="3226" t="s">
        <v>195</v>
      </c>
      <c r="C140" s="2735" t="s">
        <v>35</v>
      </c>
      <c r="D140" s="2735" t="s">
        <v>35</v>
      </c>
      <c r="E140" s="2817"/>
      <c r="F140" s="2735"/>
      <c r="G140" s="2735">
        <v>21</v>
      </c>
      <c r="H140" s="2735">
        <v>21</v>
      </c>
      <c r="I140" s="2735">
        <v>21</v>
      </c>
      <c r="J140" s="2735">
        <v>21</v>
      </c>
      <c r="K140" s="2735">
        <v>21</v>
      </c>
      <c r="L140" s="2735">
        <v>21</v>
      </c>
      <c r="M140" s="2735">
        <v>21</v>
      </c>
      <c r="N140" s="2735" t="s">
        <v>35</v>
      </c>
      <c r="O140" s="3229" t="s">
        <v>35</v>
      </c>
      <c r="P140" s="2817" t="s">
        <v>35</v>
      </c>
      <c r="Q140" s="2735" t="s">
        <v>35</v>
      </c>
      <c r="R140" s="2735" t="s">
        <v>35</v>
      </c>
      <c r="S140" s="2817"/>
      <c r="T140" s="2735"/>
      <c r="U140" s="2735">
        <v>22</v>
      </c>
      <c r="V140" s="2735">
        <v>22</v>
      </c>
      <c r="W140" s="2735">
        <v>22</v>
      </c>
      <c r="X140" s="2735">
        <v>22</v>
      </c>
      <c r="Y140" s="2735">
        <v>22</v>
      </c>
      <c r="Z140" s="2735">
        <v>22</v>
      </c>
      <c r="AA140" s="2735">
        <v>22</v>
      </c>
      <c r="AB140" s="2735" t="s">
        <v>35</v>
      </c>
      <c r="AC140" s="2735" t="s">
        <v>35</v>
      </c>
      <c r="AD140" s="2817" t="s">
        <v>35</v>
      </c>
      <c r="AE140" s="2735" t="s">
        <v>35</v>
      </c>
      <c r="AF140" s="2735" t="s">
        <v>35</v>
      </c>
      <c r="AG140" s="2156"/>
      <c r="AH140" s="107"/>
      <c r="AI140" s="107"/>
    </row>
    <row r="141" spans="1:35" ht="22.15" customHeight="1" x14ac:dyDescent="0.2">
      <c r="A141" s="3225">
        <v>5</v>
      </c>
      <c r="B141" s="3226" t="s">
        <v>115</v>
      </c>
      <c r="C141" s="2735" t="s">
        <v>35</v>
      </c>
      <c r="D141" s="2735" t="s">
        <v>35</v>
      </c>
      <c r="E141" s="2817"/>
      <c r="F141" s="2736"/>
      <c r="G141" s="2735">
        <v>22</v>
      </c>
      <c r="H141" s="2734">
        <v>22</v>
      </c>
      <c r="I141" s="3227">
        <v>22</v>
      </c>
      <c r="J141" s="3227">
        <v>22</v>
      </c>
      <c r="K141" s="3227">
        <v>22</v>
      </c>
      <c r="L141" s="3227">
        <v>22</v>
      </c>
      <c r="M141" s="2735">
        <v>22</v>
      </c>
      <c r="N141" s="2735" t="s">
        <v>35</v>
      </c>
      <c r="O141" s="2735" t="s">
        <v>35</v>
      </c>
      <c r="P141" s="2817" t="s">
        <v>35</v>
      </c>
      <c r="Q141" s="2735" t="s">
        <v>35</v>
      </c>
      <c r="R141" s="2735" t="s">
        <v>35</v>
      </c>
      <c r="S141" s="2817"/>
      <c r="T141" s="2735"/>
      <c r="U141" s="2735">
        <v>23</v>
      </c>
      <c r="V141" s="2735">
        <v>23</v>
      </c>
      <c r="W141" s="2735">
        <v>23</v>
      </c>
      <c r="X141" s="2735">
        <v>23</v>
      </c>
      <c r="Y141" s="2735">
        <v>23</v>
      </c>
      <c r="Z141" s="2735">
        <v>23</v>
      </c>
      <c r="AA141" s="2735">
        <v>23</v>
      </c>
      <c r="AB141" s="2735" t="s">
        <v>35</v>
      </c>
      <c r="AC141" s="2736" t="s">
        <v>35</v>
      </c>
      <c r="AD141" s="2736" t="s">
        <v>35</v>
      </c>
      <c r="AE141" s="2736" t="s">
        <v>35</v>
      </c>
      <c r="AF141" s="2735" t="s">
        <v>35</v>
      </c>
      <c r="AG141" s="2156"/>
      <c r="AH141" s="107"/>
      <c r="AI141" s="107"/>
    </row>
    <row r="142" spans="1:35" ht="22.15" customHeight="1" thickBot="1" x14ac:dyDescent="0.25">
      <c r="A142" s="670">
        <v>6</v>
      </c>
      <c r="B142" s="671" t="s">
        <v>197</v>
      </c>
      <c r="C142" s="690" t="s">
        <v>35</v>
      </c>
      <c r="D142" s="690" t="s">
        <v>35</v>
      </c>
      <c r="E142" s="696"/>
      <c r="F142" s="690"/>
      <c r="G142" s="690">
        <v>23</v>
      </c>
      <c r="H142" s="680">
        <v>23</v>
      </c>
      <c r="I142" s="680">
        <v>23</v>
      </c>
      <c r="J142" s="680">
        <v>23</v>
      </c>
      <c r="K142" s="680">
        <v>23</v>
      </c>
      <c r="L142" s="680">
        <v>23</v>
      </c>
      <c r="M142" s="680">
        <v>23</v>
      </c>
      <c r="N142" s="676" t="s">
        <v>35</v>
      </c>
      <c r="O142" s="676" t="s">
        <v>35</v>
      </c>
      <c r="P142" s="696" t="s">
        <v>35</v>
      </c>
      <c r="Q142" s="690" t="s">
        <v>35</v>
      </c>
      <c r="R142" s="690" t="s">
        <v>35</v>
      </c>
      <c r="S142" s="696"/>
      <c r="T142" s="690"/>
      <c r="U142" s="690">
        <v>21</v>
      </c>
      <c r="V142" s="690">
        <v>21</v>
      </c>
      <c r="W142" s="690">
        <v>21</v>
      </c>
      <c r="X142" s="690">
        <v>21</v>
      </c>
      <c r="Y142" s="690">
        <v>21</v>
      </c>
      <c r="Z142" s="690">
        <v>21</v>
      </c>
      <c r="AA142" s="690">
        <v>21</v>
      </c>
      <c r="AB142" s="676" t="s">
        <v>35</v>
      </c>
      <c r="AC142" s="676" t="s">
        <v>35</v>
      </c>
      <c r="AD142" s="696" t="s">
        <v>35</v>
      </c>
      <c r="AE142" s="690" t="s">
        <v>35</v>
      </c>
      <c r="AF142" s="690" t="s">
        <v>35</v>
      </c>
      <c r="AG142" s="217"/>
      <c r="AH142" s="107"/>
      <c r="AI142" s="107"/>
    </row>
    <row r="143" spans="1:35" ht="22.15" customHeight="1" x14ac:dyDescent="0.2">
      <c r="A143" s="256"/>
      <c r="B143" s="228"/>
      <c r="C143" s="229"/>
      <c r="D143" s="229"/>
      <c r="E143" s="255"/>
      <c r="F143" s="229"/>
      <c r="G143" s="229"/>
      <c r="H143" s="261"/>
      <c r="I143" s="261"/>
      <c r="J143" s="261"/>
      <c r="K143" s="261"/>
      <c r="L143" s="261"/>
      <c r="M143" s="261"/>
      <c r="N143" s="216"/>
      <c r="O143" s="216"/>
      <c r="P143" s="255"/>
      <c r="Q143" s="229"/>
      <c r="R143" s="229"/>
      <c r="S143" s="255"/>
      <c r="T143" s="229"/>
      <c r="U143" s="229"/>
      <c r="V143" s="229"/>
      <c r="W143" s="229"/>
      <c r="X143" s="229"/>
      <c r="Y143" s="229"/>
      <c r="Z143" s="229"/>
      <c r="AA143" s="229"/>
      <c r="AB143" s="216"/>
      <c r="AC143" s="216"/>
      <c r="AD143" s="255"/>
      <c r="AE143" s="229"/>
      <c r="AF143" s="229"/>
      <c r="AG143" s="255"/>
      <c r="AH143" s="107"/>
      <c r="AI143" s="107"/>
    </row>
    <row r="144" spans="1:35" ht="22.15" customHeight="1" x14ac:dyDescent="0.2">
      <c r="A144" s="109"/>
      <c r="B144" s="110"/>
      <c r="C144" s="206"/>
      <c r="D144" s="206"/>
      <c r="E144" s="172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172"/>
      <c r="Q144" s="206"/>
      <c r="R144" s="206"/>
      <c r="S144" s="172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7"/>
      <c r="AD144" s="207"/>
      <c r="AE144" s="207"/>
      <c r="AF144" s="206"/>
      <c r="AG144" s="172"/>
      <c r="AH144" s="107"/>
      <c r="AI144" s="107"/>
    </row>
    <row r="145" spans="1:35" ht="22.15" customHeight="1" thickBot="1" x14ac:dyDescent="0.25">
      <c r="A145" s="162" t="s">
        <v>198</v>
      </c>
      <c r="D145" s="72"/>
      <c r="E145" s="72"/>
      <c r="F145" s="72"/>
      <c r="G145" s="105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</row>
    <row r="146" spans="1:35" ht="22.15" customHeight="1" x14ac:dyDescent="0.2">
      <c r="A146" s="1"/>
      <c r="B146" s="304" t="s">
        <v>167</v>
      </c>
      <c r="C146" s="500"/>
      <c r="D146" s="516" t="s">
        <v>90</v>
      </c>
      <c r="E146" s="473"/>
      <c r="F146" s="504"/>
      <c r="G146" s="500"/>
      <c r="H146" s="516" t="s">
        <v>91</v>
      </c>
      <c r="I146" s="473"/>
      <c r="J146" s="504"/>
      <c r="K146" s="500"/>
      <c r="L146" s="516" t="s">
        <v>92</v>
      </c>
      <c r="M146" s="473"/>
      <c r="N146" s="504"/>
      <c r="O146" s="500"/>
      <c r="P146" s="516" t="s">
        <v>93</v>
      </c>
      <c r="Q146" s="473"/>
      <c r="R146" s="504"/>
      <c r="S146" s="500"/>
      <c r="T146" s="516" t="s">
        <v>94</v>
      </c>
      <c r="U146" s="473"/>
      <c r="V146" s="504"/>
      <c r="W146" s="500"/>
      <c r="X146" s="516" t="s">
        <v>95</v>
      </c>
      <c r="Y146" s="473"/>
      <c r="Z146" s="504"/>
      <c r="AA146" s="500"/>
      <c r="AB146" s="516" t="s">
        <v>96</v>
      </c>
      <c r="AC146" s="473"/>
      <c r="AD146" s="473"/>
      <c r="AE146" s="519" t="s">
        <v>97</v>
      </c>
      <c r="AF146" s="473"/>
      <c r="AG146" s="473"/>
      <c r="AH146" s="473"/>
      <c r="AI146" s="474"/>
    </row>
    <row r="147" spans="1:35" ht="22.15" customHeight="1" x14ac:dyDescent="0.2">
      <c r="A147" s="1"/>
      <c r="B147" s="3186" t="s">
        <v>139</v>
      </c>
      <c r="C147" s="3115" t="s">
        <v>168</v>
      </c>
      <c r="D147" s="3030"/>
      <c r="E147" s="3030"/>
      <c r="F147" s="3189"/>
      <c r="G147" s="3115" t="s">
        <v>168</v>
      </c>
      <c r="H147" s="3030"/>
      <c r="I147" s="3030"/>
      <c r="J147" s="3189"/>
      <c r="K147" s="3115" t="s">
        <v>168</v>
      </c>
      <c r="L147" s="3030"/>
      <c r="M147" s="3030"/>
      <c r="N147" s="3189"/>
      <c r="O147" s="3115" t="s">
        <v>199</v>
      </c>
      <c r="P147" s="3030"/>
      <c r="Q147" s="3030"/>
      <c r="R147" s="3189"/>
      <c r="S147" s="3115" t="s">
        <v>154</v>
      </c>
      <c r="T147" s="3030"/>
      <c r="U147" s="3030"/>
      <c r="V147" s="3189"/>
      <c r="W147" s="3230"/>
      <c r="X147" s="3231"/>
      <c r="Y147" s="3231"/>
      <c r="Z147" s="3191"/>
      <c r="AA147" s="3187"/>
      <c r="AB147" s="3030"/>
      <c r="AC147" s="3030"/>
      <c r="AD147" s="3116"/>
      <c r="AE147" s="3192">
        <v>27</v>
      </c>
      <c r="AF147" s="3030"/>
      <c r="AG147" s="3030"/>
      <c r="AH147" s="3116"/>
      <c r="AI147" s="3039"/>
    </row>
    <row r="148" spans="1:35" ht="22.15" customHeight="1" x14ac:dyDescent="0.2">
      <c r="A148" s="1"/>
      <c r="B148" s="3186" t="s">
        <v>143</v>
      </c>
      <c r="C148" s="3115" t="s">
        <v>200</v>
      </c>
      <c r="D148" s="3030"/>
      <c r="E148" s="3030"/>
      <c r="F148" s="3189"/>
      <c r="G148" s="3115" t="s">
        <v>200</v>
      </c>
      <c r="H148" s="3030"/>
      <c r="I148" s="3030"/>
      <c r="J148" s="3189"/>
      <c r="K148" s="3115" t="s">
        <v>200</v>
      </c>
      <c r="L148" s="3030"/>
      <c r="M148" s="3030"/>
      <c r="N148" s="3189"/>
      <c r="O148" s="3115" t="s">
        <v>200</v>
      </c>
      <c r="P148" s="3030"/>
      <c r="Q148" s="3030"/>
      <c r="R148" s="3189"/>
      <c r="S148" s="3115" t="s">
        <v>168</v>
      </c>
      <c r="T148" s="3030"/>
      <c r="U148" s="3030"/>
      <c r="V148" s="3189"/>
      <c r="W148" s="3115"/>
      <c r="X148" s="3030"/>
      <c r="Y148" s="3030"/>
      <c r="Z148" s="3189"/>
      <c r="AA148" s="3030"/>
      <c r="AB148" s="3030"/>
      <c r="AC148" s="3030"/>
      <c r="AD148" s="3116"/>
      <c r="AE148" s="3192">
        <v>39</v>
      </c>
      <c r="AF148" s="3030"/>
      <c r="AG148" s="3030"/>
      <c r="AH148" s="3116"/>
      <c r="AI148" s="3039"/>
    </row>
    <row r="149" spans="1:35" ht="22.15" customHeight="1" x14ac:dyDescent="0.2">
      <c r="A149" s="1"/>
      <c r="B149" s="3186" t="s">
        <v>153</v>
      </c>
      <c r="C149" s="3115" t="s">
        <v>200</v>
      </c>
      <c r="D149" s="3030"/>
      <c r="E149" s="3030"/>
      <c r="F149" s="3189"/>
      <c r="G149" s="3115" t="s">
        <v>200</v>
      </c>
      <c r="H149" s="3030"/>
      <c r="I149" s="3030"/>
      <c r="J149" s="3189"/>
      <c r="K149" s="3115" t="s">
        <v>200</v>
      </c>
      <c r="L149" s="3030"/>
      <c r="M149" s="3030"/>
      <c r="N149" s="3189"/>
      <c r="O149" s="3115" t="s">
        <v>200</v>
      </c>
      <c r="P149" s="3030"/>
      <c r="Q149" s="3030"/>
      <c r="R149" s="3189"/>
      <c r="S149" s="3115" t="s">
        <v>200</v>
      </c>
      <c r="T149" s="3030"/>
      <c r="U149" s="3030"/>
      <c r="V149" s="3189"/>
      <c r="W149" s="3117" t="s">
        <v>201</v>
      </c>
      <c r="X149" s="3043"/>
      <c r="Y149" s="3043"/>
      <c r="Z149" s="3196"/>
      <c r="AA149" s="3194"/>
      <c r="AB149" s="3043"/>
      <c r="AC149" s="3043"/>
      <c r="AD149" s="3118"/>
      <c r="AE149" s="3192">
        <v>45</v>
      </c>
      <c r="AF149" s="3030"/>
      <c r="AG149" s="3030"/>
      <c r="AH149" s="3116"/>
      <c r="AI149" s="3039"/>
    </row>
    <row r="150" spans="1:35" ht="22.15" customHeight="1" thickBot="1" x14ac:dyDescent="0.25">
      <c r="A150" s="1"/>
      <c r="B150" s="3232" t="s">
        <v>155</v>
      </c>
      <c r="C150" s="3221"/>
      <c r="D150" s="3082"/>
      <c r="E150" s="3082"/>
      <c r="F150" s="3223"/>
      <c r="G150" s="3221"/>
      <c r="H150" s="3082"/>
      <c r="I150" s="3082"/>
      <c r="J150" s="3223"/>
      <c r="K150" s="3221"/>
      <c r="L150" s="3082"/>
      <c r="M150" s="3082"/>
      <c r="N150" s="3223"/>
      <c r="O150" s="3221"/>
      <c r="P150" s="3082"/>
      <c r="Q150" s="3082"/>
      <c r="R150" s="3223"/>
      <c r="S150" s="3221"/>
      <c r="T150" s="3082"/>
      <c r="U150" s="3082"/>
      <c r="V150" s="3207"/>
      <c r="W150" s="3221"/>
      <c r="X150" s="3207"/>
      <c r="Y150" s="3082"/>
      <c r="Z150" s="3223"/>
      <c r="AA150" s="3221"/>
      <c r="AB150" s="3207"/>
      <c r="AC150" s="3082"/>
      <c r="AD150" s="3223"/>
      <c r="AE150" s="3233"/>
      <c r="AF150" s="3082"/>
      <c r="AG150" s="3082"/>
      <c r="AH150" s="3207"/>
      <c r="AI150" s="3089"/>
    </row>
    <row r="151" spans="1:35" ht="22.15" customHeight="1" x14ac:dyDescent="0.2">
      <c r="A151" s="108"/>
      <c r="B151" s="1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</row>
    <row r="152" spans="1:35" ht="22.15" customHeight="1" thickBot="1" x14ac:dyDescent="0.25">
      <c r="A152" s="3134"/>
      <c r="B152" s="3091" t="s">
        <v>29</v>
      </c>
      <c r="C152" s="3048">
        <v>1</v>
      </c>
      <c r="D152" s="3048">
        <v>2</v>
      </c>
      <c r="E152" s="3048">
        <v>3</v>
      </c>
      <c r="F152" s="3048">
        <v>4</v>
      </c>
      <c r="G152" s="3048">
        <v>5</v>
      </c>
      <c r="H152" s="3049">
        <v>6</v>
      </c>
      <c r="I152" s="3049">
        <v>7</v>
      </c>
      <c r="J152" s="3049">
        <v>8</v>
      </c>
      <c r="K152" s="3049">
        <v>9</v>
      </c>
      <c r="L152" s="3048">
        <v>10</v>
      </c>
      <c r="M152" s="3048">
        <v>11</v>
      </c>
      <c r="N152" s="3049">
        <v>12</v>
      </c>
      <c r="O152" s="3049">
        <v>13</v>
      </c>
      <c r="P152" s="3049">
        <v>14</v>
      </c>
      <c r="Q152" s="3049">
        <v>15</v>
      </c>
      <c r="R152" s="3049">
        <v>16</v>
      </c>
      <c r="S152" s="3048">
        <v>17</v>
      </c>
      <c r="T152" s="3048">
        <v>18</v>
      </c>
      <c r="U152" s="3049">
        <v>19</v>
      </c>
      <c r="V152" s="3049">
        <v>20</v>
      </c>
      <c r="W152" s="3049">
        <v>21</v>
      </c>
      <c r="X152" s="3049">
        <v>22</v>
      </c>
      <c r="Y152" s="3049">
        <v>23</v>
      </c>
      <c r="Z152" s="3048">
        <v>24</v>
      </c>
      <c r="AA152" s="3048">
        <v>25</v>
      </c>
      <c r="AB152" s="3049">
        <v>26</v>
      </c>
      <c r="AC152" s="3049">
        <v>27</v>
      </c>
      <c r="AD152" s="3049">
        <v>28</v>
      </c>
      <c r="AE152" s="3049">
        <v>29</v>
      </c>
      <c r="AF152" s="3048">
        <v>30</v>
      </c>
      <c r="AG152" s="3050"/>
      <c r="AH152" s="184"/>
      <c r="AI152" s="185"/>
    </row>
    <row r="153" spans="1:35" ht="22.15" customHeight="1" x14ac:dyDescent="0.2">
      <c r="A153" s="521">
        <v>1</v>
      </c>
      <c r="B153" s="523" t="s">
        <v>202</v>
      </c>
      <c r="C153" s="459"/>
      <c r="D153" s="458"/>
      <c r="E153" s="458"/>
      <c r="F153" s="458"/>
      <c r="G153" s="458"/>
      <c r="H153" s="458" t="s">
        <v>31</v>
      </c>
      <c r="I153" s="458" t="s">
        <v>31</v>
      </c>
      <c r="J153" s="459" t="s">
        <v>31</v>
      </c>
      <c r="K153" s="458" t="s">
        <v>31</v>
      </c>
      <c r="L153" s="458"/>
      <c r="M153" s="458"/>
      <c r="N153" s="458" t="s">
        <v>31</v>
      </c>
      <c r="O153" s="458" t="s">
        <v>31</v>
      </c>
      <c r="P153" s="458" t="s">
        <v>31</v>
      </c>
      <c r="Q153" s="459" t="s">
        <v>31</v>
      </c>
      <c r="R153" s="458" t="s">
        <v>31</v>
      </c>
      <c r="S153" s="458"/>
      <c r="T153" s="458"/>
      <c r="U153" s="458" t="s">
        <v>31</v>
      </c>
      <c r="V153" s="458" t="s">
        <v>31</v>
      </c>
      <c r="W153" s="458" t="s">
        <v>31</v>
      </c>
      <c r="X153" s="459" t="s">
        <v>31</v>
      </c>
      <c r="Y153" s="458" t="s">
        <v>31</v>
      </c>
      <c r="Z153" s="458"/>
      <c r="AA153" s="460"/>
      <c r="AB153" s="532" t="s">
        <v>31</v>
      </c>
      <c r="AC153" s="532" t="s">
        <v>31</v>
      </c>
      <c r="AD153" s="532" t="s">
        <v>31</v>
      </c>
      <c r="AE153" s="532" t="s">
        <v>31</v>
      </c>
      <c r="AF153" s="458"/>
      <c r="AG153" s="464"/>
      <c r="AH153" s="250"/>
      <c r="AI153" s="190"/>
    </row>
    <row r="154" spans="1:35" ht="22.15" customHeight="1" x14ac:dyDescent="0.2">
      <c r="A154" s="3209">
        <v>2</v>
      </c>
      <c r="B154" s="3234" t="s">
        <v>203</v>
      </c>
      <c r="C154" s="3059"/>
      <c r="D154" s="3100"/>
      <c r="E154" s="3059"/>
      <c r="F154" s="3059"/>
      <c r="G154" s="3059"/>
      <c r="H154" s="3059" t="s">
        <v>204</v>
      </c>
      <c r="I154" s="3059" t="s">
        <v>204</v>
      </c>
      <c r="J154" s="3059" t="s">
        <v>204</v>
      </c>
      <c r="K154" s="3059" t="s">
        <v>204</v>
      </c>
      <c r="L154" s="3059" t="s">
        <v>204</v>
      </c>
      <c r="M154" s="3059"/>
      <c r="N154" s="3059" t="s">
        <v>205</v>
      </c>
      <c r="O154" s="3059" t="s">
        <v>205</v>
      </c>
      <c r="P154" s="3059" t="s">
        <v>205</v>
      </c>
      <c r="Q154" s="3059" t="s">
        <v>205</v>
      </c>
      <c r="R154" s="3059" t="s">
        <v>35</v>
      </c>
      <c r="S154" s="3059"/>
      <c r="T154" s="3059"/>
      <c r="U154" s="3059" t="s">
        <v>207</v>
      </c>
      <c r="V154" s="3059" t="s">
        <v>207</v>
      </c>
      <c r="W154" s="3059" t="s">
        <v>207</v>
      </c>
      <c r="X154" s="3059" t="s">
        <v>207</v>
      </c>
      <c r="Y154" s="3100" t="s">
        <v>207</v>
      </c>
      <c r="Z154" s="3059"/>
      <c r="AA154" s="3059"/>
      <c r="AB154" s="3059" t="s">
        <v>204</v>
      </c>
      <c r="AC154" s="3059" t="s">
        <v>204</v>
      </c>
      <c r="AD154" s="3059" t="s">
        <v>204</v>
      </c>
      <c r="AE154" s="3059" t="s">
        <v>204</v>
      </c>
      <c r="AF154" s="3059"/>
      <c r="AG154" s="3093"/>
      <c r="AH154" s="250"/>
      <c r="AI154" s="190"/>
    </row>
    <row r="155" spans="1:35" ht="22.15" customHeight="1" x14ac:dyDescent="0.2">
      <c r="A155" s="3209">
        <v>3</v>
      </c>
      <c r="B155" s="3235" t="s">
        <v>432</v>
      </c>
      <c r="C155" s="3059"/>
      <c r="D155" s="3059"/>
      <c r="E155" s="3059" t="s">
        <v>204</v>
      </c>
      <c r="F155" s="3127"/>
      <c r="G155" s="3127"/>
      <c r="H155" s="3127" t="s">
        <v>205</v>
      </c>
      <c r="I155" s="3127" t="s">
        <v>205</v>
      </c>
      <c r="J155" s="3127" t="s">
        <v>205</v>
      </c>
      <c r="K155" s="3127" t="s">
        <v>35</v>
      </c>
      <c r="L155" s="3127"/>
      <c r="M155" s="3127"/>
      <c r="N155" s="3127" t="s">
        <v>207</v>
      </c>
      <c r="O155" s="3127" t="s">
        <v>207</v>
      </c>
      <c r="P155" s="3127" t="s">
        <v>207</v>
      </c>
      <c r="Q155" s="3127" t="s">
        <v>207</v>
      </c>
      <c r="R155" s="3127" t="s">
        <v>207</v>
      </c>
      <c r="S155" s="3127"/>
      <c r="T155" s="3127"/>
      <c r="U155" s="3059" t="s">
        <v>204</v>
      </c>
      <c r="V155" s="3059" t="s">
        <v>204</v>
      </c>
      <c r="W155" s="3059" t="s">
        <v>204</v>
      </c>
      <c r="X155" s="3059" t="s">
        <v>204</v>
      </c>
      <c r="Y155" s="3059" t="s">
        <v>204</v>
      </c>
      <c r="Z155" s="3059" t="s">
        <v>204</v>
      </c>
      <c r="AA155" s="3128"/>
      <c r="AB155" s="3128" t="s">
        <v>205</v>
      </c>
      <c r="AC155" s="3128" t="s">
        <v>205</v>
      </c>
      <c r="AD155" s="3128" t="s">
        <v>205</v>
      </c>
      <c r="AE155" s="3128" t="s">
        <v>205</v>
      </c>
      <c r="AF155" s="3128" t="s">
        <v>35</v>
      </c>
      <c r="AG155" s="3093"/>
      <c r="AH155" s="250"/>
      <c r="AI155" s="190"/>
    </row>
    <row r="156" spans="1:35" ht="22.15" customHeight="1" x14ac:dyDescent="0.2">
      <c r="A156" s="3209">
        <v>4</v>
      </c>
      <c r="B156" s="3235" t="s">
        <v>209</v>
      </c>
      <c r="C156" s="3059"/>
      <c r="D156" s="3059"/>
      <c r="E156" s="3059"/>
      <c r="F156" s="3059"/>
      <c r="G156" s="3059"/>
      <c r="H156" s="3059" t="s">
        <v>32</v>
      </c>
      <c r="I156" s="3059" t="s">
        <v>32</v>
      </c>
      <c r="J156" s="3059"/>
      <c r="K156" s="3059" t="s">
        <v>32</v>
      </c>
      <c r="L156" s="3059"/>
      <c r="M156" s="3059"/>
      <c r="N156" s="3059"/>
      <c r="O156" s="3059" t="s">
        <v>32</v>
      </c>
      <c r="P156" s="3059"/>
      <c r="Q156" s="3056"/>
      <c r="R156" s="3056" t="s">
        <v>32</v>
      </c>
      <c r="S156" s="3056" t="s">
        <v>204</v>
      </c>
      <c r="T156" s="3056"/>
      <c r="U156" s="3056"/>
      <c r="V156" s="3059" t="s">
        <v>32</v>
      </c>
      <c r="W156" s="3059" t="s">
        <v>32</v>
      </c>
      <c r="X156" s="3059"/>
      <c r="Y156" s="3059" t="s">
        <v>32</v>
      </c>
      <c r="Z156" s="3059"/>
      <c r="AA156" s="3059"/>
      <c r="AB156" s="3059"/>
      <c r="AC156" s="3059" t="s">
        <v>32</v>
      </c>
      <c r="AD156" s="3059" t="s">
        <v>32</v>
      </c>
      <c r="AE156" s="3059"/>
      <c r="AF156" s="3059"/>
      <c r="AG156" s="3093"/>
      <c r="AH156" s="250"/>
      <c r="AI156" s="190"/>
    </row>
    <row r="157" spans="1:35" ht="22.15" customHeight="1" x14ac:dyDescent="0.2">
      <c r="A157" s="3209">
        <v>5</v>
      </c>
      <c r="B157" s="3235" t="s">
        <v>210</v>
      </c>
      <c r="C157" s="3059"/>
      <c r="D157" s="3059"/>
      <c r="E157" s="3059"/>
      <c r="F157" s="3059"/>
      <c r="G157" s="3059"/>
      <c r="H157" s="3065" t="s">
        <v>31</v>
      </c>
      <c r="I157" s="3065"/>
      <c r="J157" s="3065" t="s">
        <v>31</v>
      </c>
      <c r="K157" s="3065"/>
      <c r="L157" s="3065"/>
      <c r="M157" s="3065"/>
      <c r="N157" s="3065"/>
      <c r="O157" s="3059" t="s">
        <v>31</v>
      </c>
      <c r="P157" s="3059"/>
      <c r="Q157" s="3059" t="s">
        <v>31</v>
      </c>
      <c r="R157" s="3059"/>
      <c r="S157" s="3059"/>
      <c r="T157" s="3059"/>
      <c r="U157" s="3059"/>
      <c r="V157" s="3059" t="s">
        <v>31</v>
      </c>
      <c r="W157" s="3059"/>
      <c r="X157" s="3059" t="s">
        <v>31</v>
      </c>
      <c r="Y157" s="3059"/>
      <c r="Z157" s="3059"/>
      <c r="AA157" s="3059"/>
      <c r="AB157" s="3059"/>
      <c r="AC157" s="3059" t="s">
        <v>31</v>
      </c>
      <c r="AD157" s="3059"/>
      <c r="AE157" s="3059" t="s">
        <v>31</v>
      </c>
      <c r="AF157" s="3059"/>
      <c r="AG157" s="3093"/>
      <c r="AH157" s="250"/>
      <c r="AI157" s="190"/>
    </row>
    <row r="158" spans="1:35" ht="22.15" customHeight="1" x14ac:dyDescent="0.2">
      <c r="A158" s="3209">
        <v>6</v>
      </c>
      <c r="B158" s="3063" t="s">
        <v>211</v>
      </c>
      <c r="C158" s="3059"/>
      <c r="D158" s="3059"/>
      <c r="E158" s="3059"/>
      <c r="F158" s="3059"/>
      <c r="G158" s="3059"/>
      <c r="H158" s="3059" t="s">
        <v>31</v>
      </c>
      <c r="I158" s="3059" t="s">
        <v>31</v>
      </c>
      <c r="J158" s="3060" t="s">
        <v>31</v>
      </c>
      <c r="K158" s="3059" t="s">
        <v>31</v>
      </c>
      <c r="L158" s="3059"/>
      <c r="M158" s="3059"/>
      <c r="N158" s="3059" t="s">
        <v>31</v>
      </c>
      <c r="O158" s="3059" t="s">
        <v>31</v>
      </c>
      <c r="P158" s="3059" t="s">
        <v>31</v>
      </c>
      <c r="Q158" s="3059" t="s">
        <v>31</v>
      </c>
      <c r="R158" s="3059" t="s">
        <v>31</v>
      </c>
      <c r="S158" s="3059"/>
      <c r="T158" s="3056"/>
      <c r="U158" s="3056" t="s">
        <v>31</v>
      </c>
      <c r="V158" s="3056" t="s">
        <v>31</v>
      </c>
      <c r="W158" s="3056" t="s">
        <v>31</v>
      </c>
      <c r="X158" s="3056" t="s">
        <v>31</v>
      </c>
      <c r="Y158" s="3059" t="s">
        <v>31</v>
      </c>
      <c r="Z158" s="3059"/>
      <c r="AA158" s="3059"/>
      <c r="AB158" s="3059" t="s">
        <v>31</v>
      </c>
      <c r="AC158" s="3059" t="s">
        <v>31</v>
      </c>
      <c r="AD158" s="3059" t="s">
        <v>31</v>
      </c>
      <c r="AE158" s="3059" t="s">
        <v>31</v>
      </c>
      <c r="AF158" s="3059"/>
      <c r="AG158" s="3093"/>
      <c r="AH158" s="215"/>
      <c r="AI158" s="107"/>
    </row>
    <row r="159" spans="1:35" ht="22.15" customHeight="1" thickBot="1" x14ac:dyDescent="0.25">
      <c r="A159" s="3215"/>
      <c r="B159" s="3095" t="s">
        <v>212</v>
      </c>
      <c r="C159" s="3049"/>
      <c r="D159" s="3049"/>
      <c r="E159" s="3049"/>
      <c r="F159" s="3049"/>
      <c r="G159" s="3049"/>
      <c r="H159" s="3049"/>
      <c r="I159" s="3049"/>
      <c r="J159" s="3049"/>
      <c r="K159" s="3049"/>
      <c r="L159" s="3049"/>
      <c r="M159" s="3049"/>
      <c r="N159" s="3049"/>
      <c r="O159" s="3049"/>
      <c r="P159" s="3049"/>
      <c r="Q159" s="3049"/>
      <c r="R159" s="3049"/>
      <c r="S159" s="3049"/>
      <c r="T159" s="3049"/>
      <c r="U159" s="3049"/>
      <c r="V159" s="3049"/>
      <c r="W159" s="3049"/>
      <c r="X159" s="3049"/>
      <c r="Y159" s="3049"/>
      <c r="Z159" s="3049"/>
      <c r="AA159" s="3049"/>
      <c r="AB159" s="3049"/>
      <c r="AC159" s="3049"/>
      <c r="AD159" s="3049"/>
      <c r="AE159" s="3049"/>
      <c r="AF159" s="3049"/>
      <c r="AG159" s="3050"/>
      <c r="AH159" s="107"/>
      <c r="AI159" s="107"/>
    </row>
    <row r="160" spans="1:35" ht="22.15" customHeight="1" x14ac:dyDescent="0.2">
      <c r="A160" s="256"/>
      <c r="B160" s="228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29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107"/>
      <c r="AI160" s="107"/>
    </row>
    <row r="161" spans="1:36" ht="22.15" customHeight="1" x14ac:dyDescent="0.2">
      <c r="A161" s="256"/>
      <c r="B161" s="228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107"/>
      <c r="AI161" s="107"/>
    </row>
    <row r="162" spans="1:36" ht="22.15" customHeight="1" thickBot="1" x14ac:dyDescent="0.25">
      <c r="A162" s="150" t="s">
        <v>213</v>
      </c>
      <c r="B162" s="72"/>
      <c r="C162" s="106" t="s">
        <v>99</v>
      </c>
      <c r="D162" s="72"/>
      <c r="E162" s="72"/>
      <c r="F162" s="106" t="s">
        <v>99</v>
      </c>
      <c r="G162" s="72"/>
      <c r="H162" s="72"/>
      <c r="I162" s="106" t="s">
        <v>99</v>
      </c>
      <c r="J162" s="106"/>
      <c r="K162" s="72"/>
      <c r="L162" s="106" t="s">
        <v>99</v>
      </c>
      <c r="M162" s="72"/>
      <c r="N162" s="72"/>
      <c r="O162" s="106" t="s">
        <v>99</v>
      </c>
      <c r="P162" s="72"/>
      <c r="Q162" s="106"/>
      <c r="R162" s="106" t="s">
        <v>99</v>
      </c>
      <c r="S162" s="72"/>
      <c r="T162" s="72"/>
      <c r="U162" s="106" t="s">
        <v>99</v>
      </c>
      <c r="V162" s="72"/>
      <c r="W162" s="106"/>
      <c r="X162" s="106"/>
      <c r="Y162" s="72"/>
      <c r="Z162" s="72"/>
      <c r="AA162" s="72"/>
      <c r="AB162" s="72"/>
      <c r="AC162" s="72"/>
      <c r="AD162" s="72"/>
      <c r="AE162" s="106"/>
      <c r="AF162" s="72"/>
      <c r="AG162" s="72"/>
      <c r="AH162" s="107"/>
      <c r="AI162" s="107"/>
    </row>
    <row r="163" spans="1:36" ht="22.15" customHeight="1" x14ac:dyDescent="0.2">
      <c r="A163" s="109"/>
      <c r="B163" s="294" t="s">
        <v>214</v>
      </c>
      <c r="C163" s="295"/>
      <c r="D163" s="296" t="s">
        <v>90</v>
      </c>
      <c r="E163" s="297"/>
      <c r="F163" s="298"/>
      <c r="G163" s="299"/>
      <c r="H163" s="296" t="s">
        <v>91</v>
      </c>
      <c r="I163" s="297"/>
      <c r="J163" s="298"/>
      <c r="K163" s="299"/>
      <c r="L163" s="296" t="s">
        <v>92</v>
      </c>
      <c r="M163" s="297"/>
      <c r="N163" s="298"/>
      <c r="O163" s="299"/>
      <c r="P163" s="296" t="s">
        <v>93</v>
      </c>
      <c r="Q163" s="297"/>
      <c r="R163" s="298"/>
      <c r="S163" s="299"/>
      <c r="T163" s="296" t="s">
        <v>94</v>
      </c>
      <c r="U163" s="297"/>
      <c r="V163" s="298"/>
      <c r="W163" s="299"/>
      <c r="X163" s="296" t="s">
        <v>95</v>
      </c>
      <c r="Y163" s="297"/>
      <c r="Z163" s="298"/>
      <c r="AA163" s="299"/>
      <c r="AB163" s="296" t="s">
        <v>96</v>
      </c>
      <c r="AC163" s="297"/>
      <c r="AD163" s="297"/>
      <c r="AE163" s="300" t="s">
        <v>97</v>
      </c>
      <c r="AF163" s="297"/>
      <c r="AG163" s="297"/>
      <c r="AH163" s="297"/>
      <c r="AI163" s="301"/>
    </row>
    <row r="164" spans="1:36" ht="22.15" customHeight="1" x14ac:dyDescent="0.2">
      <c r="A164" s="109"/>
      <c r="B164" s="2920" t="s">
        <v>215</v>
      </c>
      <c r="C164" s="2921" t="s">
        <v>216</v>
      </c>
      <c r="D164" s="3236" t="s">
        <v>217</v>
      </c>
      <c r="E164" s="3237"/>
      <c r="F164" s="3238"/>
      <c r="G164" s="2922"/>
      <c r="H164" s="3236" t="s">
        <v>217</v>
      </c>
      <c r="I164" s="3237"/>
      <c r="J164" s="3238"/>
      <c r="K164" s="2922"/>
      <c r="L164" s="3236" t="s">
        <v>217</v>
      </c>
      <c r="M164" s="3237"/>
      <c r="N164" s="3238"/>
      <c r="O164" s="2922"/>
      <c r="P164" s="3236" t="s">
        <v>218</v>
      </c>
      <c r="Q164" s="3237"/>
      <c r="R164" s="3238"/>
      <c r="S164" s="2922"/>
      <c r="T164" s="3236" t="s">
        <v>219</v>
      </c>
      <c r="U164" s="3238"/>
      <c r="V164" s="3239"/>
      <c r="W164" s="2923"/>
      <c r="X164" s="3240"/>
      <c r="Y164" s="3240"/>
      <c r="Z164" s="3239"/>
      <c r="AA164" s="2923"/>
      <c r="AB164" s="3240"/>
      <c r="AC164" s="3240"/>
      <c r="AD164" s="3240"/>
      <c r="AE164" s="2923"/>
      <c r="AF164" s="3240"/>
      <c r="AG164" s="3240"/>
      <c r="AH164" s="3241"/>
      <c r="AI164" s="2924"/>
    </row>
    <row r="165" spans="1:36" ht="22.15" customHeight="1" x14ac:dyDescent="0.2">
      <c r="A165" s="109"/>
      <c r="B165" s="2920" t="s">
        <v>215</v>
      </c>
      <c r="C165" s="2921" t="s">
        <v>220</v>
      </c>
      <c r="D165" s="3236" t="s">
        <v>217</v>
      </c>
      <c r="E165" s="3237"/>
      <c r="F165" s="3238"/>
      <c r="G165" s="2922"/>
      <c r="H165" s="3236" t="s">
        <v>217</v>
      </c>
      <c r="I165" s="3237"/>
      <c r="J165" s="3238"/>
      <c r="K165" s="2922"/>
      <c r="L165" s="3236" t="s">
        <v>217</v>
      </c>
      <c r="M165" s="3237"/>
      <c r="N165" s="3238"/>
      <c r="O165" s="2922"/>
      <c r="P165" s="3236" t="s">
        <v>218</v>
      </c>
      <c r="Q165" s="3237"/>
      <c r="R165" s="3238"/>
      <c r="S165" s="2922"/>
      <c r="T165" s="3236" t="s">
        <v>219</v>
      </c>
      <c r="U165" s="3238"/>
      <c r="V165" s="3239"/>
      <c r="W165" s="2923"/>
      <c r="X165" s="3240"/>
      <c r="Y165" s="3240"/>
      <c r="Z165" s="3239"/>
      <c r="AA165" s="2923"/>
      <c r="AB165" s="3240"/>
      <c r="AC165" s="3240"/>
      <c r="AD165" s="3240"/>
      <c r="AE165" s="2923"/>
      <c r="AF165" s="3240"/>
      <c r="AG165" s="3240"/>
      <c r="AH165" s="3241"/>
      <c r="AI165" s="2924"/>
    </row>
    <row r="166" spans="1:36" ht="22.15" customHeight="1" x14ac:dyDescent="0.2">
      <c r="A166" s="109"/>
      <c r="B166" s="2920" t="s">
        <v>221</v>
      </c>
      <c r="C166" s="2921" t="s">
        <v>158</v>
      </c>
      <c r="D166" s="3236" t="s">
        <v>217</v>
      </c>
      <c r="E166" s="3237"/>
      <c r="F166" s="3238"/>
      <c r="G166" s="2922"/>
      <c r="H166" s="3236" t="s">
        <v>217</v>
      </c>
      <c r="I166" s="3237"/>
      <c r="J166" s="3238"/>
      <c r="K166" s="2922"/>
      <c r="L166" s="3236" t="s">
        <v>217</v>
      </c>
      <c r="M166" s="3237"/>
      <c r="N166" s="3238"/>
      <c r="O166" s="2922"/>
      <c r="P166" s="3236" t="s">
        <v>218</v>
      </c>
      <c r="Q166" s="3237"/>
      <c r="R166" s="3238"/>
      <c r="S166" s="2922"/>
      <c r="T166" s="3236" t="s">
        <v>219</v>
      </c>
      <c r="U166" s="3238"/>
      <c r="V166" s="3239"/>
      <c r="W166" s="2923"/>
      <c r="X166" s="3240"/>
      <c r="Y166" s="3240"/>
      <c r="Z166" s="3239"/>
      <c r="AA166" s="2923"/>
      <c r="AB166" s="3240"/>
      <c r="AC166" s="3240"/>
      <c r="AD166" s="3240"/>
      <c r="AE166" s="2923"/>
      <c r="AF166" s="3240"/>
      <c r="AG166" s="3240"/>
      <c r="AH166" s="3241"/>
      <c r="AI166" s="2924"/>
    </row>
    <row r="167" spans="1:36" ht="22.15" customHeight="1" x14ac:dyDescent="0.2">
      <c r="A167" s="109"/>
      <c r="B167" s="2920" t="s">
        <v>222</v>
      </c>
      <c r="C167" s="2921" t="s">
        <v>223</v>
      </c>
      <c r="D167" s="3236" t="s">
        <v>224</v>
      </c>
      <c r="E167" s="3237"/>
      <c r="F167" s="3238"/>
      <c r="G167" s="2922"/>
      <c r="H167" s="3236" t="s">
        <v>224</v>
      </c>
      <c r="I167" s="3237"/>
      <c r="J167" s="3238"/>
      <c r="K167" s="2922"/>
      <c r="L167" s="3236" t="s">
        <v>224</v>
      </c>
      <c r="M167" s="3237"/>
      <c r="N167" s="3238"/>
      <c r="O167" s="2922"/>
      <c r="P167" s="3236" t="s">
        <v>225</v>
      </c>
      <c r="Q167" s="3237"/>
      <c r="R167" s="3238"/>
      <c r="S167" s="2922"/>
      <c r="T167" s="3236" t="s">
        <v>226</v>
      </c>
      <c r="U167" s="3238"/>
      <c r="V167" s="3239"/>
      <c r="W167" s="2923"/>
      <c r="X167" s="3240"/>
      <c r="Y167" s="3240"/>
      <c r="Z167" s="3239"/>
      <c r="AA167" s="2923"/>
      <c r="AB167" s="3240"/>
      <c r="AC167" s="3240"/>
      <c r="AD167" s="3240"/>
      <c r="AE167" s="2923"/>
      <c r="AF167" s="3240"/>
      <c r="AG167" s="3240"/>
      <c r="AH167" s="3241"/>
      <c r="AI167" s="2924"/>
    </row>
    <row r="168" spans="1:36" ht="22.15" customHeight="1" x14ac:dyDescent="0.2">
      <c r="A168" s="109"/>
      <c r="B168" s="2920" t="s">
        <v>227</v>
      </c>
      <c r="C168" s="2921" t="s">
        <v>228</v>
      </c>
      <c r="D168" s="3236" t="s">
        <v>229</v>
      </c>
      <c r="E168" s="3237"/>
      <c r="F168" s="3238"/>
      <c r="G168" s="2922"/>
      <c r="H168" s="3236" t="s">
        <v>229</v>
      </c>
      <c r="I168" s="3237"/>
      <c r="J168" s="3238"/>
      <c r="K168" s="2922"/>
      <c r="L168" s="3236" t="s">
        <v>230</v>
      </c>
      <c r="M168" s="3237"/>
      <c r="N168" s="3238"/>
      <c r="O168" s="2922"/>
      <c r="P168" s="3236" t="s">
        <v>231</v>
      </c>
      <c r="Q168" s="3237"/>
      <c r="R168" s="3238"/>
      <c r="S168" s="2922"/>
      <c r="T168" s="3236" t="s">
        <v>226</v>
      </c>
      <c r="U168" s="3238"/>
      <c r="V168" s="3239"/>
      <c r="W168" s="2923"/>
      <c r="X168" s="3240"/>
      <c r="Y168" s="3240"/>
      <c r="Z168" s="3239"/>
      <c r="AA168" s="2923"/>
      <c r="AB168" s="3240"/>
      <c r="AC168" s="3240"/>
      <c r="AD168" s="3240"/>
      <c r="AE168" s="2923"/>
      <c r="AF168" s="3240"/>
      <c r="AG168" s="3240"/>
      <c r="AH168" s="3241"/>
      <c r="AI168" s="2924"/>
    </row>
    <row r="169" spans="1:36" ht="22.15" customHeight="1" x14ac:dyDescent="0.2">
      <c r="A169" s="109"/>
      <c r="B169" s="2920" t="s">
        <v>232</v>
      </c>
      <c r="C169" s="2921" t="s">
        <v>233</v>
      </c>
      <c r="D169" s="3236" t="s">
        <v>217</v>
      </c>
      <c r="E169" s="3237"/>
      <c r="F169" s="3238"/>
      <c r="G169" s="2922"/>
      <c r="H169" s="3236" t="s">
        <v>217</v>
      </c>
      <c r="I169" s="3237"/>
      <c r="J169" s="3238"/>
      <c r="K169" s="2922"/>
      <c r="L169" s="3236" t="s">
        <v>217</v>
      </c>
      <c r="M169" s="3237"/>
      <c r="N169" s="3238"/>
      <c r="O169" s="2922"/>
      <c r="P169" s="3236" t="s">
        <v>217</v>
      </c>
      <c r="Q169" s="3237"/>
      <c r="R169" s="3238"/>
      <c r="S169" s="2922"/>
      <c r="T169" s="3236" t="s">
        <v>229</v>
      </c>
      <c r="U169" s="3238"/>
      <c r="V169" s="3239"/>
      <c r="W169" s="2923"/>
      <c r="X169" s="3240"/>
      <c r="Y169" s="3240"/>
      <c r="Z169" s="3239"/>
      <c r="AA169" s="2923"/>
      <c r="AB169" s="3240"/>
      <c r="AC169" s="3240"/>
      <c r="AD169" s="3240"/>
      <c r="AE169" s="2923"/>
      <c r="AF169" s="3240"/>
      <c r="AG169" s="3240"/>
      <c r="AH169" s="3241"/>
      <c r="AI169" s="2924"/>
    </row>
    <row r="170" spans="1:36" ht="22.15" customHeight="1" x14ac:dyDescent="0.2">
      <c r="A170" s="109"/>
      <c r="B170" s="2920" t="s">
        <v>234</v>
      </c>
      <c r="C170" s="2921" t="s">
        <v>235</v>
      </c>
      <c r="D170" s="3236" t="s">
        <v>217</v>
      </c>
      <c r="E170" s="3237"/>
      <c r="F170" s="3238"/>
      <c r="G170" s="2922"/>
      <c r="H170" s="3236" t="s">
        <v>217</v>
      </c>
      <c r="I170" s="3237"/>
      <c r="J170" s="3238"/>
      <c r="K170" s="2922"/>
      <c r="L170" s="3236" t="s">
        <v>217</v>
      </c>
      <c r="M170" s="3237"/>
      <c r="N170" s="3238"/>
      <c r="O170" s="2922"/>
      <c r="P170" s="3236" t="s">
        <v>218</v>
      </c>
      <c r="Q170" s="3237"/>
      <c r="R170" s="3238"/>
      <c r="S170" s="2922"/>
      <c r="T170" s="3236" t="s">
        <v>219</v>
      </c>
      <c r="U170" s="3238"/>
      <c r="V170" s="3239"/>
      <c r="W170" s="2923"/>
      <c r="X170" s="3240"/>
      <c r="Y170" s="3240"/>
      <c r="Z170" s="3239"/>
      <c r="AA170" s="2923"/>
      <c r="AB170" s="3240"/>
      <c r="AC170" s="3240"/>
      <c r="AD170" s="3240"/>
      <c r="AE170" s="2923"/>
      <c r="AF170" s="3240"/>
      <c r="AG170" s="3240"/>
      <c r="AH170" s="3241"/>
      <c r="AI170" s="2924"/>
    </row>
    <row r="171" spans="1:36" ht="22.15" customHeight="1" x14ac:dyDescent="0.2">
      <c r="A171" s="109"/>
      <c r="B171" s="2920" t="s">
        <v>234</v>
      </c>
      <c r="C171" s="2921" t="s">
        <v>236</v>
      </c>
      <c r="D171" s="3236" t="s">
        <v>217</v>
      </c>
      <c r="E171" s="3237"/>
      <c r="F171" s="3238"/>
      <c r="G171" s="2922"/>
      <c r="H171" s="3236" t="s">
        <v>217</v>
      </c>
      <c r="I171" s="3237"/>
      <c r="J171" s="3238"/>
      <c r="K171" s="2922"/>
      <c r="L171" s="3236" t="s">
        <v>217</v>
      </c>
      <c r="M171" s="3237"/>
      <c r="N171" s="3238"/>
      <c r="O171" s="2922"/>
      <c r="P171" s="3236" t="s">
        <v>218</v>
      </c>
      <c r="Q171" s="3237"/>
      <c r="R171" s="3238"/>
      <c r="S171" s="2922"/>
      <c r="T171" s="3236" t="s">
        <v>219</v>
      </c>
      <c r="U171" s="3238"/>
      <c r="V171" s="3239"/>
      <c r="W171" s="2923"/>
      <c r="X171" s="3240"/>
      <c r="Y171" s="3240"/>
      <c r="Z171" s="3239"/>
      <c r="AA171" s="2923"/>
      <c r="AB171" s="3240"/>
      <c r="AC171" s="3240"/>
      <c r="AD171" s="3240"/>
      <c r="AE171" s="2923"/>
      <c r="AF171" s="3240"/>
      <c r="AG171" s="3240"/>
      <c r="AH171" s="3241"/>
      <c r="AI171" s="2924"/>
    </row>
    <row r="172" spans="1:36" ht="22.15" customHeight="1" x14ac:dyDescent="0.2">
      <c r="A172" s="109"/>
      <c r="B172" s="2920" t="s">
        <v>237</v>
      </c>
      <c r="C172" s="2921" t="s">
        <v>238</v>
      </c>
      <c r="D172" s="3236" t="s">
        <v>217</v>
      </c>
      <c r="E172" s="3237"/>
      <c r="F172" s="3238"/>
      <c r="G172" s="2922"/>
      <c r="H172" s="3236" t="s">
        <v>217</v>
      </c>
      <c r="I172" s="3237"/>
      <c r="J172" s="3238"/>
      <c r="K172" s="2922"/>
      <c r="L172" s="3236" t="s">
        <v>217</v>
      </c>
      <c r="M172" s="3237"/>
      <c r="N172" s="3238"/>
      <c r="O172" s="2922"/>
      <c r="P172" s="3236" t="s">
        <v>239</v>
      </c>
      <c r="Q172" s="3237"/>
      <c r="R172" s="3238"/>
      <c r="S172" s="2922"/>
      <c r="T172" s="3236" t="s">
        <v>226</v>
      </c>
      <c r="U172" s="3238"/>
      <c r="V172" s="3239"/>
      <c r="W172" s="2923"/>
      <c r="X172" s="3240"/>
      <c r="Y172" s="3240"/>
      <c r="Z172" s="3239"/>
      <c r="AA172" s="2923"/>
      <c r="AB172" s="3240"/>
      <c r="AC172" s="3240"/>
      <c r="AD172" s="3240"/>
      <c r="AE172" s="2923"/>
      <c r="AF172" s="3240"/>
      <c r="AG172" s="3240"/>
      <c r="AH172" s="3241"/>
      <c r="AI172" s="2924"/>
    </row>
    <row r="173" spans="1:36" ht="22.15" customHeight="1" x14ac:dyDescent="0.2">
      <c r="A173" s="109"/>
      <c r="B173" s="3242" t="s">
        <v>240</v>
      </c>
      <c r="C173" s="2921" t="s">
        <v>80</v>
      </c>
      <c r="D173" s="3236" t="s">
        <v>217</v>
      </c>
      <c r="E173" s="3237"/>
      <c r="F173" s="3238"/>
      <c r="G173" s="2922"/>
      <c r="H173" s="3236" t="s">
        <v>217</v>
      </c>
      <c r="I173" s="3237"/>
      <c r="J173" s="3238"/>
      <c r="K173" s="2922"/>
      <c r="L173" s="3236" t="s">
        <v>217</v>
      </c>
      <c r="M173" s="3237"/>
      <c r="N173" s="3238"/>
      <c r="O173" s="2922"/>
      <c r="P173" s="3236" t="s">
        <v>218</v>
      </c>
      <c r="Q173" s="3237"/>
      <c r="R173" s="3238"/>
      <c r="S173" s="2922"/>
      <c r="T173" s="3236" t="s">
        <v>219</v>
      </c>
      <c r="U173" s="3238"/>
      <c r="V173" s="212"/>
      <c r="W173" s="3243"/>
      <c r="X173" s="211"/>
      <c r="Y173" s="211"/>
      <c r="Z173" s="212"/>
      <c r="AA173" s="3243"/>
      <c r="AB173" s="211"/>
      <c r="AC173" s="211"/>
      <c r="AD173" s="211"/>
      <c r="AE173" s="3243"/>
      <c r="AF173" s="211"/>
      <c r="AG173" s="211"/>
      <c r="AH173" s="213"/>
      <c r="AI173" s="3244"/>
      <c r="AJ173" s="214"/>
    </row>
    <row r="174" spans="1:36" ht="22.15" customHeight="1" x14ac:dyDescent="0.2">
      <c r="A174" s="109"/>
      <c r="B174" s="2920" t="s">
        <v>241</v>
      </c>
      <c r="C174" s="2921" t="s">
        <v>132</v>
      </c>
      <c r="D174" s="3236" t="s">
        <v>217</v>
      </c>
      <c r="E174" s="3237"/>
      <c r="F174" s="3238"/>
      <c r="G174" s="2922"/>
      <c r="H174" s="3236" t="s">
        <v>217</v>
      </c>
      <c r="I174" s="3237"/>
      <c r="J174" s="3238"/>
      <c r="K174" s="2922"/>
      <c r="L174" s="3236" t="s">
        <v>217</v>
      </c>
      <c r="M174" s="3237"/>
      <c r="N174" s="3238"/>
      <c r="O174" s="2922"/>
      <c r="P174" s="3236" t="s">
        <v>218</v>
      </c>
      <c r="Q174" s="3237"/>
      <c r="R174" s="3238"/>
      <c r="S174" s="2922"/>
      <c r="T174" s="3236" t="s">
        <v>219</v>
      </c>
      <c r="U174" s="3238"/>
      <c r="V174" s="3240"/>
      <c r="W174" s="2923"/>
      <c r="X174" s="3240"/>
      <c r="Y174" s="3240"/>
      <c r="Z174" s="3240"/>
      <c r="AA174" s="2923"/>
      <c r="AB174" s="3240"/>
      <c r="AC174" s="3240"/>
      <c r="AD174" s="3240"/>
      <c r="AE174" s="2923"/>
      <c r="AF174" s="3240"/>
      <c r="AG174" s="3240"/>
      <c r="AH174" s="3241"/>
      <c r="AI174" s="2924"/>
      <c r="AJ174" s="214"/>
    </row>
    <row r="175" spans="1:36" ht="22.15" customHeight="1" x14ac:dyDescent="0.2">
      <c r="A175" s="109"/>
      <c r="B175" s="2920" t="s">
        <v>242</v>
      </c>
      <c r="C175" s="2925" t="s">
        <v>243</v>
      </c>
      <c r="D175" s="3236" t="s">
        <v>244</v>
      </c>
      <c r="E175" s="3237"/>
      <c r="F175" s="3238"/>
      <c r="G175" s="2922"/>
      <c r="H175" s="3236" t="s">
        <v>244</v>
      </c>
      <c r="I175" s="3237"/>
      <c r="J175" s="3238"/>
      <c r="K175" s="2922"/>
      <c r="L175" s="3236" t="s">
        <v>244</v>
      </c>
      <c r="M175" s="3237"/>
      <c r="N175" s="3237"/>
      <c r="O175" s="2922"/>
      <c r="P175" s="3236" t="s">
        <v>244</v>
      </c>
      <c r="Q175" s="3237"/>
      <c r="R175" s="3237"/>
      <c r="S175" s="2922"/>
      <c r="T175" s="3236" t="s">
        <v>226</v>
      </c>
      <c r="U175" s="3238"/>
      <c r="V175" s="3240"/>
      <c r="W175" s="2926"/>
      <c r="X175" s="3240"/>
      <c r="Y175" s="3240"/>
      <c r="Z175" s="3240"/>
      <c r="AA175" s="2923"/>
      <c r="AB175" s="3240"/>
      <c r="AC175" s="3240"/>
      <c r="AD175" s="3240"/>
      <c r="AE175" s="2923"/>
      <c r="AF175" s="3240"/>
      <c r="AG175" s="3240"/>
      <c r="AH175" s="3241"/>
      <c r="AI175" s="2924"/>
      <c r="AJ175" s="214"/>
    </row>
    <row r="176" spans="1:36" ht="22.15" customHeight="1" x14ac:dyDescent="0.2">
      <c r="A176" s="109"/>
      <c r="B176" s="2920" t="s">
        <v>245</v>
      </c>
      <c r="C176" s="2925" t="s">
        <v>246</v>
      </c>
      <c r="D176" s="3236" t="s">
        <v>244</v>
      </c>
      <c r="E176" s="3237"/>
      <c r="F176" s="3238"/>
      <c r="G176" s="2922"/>
      <c r="H176" s="3236" t="s">
        <v>244</v>
      </c>
      <c r="I176" s="3237"/>
      <c r="J176" s="3238"/>
      <c r="K176" s="2922"/>
      <c r="L176" s="3236" t="s">
        <v>244</v>
      </c>
      <c r="M176" s="3237"/>
      <c r="N176" s="3237"/>
      <c r="O176" s="2922"/>
      <c r="P176" s="3236" t="s">
        <v>244</v>
      </c>
      <c r="Q176" s="3237"/>
      <c r="R176" s="3237"/>
      <c r="S176" s="2922"/>
      <c r="T176" s="3236" t="s">
        <v>226</v>
      </c>
      <c r="U176" s="3238"/>
      <c r="V176" s="3240"/>
      <c r="W176" s="2926"/>
      <c r="X176" s="3240"/>
      <c r="Y176" s="3240"/>
      <c r="Z176" s="3239"/>
      <c r="AA176" s="3245"/>
      <c r="AB176" s="3240"/>
      <c r="AC176" s="3240"/>
      <c r="AD176" s="3240"/>
      <c r="AE176" s="2923"/>
      <c r="AF176" s="3240"/>
      <c r="AG176" s="3240"/>
      <c r="AH176" s="3241"/>
      <c r="AI176" s="2924"/>
      <c r="AJ176" s="214"/>
    </row>
    <row r="177" spans="1:36" ht="22.15" customHeight="1" thickBot="1" x14ac:dyDescent="0.25">
      <c r="A177" s="109"/>
      <c r="B177" s="2920" t="s">
        <v>247</v>
      </c>
      <c r="C177" s="2925" t="s">
        <v>248</v>
      </c>
      <c r="D177" s="3236" t="s">
        <v>244</v>
      </c>
      <c r="E177" s="3237"/>
      <c r="F177" s="3238"/>
      <c r="G177" s="2922"/>
      <c r="H177" s="3236" t="s">
        <v>244</v>
      </c>
      <c r="I177" s="3237"/>
      <c r="J177" s="3238"/>
      <c r="K177" s="2922"/>
      <c r="L177" s="3236" t="s">
        <v>244</v>
      </c>
      <c r="M177" s="3237"/>
      <c r="N177" s="3237"/>
      <c r="O177" s="2922"/>
      <c r="P177" s="3236" t="s">
        <v>244</v>
      </c>
      <c r="Q177" s="3237"/>
      <c r="R177" s="3237"/>
      <c r="S177" s="2922"/>
      <c r="T177" s="3236" t="s">
        <v>226</v>
      </c>
      <c r="U177" s="3238"/>
      <c r="V177" s="2185"/>
      <c r="W177" s="677"/>
      <c r="X177" s="2185"/>
      <c r="Y177" s="2185"/>
      <c r="Z177" s="2186"/>
      <c r="AA177" s="2187"/>
      <c r="AB177" s="2185"/>
      <c r="AC177" s="2185"/>
      <c r="AD177" s="2185"/>
      <c r="AE177" s="678"/>
      <c r="AF177" s="2185"/>
      <c r="AG177" s="2185"/>
      <c r="AH177" s="2188"/>
      <c r="AI177" s="679"/>
      <c r="AJ177" s="214"/>
    </row>
    <row r="178" spans="1:36" ht="22.15" customHeight="1" x14ac:dyDescent="0.2">
      <c r="A178" s="109"/>
      <c r="B178" s="240"/>
      <c r="C178" s="241"/>
      <c r="D178" s="242"/>
      <c r="E178" s="243"/>
      <c r="F178" s="243"/>
      <c r="G178" s="244"/>
      <c r="H178" s="242"/>
      <c r="I178" s="243"/>
      <c r="J178" s="243"/>
      <c r="K178" s="244"/>
      <c r="L178" s="242"/>
      <c r="M178" s="243"/>
      <c r="N178" s="243"/>
      <c r="O178" s="244"/>
      <c r="P178" s="228"/>
      <c r="Q178" s="243"/>
      <c r="R178" s="243"/>
      <c r="S178" s="244"/>
      <c r="T178" s="228"/>
      <c r="U178" s="243"/>
      <c r="V178" s="243"/>
      <c r="W178" s="243"/>
      <c r="X178" s="243"/>
      <c r="Y178" s="243"/>
      <c r="Z178" s="243"/>
      <c r="AA178" s="244"/>
      <c r="AB178" s="243"/>
      <c r="AC178" s="243"/>
      <c r="AD178" s="243"/>
      <c r="AE178" s="244"/>
      <c r="AF178" s="243"/>
      <c r="AG178" s="243"/>
      <c r="AH178" s="215"/>
      <c r="AI178" s="215"/>
      <c r="AJ178" s="214"/>
    </row>
    <row r="179" spans="1:36" ht="22.15" customHeight="1" thickBot="1" x14ac:dyDescent="0.25">
      <c r="A179" s="148"/>
      <c r="B179" s="3246" t="s">
        <v>29</v>
      </c>
      <c r="C179" s="3048">
        <v>1</v>
      </c>
      <c r="D179" s="3048">
        <v>2</v>
      </c>
      <c r="E179" s="3048">
        <v>3</v>
      </c>
      <c r="F179" s="3048">
        <v>4</v>
      </c>
      <c r="G179" s="3048">
        <v>5</v>
      </c>
      <c r="H179" s="3049">
        <v>6</v>
      </c>
      <c r="I179" s="3049">
        <v>7</v>
      </c>
      <c r="J179" s="3049">
        <v>8</v>
      </c>
      <c r="K179" s="3049">
        <v>9</v>
      </c>
      <c r="L179" s="3048">
        <v>10</v>
      </c>
      <c r="M179" s="3048">
        <v>11</v>
      </c>
      <c r="N179" s="3049">
        <v>12</v>
      </c>
      <c r="O179" s="3049">
        <v>13</v>
      </c>
      <c r="P179" s="3049">
        <v>14</v>
      </c>
      <c r="Q179" s="3049">
        <v>15</v>
      </c>
      <c r="R179" s="3049">
        <v>16</v>
      </c>
      <c r="S179" s="3048">
        <v>17</v>
      </c>
      <c r="T179" s="3048">
        <v>18</v>
      </c>
      <c r="U179" s="3049">
        <v>19</v>
      </c>
      <c r="V179" s="3049">
        <v>20</v>
      </c>
      <c r="W179" s="3049">
        <v>21</v>
      </c>
      <c r="X179" s="3049">
        <v>22</v>
      </c>
      <c r="Y179" s="3049">
        <v>23</v>
      </c>
      <c r="Z179" s="3048">
        <v>24</v>
      </c>
      <c r="AA179" s="3048">
        <v>25</v>
      </c>
      <c r="AB179" s="3049">
        <v>26</v>
      </c>
      <c r="AC179" s="3049">
        <v>27</v>
      </c>
      <c r="AD179" s="3049">
        <v>28</v>
      </c>
      <c r="AE179" s="3049">
        <v>29</v>
      </c>
      <c r="AF179" s="3048">
        <v>30</v>
      </c>
      <c r="AG179" s="3050"/>
      <c r="AH179" s="195"/>
      <c r="AI179" s="185"/>
    </row>
    <row r="180" spans="1:36" ht="22.15" customHeight="1" x14ac:dyDescent="0.2">
      <c r="A180" s="109"/>
      <c r="B180" s="411" t="s">
        <v>249</v>
      </c>
      <c r="C180" s="385"/>
      <c r="D180" s="385"/>
      <c r="E180" s="385"/>
      <c r="F180" s="385"/>
      <c r="G180" s="385"/>
      <c r="H180" s="385" t="s">
        <v>216</v>
      </c>
      <c r="I180" s="385" t="s">
        <v>216</v>
      </c>
      <c r="J180" s="385" t="s">
        <v>216</v>
      </c>
      <c r="K180" s="385" t="s">
        <v>216</v>
      </c>
      <c r="L180" s="385"/>
      <c r="M180" s="385"/>
      <c r="N180" s="385" t="s">
        <v>216</v>
      </c>
      <c r="O180" s="385" t="s">
        <v>216</v>
      </c>
      <c r="P180" s="385" t="s">
        <v>216</v>
      </c>
      <c r="Q180" s="385" t="s">
        <v>216</v>
      </c>
      <c r="R180" s="385" t="s">
        <v>216</v>
      </c>
      <c r="S180" s="385"/>
      <c r="T180" s="385"/>
      <c r="U180" s="385" t="s">
        <v>216</v>
      </c>
      <c r="V180" s="385" t="s">
        <v>216</v>
      </c>
      <c r="W180" s="385" t="s">
        <v>216</v>
      </c>
      <c r="X180" s="385" t="s">
        <v>216</v>
      </c>
      <c r="Y180" s="385" t="s">
        <v>216</v>
      </c>
      <c r="Z180" s="385"/>
      <c r="AA180" s="385"/>
      <c r="AB180" s="385" t="s">
        <v>216</v>
      </c>
      <c r="AC180" s="385" t="s">
        <v>216</v>
      </c>
      <c r="AD180" s="385" t="s">
        <v>216</v>
      </c>
      <c r="AE180" s="385" t="s">
        <v>216</v>
      </c>
      <c r="AF180" s="385"/>
      <c r="AG180" s="412"/>
      <c r="AH180" s="190"/>
      <c r="AI180" s="190"/>
    </row>
    <row r="181" spans="1:36" ht="22.15" customHeight="1" x14ac:dyDescent="0.2">
      <c r="A181" s="109"/>
      <c r="B181" s="2929" t="s">
        <v>250</v>
      </c>
      <c r="C181" s="2817"/>
      <c r="D181" s="2817"/>
      <c r="E181" s="2817"/>
      <c r="F181" s="2817"/>
      <c r="G181" s="2817"/>
      <c r="H181" s="2817" t="s">
        <v>216</v>
      </c>
      <c r="I181" s="2743" t="s">
        <v>216</v>
      </c>
      <c r="J181" s="2743" t="s">
        <v>216</v>
      </c>
      <c r="K181" s="2743" t="s">
        <v>216</v>
      </c>
      <c r="L181" s="2743"/>
      <c r="M181" s="2743"/>
      <c r="N181" s="2743" t="s">
        <v>216</v>
      </c>
      <c r="O181" s="2743" t="s">
        <v>216</v>
      </c>
      <c r="P181" s="2743" t="s">
        <v>216</v>
      </c>
      <c r="Q181" s="2743" t="s">
        <v>216</v>
      </c>
      <c r="R181" s="2743" t="s">
        <v>216</v>
      </c>
      <c r="S181" s="2743"/>
      <c r="T181" s="2743"/>
      <c r="U181" s="2743" t="s">
        <v>216</v>
      </c>
      <c r="V181" s="2743" t="s">
        <v>216</v>
      </c>
      <c r="W181" s="2743" t="s">
        <v>216</v>
      </c>
      <c r="X181" s="2743" t="s">
        <v>216</v>
      </c>
      <c r="Y181" s="2743" t="s">
        <v>216</v>
      </c>
      <c r="Z181" s="2743"/>
      <c r="AA181" s="2743"/>
      <c r="AB181" s="2743" t="s">
        <v>216</v>
      </c>
      <c r="AC181" s="2743" t="s">
        <v>216</v>
      </c>
      <c r="AD181" s="2743" t="s">
        <v>216</v>
      </c>
      <c r="AE181" s="2743" t="s">
        <v>216</v>
      </c>
      <c r="AF181" s="2817"/>
      <c r="AG181" s="2156"/>
      <c r="AH181" s="190"/>
      <c r="AI181" s="190"/>
    </row>
    <row r="182" spans="1:36" ht="22.15" customHeight="1" x14ac:dyDescent="0.2">
      <c r="A182" s="109"/>
      <c r="B182" s="2929" t="s">
        <v>251</v>
      </c>
      <c r="C182" s="2817"/>
      <c r="D182" s="2817"/>
      <c r="E182" s="2817"/>
      <c r="F182" s="2740"/>
      <c r="G182" s="2817"/>
      <c r="H182" s="2817" t="s">
        <v>220</v>
      </c>
      <c r="I182" s="2817" t="s">
        <v>220</v>
      </c>
      <c r="J182" s="2817" t="s">
        <v>220</v>
      </c>
      <c r="K182" s="2817" t="s">
        <v>220</v>
      </c>
      <c r="L182" s="2817"/>
      <c r="M182" s="2817"/>
      <c r="N182" s="2817" t="s">
        <v>220</v>
      </c>
      <c r="O182" s="2817" t="s">
        <v>220</v>
      </c>
      <c r="P182" s="2817" t="s">
        <v>220</v>
      </c>
      <c r="Q182" s="2817" t="s">
        <v>220</v>
      </c>
      <c r="R182" s="2817" t="s">
        <v>220</v>
      </c>
      <c r="S182" s="2817"/>
      <c r="T182" s="2817"/>
      <c r="U182" s="2817" t="s">
        <v>220</v>
      </c>
      <c r="V182" s="2817" t="s">
        <v>220</v>
      </c>
      <c r="W182" s="2817" t="s">
        <v>220</v>
      </c>
      <c r="X182" s="2817" t="s">
        <v>220</v>
      </c>
      <c r="Y182" s="2817" t="s">
        <v>220</v>
      </c>
      <c r="Z182" s="2817"/>
      <c r="AA182" s="2817"/>
      <c r="AB182" s="2817" t="s">
        <v>220</v>
      </c>
      <c r="AC182" s="2817" t="s">
        <v>220</v>
      </c>
      <c r="AD182" s="2817" t="s">
        <v>220</v>
      </c>
      <c r="AE182" s="2817" t="s">
        <v>220</v>
      </c>
      <c r="AF182" s="2817"/>
      <c r="AG182" s="2156"/>
      <c r="AH182" s="190"/>
      <c r="AI182" s="190"/>
    </row>
    <row r="183" spans="1:36" ht="22.15" customHeight="1" x14ac:dyDescent="0.2">
      <c r="A183" s="109"/>
      <c r="B183" s="2929" t="s">
        <v>252</v>
      </c>
      <c r="C183" s="2817"/>
      <c r="D183" s="2742"/>
      <c r="E183" s="2742"/>
      <c r="F183" s="2740"/>
      <c r="G183" s="2742"/>
      <c r="H183" s="2742" t="s">
        <v>158</v>
      </c>
      <c r="I183" s="2817" t="s">
        <v>158</v>
      </c>
      <c r="J183" s="2817" t="s">
        <v>158</v>
      </c>
      <c r="K183" s="2817" t="s">
        <v>158</v>
      </c>
      <c r="L183" s="2817"/>
      <c r="M183" s="2817"/>
      <c r="N183" s="2812" t="s">
        <v>158</v>
      </c>
      <c r="O183" s="2812" t="s">
        <v>158</v>
      </c>
      <c r="P183" s="2812" t="s">
        <v>158</v>
      </c>
      <c r="Q183" s="2812" t="s">
        <v>158</v>
      </c>
      <c r="R183" s="2812" t="s">
        <v>158</v>
      </c>
      <c r="S183" s="2812"/>
      <c r="T183" s="2812"/>
      <c r="U183" s="2817" t="s">
        <v>158</v>
      </c>
      <c r="V183" s="2817" t="s">
        <v>158</v>
      </c>
      <c r="W183" s="2817" t="s">
        <v>158</v>
      </c>
      <c r="X183" s="2817" t="s">
        <v>158</v>
      </c>
      <c r="Y183" s="2817" t="s">
        <v>158</v>
      </c>
      <c r="Z183" s="2817"/>
      <c r="AA183" s="2817"/>
      <c r="AB183" s="2817" t="s">
        <v>158</v>
      </c>
      <c r="AC183" s="2817" t="s">
        <v>158</v>
      </c>
      <c r="AD183" s="2817" t="s">
        <v>158</v>
      </c>
      <c r="AE183" s="2817" t="s">
        <v>158</v>
      </c>
      <c r="AF183" s="2817"/>
      <c r="AG183" s="2156"/>
      <c r="AH183" s="190"/>
      <c r="AI183" s="190"/>
    </row>
    <row r="184" spans="1:36" ht="22.15" customHeight="1" x14ac:dyDescent="0.2">
      <c r="A184" s="109"/>
      <c r="B184" s="2766" t="s">
        <v>253</v>
      </c>
      <c r="C184" s="2817"/>
      <c r="D184" s="2817"/>
      <c r="E184" s="2817"/>
      <c r="F184" s="3247"/>
      <c r="G184" s="2817"/>
      <c r="H184" s="2817" t="s">
        <v>223</v>
      </c>
      <c r="I184" s="2817" t="s">
        <v>223</v>
      </c>
      <c r="J184" s="2817" t="s">
        <v>223</v>
      </c>
      <c r="K184" s="2817" t="s">
        <v>223</v>
      </c>
      <c r="L184" s="2817"/>
      <c r="M184" s="2817"/>
      <c r="N184" s="2817" t="s">
        <v>223</v>
      </c>
      <c r="O184" s="2817" t="s">
        <v>223</v>
      </c>
      <c r="P184" s="2817" t="s">
        <v>223</v>
      </c>
      <c r="Q184" s="2817" t="s">
        <v>223</v>
      </c>
      <c r="R184" s="2817" t="s">
        <v>223</v>
      </c>
      <c r="S184" s="2817"/>
      <c r="T184" s="2817"/>
      <c r="U184" s="2817" t="s">
        <v>223</v>
      </c>
      <c r="V184" s="2817" t="s">
        <v>223</v>
      </c>
      <c r="W184" s="2817" t="s">
        <v>223</v>
      </c>
      <c r="X184" s="2817" t="s">
        <v>223</v>
      </c>
      <c r="Y184" s="2817" t="s">
        <v>223</v>
      </c>
      <c r="Z184" s="2817"/>
      <c r="AA184" s="2817"/>
      <c r="AB184" s="2817" t="s">
        <v>223</v>
      </c>
      <c r="AC184" s="2817" t="s">
        <v>223</v>
      </c>
      <c r="AD184" s="2817" t="s">
        <v>223</v>
      </c>
      <c r="AE184" s="2817" t="s">
        <v>223</v>
      </c>
      <c r="AF184" s="2817"/>
      <c r="AG184" s="2156"/>
      <c r="AH184" s="190"/>
      <c r="AI184" s="190"/>
    </row>
    <row r="185" spans="1:36" ht="22.15" customHeight="1" x14ac:dyDescent="0.2">
      <c r="A185" s="109"/>
      <c r="B185" s="3136" t="s">
        <v>254</v>
      </c>
      <c r="C185" s="2817"/>
      <c r="D185" s="2817"/>
      <c r="E185" s="2817"/>
      <c r="F185" s="2817"/>
      <c r="G185" s="2817"/>
      <c r="H185" s="2817" t="s">
        <v>228</v>
      </c>
      <c r="I185" s="2817" t="s">
        <v>228</v>
      </c>
      <c r="J185" s="2817" t="s">
        <v>228</v>
      </c>
      <c r="K185" s="2817" t="s">
        <v>228</v>
      </c>
      <c r="L185" s="2817"/>
      <c r="M185" s="2817"/>
      <c r="N185" s="2817" t="s">
        <v>228</v>
      </c>
      <c r="O185" s="2817" t="s">
        <v>228</v>
      </c>
      <c r="P185" s="2817" t="s">
        <v>228</v>
      </c>
      <c r="Q185" s="2817" t="s">
        <v>228</v>
      </c>
      <c r="R185" s="2817" t="s">
        <v>228</v>
      </c>
      <c r="S185" s="2817"/>
      <c r="T185" s="2817"/>
      <c r="U185" s="2817" t="s">
        <v>228</v>
      </c>
      <c r="V185" s="2817" t="s">
        <v>228</v>
      </c>
      <c r="W185" s="2817" t="s">
        <v>228</v>
      </c>
      <c r="X185" s="2817" t="s">
        <v>228</v>
      </c>
      <c r="Y185" s="2817" t="s">
        <v>228</v>
      </c>
      <c r="Z185" s="2817"/>
      <c r="AA185" s="2817"/>
      <c r="AB185" s="2817" t="s">
        <v>228</v>
      </c>
      <c r="AC185" s="2817" t="s">
        <v>228</v>
      </c>
      <c r="AD185" s="2817" t="s">
        <v>228</v>
      </c>
      <c r="AE185" s="2817" t="s">
        <v>228</v>
      </c>
      <c r="AF185" s="2817"/>
      <c r="AG185" s="2156"/>
      <c r="AH185" s="190"/>
      <c r="AI185" s="190"/>
    </row>
    <row r="186" spans="1:36" ht="22.15" customHeight="1" x14ac:dyDescent="0.2">
      <c r="A186" s="109"/>
      <c r="B186" s="2929" t="s">
        <v>255</v>
      </c>
      <c r="C186" s="2734"/>
      <c r="D186" s="2817"/>
      <c r="E186" s="2817"/>
      <c r="F186" s="2817"/>
      <c r="G186" s="2817"/>
      <c r="H186" s="2817" t="s">
        <v>233</v>
      </c>
      <c r="I186" s="2817" t="s">
        <v>233</v>
      </c>
      <c r="J186" s="2817" t="s">
        <v>233</v>
      </c>
      <c r="K186" s="2817" t="s">
        <v>233</v>
      </c>
      <c r="L186" s="2817"/>
      <c r="M186" s="2817"/>
      <c r="N186" s="2817" t="s">
        <v>233</v>
      </c>
      <c r="O186" s="2817" t="s">
        <v>233</v>
      </c>
      <c r="P186" s="2817" t="s">
        <v>233</v>
      </c>
      <c r="Q186" s="2817" t="s">
        <v>233</v>
      </c>
      <c r="R186" s="2817" t="s">
        <v>233</v>
      </c>
      <c r="S186" s="2817"/>
      <c r="T186" s="2817"/>
      <c r="U186" s="2817" t="s">
        <v>233</v>
      </c>
      <c r="V186" s="2817" t="s">
        <v>233</v>
      </c>
      <c r="W186" s="2817" t="s">
        <v>233</v>
      </c>
      <c r="X186" s="2817" t="s">
        <v>233</v>
      </c>
      <c r="Y186" s="2817" t="s">
        <v>233</v>
      </c>
      <c r="Z186" s="2817"/>
      <c r="AA186" s="2817"/>
      <c r="AB186" s="2817" t="s">
        <v>233</v>
      </c>
      <c r="AC186" s="2817" t="s">
        <v>233</v>
      </c>
      <c r="AD186" s="2817" t="s">
        <v>233</v>
      </c>
      <c r="AE186" s="2817" t="s">
        <v>233</v>
      </c>
      <c r="AF186" s="2743"/>
      <c r="AG186" s="2156"/>
      <c r="AH186" s="190"/>
      <c r="AI186" s="190"/>
    </row>
    <row r="187" spans="1:36" ht="22.15" customHeight="1" x14ac:dyDescent="0.2">
      <c r="A187" s="109"/>
      <c r="B187" s="2807" t="s">
        <v>256</v>
      </c>
      <c r="C187" s="2818"/>
      <c r="D187" s="2818"/>
      <c r="E187" s="2818"/>
      <c r="F187" s="2818"/>
      <c r="G187" s="2817"/>
      <c r="H187" s="2817" t="s">
        <v>235</v>
      </c>
      <c r="I187" s="2817" t="s">
        <v>235</v>
      </c>
      <c r="J187" s="2817" t="s">
        <v>235</v>
      </c>
      <c r="K187" s="2817" t="s">
        <v>235</v>
      </c>
      <c r="L187" s="2817"/>
      <c r="M187" s="2817"/>
      <c r="N187" s="2817" t="s">
        <v>235</v>
      </c>
      <c r="O187" s="2817" t="s">
        <v>235</v>
      </c>
      <c r="P187" s="2817" t="s">
        <v>235</v>
      </c>
      <c r="Q187" s="2817" t="s">
        <v>235</v>
      </c>
      <c r="R187" s="2817" t="s">
        <v>235</v>
      </c>
      <c r="S187" s="2817"/>
      <c r="T187" s="2817"/>
      <c r="U187" s="2817" t="s">
        <v>235</v>
      </c>
      <c r="V187" s="2817" t="s">
        <v>235</v>
      </c>
      <c r="W187" s="2817" t="s">
        <v>235</v>
      </c>
      <c r="X187" s="2817" t="s">
        <v>235</v>
      </c>
      <c r="Y187" s="2817" t="s">
        <v>235</v>
      </c>
      <c r="Z187" s="2817"/>
      <c r="AA187" s="2817"/>
      <c r="AB187" s="2817" t="s">
        <v>235</v>
      </c>
      <c r="AC187" s="2817" t="s">
        <v>235</v>
      </c>
      <c r="AD187" s="2817" t="s">
        <v>235</v>
      </c>
      <c r="AE187" s="2817" t="s">
        <v>235</v>
      </c>
      <c r="AF187" s="2817"/>
      <c r="AG187" s="2156"/>
      <c r="AH187" s="190"/>
      <c r="AI187" s="190"/>
    </row>
    <row r="188" spans="1:36" ht="22.15" customHeight="1" x14ac:dyDescent="0.2">
      <c r="A188" s="109"/>
      <c r="B188" s="2929" t="s">
        <v>257</v>
      </c>
      <c r="C188" s="2817"/>
      <c r="D188" s="2817"/>
      <c r="E188" s="2817"/>
      <c r="F188" s="2817"/>
      <c r="G188" s="2817"/>
      <c r="H188" s="2817" t="s">
        <v>236</v>
      </c>
      <c r="I188" s="2817" t="s">
        <v>236</v>
      </c>
      <c r="J188" s="2817" t="s">
        <v>236</v>
      </c>
      <c r="K188" s="2817" t="s">
        <v>236</v>
      </c>
      <c r="L188" s="2817"/>
      <c r="M188" s="2817"/>
      <c r="N188" s="2817" t="s">
        <v>236</v>
      </c>
      <c r="O188" s="2817" t="s">
        <v>236</v>
      </c>
      <c r="P188" s="2817" t="s">
        <v>236</v>
      </c>
      <c r="Q188" s="2817" t="s">
        <v>236</v>
      </c>
      <c r="R188" s="2817" t="s">
        <v>236</v>
      </c>
      <c r="S188" s="2817"/>
      <c r="T188" s="2817"/>
      <c r="U188" s="2817" t="s">
        <v>236</v>
      </c>
      <c r="V188" s="2817" t="s">
        <v>236</v>
      </c>
      <c r="W188" s="2817" t="s">
        <v>236</v>
      </c>
      <c r="X188" s="2817" t="s">
        <v>236</v>
      </c>
      <c r="Y188" s="2817" t="s">
        <v>236</v>
      </c>
      <c r="Z188" s="2817"/>
      <c r="AA188" s="2817"/>
      <c r="AB188" s="2817" t="s">
        <v>236</v>
      </c>
      <c r="AC188" s="2817" t="s">
        <v>236</v>
      </c>
      <c r="AD188" s="2817" t="s">
        <v>236</v>
      </c>
      <c r="AE188" s="2817" t="s">
        <v>236</v>
      </c>
      <c r="AF188" s="2817"/>
      <c r="AG188" s="2156"/>
      <c r="AH188" s="190"/>
      <c r="AI188" s="190"/>
    </row>
    <row r="189" spans="1:36" ht="22.15" customHeight="1" x14ac:dyDescent="0.2">
      <c r="A189" s="109"/>
      <c r="B189" s="2929" t="s">
        <v>258</v>
      </c>
      <c r="C189" s="2817"/>
      <c r="D189" s="2817"/>
      <c r="E189" s="2817"/>
      <c r="F189" s="2817"/>
      <c r="G189" s="2742"/>
      <c r="H189" s="2742" t="s">
        <v>238</v>
      </c>
      <c r="I189" s="2742" t="s">
        <v>238</v>
      </c>
      <c r="J189" s="2742" t="s">
        <v>238</v>
      </c>
      <c r="K189" s="2742" t="s">
        <v>238</v>
      </c>
      <c r="L189" s="2742"/>
      <c r="M189" s="2742"/>
      <c r="N189" s="2742" t="s">
        <v>238</v>
      </c>
      <c r="O189" s="2742" t="s">
        <v>238</v>
      </c>
      <c r="P189" s="2742" t="s">
        <v>238</v>
      </c>
      <c r="Q189" s="2742" t="s">
        <v>238</v>
      </c>
      <c r="R189" s="2742" t="s">
        <v>238</v>
      </c>
      <c r="S189" s="2742"/>
      <c r="T189" s="2742"/>
      <c r="U189" s="2818" t="s">
        <v>238</v>
      </c>
      <c r="V189" s="2818" t="s">
        <v>238</v>
      </c>
      <c r="W189" s="2818" t="s">
        <v>238</v>
      </c>
      <c r="X189" s="2818" t="s">
        <v>238</v>
      </c>
      <c r="Y189" s="2818" t="s">
        <v>238</v>
      </c>
      <c r="Z189" s="2818"/>
      <c r="AA189" s="2818"/>
      <c r="AB189" s="2742" t="s">
        <v>238</v>
      </c>
      <c r="AC189" s="2742" t="s">
        <v>238</v>
      </c>
      <c r="AD189" s="2742" t="s">
        <v>238</v>
      </c>
      <c r="AE189" s="2742" t="s">
        <v>238</v>
      </c>
      <c r="AF189" s="2817"/>
      <c r="AG189" s="2156"/>
      <c r="AH189" s="190"/>
      <c r="AI189" s="190"/>
    </row>
    <row r="190" spans="1:36" ht="22.15" customHeight="1" x14ac:dyDescent="0.2">
      <c r="A190" s="109"/>
      <c r="B190" s="2807" t="s">
        <v>260</v>
      </c>
      <c r="C190" s="2817"/>
      <c r="D190" s="2817"/>
      <c r="E190" s="2817"/>
      <c r="F190" s="2817"/>
      <c r="G190" s="2817"/>
      <c r="H190" s="2817" t="s">
        <v>80</v>
      </c>
      <c r="I190" s="2817" t="s">
        <v>80</v>
      </c>
      <c r="J190" s="2817" t="s">
        <v>80</v>
      </c>
      <c r="K190" s="2817" t="s">
        <v>80</v>
      </c>
      <c r="L190" s="2817"/>
      <c r="M190" s="2817"/>
      <c r="N190" s="2817" t="s">
        <v>80</v>
      </c>
      <c r="O190" s="2817" t="s">
        <v>80</v>
      </c>
      <c r="P190" s="2817" t="s">
        <v>80</v>
      </c>
      <c r="Q190" s="2817" t="s">
        <v>80</v>
      </c>
      <c r="R190" s="2817" t="s">
        <v>80</v>
      </c>
      <c r="S190" s="2817"/>
      <c r="T190" s="2817"/>
      <c r="U190" s="2817" t="s">
        <v>80</v>
      </c>
      <c r="V190" s="2817" t="s">
        <v>80</v>
      </c>
      <c r="W190" s="2817" t="s">
        <v>80</v>
      </c>
      <c r="X190" s="2817" t="s">
        <v>80</v>
      </c>
      <c r="Y190" s="2817" t="s">
        <v>80</v>
      </c>
      <c r="Z190" s="2817"/>
      <c r="AA190" s="2817"/>
      <c r="AB190" s="2817" t="s">
        <v>80</v>
      </c>
      <c r="AC190" s="2817" t="s">
        <v>80</v>
      </c>
      <c r="AD190" s="2817" t="s">
        <v>80</v>
      </c>
      <c r="AE190" s="2817" t="s">
        <v>80</v>
      </c>
      <c r="AF190" s="2817"/>
      <c r="AG190" s="2156"/>
      <c r="AH190" s="190"/>
      <c r="AI190" s="190"/>
    </row>
    <row r="191" spans="1:36" ht="22.15" customHeight="1" x14ac:dyDescent="0.2">
      <c r="A191" s="109"/>
      <c r="B191" s="2929" t="s">
        <v>261</v>
      </c>
      <c r="C191" s="2817"/>
      <c r="D191" s="2817"/>
      <c r="E191" s="2817"/>
      <c r="F191" s="2817"/>
      <c r="G191" s="2817"/>
      <c r="H191" s="2817" t="s">
        <v>132</v>
      </c>
      <c r="I191" s="2817" t="s">
        <v>132</v>
      </c>
      <c r="J191" s="2817" t="s">
        <v>132</v>
      </c>
      <c r="K191" s="2817" t="s">
        <v>132</v>
      </c>
      <c r="L191" s="2817"/>
      <c r="M191" s="2817"/>
      <c r="N191" s="2817" t="s">
        <v>132</v>
      </c>
      <c r="O191" s="2817" t="s">
        <v>132</v>
      </c>
      <c r="P191" s="2817" t="s">
        <v>132</v>
      </c>
      <c r="Q191" s="2817" t="s">
        <v>132</v>
      </c>
      <c r="R191" s="2817" t="s">
        <v>132</v>
      </c>
      <c r="S191" s="2817"/>
      <c r="T191" s="2817"/>
      <c r="U191" s="2817" t="s">
        <v>132</v>
      </c>
      <c r="V191" s="2817" t="s">
        <v>132</v>
      </c>
      <c r="W191" s="2817" t="s">
        <v>132</v>
      </c>
      <c r="X191" s="2817" t="s">
        <v>132</v>
      </c>
      <c r="Y191" s="2817" t="s">
        <v>132</v>
      </c>
      <c r="Z191" s="2817"/>
      <c r="AA191" s="2817"/>
      <c r="AB191" s="2817" t="s">
        <v>132</v>
      </c>
      <c r="AC191" s="2817" t="s">
        <v>132</v>
      </c>
      <c r="AD191" s="2817" t="s">
        <v>132</v>
      </c>
      <c r="AE191" s="2817" t="s">
        <v>132</v>
      </c>
      <c r="AF191" s="2817"/>
      <c r="AG191" s="2156"/>
      <c r="AH191" s="190"/>
      <c r="AI191" s="190"/>
    </row>
    <row r="192" spans="1:36" ht="22.15" customHeight="1" x14ac:dyDescent="0.2">
      <c r="A192" s="109"/>
      <c r="B192" s="2807" t="s">
        <v>129</v>
      </c>
      <c r="C192" s="2818"/>
      <c r="D192" s="2818"/>
      <c r="E192" s="2818"/>
      <c r="F192" s="2818"/>
      <c r="G192" s="2817"/>
      <c r="H192" s="2817" t="s">
        <v>243</v>
      </c>
      <c r="I192" s="2817" t="s">
        <v>243</v>
      </c>
      <c r="J192" s="2817" t="s">
        <v>243</v>
      </c>
      <c r="K192" s="2817" t="s">
        <v>243</v>
      </c>
      <c r="L192" s="2817"/>
      <c r="M192" s="2817"/>
      <c r="N192" s="2817" t="s">
        <v>243</v>
      </c>
      <c r="O192" s="2817" t="s">
        <v>243</v>
      </c>
      <c r="P192" s="2817" t="s">
        <v>243</v>
      </c>
      <c r="Q192" s="2817" t="s">
        <v>243</v>
      </c>
      <c r="R192" s="2817" t="s">
        <v>243</v>
      </c>
      <c r="S192" s="2817"/>
      <c r="T192" s="2817"/>
      <c r="U192" s="2817" t="s">
        <v>243</v>
      </c>
      <c r="V192" s="2817" t="s">
        <v>243</v>
      </c>
      <c r="W192" s="2817" t="s">
        <v>243</v>
      </c>
      <c r="X192" s="2817" t="s">
        <v>243</v>
      </c>
      <c r="Y192" s="2817" t="s">
        <v>243</v>
      </c>
      <c r="Z192" s="2817"/>
      <c r="AA192" s="2817"/>
      <c r="AB192" s="2817" t="s">
        <v>243</v>
      </c>
      <c r="AC192" s="2817" t="s">
        <v>243</v>
      </c>
      <c r="AD192" s="2817" t="s">
        <v>243</v>
      </c>
      <c r="AE192" s="2817" t="s">
        <v>243</v>
      </c>
      <c r="AF192" s="2817"/>
      <c r="AG192" s="2156"/>
      <c r="AH192" s="190"/>
      <c r="AI192" s="190"/>
    </row>
    <row r="193" spans="1:35" ht="22.15" customHeight="1" x14ac:dyDescent="0.2">
      <c r="A193" s="109"/>
      <c r="B193" s="2807" t="s">
        <v>263</v>
      </c>
      <c r="C193" s="2817"/>
      <c r="D193" s="2817"/>
      <c r="E193" s="2817"/>
      <c r="F193" s="2817"/>
      <c r="G193" s="2817"/>
      <c r="H193" s="2817" t="s">
        <v>246</v>
      </c>
      <c r="I193" s="2817" t="s">
        <v>246</v>
      </c>
      <c r="J193" s="2817" t="s">
        <v>246</v>
      </c>
      <c r="K193" s="2817" t="s">
        <v>246</v>
      </c>
      <c r="L193" s="2817"/>
      <c r="M193" s="2817"/>
      <c r="N193" s="2817" t="s">
        <v>246</v>
      </c>
      <c r="O193" s="2817" t="s">
        <v>246</v>
      </c>
      <c r="P193" s="2817" t="s">
        <v>246</v>
      </c>
      <c r="Q193" s="2817" t="s">
        <v>246</v>
      </c>
      <c r="R193" s="2817" t="s">
        <v>246</v>
      </c>
      <c r="S193" s="2817"/>
      <c r="T193" s="2817"/>
      <c r="U193" s="2817" t="s">
        <v>246</v>
      </c>
      <c r="V193" s="2817" t="s">
        <v>246</v>
      </c>
      <c r="W193" s="2817" t="s">
        <v>246</v>
      </c>
      <c r="X193" s="2817" t="s">
        <v>246</v>
      </c>
      <c r="Y193" s="2817" t="s">
        <v>246</v>
      </c>
      <c r="Z193" s="2817"/>
      <c r="AA193" s="2817"/>
      <c r="AB193" s="2817" t="s">
        <v>246</v>
      </c>
      <c r="AC193" s="2817" t="s">
        <v>246</v>
      </c>
      <c r="AD193" s="2817" t="s">
        <v>246</v>
      </c>
      <c r="AE193" s="2817" t="s">
        <v>246</v>
      </c>
      <c r="AF193" s="2817"/>
      <c r="AG193" s="2156"/>
      <c r="AH193" s="107"/>
      <c r="AI193" s="107"/>
    </row>
    <row r="194" spans="1:35" ht="21" customHeight="1" thickBot="1" x14ac:dyDescent="0.25">
      <c r="A194" s="148"/>
      <c r="B194" s="692" t="s">
        <v>264</v>
      </c>
      <c r="C194" s="696"/>
      <c r="D194" s="696"/>
      <c r="E194" s="696"/>
      <c r="F194" s="696"/>
      <c r="G194" s="696"/>
      <c r="H194" s="696" t="s">
        <v>248</v>
      </c>
      <c r="I194" s="680" t="s">
        <v>248</v>
      </c>
      <c r="J194" s="680" t="s">
        <v>248</v>
      </c>
      <c r="K194" s="680" t="s">
        <v>248</v>
      </c>
      <c r="L194" s="680"/>
      <c r="M194" s="680"/>
      <c r="N194" s="669" t="s">
        <v>248</v>
      </c>
      <c r="O194" s="669" t="s">
        <v>248</v>
      </c>
      <c r="P194" s="669" t="s">
        <v>248</v>
      </c>
      <c r="Q194" s="669" t="s">
        <v>248</v>
      </c>
      <c r="R194" s="669" t="s">
        <v>248</v>
      </c>
      <c r="S194" s="669"/>
      <c r="T194" s="669"/>
      <c r="U194" s="680" t="s">
        <v>248</v>
      </c>
      <c r="V194" s="680" t="s">
        <v>248</v>
      </c>
      <c r="W194" s="680" t="s">
        <v>248</v>
      </c>
      <c r="X194" s="680" t="s">
        <v>248</v>
      </c>
      <c r="Y194" s="680" t="s">
        <v>248</v>
      </c>
      <c r="Z194" s="680"/>
      <c r="AA194" s="680"/>
      <c r="AB194" s="680" t="s">
        <v>248</v>
      </c>
      <c r="AC194" s="680" t="s">
        <v>248</v>
      </c>
      <c r="AD194" s="680" t="s">
        <v>248</v>
      </c>
      <c r="AE194" s="680" t="s">
        <v>248</v>
      </c>
      <c r="AF194" s="696"/>
      <c r="AG194" s="217"/>
      <c r="AH194" s="115"/>
    </row>
    <row r="195" spans="1:35" ht="21" customHeight="1" x14ac:dyDescent="0.2">
      <c r="A195" s="148"/>
      <c r="B195" s="257"/>
      <c r="C195" s="255"/>
      <c r="D195" s="255"/>
      <c r="E195" s="255"/>
      <c r="F195" s="255"/>
      <c r="G195" s="255"/>
      <c r="H195" s="255"/>
      <c r="I195" s="261"/>
      <c r="J195" s="261"/>
      <c r="K195" s="261"/>
      <c r="L195" s="261"/>
      <c r="M195" s="261"/>
      <c r="N195" s="261"/>
      <c r="O195" s="261"/>
      <c r="P195" s="261"/>
      <c r="Q195" s="261"/>
      <c r="R195" s="261"/>
      <c r="S195" s="261"/>
      <c r="T195" s="261"/>
      <c r="U195" s="261"/>
      <c r="V195" s="261"/>
      <c r="W195" s="261"/>
      <c r="X195" s="261"/>
      <c r="Y195" s="261"/>
      <c r="Z195" s="261"/>
      <c r="AA195" s="261"/>
      <c r="AB195" s="261"/>
      <c r="AC195" s="261"/>
      <c r="AD195" s="261"/>
      <c r="AE195" s="261"/>
      <c r="AF195" s="255"/>
      <c r="AG195" s="255"/>
      <c r="AH195" s="115"/>
    </row>
    <row r="196" spans="1:35" ht="22.15" customHeight="1" x14ac:dyDescent="0.2"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</row>
    <row r="197" spans="1:35" ht="22.15" customHeight="1" thickBot="1" x14ac:dyDescent="0.25">
      <c r="A197" s="1" t="s">
        <v>266</v>
      </c>
      <c r="B197" s="59"/>
    </row>
    <row r="198" spans="1:35" ht="22.15" customHeight="1" x14ac:dyDescent="0.2">
      <c r="A198" s="1"/>
      <c r="B198" s="2930" t="s">
        <v>267</v>
      </c>
      <c r="C198" s="525" t="s">
        <v>90</v>
      </c>
      <c r="D198" s="525"/>
      <c r="E198" s="525"/>
      <c r="F198" s="525"/>
      <c r="G198" s="526" t="s">
        <v>91</v>
      </c>
      <c r="H198" s="525"/>
      <c r="I198" s="525"/>
      <c r="J198" s="525"/>
      <c r="K198" s="526" t="s">
        <v>92</v>
      </c>
      <c r="L198" s="525"/>
      <c r="M198" s="525"/>
      <c r="N198" s="525"/>
      <c r="O198" s="526" t="s">
        <v>93</v>
      </c>
      <c r="P198" s="525"/>
      <c r="Q198" s="525"/>
      <c r="R198" s="525"/>
      <c r="S198" s="526" t="s">
        <v>94</v>
      </c>
      <c r="T198" s="525"/>
      <c r="U198" s="525"/>
      <c r="V198" s="525"/>
      <c r="W198" s="527" t="s">
        <v>95</v>
      </c>
      <c r="X198" s="473"/>
      <c r="Y198" s="525"/>
      <c r="Z198" s="528"/>
      <c r="AA198" s="527" t="s">
        <v>96</v>
      </c>
      <c r="AB198" s="473"/>
      <c r="AC198" s="525"/>
      <c r="AD198" s="528"/>
      <c r="AE198" s="529" t="s">
        <v>97</v>
      </c>
      <c r="AF198" s="525"/>
      <c r="AG198" s="525"/>
      <c r="AH198" s="525"/>
      <c r="AI198" s="474"/>
    </row>
    <row r="199" spans="1:35" ht="22.15" customHeight="1" x14ac:dyDescent="0.2">
      <c r="A199" s="1"/>
      <c r="B199" s="3248">
        <v>3701</v>
      </c>
      <c r="C199" s="110" t="s">
        <v>268</v>
      </c>
      <c r="D199" s="110"/>
      <c r="E199" s="110"/>
      <c r="F199" s="110"/>
      <c r="G199" s="3249" t="s">
        <v>269</v>
      </c>
      <c r="H199" s="110"/>
      <c r="I199" s="110"/>
      <c r="J199" s="110"/>
      <c r="K199" s="3249" t="s">
        <v>269</v>
      </c>
      <c r="L199" s="110"/>
      <c r="M199" s="110"/>
      <c r="N199" s="110"/>
      <c r="O199" s="3249" t="s">
        <v>269</v>
      </c>
      <c r="P199" s="110"/>
      <c r="Q199" s="110"/>
      <c r="R199" s="110"/>
      <c r="S199" s="3249" t="s">
        <v>270</v>
      </c>
      <c r="T199" s="110"/>
      <c r="U199" s="110"/>
      <c r="V199" s="110"/>
      <c r="W199" s="2932"/>
      <c r="X199" s="2933"/>
      <c r="Y199" s="3079"/>
      <c r="Z199" s="2934"/>
      <c r="AA199" s="2932"/>
      <c r="AB199" s="2933"/>
      <c r="AC199" s="3079"/>
      <c r="AD199" s="2934"/>
      <c r="AE199" s="3187"/>
      <c r="AF199" s="3079"/>
      <c r="AG199" s="3079"/>
      <c r="AH199" s="3079"/>
      <c r="AI199" s="3039"/>
    </row>
    <row r="200" spans="1:35" ht="22.15" customHeight="1" x14ac:dyDescent="0.2">
      <c r="A200" s="2935"/>
      <c r="B200" s="2930"/>
      <c r="C200" s="2936"/>
      <c r="D200" s="2937"/>
      <c r="E200" s="2937"/>
      <c r="F200" s="2938"/>
      <c r="G200" s="2936"/>
      <c r="H200" s="2937"/>
      <c r="I200" s="2937"/>
      <c r="J200" s="2938"/>
      <c r="K200" s="2936"/>
      <c r="L200" s="2937"/>
      <c r="M200" s="2937"/>
      <c r="N200" s="2938"/>
      <c r="O200" s="2936"/>
      <c r="P200" s="2937"/>
      <c r="Q200" s="2937"/>
      <c r="R200" s="2938"/>
      <c r="S200" s="2936"/>
      <c r="T200" s="2937"/>
      <c r="U200" s="2937"/>
      <c r="V200" s="2937"/>
      <c r="W200" s="2932"/>
      <c r="X200" s="2933"/>
      <c r="Y200" s="3079"/>
      <c r="Z200" s="2934"/>
      <c r="AA200" s="2932"/>
      <c r="AB200" s="2933"/>
      <c r="AC200" s="3079"/>
      <c r="AD200" s="2934"/>
      <c r="AE200" s="3187"/>
      <c r="AF200" s="3079"/>
      <c r="AG200" s="3079"/>
      <c r="AH200" s="3079"/>
      <c r="AI200" s="3039"/>
    </row>
    <row r="201" spans="1:35" ht="22.15" customHeight="1" x14ac:dyDescent="0.2">
      <c r="A201" s="2935"/>
      <c r="B201" s="2930"/>
      <c r="C201" s="2936"/>
      <c r="D201" s="2937"/>
      <c r="E201" s="2937"/>
      <c r="F201" s="2938"/>
      <c r="G201" s="2936"/>
      <c r="H201" s="2937"/>
      <c r="I201" s="2937"/>
      <c r="J201" s="2938"/>
      <c r="K201" s="2936"/>
      <c r="L201" s="2937"/>
      <c r="M201" s="2937"/>
      <c r="N201" s="2938"/>
      <c r="O201" s="2936"/>
      <c r="P201" s="2937"/>
      <c r="Q201" s="2937"/>
      <c r="R201" s="2938"/>
      <c r="S201" s="2936"/>
      <c r="T201" s="2937"/>
      <c r="U201" s="2937"/>
      <c r="V201" s="2937"/>
      <c r="W201" s="2932"/>
      <c r="X201" s="2933"/>
      <c r="Y201" s="3079"/>
      <c r="Z201" s="2934"/>
      <c r="AA201" s="2932"/>
      <c r="AB201" s="2933"/>
      <c r="AC201" s="3079"/>
      <c r="AD201" s="2934"/>
      <c r="AE201" s="3187"/>
      <c r="AF201" s="3079"/>
      <c r="AG201" s="3079"/>
      <c r="AH201" s="3079"/>
      <c r="AI201" s="3039"/>
    </row>
    <row r="202" spans="1:35" ht="22.15" customHeight="1" thickBot="1" x14ac:dyDescent="0.25">
      <c r="A202" s="2939"/>
      <c r="B202" s="2940"/>
      <c r="C202" s="2941"/>
      <c r="D202" s="2942"/>
      <c r="E202" s="2942"/>
      <c r="F202" s="2943"/>
      <c r="G202" s="2941"/>
      <c r="H202" s="2942"/>
      <c r="I202" s="2942"/>
      <c r="J202" s="2943"/>
      <c r="K202" s="2941"/>
      <c r="L202" s="2942"/>
      <c r="M202" s="2942"/>
      <c r="N202" s="2943"/>
      <c r="O202" s="2941"/>
      <c r="P202" s="2942"/>
      <c r="Q202" s="2942"/>
      <c r="R202" s="2943"/>
      <c r="S202" s="2941"/>
      <c r="T202" s="2942"/>
      <c r="U202" s="2942"/>
      <c r="V202" s="2942"/>
      <c r="W202" s="2944"/>
      <c r="X202" s="2945"/>
      <c r="Y202" s="2946"/>
      <c r="Z202" s="2947"/>
      <c r="AA202" s="2944"/>
      <c r="AB202" s="2945"/>
      <c r="AC202" s="2946"/>
      <c r="AD202" s="2947"/>
      <c r="AE202" s="3200"/>
      <c r="AF202" s="3086"/>
      <c r="AG202" s="3086"/>
      <c r="AH202" s="3086"/>
      <c r="AI202" s="3089"/>
    </row>
    <row r="203" spans="1:35" ht="22.15" customHeight="1" x14ac:dyDescent="0.2">
      <c r="AG203" s="110"/>
      <c r="AH203" s="110"/>
    </row>
    <row r="204" spans="1:35" ht="22.15" customHeight="1" x14ac:dyDescent="0.2">
      <c r="B204" s="2930">
        <v>3700</v>
      </c>
      <c r="C204" s="3079" t="s">
        <v>162</v>
      </c>
      <c r="D204" s="3079"/>
      <c r="E204" s="3079"/>
      <c r="F204" s="3079"/>
      <c r="G204" s="2948" t="s">
        <v>162</v>
      </c>
      <c r="H204" s="3079"/>
      <c r="I204" s="3079"/>
      <c r="J204" s="3079"/>
      <c r="K204" s="2948" t="s">
        <v>162</v>
      </c>
      <c r="L204" s="3079"/>
      <c r="M204" s="3079"/>
      <c r="N204" s="3079"/>
      <c r="O204" s="2948" t="s">
        <v>162</v>
      </c>
      <c r="P204" s="3079"/>
      <c r="Q204" s="3079"/>
      <c r="R204" s="3079"/>
      <c r="S204" s="2948" t="s">
        <v>163</v>
      </c>
      <c r="T204" s="3079"/>
      <c r="U204" s="3079"/>
      <c r="V204" s="3079"/>
      <c r="W204" s="3079"/>
      <c r="X204" s="2948"/>
      <c r="Y204" s="3079"/>
      <c r="Z204" s="3189"/>
      <c r="AA204" s="3187"/>
      <c r="AB204" s="3079"/>
      <c r="AC204" s="3079"/>
      <c r="AD204" s="3116"/>
      <c r="AE204" s="2949"/>
      <c r="AF204" s="3079"/>
      <c r="AG204" s="3079"/>
      <c r="AH204" s="3116"/>
      <c r="AI204" s="3039"/>
    </row>
    <row r="205" spans="1:35" ht="22.15" customHeight="1" x14ac:dyDescent="0.2">
      <c r="A205" s="1"/>
      <c r="B205" s="2930">
        <v>8514</v>
      </c>
      <c r="C205" s="3079" t="s">
        <v>269</v>
      </c>
      <c r="D205" s="3079"/>
      <c r="E205" s="3079"/>
      <c r="F205" s="3079"/>
      <c r="G205" s="2948" t="s">
        <v>269</v>
      </c>
      <c r="H205" s="3079"/>
      <c r="I205" s="3079"/>
      <c r="J205" s="3079"/>
      <c r="K205" s="2948" t="s">
        <v>269</v>
      </c>
      <c r="L205" s="3079"/>
      <c r="M205" s="3079"/>
      <c r="N205" s="3079"/>
      <c r="O205" s="2948" t="s">
        <v>269</v>
      </c>
      <c r="P205" s="3079"/>
      <c r="Q205" s="3079"/>
      <c r="R205" s="3079"/>
      <c r="S205" s="2948" t="s">
        <v>271</v>
      </c>
      <c r="T205" s="3079"/>
      <c r="U205" s="3079"/>
      <c r="V205" s="3079"/>
      <c r="W205" s="3079"/>
      <c r="X205" s="2948"/>
      <c r="Y205" s="3079"/>
      <c r="Z205" s="3189"/>
      <c r="AA205" s="3115"/>
      <c r="AB205" s="3079"/>
      <c r="AC205" s="3079"/>
      <c r="AD205" s="3116"/>
      <c r="AE205" s="3115"/>
      <c r="AF205" s="3079"/>
      <c r="AG205" s="3079"/>
      <c r="AH205" s="3116"/>
      <c r="AI205" s="3039"/>
    </row>
    <row r="206" spans="1:35" ht="22.15" customHeight="1" x14ac:dyDescent="0.2">
      <c r="A206" s="1"/>
      <c r="B206" s="2930">
        <v>8500</v>
      </c>
      <c r="C206" s="166" t="s">
        <v>272</v>
      </c>
      <c r="D206" s="166"/>
      <c r="E206" s="166"/>
      <c r="F206" s="166"/>
      <c r="G206" s="167" t="s">
        <v>272</v>
      </c>
      <c r="H206" s="166"/>
      <c r="I206" s="166"/>
      <c r="J206" s="166"/>
      <c r="K206" s="167" t="s">
        <v>272</v>
      </c>
      <c r="L206" s="166"/>
      <c r="M206" s="166"/>
      <c r="N206" s="166"/>
      <c r="O206" s="167" t="s">
        <v>272</v>
      </c>
      <c r="P206" s="166"/>
      <c r="Q206" s="166"/>
      <c r="R206" s="166"/>
      <c r="S206" s="167" t="s">
        <v>273</v>
      </c>
      <c r="T206" s="166"/>
      <c r="U206" s="166"/>
      <c r="V206" s="166"/>
      <c r="W206" s="166"/>
      <c r="X206" s="167"/>
      <c r="Y206" s="166"/>
      <c r="Z206" s="121"/>
      <c r="AA206" s="120"/>
      <c r="AB206" s="166"/>
      <c r="AC206" s="166"/>
      <c r="AD206" s="121"/>
      <c r="AE206" s="120"/>
      <c r="AF206" s="166"/>
      <c r="AG206" s="166"/>
      <c r="AH206" s="113"/>
      <c r="AI206" s="119"/>
    </row>
    <row r="207" spans="1:35" ht="22.15" customHeight="1" x14ac:dyDescent="0.2">
      <c r="A207" s="1"/>
      <c r="B207" s="2930">
        <v>8514</v>
      </c>
      <c r="C207" s="169" t="s">
        <v>269</v>
      </c>
      <c r="D207" s="169"/>
      <c r="E207" s="169"/>
      <c r="F207" s="169"/>
      <c r="G207" s="170" t="s">
        <v>269</v>
      </c>
      <c r="H207" s="169"/>
      <c r="I207" s="169"/>
      <c r="J207" s="169"/>
      <c r="K207" s="170" t="s">
        <v>269</v>
      </c>
      <c r="L207" s="169"/>
      <c r="M207" s="169"/>
      <c r="N207" s="169"/>
      <c r="O207" s="170" t="s">
        <v>269</v>
      </c>
      <c r="P207" s="169"/>
      <c r="Q207" s="169"/>
      <c r="R207" s="169"/>
      <c r="S207" s="170" t="s">
        <v>271</v>
      </c>
      <c r="T207" s="169"/>
      <c r="U207" s="169"/>
      <c r="V207" s="169"/>
      <c r="W207" s="169"/>
      <c r="X207" s="149"/>
      <c r="Y207" s="166"/>
      <c r="Z207" s="168"/>
      <c r="AA207" s="156"/>
      <c r="AB207" s="117"/>
      <c r="AC207" s="166"/>
      <c r="AD207" s="166"/>
      <c r="AE207" s="118"/>
      <c r="AF207" s="166"/>
      <c r="AG207" s="166"/>
      <c r="AH207" s="166"/>
      <c r="AI207" s="119"/>
    </row>
    <row r="208" spans="1:35" ht="22.15" customHeight="1" thickBot="1" x14ac:dyDescent="0.25">
      <c r="A208" s="1"/>
      <c r="B208" s="2950" t="s">
        <v>274</v>
      </c>
      <c r="C208" s="3086" t="s">
        <v>275</v>
      </c>
      <c r="D208" s="3086"/>
      <c r="E208" s="3086"/>
      <c r="F208" s="3086"/>
      <c r="G208" s="2951" t="s">
        <v>275</v>
      </c>
      <c r="H208" s="3086"/>
      <c r="I208" s="3086"/>
      <c r="J208" s="3086"/>
      <c r="K208" s="2952" t="s">
        <v>275</v>
      </c>
      <c r="L208" s="3086"/>
      <c r="M208" s="3086"/>
      <c r="N208" s="3086"/>
      <c r="O208" s="2951" t="s">
        <v>275</v>
      </c>
      <c r="P208" s="3086"/>
      <c r="Q208" s="3086"/>
      <c r="R208" s="3086"/>
      <c r="S208" s="2951" t="s">
        <v>276</v>
      </c>
      <c r="T208" s="3086"/>
      <c r="U208" s="3086"/>
      <c r="V208" s="3086"/>
      <c r="W208" s="3086"/>
      <c r="X208" s="2951"/>
      <c r="Y208" s="3086"/>
      <c r="Z208" s="3223"/>
      <c r="AA208" s="3200"/>
      <c r="AB208" s="3086"/>
      <c r="AC208" s="3086"/>
      <c r="AD208" s="3207"/>
      <c r="AE208" s="2953"/>
      <c r="AF208" s="3086"/>
      <c r="AG208" s="3086"/>
      <c r="AH208" s="3207"/>
      <c r="AI208" s="3089"/>
    </row>
    <row r="209" spans="1:35" ht="22.1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15" customHeight="1" x14ac:dyDescent="0.2">
      <c r="A210" s="1" t="s">
        <v>277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15" customHeight="1" thickBot="1" x14ac:dyDescent="0.25">
      <c r="A211" s="3134"/>
      <c r="B211" s="3091" t="s">
        <v>29</v>
      </c>
      <c r="C211" s="3048">
        <v>1</v>
      </c>
      <c r="D211" s="3048">
        <v>2</v>
      </c>
      <c r="E211" s="3048">
        <v>3</v>
      </c>
      <c r="F211" s="3048">
        <v>4</v>
      </c>
      <c r="G211" s="3048">
        <v>5</v>
      </c>
      <c r="H211" s="3049">
        <v>6</v>
      </c>
      <c r="I211" s="3049">
        <v>7</v>
      </c>
      <c r="J211" s="3049">
        <v>8</v>
      </c>
      <c r="K211" s="3049">
        <v>9</v>
      </c>
      <c r="L211" s="3048">
        <v>10</v>
      </c>
      <c r="M211" s="3048">
        <v>11</v>
      </c>
      <c r="N211" s="3049">
        <v>12</v>
      </c>
      <c r="O211" s="3049">
        <v>13</v>
      </c>
      <c r="P211" s="3049">
        <v>14</v>
      </c>
      <c r="Q211" s="3049">
        <v>15</v>
      </c>
      <c r="R211" s="3049">
        <v>16</v>
      </c>
      <c r="S211" s="3048">
        <v>17</v>
      </c>
      <c r="T211" s="3048">
        <v>18</v>
      </c>
      <c r="U211" s="3049">
        <v>19</v>
      </c>
      <c r="V211" s="3049">
        <v>20</v>
      </c>
      <c r="W211" s="3049">
        <v>21</v>
      </c>
      <c r="X211" s="3049">
        <v>22</v>
      </c>
      <c r="Y211" s="3049">
        <v>23</v>
      </c>
      <c r="Z211" s="3048">
        <v>24</v>
      </c>
      <c r="AA211" s="3048">
        <v>25</v>
      </c>
      <c r="AB211" s="3049">
        <v>26</v>
      </c>
      <c r="AC211" s="3049">
        <v>27</v>
      </c>
      <c r="AD211" s="3049">
        <v>28</v>
      </c>
      <c r="AE211" s="3049">
        <v>29</v>
      </c>
      <c r="AF211" s="3048">
        <v>30</v>
      </c>
      <c r="AG211" s="3050"/>
      <c r="AH211" s="184"/>
      <c r="AI211" s="185"/>
    </row>
    <row r="212" spans="1:35" ht="22.15" customHeight="1" x14ac:dyDescent="0.2">
      <c r="A212" s="305"/>
      <c r="B212" s="306" t="s">
        <v>278</v>
      </c>
      <c r="C212" s="2734"/>
      <c r="D212" s="2734"/>
      <c r="E212" s="2734"/>
      <c r="F212" s="2735"/>
      <c r="G212" s="2734"/>
      <c r="H212" s="2734" t="s">
        <v>31</v>
      </c>
      <c r="I212" s="2734" t="s">
        <v>31</v>
      </c>
      <c r="J212" s="2734" t="s">
        <v>31</v>
      </c>
      <c r="K212" s="2734" t="s">
        <v>31</v>
      </c>
      <c r="L212" s="2734"/>
      <c r="M212" s="2734"/>
      <c r="N212" s="2740" t="s">
        <v>31</v>
      </c>
      <c r="O212" s="2740" t="s">
        <v>31</v>
      </c>
      <c r="P212" s="2740" t="s">
        <v>31</v>
      </c>
      <c r="Q212" s="2736" t="s">
        <v>31</v>
      </c>
      <c r="R212" s="2740" t="s">
        <v>31</v>
      </c>
      <c r="S212" s="2734"/>
      <c r="T212" s="2734"/>
      <c r="U212" s="2740" t="s">
        <v>31</v>
      </c>
      <c r="V212" s="2740" t="s">
        <v>31</v>
      </c>
      <c r="W212" s="2740" t="s">
        <v>31</v>
      </c>
      <c r="X212" s="2734" t="s">
        <v>31</v>
      </c>
      <c r="Y212" s="2740" t="s">
        <v>31</v>
      </c>
      <c r="Z212" s="2734"/>
      <c r="AA212" s="2734"/>
      <c r="AB212" s="2734" t="s">
        <v>31</v>
      </c>
      <c r="AC212" s="2734" t="s">
        <v>31</v>
      </c>
      <c r="AD212" s="2735" t="s">
        <v>31</v>
      </c>
      <c r="AE212" s="2734" t="s">
        <v>31</v>
      </c>
      <c r="AF212" s="2735"/>
      <c r="AG212" s="274"/>
      <c r="AH212" s="184"/>
      <c r="AI212" s="185"/>
    </row>
    <row r="213" spans="1:35" ht="22.15" customHeight="1" x14ac:dyDescent="0.2">
      <c r="A213" s="2607"/>
      <c r="B213" s="2608" t="s">
        <v>279</v>
      </c>
      <c r="C213" s="2734"/>
      <c r="D213" s="2734"/>
      <c r="E213" s="2734"/>
      <c r="F213" s="2735"/>
      <c r="G213" s="2734"/>
      <c r="H213" s="2734" t="s">
        <v>31</v>
      </c>
      <c r="I213" s="2734" t="s">
        <v>31</v>
      </c>
      <c r="J213" s="2734" t="s">
        <v>31</v>
      </c>
      <c r="K213" s="2734" t="s">
        <v>31</v>
      </c>
      <c r="L213" s="2734"/>
      <c r="M213" s="2734"/>
      <c r="N213" s="2740" t="s">
        <v>31</v>
      </c>
      <c r="O213" s="2740" t="s">
        <v>31</v>
      </c>
      <c r="P213" s="2740" t="s">
        <v>31</v>
      </c>
      <c r="Q213" s="2736" t="s">
        <v>31</v>
      </c>
      <c r="R213" s="2740" t="s">
        <v>31</v>
      </c>
      <c r="S213" s="2734"/>
      <c r="T213" s="2734"/>
      <c r="U213" s="2740" t="s">
        <v>31</v>
      </c>
      <c r="V213" s="2740" t="s">
        <v>31</v>
      </c>
      <c r="W213" s="2740" t="s">
        <v>31</v>
      </c>
      <c r="X213" s="2734" t="s">
        <v>31</v>
      </c>
      <c r="Y213" s="2740" t="s">
        <v>31</v>
      </c>
      <c r="Z213" s="2734"/>
      <c r="AA213" s="2734"/>
      <c r="AB213" s="2734" t="s">
        <v>31</v>
      </c>
      <c r="AC213" s="2734" t="s">
        <v>31</v>
      </c>
      <c r="AD213" s="2735" t="s">
        <v>31</v>
      </c>
      <c r="AE213" s="2734" t="s">
        <v>31</v>
      </c>
      <c r="AF213" s="2735"/>
      <c r="AG213" s="2193"/>
      <c r="AH213" s="184"/>
      <c r="AI213" s="185"/>
    </row>
    <row r="214" spans="1:35" ht="22.15" customHeight="1" x14ac:dyDescent="0.2">
      <c r="A214" s="2610">
        <v>8514</v>
      </c>
      <c r="B214" s="2766" t="s">
        <v>280</v>
      </c>
      <c r="C214" s="2734"/>
      <c r="D214" s="2734"/>
      <c r="E214" s="2734"/>
      <c r="F214" s="2735"/>
      <c r="G214" s="2734"/>
      <c r="H214" s="2734" t="s">
        <v>31</v>
      </c>
      <c r="I214" s="2734" t="s">
        <v>31</v>
      </c>
      <c r="J214" s="2734" t="s">
        <v>31</v>
      </c>
      <c r="K214" s="2734" t="s">
        <v>31</v>
      </c>
      <c r="L214" s="2734"/>
      <c r="M214" s="2734"/>
      <c r="N214" s="2740" t="s">
        <v>31</v>
      </c>
      <c r="O214" s="2740" t="s">
        <v>31</v>
      </c>
      <c r="P214" s="2740" t="s">
        <v>31</v>
      </c>
      <c r="Q214" s="2736" t="s">
        <v>31</v>
      </c>
      <c r="R214" s="2740" t="s">
        <v>31</v>
      </c>
      <c r="S214" s="2734"/>
      <c r="T214" s="2734"/>
      <c r="U214" s="2740" t="s">
        <v>31</v>
      </c>
      <c r="V214" s="2740" t="s">
        <v>31</v>
      </c>
      <c r="W214" s="2740" t="s">
        <v>31</v>
      </c>
      <c r="X214" s="2734" t="s">
        <v>31</v>
      </c>
      <c r="Y214" s="2740" t="s">
        <v>31</v>
      </c>
      <c r="Z214" s="2734"/>
      <c r="AA214" s="2734"/>
      <c r="AB214" s="2734" t="s">
        <v>31</v>
      </c>
      <c r="AC214" s="2734" t="s">
        <v>31</v>
      </c>
      <c r="AD214" s="2735" t="s">
        <v>31</v>
      </c>
      <c r="AE214" s="2734" t="s">
        <v>31</v>
      </c>
      <c r="AF214" s="2735"/>
      <c r="AG214" s="2193"/>
      <c r="AH214" s="189"/>
      <c r="AI214" s="190"/>
    </row>
    <row r="215" spans="1:35" ht="21" customHeight="1" x14ac:dyDescent="0.2">
      <c r="A215" s="2610">
        <v>3701</v>
      </c>
      <c r="B215" s="2766" t="s">
        <v>281</v>
      </c>
      <c r="C215" s="2734"/>
      <c r="D215" s="2734"/>
      <c r="E215" s="2734"/>
      <c r="F215" s="2735"/>
      <c r="G215" s="2734"/>
      <c r="H215" s="2734" t="s">
        <v>31</v>
      </c>
      <c r="I215" s="2734" t="s">
        <v>31</v>
      </c>
      <c r="J215" s="2734" t="s">
        <v>31</v>
      </c>
      <c r="K215" s="2734" t="s">
        <v>31</v>
      </c>
      <c r="L215" s="2734"/>
      <c r="M215" s="2734"/>
      <c r="N215" s="2740" t="s">
        <v>31</v>
      </c>
      <c r="O215" s="2740" t="s">
        <v>31</v>
      </c>
      <c r="P215" s="2740" t="s">
        <v>31</v>
      </c>
      <c r="Q215" s="2736" t="s">
        <v>31</v>
      </c>
      <c r="R215" s="2740" t="s">
        <v>31</v>
      </c>
      <c r="S215" s="2734"/>
      <c r="T215" s="2734"/>
      <c r="U215" s="2740" t="s">
        <v>31</v>
      </c>
      <c r="V215" s="2740" t="s">
        <v>31</v>
      </c>
      <c r="W215" s="2740" t="s">
        <v>31</v>
      </c>
      <c r="X215" s="2734" t="s">
        <v>31</v>
      </c>
      <c r="Y215" s="2740" t="s">
        <v>31</v>
      </c>
      <c r="Z215" s="2734"/>
      <c r="AA215" s="2734"/>
      <c r="AB215" s="2734" t="s">
        <v>31</v>
      </c>
      <c r="AC215" s="2734" t="s">
        <v>31</v>
      </c>
      <c r="AD215" s="2735" t="s">
        <v>31</v>
      </c>
      <c r="AE215" s="2734" t="s">
        <v>31</v>
      </c>
      <c r="AF215" s="2735"/>
      <c r="AG215" s="2193"/>
      <c r="AH215" s="189"/>
      <c r="AI215" s="190"/>
    </row>
    <row r="216" spans="1:35" ht="21" customHeight="1" x14ac:dyDescent="0.2">
      <c r="A216" s="2610">
        <v>3701</v>
      </c>
      <c r="B216" s="2766" t="s">
        <v>282</v>
      </c>
      <c r="C216" s="2734"/>
      <c r="D216" s="2734"/>
      <c r="E216" s="2734"/>
      <c r="F216" s="2735"/>
      <c r="G216" s="2734"/>
      <c r="H216" s="2734" t="s">
        <v>31</v>
      </c>
      <c r="I216" s="2734" t="s">
        <v>31</v>
      </c>
      <c r="J216" s="2734" t="s">
        <v>31</v>
      </c>
      <c r="K216" s="2734" t="s">
        <v>31</v>
      </c>
      <c r="L216" s="2734"/>
      <c r="M216" s="2734"/>
      <c r="N216" s="2740" t="s">
        <v>31</v>
      </c>
      <c r="O216" s="2740" t="s">
        <v>31</v>
      </c>
      <c r="P216" s="2740" t="s">
        <v>31</v>
      </c>
      <c r="Q216" s="2736" t="s">
        <v>31</v>
      </c>
      <c r="R216" s="2740" t="s">
        <v>31</v>
      </c>
      <c r="S216" s="2734"/>
      <c r="T216" s="2734"/>
      <c r="U216" s="2740" t="s">
        <v>31</v>
      </c>
      <c r="V216" s="2740" t="s">
        <v>31</v>
      </c>
      <c r="W216" s="2740" t="s">
        <v>31</v>
      </c>
      <c r="X216" s="2734" t="s">
        <v>31</v>
      </c>
      <c r="Y216" s="2740" t="s">
        <v>31</v>
      </c>
      <c r="Z216" s="2734"/>
      <c r="AA216" s="2734"/>
      <c r="AB216" s="2734" t="s">
        <v>31</v>
      </c>
      <c r="AC216" s="2734" t="s">
        <v>31</v>
      </c>
      <c r="AD216" s="2735" t="s">
        <v>31</v>
      </c>
      <c r="AE216" s="2734" t="s">
        <v>31</v>
      </c>
      <c r="AF216" s="2735"/>
      <c r="AG216" s="2193"/>
      <c r="AH216" s="189"/>
      <c r="AI216" s="190"/>
    </row>
    <row r="217" spans="1:35" ht="21" customHeight="1" x14ac:dyDescent="0.2">
      <c r="A217" s="2610">
        <v>3701</v>
      </c>
      <c r="B217" s="2766" t="s">
        <v>283</v>
      </c>
      <c r="C217" s="2734"/>
      <c r="D217" s="2734"/>
      <c r="E217" s="2734"/>
      <c r="F217" s="2735"/>
      <c r="G217" s="2734"/>
      <c r="H217" s="2734" t="s">
        <v>31</v>
      </c>
      <c r="I217" s="2734" t="s">
        <v>31</v>
      </c>
      <c r="J217" s="2734" t="s">
        <v>31</v>
      </c>
      <c r="K217" s="2734" t="s">
        <v>31</v>
      </c>
      <c r="L217" s="2734"/>
      <c r="M217" s="2734"/>
      <c r="N217" s="2740" t="s">
        <v>31</v>
      </c>
      <c r="O217" s="2740" t="s">
        <v>31</v>
      </c>
      <c r="P217" s="2740" t="s">
        <v>31</v>
      </c>
      <c r="Q217" s="2736" t="s">
        <v>31</v>
      </c>
      <c r="R217" s="2740" t="s">
        <v>31</v>
      </c>
      <c r="S217" s="2734"/>
      <c r="T217" s="2734"/>
      <c r="U217" s="2740" t="s">
        <v>31</v>
      </c>
      <c r="V217" s="2740" t="s">
        <v>31</v>
      </c>
      <c r="W217" s="2740" t="s">
        <v>31</v>
      </c>
      <c r="X217" s="2734" t="s">
        <v>31</v>
      </c>
      <c r="Y217" s="2740" t="s">
        <v>31</v>
      </c>
      <c r="Z217" s="2734"/>
      <c r="AA217" s="2734"/>
      <c r="AB217" s="2734" t="s">
        <v>31</v>
      </c>
      <c r="AC217" s="2734" t="s">
        <v>31</v>
      </c>
      <c r="AD217" s="2735" t="s">
        <v>31</v>
      </c>
      <c r="AE217" s="2734" t="s">
        <v>31</v>
      </c>
      <c r="AF217" s="2735"/>
      <c r="AG217" s="2193"/>
      <c r="AH217" s="189"/>
      <c r="AI217" s="190"/>
    </row>
    <row r="218" spans="1:35" ht="21" customHeight="1" x14ac:dyDescent="0.2">
      <c r="A218" s="2610">
        <v>3701</v>
      </c>
      <c r="B218" s="2766" t="s">
        <v>284</v>
      </c>
      <c r="C218" s="2734"/>
      <c r="D218" s="2734"/>
      <c r="E218" s="2734"/>
      <c r="F218" s="2735"/>
      <c r="G218" s="2734"/>
      <c r="H218" s="2734" t="s">
        <v>31</v>
      </c>
      <c r="I218" s="2734" t="s">
        <v>31</v>
      </c>
      <c r="J218" s="2734" t="s">
        <v>31</v>
      </c>
      <c r="K218" s="2734" t="s">
        <v>31</v>
      </c>
      <c r="L218" s="2734"/>
      <c r="M218" s="2734"/>
      <c r="N218" s="2740" t="s">
        <v>31</v>
      </c>
      <c r="O218" s="2740" t="s">
        <v>31</v>
      </c>
      <c r="P218" s="2740" t="s">
        <v>31</v>
      </c>
      <c r="Q218" s="2736" t="s">
        <v>31</v>
      </c>
      <c r="R218" s="2740" t="s">
        <v>31</v>
      </c>
      <c r="S218" s="2734"/>
      <c r="T218" s="2734"/>
      <c r="U218" s="2740" t="s">
        <v>31</v>
      </c>
      <c r="V218" s="2740" t="s">
        <v>31</v>
      </c>
      <c r="W218" s="2740" t="s">
        <v>31</v>
      </c>
      <c r="X218" s="2734" t="s">
        <v>31</v>
      </c>
      <c r="Y218" s="2740" t="s">
        <v>31</v>
      </c>
      <c r="Z218" s="2734"/>
      <c r="AA218" s="2734"/>
      <c r="AB218" s="2734" t="s">
        <v>31</v>
      </c>
      <c r="AC218" s="2734" t="s">
        <v>31</v>
      </c>
      <c r="AD218" s="2735" t="s">
        <v>31</v>
      </c>
      <c r="AE218" s="2734" t="s">
        <v>31</v>
      </c>
      <c r="AF218" s="2735"/>
      <c r="AG218" s="2193"/>
      <c r="AH218" s="189"/>
      <c r="AI218" s="190"/>
    </row>
    <row r="219" spans="1:35" ht="22.15" customHeight="1" x14ac:dyDescent="0.2">
      <c r="A219" s="2610">
        <v>3701</v>
      </c>
      <c r="B219" s="2766" t="s">
        <v>285</v>
      </c>
      <c r="C219" s="2734"/>
      <c r="D219" s="2734"/>
      <c r="E219" s="2734"/>
      <c r="F219" s="2735"/>
      <c r="G219" s="2734"/>
      <c r="H219" s="2734" t="s">
        <v>31</v>
      </c>
      <c r="I219" s="2734" t="s">
        <v>31</v>
      </c>
      <c r="J219" s="2734" t="s">
        <v>31</v>
      </c>
      <c r="K219" s="2734" t="s">
        <v>31</v>
      </c>
      <c r="L219" s="2734"/>
      <c r="M219" s="2734"/>
      <c r="N219" s="2740" t="s">
        <v>31</v>
      </c>
      <c r="O219" s="2740" t="s">
        <v>31</v>
      </c>
      <c r="P219" s="2740" t="s">
        <v>31</v>
      </c>
      <c r="Q219" s="2736" t="s">
        <v>31</v>
      </c>
      <c r="R219" s="2740" t="s">
        <v>31</v>
      </c>
      <c r="S219" s="2734"/>
      <c r="T219" s="2734"/>
      <c r="U219" s="2740" t="s">
        <v>31</v>
      </c>
      <c r="V219" s="2740" t="s">
        <v>31</v>
      </c>
      <c r="W219" s="2740" t="s">
        <v>31</v>
      </c>
      <c r="X219" s="2734" t="s">
        <v>31</v>
      </c>
      <c r="Y219" s="2740" t="s">
        <v>31</v>
      </c>
      <c r="Z219" s="2734"/>
      <c r="AA219" s="2734"/>
      <c r="AB219" s="2734" t="s">
        <v>31</v>
      </c>
      <c r="AC219" s="2734" t="s">
        <v>31</v>
      </c>
      <c r="AD219" s="2735" t="s">
        <v>31</v>
      </c>
      <c r="AE219" s="2734" t="s">
        <v>31</v>
      </c>
      <c r="AF219" s="2735"/>
      <c r="AG219" s="2193"/>
      <c r="AH219" s="189"/>
      <c r="AI219" s="190"/>
    </row>
    <row r="220" spans="1:35" ht="22.15" customHeight="1" x14ac:dyDescent="0.2">
      <c r="A220" s="2610">
        <v>3701</v>
      </c>
      <c r="B220" s="2766" t="s">
        <v>286</v>
      </c>
      <c r="C220" s="2734"/>
      <c r="D220" s="2734"/>
      <c r="E220" s="2734"/>
      <c r="F220" s="2735"/>
      <c r="G220" s="2734"/>
      <c r="H220" s="2734" t="s">
        <v>31</v>
      </c>
      <c r="I220" s="2734" t="s">
        <v>31</v>
      </c>
      <c r="J220" s="2734" t="s">
        <v>31</v>
      </c>
      <c r="K220" s="2734" t="s">
        <v>31</v>
      </c>
      <c r="L220" s="2734"/>
      <c r="M220" s="2734"/>
      <c r="N220" s="2740" t="s">
        <v>31</v>
      </c>
      <c r="O220" s="2740" t="s">
        <v>31</v>
      </c>
      <c r="P220" s="2740" t="s">
        <v>31</v>
      </c>
      <c r="Q220" s="2736" t="s">
        <v>31</v>
      </c>
      <c r="R220" s="2740" t="s">
        <v>31</v>
      </c>
      <c r="S220" s="2734"/>
      <c r="T220" s="2734"/>
      <c r="U220" s="2740" t="s">
        <v>31</v>
      </c>
      <c r="V220" s="2740" t="s">
        <v>31</v>
      </c>
      <c r="W220" s="2740" t="s">
        <v>31</v>
      </c>
      <c r="X220" s="2734" t="s">
        <v>31</v>
      </c>
      <c r="Y220" s="2740" t="s">
        <v>31</v>
      </c>
      <c r="Z220" s="2734"/>
      <c r="AA220" s="2734"/>
      <c r="AB220" s="2734" t="s">
        <v>31</v>
      </c>
      <c r="AC220" s="2734" t="s">
        <v>31</v>
      </c>
      <c r="AD220" s="2735" t="s">
        <v>31</v>
      </c>
      <c r="AE220" s="2734" t="s">
        <v>31</v>
      </c>
      <c r="AF220" s="2735"/>
      <c r="AG220" s="2193"/>
      <c r="AH220" s="189"/>
      <c r="AI220" s="190"/>
    </row>
    <row r="221" spans="1:35" ht="22.15" customHeight="1" x14ac:dyDescent="0.2">
      <c r="A221" s="2610">
        <v>3701</v>
      </c>
      <c r="B221" s="2766" t="s">
        <v>287</v>
      </c>
      <c r="C221" s="2734"/>
      <c r="D221" s="2734"/>
      <c r="E221" s="2734"/>
      <c r="F221" s="2735"/>
      <c r="G221" s="2734"/>
      <c r="H221" s="2734" t="s">
        <v>31</v>
      </c>
      <c r="I221" s="2734" t="s">
        <v>31</v>
      </c>
      <c r="J221" s="2734" t="s">
        <v>31</v>
      </c>
      <c r="K221" s="2734" t="s">
        <v>31</v>
      </c>
      <c r="L221" s="2734"/>
      <c r="M221" s="2734"/>
      <c r="N221" s="2740" t="s">
        <v>31</v>
      </c>
      <c r="O221" s="2740" t="s">
        <v>31</v>
      </c>
      <c r="P221" s="2740" t="s">
        <v>31</v>
      </c>
      <c r="Q221" s="2736" t="s">
        <v>31</v>
      </c>
      <c r="R221" s="2740" t="s">
        <v>31</v>
      </c>
      <c r="S221" s="2734"/>
      <c r="T221" s="2734"/>
      <c r="U221" s="2740" t="s">
        <v>31</v>
      </c>
      <c r="V221" s="2740" t="s">
        <v>31</v>
      </c>
      <c r="W221" s="2740" t="s">
        <v>31</v>
      </c>
      <c r="X221" s="2734" t="s">
        <v>31</v>
      </c>
      <c r="Y221" s="2740" t="s">
        <v>31</v>
      </c>
      <c r="Z221" s="2734"/>
      <c r="AA221" s="2734"/>
      <c r="AB221" s="2734" t="s">
        <v>31</v>
      </c>
      <c r="AC221" s="2734" t="s">
        <v>31</v>
      </c>
      <c r="AD221" s="2735" t="s">
        <v>31</v>
      </c>
      <c r="AE221" s="2734" t="s">
        <v>31</v>
      </c>
      <c r="AF221" s="2735"/>
      <c r="AG221" s="2193"/>
      <c r="AH221" s="189"/>
      <c r="AI221" s="190"/>
    </row>
    <row r="222" spans="1:35" ht="22.15" customHeight="1" x14ac:dyDescent="0.2">
      <c r="A222" s="2611">
        <v>3701</v>
      </c>
      <c r="B222" s="2766" t="s">
        <v>290</v>
      </c>
      <c r="C222" s="2734"/>
      <c r="D222" s="2734"/>
      <c r="E222" s="2734"/>
      <c r="F222" s="2735"/>
      <c r="G222" s="2734"/>
      <c r="H222" s="2734" t="s">
        <v>31</v>
      </c>
      <c r="I222" s="2734" t="s">
        <v>31</v>
      </c>
      <c r="J222" s="2734" t="s">
        <v>31</v>
      </c>
      <c r="K222" s="2734" t="s">
        <v>31</v>
      </c>
      <c r="L222" s="2734"/>
      <c r="M222" s="2734"/>
      <c r="N222" s="2740" t="s">
        <v>31</v>
      </c>
      <c r="O222" s="2740" t="s">
        <v>31</v>
      </c>
      <c r="P222" s="2740" t="s">
        <v>31</v>
      </c>
      <c r="Q222" s="2736" t="s">
        <v>31</v>
      </c>
      <c r="R222" s="2740" t="s">
        <v>31</v>
      </c>
      <c r="S222" s="2734"/>
      <c r="T222" s="2734"/>
      <c r="U222" s="2740" t="s">
        <v>31</v>
      </c>
      <c r="V222" s="2740" t="s">
        <v>31</v>
      </c>
      <c r="W222" s="2740" t="s">
        <v>31</v>
      </c>
      <c r="X222" s="2734" t="s">
        <v>31</v>
      </c>
      <c r="Y222" s="2740" t="s">
        <v>31</v>
      </c>
      <c r="Z222" s="2734"/>
      <c r="AA222" s="2734"/>
      <c r="AB222" s="2734" t="s">
        <v>31</v>
      </c>
      <c r="AC222" s="2734" t="s">
        <v>31</v>
      </c>
      <c r="AD222" s="2735" t="s">
        <v>31</v>
      </c>
      <c r="AE222" s="2734" t="s">
        <v>31</v>
      </c>
      <c r="AF222" s="2735"/>
      <c r="AG222" s="2193"/>
      <c r="AH222" s="189"/>
      <c r="AI222" s="190"/>
    </row>
    <row r="223" spans="1:35" ht="22.15" customHeight="1" x14ac:dyDescent="0.2">
      <c r="A223" s="2610">
        <v>3701</v>
      </c>
      <c r="B223" s="2766" t="s">
        <v>291</v>
      </c>
      <c r="C223" s="2734"/>
      <c r="D223" s="2734"/>
      <c r="E223" s="2734"/>
      <c r="F223" s="2735"/>
      <c r="G223" s="2734"/>
      <c r="H223" s="2734" t="s">
        <v>31</v>
      </c>
      <c r="I223" s="2734" t="s">
        <v>31</v>
      </c>
      <c r="J223" s="2734" t="s">
        <v>31</v>
      </c>
      <c r="K223" s="2734" t="s">
        <v>31</v>
      </c>
      <c r="L223" s="2734"/>
      <c r="M223" s="2734"/>
      <c r="N223" s="2740" t="s">
        <v>31</v>
      </c>
      <c r="O223" s="2740" t="s">
        <v>31</v>
      </c>
      <c r="P223" s="2740" t="s">
        <v>31</v>
      </c>
      <c r="Q223" s="2736" t="s">
        <v>31</v>
      </c>
      <c r="R223" s="2740" t="s">
        <v>31</v>
      </c>
      <c r="S223" s="2734"/>
      <c r="T223" s="2734"/>
      <c r="U223" s="2740" t="s">
        <v>31</v>
      </c>
      <c r="V223" s="2740" t="s">
        <v>31</v>
      </c>
      <c r="W223" s="2740" t="s">
        <v>31</v>
      </c>
      <c r="X223" s="2734" t="s">
        <v>31</v>
      </c>
      <c r="Y223" s="2740" t="s">
        <v>31</v>
      </c>
      <c r="Z223" s="2734"/>
      <c r="AA223" s="2734"/>
      <c r="AB223" s="2734" t="s">
        <v>31</v>
      </c>
      <c r="AC223" s="2734" t="s">
        <v>31</v>
      </c>
      <c r="AD223" s="2735" t="s">
        <v>31</v>
      </c>
      <c r="AE223" s="2734" t="s">
        <v>31</v>
      </c>
      <c r="AF223" s="2735"/>
      <c r="AG223" s="2199"/>
      <c r="AH223" s="189"/>
      <c r="AI223" s="190"/>
    </row>
    <row r="224" spans="1:35" ht="22.15" customHeight="1" x14ac:dyDescent="0.2">
      <c r="A224" s="2610">
        <v>3701</v>
      </c>
      <c r="B224" s="2766" t="s">
        <v>292</v>
      </c>
      <c r="C224" s="2734"/>
      <c r="D224" s="2734"/>
      <c r="E224" s="2734"/>
      <c r="F224" s="2735"/>
      <c r="G224" s="2734"/>
      <c r="H224" s="2734" t="s">
        <v>31</v>
      </c>
      <c r="I224" s="2734" t="s">
        <v>31</v>
      </c>
      <c r="J224" s="2734" t="s">
        <v>31</v>
      </c>
      <c r="K224" s="2734" t="s">
        <v>31</v>
      </c>
      <c r="L224" s="2734"/>
      <c r="M224" s="2734"/>
      <c r="N224" s="2740" t="s">
        <v>31</v>
      </c>
      <c r="O224" s="2740" t="s">
        <v>31</v>
      </c>
      <c r="P224" s="2740" t="s">
        <v>31</v>
      </c>
      <c r="Q224" s="2736" t="s">
        <v>31</v>
      </c>
      <c r="R224" s="2740" t="s">
        <v>31</v>
      </c>
      <c r="S224" s="2734"/>
      <c r="T224" s="2734"/>
      <c r="U224" s="2740" t="s">
        <v>31</v>
      </c>
      <c r="V224" s="2740" t="s">
        <v>31</v>
      </c>
      <c r="W224" s="2740" t="s">
        <v>31</v>
      </c>
      <c r="X224" s="2734" t="s">
        <v>31</v>
      </c>
      <c r="Y224" s="2740" t="s">
        <v>31</v>
      </c>
      <c r="Z224" s="2734"/>
      <c r="AA224" s="2734"/>
      <c r="AB224" s="2734" t="s">
        <v>31</v>
      </c>
      <c r="AC224" s="2734" t="s">
        <v>31</v>
      </c>
      <c r="AD224" s="2735" t="s">
        <v>31</v>
      </c>
      <c r="AE224" s="2734" t="s">
        <v>31</v>
      </c>
      <c r="AF224" s="2735"/>
      <c r="AG224" s="2200"/>
      <c r="AH224" s="189"/>
      <c r="AI224" s="190"/>
    </row>
    <row r="225" spans="1:35" ht="22.15" customHeight="1" x14ac:dyDescent="0.2">
      <c r="A225" s="2610"/>
      <c r="B225" s="2614" t="s">
        <v>393</v>
      </c>
      <c r="C225" s="2734"/>
      <c r="D225" s="2734"/>
      <c r="E225" s="2734"/>
      <c r="F225" s="2735"/>
      <c r="G225" s="2734"/>
      <c r="H225" s="2734" t="s">
        <v>31</v>
      </c>
      <c r="I225" s="2734" t="s">
        <v>31</v>
      </c>
      <c r="J225" s="2734" t="s">
        <v>31</v>
      </c>
      <c r="K225" s="2734" t="s">
        <v>31</v>
      </c>
      <c r="L225" s="2734"/>
      <c r="M225" s="2734"/>
      <c r="N225" s="2740" t="s">
        <v>31</v>
      </c>
      <c r="O225" s="2740" t="s">
        <v>31</v>
      </c>
      <c r="P225" s="2740" t="s">
        <v>31</v>
      </c>
      <c r="Q225" s="2736" t="s">
        <v>31</v>
      </c>
      <c r="R225" s="2740" t="s">
        <v>31</v>
      </c>
      <c r="S225" s="2734"/>
      <c r="T225" s="2734"/>
      <c r="U225" s="2740" t="s">
        <v>31</v>
      </c>
      <c r="V225" s="2740" t="s">
        <v>31</v>
      </c>
      <c r="W225" s="2740" t="s">
        <v>31</v>
      </c>
      <c r="X225" s="2734" t="s">
        <v>31</v>
      </c>
      <c r="Y225" s="2740" t="s">
        <v>31</v>
      </c>
      <c r="Z225" s="2734"/>
      <c r="AA225" s="2734"/>
      <c r="AB225" s="2734" t="s">
        <v>31</v>
      </c>
      <c r="AC225" s="2734" t="s">
        <v>31</v>
      </c>
      <c r="AD225" s="2735" t="s">
        <v>31</v>
      </c>
      <c r="AE225" s="2734" t="s">
        <v>31</v>
      </c>
      <c r="AF225" s="2735"/>
      <c r="AG225" s="2193"/>
      <c r="AH225" s="189"/>
      <c r="AI225" s="190"/>
    </row>
    <row r="226" spans="1:35" ht="22.15" customHeight="1" x14ac:dyDescent="0.2">
      <c r="A226" s="2610"/>
      <c r="B226" s="2766" t="s">
        <v>293</v>
      </c>
      <c r="C226" s="2734"/>
      <c r="D226" s="2734"/>
      <c r="E226" s="2734"/>
      <c r="F226" s="2735"/>
      <c r="G226" s="2734"/>
      <c r="H226" s="2734" t="s">
        <v>31</v>
      </c>
      <c r="I226" s="2734" t="s">
        <v>31</v>
      </c>
      <c r="J226" s="2734" t="s">
        <v>31</v>
      </c>
      <c r="K226" s="2734" t="s">
        <v>31</v>
      </c>
      <c r="L226" s="2734"/>
      <c r="M226" s="2734"/>
      <c r="N226" s="2740" t="s">
        <v>31</v>
      </c>
      <c r="O226" s="2740" t="s">
        <v>31</v>
      </c>
      <c r="P226" s="2740" t="s">
        <v>31</v>
      </c>
      <c r="Q226" s="2736" t="s">
        <v>31</v>
      </c>
      <c r="R226" s="2740" t="s">
        <v>31</v>
      </c>
      <c r="S226" s="2734"/>
      <c r="T226" s="2734"/>
      <c r="U226" s="2740" t="s">
        <v>31</v>
      </c>
      <c r="V226" s="2740" t="s">
        <v>31</v>
      </c>
      <c r="W226" s="2740" t="s">
        <v>31</v>
      </c>
      <c r="X226" s="2734" t="s">
        <v>31</v>
      </c>
      <c r="Y226" s="2740" t="s">
        <v>31</v>
      </c>
      <c r="Z226" s="2734"/>
      <c r="AA226" s="2734"/>
      <c r="AB226" s="2734" t="s">
        <v>31</v>
      </c>
      <c r="AC226" s="2734" t="s">
        <v>31</v>
      </c>
      <c r="AD226" s="2735" t="s">
        <v>31</v>
      </c>
      <c r="AE226" s="2734" t="s">
        <v>31</v>
      </c>
      <c r="AF226" s="2735"/>
      <c r="AG226" s="2193"/>
      <c r="AH226" s="189"/>
      <c r="AI226" s="190"/>
    </row>
    <row r="227" spans="1:35" ht="22.15" customHeight="1" x14ac:dyDescent="0.2">
      <c r="A227" s="2610"/>
      <c r="B227" s="2766" t="s">
        <v>294</v>
      </c>
      <c r="C227" s="2734"/>
      <c r="D227" s="2734"/>
      <c r="E227" s="2734"/>
      <c r="F227" s="2735"/>
      <c r="G227" s="2734"/>
      <c r="H227" s="2734" t="s">
        <v>31</v>
      </c>
      <c r="I227" s="2734" t="s">
        <v>31</v>
      </c>
      <c r="J227" s="2734" t="s">
        <v>31</v>
      </c>
      <c r="K227" s="2734" t="s">
        <v>31</v>
      </c>
      <c r="L227" s="2734"/>
      <c r="M227" s="2734"/>
      <c r="N227" s="2740" t="s">
        <v>31</v>
      </c>
      <c r="O227" s="2740" t="s">
        <v>31</v>
      </c>
      <c r="P227" s="2740" t="s">
        <v>31</v>
      </c>
      <c r="Q227" s="2736" t="s">
        <v>31</v>
      </c>
      <c r="R227" s="2740" t="s">
        <v>31</v>
      </c>
      <c r="S227" s="2734"/>
      <c r="T227" s="2734"/>
      <c r="U227" s="2740" t="s">
        <v>31</v>
      </c>
      <c r="V227" s="2740" t="s">
        <v>31</v>
      </c>
      <c r="W227" s="2740" t="s">
        <v>31</v>
      </c>
      <c r="X227" s="2734" t="s">
        <v>31</v>
      </c>
      <c r="Y227" s="2740" t="s">
        <v>31</v>
      </c>
      <c r="Z227" s="2734"/>
      <c r="AA227" s="2734"/>
      <c r="AB227" s="2734" t="s">
        <v>31</v>
      </c>
      <c r="AC227" s="2734" t="s">
        <v>31</v>
      </c>
      <c r="AD227" s="2735" t="s">
        <v>31</v>
      </c>
      <c r="AE227" s="2734" t="s">
        <v>31</v>
      </c>
      <c r="AF227" s="2735"/>
      <c r="AG227" s="2193"/>
      <c r="AH227" s="189"/>
      <c r="AI227" s="190"/>
    </row>
    <row r="228" spans="1:35" ht="22.15" customHeight="1" x14ac:dyDescent="0.2">
      <c r="A228" s="2610"/>
      <c r="B228" s="2766" t="s">
        <v>295</v>
      </c>
      <c r="C228" s="2734"/>
      <c r="D228" s="2734"/>
      <c r="E228" s="2734"/>
      <c r="F228" s="2735"/>
      <c r="G228" s="2734"/>
      <c r="H228" s="2734" t="s">
        <v>31</v>
      </c>
      <c r="I228" s="2734" t="s">
        <v>31</v>
      </c>
      <c r="J228" s="2734" t="s">
        <v>31</v>
      </c>
      <c r="K228" s="2734" t="s">
        <v>31</v>
      </c>
      <c r="L228" s="2734"/>
      <c r="M228" s="2734"/>
      <c r="N228" s="2740" t="s">
        <v>31</v>
      </c>
      <c r="O228" s="2740" t="s">
        <v>31</v>
      </c>
      <c r="P228" s="2740" t="s">
        <v>31</v>
      </c>
      <c r="Q228" s="2736" t="s">
        <v>31</v>
      </c>
      <c r="R228" s="2740" t="s">
        <v>31</v>
      </c>
      <c r="S228" s="2734"/>
      <c r="T228" s="2734"/>
      <c r="U228" s="2740" t="s">
        <v>31</v>
      </c>
      <c r="V228" s="2740" t="s">
        <v>31</v>
      </c>
      <c r="W228" s="2740" t="s">
        <v>31</v>
      </c>
      <c r="X228" s="2734" t="s">
        <v>31</v>
      </c>
      <c r="Y228" s="2740" t="s">
        <v>31</v>
      </c>
      <c r="Z228" s="2734"/>
      <c r="AA228" s="2734"/>
      <c r="AB228" s="2734" t="s">
        <v>31</v>
      </c>
      <c r="AC228" s="2734" t="s">
        <v>31</v>
      </c>
      <c r="AD228" s="2735" t="s">
        <v>31</v>
      </c>
      <c r="AE228" s="2734" t="s">
        <v>31</v>
      </c>
      <c r="AF228" s="2735"/>
      <c r="AG228" s="2193"/>
      <c r="AH228" s="189"/>
      <c r="AI228" s="190"/>
    </row>
    <row r="229" spans="1:35" ht="22.15" customHeight="1" x14ac:dyDescent="0.2">
      <c r="A229" s="2610"/>
      <c r="B229" s="2766" t="s">
        <v>296</v>
      </c>
      <c r="C229" s="2734"/>
      <c r="D229" s="2734"/>
      <c r="E229" s="2734"/>
      <c r="F229" s="2735"/>
      <c r="G229" s="2734"/>
      <c r="H229" s="2734" t="s">
        <v>31</v>
      </c>
      <c r="I229" s="2734" t="s">
        <v>31</v>
      </c>
      <c r="J229" s="2734" t="s">
        <v>31</v>
      </c>
      <c r="K229" s="2734" t="s">
        <v>31</v>
      </c>
      <c r="L229" s="2734"/>
      <c r="M229" s="2734"/>
      <c r="N229" s="2740" t="s">
        <v>31</v>
      </c>
      <c r="O229" s="2740" t="s">
        <v>31</v>
      </c>
      <c r="P229" s="2740" t="s">
        <v>31</v>
      </c>
      <c r="Q229" s="2736" t="s">
        <v>31</v>
      </c>
      <c r="R229" s="2740" t="s">
        <v>31</v>
      </c>
      <c r="S229" s="2734"/>
      <c r="T229" s="2734"/>
      <c r="U229" s="2740" t="s">
        <v>31</v>
      </c>
      <c r="V229" s="2740" t="s">
        <v>31</v>
      </c>
      <c r="W229" s="2740" t="s">
        <v>31</v>
      </c>
      <c r="X229" s="2734" t="s">
        <v>31</v>
      </c>
      <c r="Y229" s="2740" t="s">
        <v>31</v>
      </c>
      <c r="Z229" s="2734"/>
      <c r="AA229" s="2734"/>
      <c r="AB229" s="2734" t="s">
        <v>31</v>
      </c>
      <c r="AC229" s="2734" t="s">
        <v>31</v>
      </c>
      <c r="AD229" s="2735" t="s">
        <v>31</v>
      </c>
      <c r="AE229" s="2734" t="s">
        <v>31</v>
      </c>
      <c r="AF229" s="2735"/>
      <c r="AG229" s="2199"/>
      <c r="AH229" s="189"/>
      <c r="AI229" s="190"/>
    </row>
    <row r="230" spans="1:35" ht="22.15" customHeight="1" x14ac:dyDescent="0.2">
      <c r="A230" s="2610"/>
      <c r="B230" s="2615" t="s">
        <v>297</v>
      </c>
      <c r="C230" s="2735"/>
      <c r="D230" s="2735"/>
      <c r="E230" s="2735"/>
      <c r="F230" s="2817"/>
      <c r="G230" s="2740"/>
      <c r="H230" s="2740"/>
      <c r="I230" s="2735"/>
      <c r="J230" s="2735"/>
      <c r="K230" s="2735"/>
      <c r="L230" s="2735"/>
      <c r="M230" s="2735"/>
      <c r="N230" s="2734"/>
      <c r="O230" s="2735"/>
      <c r="P230" s="2735"/>
      <c r="Q230" s="2735"/>
      <c r="R230" s="2735"/>
      <c r="S230" s="2735"/>
      <c r="T230" s="2735"/>
      <c r="U230" s="2735"/>
      <c r="V230" s="2735"/>
      <c r="W230" s="2735"/>
      <c r="X230" s="2735"/>
      <c r="Y230" s="2736"/>
      <c r="Z230" s="2736"/>
      <c r="AA230" s="2736"/>
      <c r="AB230" s="2735"/>
      <c r="AC230" s="2735"/>
      <c r="AD230" s="2735"/>
      <c r="AE230" s="2735"/>
      <c r="AF230" s="2734"/>
      <c r="AG230" s="2193"/>
      <c r="AH230" s="186"/>
      <c r="AI230" s="107"/>
    </row>
    <row r="231" spans="1:35" ht="22.15" customHeight="1" x14ac:dyDescent="0.2">
      <c r="A231" s="2610"/>
      <c r="B231" s="2766"/>
      <c r="C231" s="2735"/>
      <c r="D231" s="2735"/>
      <c r="E231" s="2735"/>
      <c r="F231" s="2817"/>
      <c r="G231" s="2740"/>
      <c r="H231" s="2740"/>
      <c r="I231" s="2735"/>
      <c r="J231" s="2735"/>
      <c r="K231" s="2735"/>
      <c r="L231" s="2735"/>
      <c r="M231" s="2735"/>
      <c r="N231" s="2734"/>
      <c r="O231" s="2735"/>
      <c r="P231" s="2735"/>
      <c r="Q231" s="2735"/>
      <c r="R231" s="2735"/>
      <c r="S231" s="2735"/>
      <c r="T231" s="2735"/>
      <c r="U231" s="2735"/>
      <c r="V231" s="2735"/>
      <c r="W231" s="2735"/>
      <c r="X231" s="2735"/>
      <c r="Y231" s="2736"/>
      <c r="Z231" s="2736"/>
      <c r="AA231" s="2736"/>
      <c r="AB231" s="2735"/>
      <c r="AC231" s="2735"/>
      <c r="AD231" s="2735"/>
      <c r="AE231" s="2735"/>
      <c r="AF231" s="2734"/>
      <c r="AG231" s="2203"/>
      <c r="AH231" s="186"/>
      <c r="AI231" s="107"/>
    </row>
    <row r="232" spans="1:35" ht="22.15" customHeight="1" x14ac:dyDescent="0.2">
      <c r="A232" s="2617"/>
      <c r="B232" s="2961" t="s">
        <v>298</v>
      </c>
      <c r="C232" s="2735"/>
      <c r="D232" s="2735"/>
      <c r="E232" s="2735"/>
      <c r="F232" s="2735"/>
      <c r="G232" s="2735"/>
      <c r="H232" s="2735"/>
      <c r="I232" s="2735"/>
      <c r="J232" s="2735"/>
      <c r="K232" s="2735"/>
      <c r="L232" s="2735"/>
      <c r="M232" s="2735"/>
      <c r="N232" s="2735"/>
      <c r="O232" s="2735"/>
      <c r="P232" s="2735"/>
      <c r="Q232" s="2735"/>
      <c r="R232" s="2735"/>
      <c r="S232" s="2735"/>
      <c r="T232" s="2735"/>
      <c r="U232" s="2735"/>
      <c r="V232" s="2735"/>
      <c r="W232" s="2735"/>
      <c r="X232" s="2735"/>
      <c r="Y232" s="2735"/>
      <c r="Z232" s="2735"/>
      <c r="AA232" s="2735"/>
      <c r="AB232" s="2735"/>
      <c r="AC232" s="2735"/>
      <c r="AD232" s="2735"/>
      <c r="AE232" s="2735"/>
      <c r="AF232" s="2735"/>
      <c r="AG232" s="2193"/>
      <c r="AH232" s="186"/>
      <c r="AI232" s="107"/>
    </row>
    <row r="233" spans="1:35" ht="22.15" customHeight="1" x14ac:dyDescent="0.2">
      <c r="A233" s="2617"/>
      <c r="B233" s="2766" t="s">
        <v>299</v>
      </c>
      <c r="C233" s="2734"/>
      <c r="D233" s="2734"/>
      <c r="E233" s="2734"/>
      <c r="F233" s="2735"/>
      <c r="G233" s="2734"/>
      <c r="H233" s="2734" t="s">
        <v>31</v>
      </c>
      <c r="I233" s="2734" t="s">
        <v>31</v>
      </c>
      <c r="J233" s="2734" t="s">
        <v>31</v>
      </c>
      <c r="K233" s="2734" t="s">
        <v>31</v>
      </c>
      <c r="L233" s="2734"/>
      <c r="M233" s="2734"/>
      <c r="N233" s="2740" t="s">
        <v>31</v>
      </c>
      <c r="O233" s="2740" t="s">
        <v>31</v>
      </c>
      <c r="P233" s="2740" t="s">
        <v>31</v>
      </c>
      <c r="Q233" s="2736" t="s">
        <v>31</v>
      </c>
      <c r="R233" s="2740" t="s">
        <v>31</v>
      </c>
      <c r="S233" s="2734"/>
      <c r="T233" s="2734"/>
      <c r="U233" s="2740" t="s">
        <v>31</v>
      </c>
      <c r="V233" s="2740" t="s">
        <v>31</v>
      </c>
      <c r="W233" s="2740" t="s">
        <v>31</v>
      </c>
      <c r="X233" s="2734" t="s">
        <v>31</v>
      </c>
      <c r="Y233" s="2740" t="s">
        <v>31</v>
      </c>
      <c r="Z233" s="2734"/>
      <c r="AA233" s="2734"/>
      <c r="AB233" s="2734" t="s">
        <v>31</v>
      </c>
      <c r="AC233" s="2734" t="s">
        <v>31</v>
      </c>
      <c r="AD233" s="2735" t="s">
        <v>31</v>
      </c>
      <c r="AE233" s="2734" t="s">
        <v>31</v>
      </c>
      <c r="AF233" s="2735"/>
      <c r="AG233" s="2203"/>
      <c r="AH233" s="186"/>
      <c r="AI233" s="107"/>
    </row>
    <row r="234" spans="1:35" ht="22.15" customHeight="1" x14ac:dyDescent="0.2">
      <c r="A234" s="2617"/>
      <c r="B234" s="2617"/>
      <c r="C234" s="2735"/>
      <c r="D234" s="2735"/>
      <c r="E234" s="2735"/>
      <c r="F234" s="2735"/>
      <c r="G234" s="2735"/>
      <c r="H234" s="2735"/>
      <c r="I234" s="2735"/>
      <c r="J234" s="2735"/>
      <c r="K234" s="2735"/>
      <c r="L234" s="2735"/>
      <c r="M234" s="2735"/>
      <c r="N234" s="2735"/>
      <c r="O234" s="2735"/>
      <c r="P234" s="2735"/>
      <c r="Q234" s="2735"/>
      <c r="R234" s="2735"/>
      <c r="S234" s="2735"/>
      <c r="T234" s="2735"/>
      <c r="U234" s="2735"/>
      <c r="V234" s="2735"/>
      <c r="W234" s="2735"/>
      <c r="X234" s="2735"/>
      <c r="Y234" s="2735"/>
      <c r="Z234" s="2735"/>
      <c r="AA234" s="2735"/>
      <c r="AB234" s="2735"/>
      <c r="AC234" s="2735"/>
      <c r="AD234" s="2735"/>
      <c r="AE234" s="2735"/>
      <c r="AF234" s="2735"/>
      <c r="AG234" s="2193"/>
      <c r="AH234" s="186"/>
      <c r="AI234" s="107"/>
    </row>
    <row r="235" spans="1:35" ht="22.15" customHeight="1" x14ac:dyDescent="0.2">
      <c r="A235" s="2617"/>
      <c r="B235" s="2617"/>
      <c r="C235" s="2735"/>
      <c r="D235" s="2735"/>
      <c r="E235" s="2735"/>
      <c r="F235" s="2735"/>
      <c r="G235" s="2735"/>
      <c r="H235" s="2619"/>
      <c r="I235" s="2735"/>
      <c r="J235" s="2735"/>
      <c r="K235" s="2735"/>
      <c r="L235" s="2735"/>
      <c r="M235" s="2735"/>
      <c r="N235" s="2735"/>
      <c r="O235" s="2735"/>
      <c r="P235" s="2735"/>
      <c r="Q235" s="2735"/>
      <c r="R235" s="2735"/>
      <c r="S235" s="2735"/>
      <c r="T235" s="2735"/>
      <c r="U235" s="2735"/>
      <c r="V235" s="2735"/>
      <c r="W235" s="2735"/>
      <c r="X235" s="2735"/>
      <c r="Y235" s="2735"/>
      <c r="Z235" s="2735"/>
      <c r="AA235" s="2735"/>
      <c r="AB235" s="2735"/>
      <c r="AC235" s="2735"/>
      <c r="AD235" s="2735"/>
      <c r="AE235" s="2735"/>
      <c r="AF235" s="2735"/>
      <c r="AG235" s="2203"/>
      <c r="AH235" s="186"/>
      <c r="AI235" s="107"/>
    </row>
    <row r="236" spans="1:35" ht="22.15" customHeight="1" x14ac:dyDescent="0.2">
      <c r="A236" s="2610"/>
      <c r="B236" s="2614"/>
      <c r="C236" s="2735"/>
      <c r="D236" s="2735"/>
      <c r="E236" s="2735"/>
      <c r="F236" s="2735"/>
      <c r="G236" s="2735"/>
      <c r="H236" s="2735"/>
      <c r="I236" s="2735"/>
      <c r="J236" s="2735"/>
      <c r="K236" s="2735"/>
      <c r="L236" s="2735"/>
      <c r="M236" s="2735"/>
      <c r="N236" s="2735"/>
      <c r="O236" s="2735"/>
      <c r="P236" s="2735"/>
      <c r="Q236" s="2735"/>
      <c r="R236" s="2735"/>
      <c r="S236" s="2735"/>
      <c r="T236" s="2735"/>
      <c r="U236" s="2735"/>
      <c r="V236" s="2735"/>
      <c r="W236" s="2735"/>
      <c r="X236" s="2735"/>
      <c r="Y236" s="2735"/>
      <c r="Z236" s="2735"/>
      <c r="AA236" s="2735"/>
      <c r="AB236" s="2735"/>
      <c r="AC236" s="2735"/>
      <c r="AD236" s="2735"/>
      <c r="AE236" s="2735"/>
      <c r="AF236" s="2735"/>
      <c r="AG236" s="2203"/>
      <c r="AH236" s="186"/>
      <c r="AI236" s="107"/>
    </row>
    <row r="237" spans="1:35" ht="22.15" customHeight="1" x14ac:dyDescent="0.2">
      <c r="A237" s="2610"/>
      <c r="B237" s="2620"/>
      <c r="C237" s="2735"/>
      <c r="D237" s="2735"/>
      <c r="E237" s="2735"/>
      <c r="F237" s="2735"/>
      <c r="G237" s="2735"/>
      <c r="H237" s="2735"/>
      <c r="I237" s="2735"/>
      <c r="J237" s="2735"/>
      <c r="K237" s="2735"/>
      <c r="L237" s="2735"/>
      <c r="M237" s="2735"/>
      <c r="N237" s="2735"/>
      <c r="O237" s="2735"/>
      <c r="P237" s="2735"/>
      <c r="Q237" s="2735"/>
      <c r="R237" s="2735"/>
      <c r="S237" s="2735"/>
      <c r="T237" s="2735"/>
      <c r="U237" s="2735"/>
      <c r="V237" s="2735"/>
      <c r="W237" s="2735"/>
      <c r="X237" s="2735"/>
      <c r="Y237" s="2735"/>
      <c r="Z237" s="2735"/>
      <c r="AA237" s="2735"/>
      <c r="AB237" s="2735"/>
      <c r="AC237" s="2735"/>
      <c r="AD237" s="2735"/>
      <c r="AE237" s="2735"/>
      <c r="AF237" s="2735"/>
      <c r="AG237" s="2203"/>
      <c r="AH237" s="186"/>
      <c r="AI237" s="107"/>
    </row>
    <row r="238" spans="1:35" ht="22.15" customHeight="1" x14ac:dyDescent="0.2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2" spans="1:35" ht="21" customHeight="1" thickBot="1" x14ac:dyDescent="0.25">
      <c r="A242" s="162" t="s">
        <v>300</v>
      </c>
    </row>
    <row r="243" spans="1:35" ht="21" customHeight="1" x14ac:dyDescent="0.2">
      <c r="B243" s="530" t="s">
        <v>267</v>
      </c>
      <c r="C243" s="500"/>
      <c r="D243" s="516" t="s">
        <v>90</v>
      </c>
      <c r="E243" s="473"/>
      <c r="F243" s="504"/>
      <c r="G243" s="500"/>
      <c r="H243" s="516" t="s">
        <v>91</v>
      </c>
      <c r="I243" s="473"/>
      <c r="J243" s="504"/>
      <c r="K243" s="500"/>
      <c r="L243" s="516" t="s">
        <v>92</v>
      </c>
      <c r="M243" s="473"/>
      <c r="N243" s="504"/>
      <c r="O243" s="500"/>
      <c r="P243" s="516" t="s">
        <v>93</v>
      </c>
      <c r="Q243" s="473"/>
      <c r="R243" s="504"/>
      <c r="S243" s="500"/>
      <c r="T243" s="516" t="s">
        <v>94</v>
      </c>
      <c r="U243" s="473"/>
      <c r="V243" s="504"/>
      <c r="W243" s="500"/>
      <c r="X243" s="516" t="s">
        <v>95</v>
      </c>
      <c r="Y243" s="473"/>
      <c r="Z243" s="504"/>
      <c r="AA243" s="500"/>
      <c r="AB243" s="516" t="s">
        <v>96</v>
      </c>
      <c r="AC243" s="473"/>
      <c r="AD243" s="473"/>
      <c r="AE243" s="519" t="s">
        <v>97</v>
      </c>
      <c r="AF243" s="473"/>
      <c r="AG243" s="473"/>
      <c r="AH243" s="473"/>
      <c r="AI243" s="474"/>
    </row>
    <row r="244" spans="1:35" ht="21" customHeight="1" x14ac:dyDescent="0.2">
      <c r="B244" s="3"/>
      <c r="C244" s="156"/>
      <c r="D244" s="117"/>
      <c r="E244" s="166"/>
      <c r="F244" s="168"/>
      <c r="G244" s="156"/>
      <c r="H244" s="117"/>
      <c r="I244" s="166"/>
      <c r="J244" s="168"/>
      <c r="K244" s="156"/>
      <c r="L244" s="117"/>
      <c r="M244" s="166"/>
      <c r="N244" s="168"/>
      <c r="O244" s="156"/>
      <c r="P244" s="117"/>
      <c r="Q244" s="166"/>
      <c r="R244" s="168"/>
      <c r="S244" s="156"/>
      <c r="T244" s="117"/>
      <c r="U244" s="166"/>
      <c r="V244" s="168"/>
      <c r="W244" s="156"/>
      <c r="X244" s="117"/>
      <c r="Y244" s="166"/>
      <c r="Z244" s="168"/>
      <c r="AA244" s="156"/>
      <c r="AB244" s="117"/>
      <c r="AC244" s="166"/>
      <c r="AD244" s="166"/>
      <c r="AE244" s="118"/>
      <c r="AF244" s="166"/>
      <c r="AG244" s="14"/>
      <c r="AH244" s="14"/>
      <c r="AI244" s="119"/>
    </row>
    <row r="245" spans="1:35" ht="21" customHeight="1" x14ac:dyDescent="0.2">
      <c r="A245" s="110"/>
      <c r="B245" s="2962">
        <v>3701</v>
      </c>
      <c r="C245" s="3115" t="s">
        <v>272</v>
      </c>
      <c r="D245" s="3116"/>
      <c r="E245" s="166"/>
      <c r="F245" s="168"/>
      <c r="G245" s="3115" t="s">
        <v>272</v>
      </c>
      <c r="H245" s="117"/>
      <c r="I245" s="166"/>
      <c r="J245" s="168"/>
      <c r="K245" s="3115" t="s">
        <v>272</v>
      </c>
      <c r="L245" s="117"/>
      <c r="M245" s="166"/>
      <c r="N245" s="168"/>
      <c r="O245" s="3115" t="s">
        <v>272</v>
      </c>
      <c r="P245" s="117"/>
      <c r="Q245" s="166"/>
      <c r="R245" s="168"/>
      <c r="S245" s="156" t="s">
        <v>273</v>
      </c>
      <c r="T245" s="117"/>
      <c r="U245" s="166"/>
      <c r="V245" s="168"/>
      <c r="W245" s="156"/>
      <c r="X245" s="117"/>
      <c r="Y245" s="166"/>
      <c r="Z245" s="168"/>
      <c r="AA245" s="156"/>
      <c r="AB245" s="117"/>
      <c r="AC245" s="166"/>
      <c r="AD245" s="166"/>
      <c r="AE245" s="118"/>
      <c r="AF245" s="166"/>
      <c r="AG245" s="14"/>
      <c r="AH245" s="14"/>
      <c r="AI245" s="119"/>
    </row>
    <row r="246" spans="1:35" ht="21" customHeight="1" x14ac:dyDescent="0.2">
      <c r="B246" s="2962"/>
      <c r="C246" s="3115"/>
      <c r="D246" s="3116"/>
      <c r="E246" s="166"/>
      <c r="F246" s="168"/>
      <c r="G246" s="3115"/>
      <c r="H246" s="117"/>
      <c r="I246" s="166"/>
      <c r="J246" s="168"/>
      <c r="K246" s="3115"/>
      <c r="L246" s="117"/>
      <c r="M246" s="166"/>
      <c r="N246" s="168"/>
      <c r="O246" s="3115"/>
      <c r="P246" s="117"/>
      <c r="Q246" s="166"/>
      <c r="R246" s="168"/>
      <c r="S246" s="3115"/>
      <c r="T246" s="117"/>
      <c r="U246" s="166"/>
      <c r="V246" s="168"/>
      <c r="W246" s="156"/>
      <c r="X246" s="117"/>
      <c r="Y246" s="166"/>
      <c r="Z246" s="168"/>
      <c r="AA246" s="156"/>
      <c r="AB246" s="117"/>
      <c r="AC246" s="166"/>
      <c r="AD246" s="166"/>
      <c r="AE246" s="118"/>
      <c r="AF246" s="166"/>
      <c r="AG246" s="14"/>
      <c r="AH246" s="14"/>
      <c r="AI246" s="119"/>
    </row>
    <row r="247" spans="1:35" ht="21" customHeight="1" x14ac:dyDescent="0.2">
      <c r="B247" s="2962">
        <v>3702</v>
      </c>
      <c r="C247" s="3115" t="s">
        <v>301</v>
      </c>
      <c r="D247" s="3116"/>
      <c r="E247" s="166"/>
      <c r="F247" s="168"/>
      <c r="G247" s="3115" t="s">
        <v>301</v>
      </c>
      <c r="H247" s="3116"/>
      <c r="I247" s="166"/>
      <c r="J247" s="168"/>
      <c r="K247" s="3115" t="s">
        <v>301</v>
      </c>
      <c r="L247" s="3116"/>
      <c r="M247" s="166"/>
      <c r="N247" s="168"/>
      <c r="O247" s="3115" t="s">
        <v>301</v>
      </c>
      <c r="P247" s="3116"/>
      <c r="Q247" s="166"/>
      <c r="R247" s="168"/>
      <c r="S247" s="3115" t="s">
        <v>302</v>
      </c>
      <c r="T247" s="3116"/>
      <c r="U247" s="166"/>
      <c r="V247" s="168"/>
      <c r="W247" s="156"/>
      <c r="X247" s="117"/>
      <c r="Y247" s="166"/>
      <c r="Z247" s="168"/>
      <c r="AA247" s="156"/>
      <c r="AB247" s="117"/>
      <c r="AC247" s="166"/>
      <c r="AD247" s="166"/>
      <c r="AE247" s="118"/>
      <c r="AF247" s="166"/>
      <c r="AG247" s="14"/>
      <c r="AH247" s="14"/>
      <c r="AI247" s="119"/>
    </row>
    <row r="248" spans="1:35" ht="21" customHeight="1" x14ac:dyDescent="0.2">
      <c r="B248" s="2962"/>
      <c r="C248" s="3187"/>
      <c r="D248" s="3116"/>
      <c r="E248" s="166"/>
      <c r="F248" s="168"/>
      <c r="G248" s="117"/>
      <c r="H248" s="117"/>
      <c r="I248" s="166"/>
      <c r="J248" s="168"/>
      <c r="K248" s="117"/>
      <c r="L248" s="117"/>
      <c r="M248" s="166"/>
      <c r="N248" s="168"/>
      <c r="O248" s="117"/>
      <c r="P248" s="117"/>
      <c r="Q248" s="166"/>
      <c r="R248" s="168"/>
      <c r="S248" s="117"/>
      <c r="T248" s="117"/>
      <c r="U248" s="166"/>
      <c r="V248" s="168"/>
      <c r="W248" s="156"/>
      <c r="X248" s="117"/>
      <c r="Y248" s="166"/>
      <c r="Z248" s="168"/>
      <c r="AA248" s="156"/>
      <c r="AB248" s="117"/>
      <c r="AC248" s="166"/>
      <c r="AD248" s="166"/>
      <c r="AE248" s="118"/>
      <c r="AF248" s="166"/>
      <c r="AG248" s="14"/>
      <c r="AH248" s="14"/>
      <c r="AI248" s="119"/>
    </row>
    <row r="249" spans="1:35" ht="21" customHeight="1" x14ac:dyDescent="0.2">
      <c r="B249" s="2962" t="s">
        <v>139</v>
      </c>
      <c r="C249" s="3187" t="s">
        <v>303</v>
      </c>
      <c r="D249" s="3116"/>
      <c r="E249" s="166"/>
      <c r="F249" s="168"/>
      <c r="G249" s="3187" t="s">
        <v>303</v>
      </c>
      <c r="H249" s="3116"/>
      <c r="I249" s="166"/>
      <c r="J249" s="168"/>
      <c r="K249" s="3187" t="s">
        <v>303</v>
      </c>
      <c r="L249" s="3116"/>
      <c r="M249" s="166"/>
      <c r="N249" s="168"/>
      <c r="O249" s="3187" t="s">
        <v>303</v>
      </c>
      <c r="P249" s="3116"/>
      <c r="Q249" s="166"/>
      <c r="R249" s="168"/>
      <c r="S249" s="117" t="s">
        <v>304</v>
      </c>
      <c r="T249" s="117"/>
      <c r="U249" s="166"/>
      <c r="V249" s="168"/>
      <c r="W249" s="156"/>
      <c r="X249" s="117"/>
      <c r="Y249" s="166"/>
      <c r="Z249" s="168"/>
      <c r="AA249" s="156"/>
      <c r="AB249" s="117"/>
      <c r="AC249" s="166"/>
      <c r="AD249" s="166"/>
      <c r="AE249" s="118"/>
      <c r="AF249" s="166"/>
      <c r="AG249" s="14"/>
      <c r="AH249" s="14"/>
      <c r="AI249" s="119"/>
    </row>
    <row r="250" spans="1:35" ht="21" customHeight="1" x14ac:dyDescent="0.2">
      <c r="B250" s="2962" t="s">
        <v>143</v>
      </c>
      <c r="C250" s="3187" t="s">
        <v>305</v>
      </c>
      <c r="D250" s="3116"/>
      <c r="E250" s="166"/>
      <c r="F250" s="168"/>
      <c r="G250" s="3187" t="s">
        <v>305</v>
      </c>
      <c r="H250" s="3116"/>
      <c r="I250" s="166"/>
      <c r="J250" s="168"/>
      <c r="K250" s="3187" t="s">
        <v>305</v>
      </c>
      <c r="L250" s="3116"/>
      <c r="M250" s="166"/>
      <c r="N250" s="168"/>
      <c r="O250" s="3187" t="s">
        <v>305</v>
      </c>
      <c r="P250" s="3116"/>
      <c r="Q250" s="166"/>
      <c r="R250" s="168"/>
      <c r="S250" s="117" t="s">
        <v>306</v>
      </c>
      <c r="T250" s="117"/>
      <c r="U250" s="166"/>
      <c r="V250" s="168"/>
      <c r="W250" s="156"/>
      <c r="X250" s="117"/>
      <c r="Y250" s="166"/>
      <c r="Z250" s="168"/>
      <c r="AA250" s="156"/>
      <c r="AB250" s="117"/>
      <c r="AC250" s="166"/>
      <c r="AD250" s="166"/>
      <c r="AE250" s="118"/>
      <c r="AF250" s="166"/>
      <c r="AG250" s="14"/>
      <c r="AH250" s="14"/>
      <c r="AI250" s="119"/>
    </row>
    <row r="251" spans="1:35" ht="21" customHeight="1" thickBot="1" x14ac:dyDescent="0.25">
      <c r="B251" s="2963" t="s">
        <v>153</v>
      </c>
      <c r="C251" s="3200" t="s">
        <v>307</v>
      </c>
      <c r="D251" s="2964"/>
      <c r="E251" s="3250"/>
      <c r="F251" s="3251"/>
      <c r="G251" s="3200" t="s">
        <v>307</v>
      </c>
      <c r="H251" s="2964"/>
      <c r="I251" s="3250"/>
      <c r="J251" s="3251"/>
      <c r="K251" s="3200" t="s">
        <v>307</v>
      </c>
      <c r="L251" s="2964"/>
      <c r="M251" s="3250"/>
      <c r="N251" s="3251"/>
      <c r="O251" s="3200" t="s">
        <v>307</v>
      </c>
      <c r="P251" s="2964"/>
      <c r="Q251" s="3250"/>
      <c r="R251" s="3251"/>
      <c r="S251" s="3252" t="s">
        <v>308</v>
      </c>
      <c r="T251" s="3252"/>
      <c r="U251" s="3250"/>
      <c r="V251" s="3251"/>
      <c r="W251" s="3253"/>
      <c r="X251" s="3252"/>
      <c r="Y251" s="3254"/>
      <c r="Z251" s="3255"/>
      <c r="AA251" s="3256"/>
      <c r="AB251" s="3252"/>
      <c r="AC251" s="3254"/>
      <c r="AD251" s="3254"/>
      <c r="AE251" s="3257"/>
      <c r="AF251" s="3254"/>
      <c r="AG251" s="3250"/>
      <c r="AH251" s="3250"/>
      <c r="AI251" s="3258"/>
    </row>
    <row r="252" spans="1:35" ht="21" customHeight="1" x14ac:dyDescent="0.2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 x14ac:dyDescent="0.2">
      <c r="A253" s="123" t="s">
        <v>309</v>
      </c>
    </row>
    <row r="254" spans="1:35" ht="21" customHeight="1" thickBot="1" x14ac:dyDescent="0.25">
      <c r="A254" s="3134"/>
      <c r="B254" s="3091" t="s">
        <v>29</v>
      </c>
      <c r="C254" s="3048">
        <v>1</v>
      </c>
      <c r="D254" s="3048">
        <v>2</v>
      </c>
      <c r="E254" s="3048">
        <v>3</v>
      </c>
      <c r="F254" s="3048">
        <v>4</v>
      </c>
      <c r="G254" s="3048">
        <v>5</v>
      </c>
      <c r="H254" s="3049">
        <v>6</v>
      </c>
      <c r="I254" s="3049">
        <v>7</v>
      </c>
      <c r="J254" s="3049">
        <v>8</v>
      </c>
      <c r="K254" s="3049">
        <v>9</v>
      </c>
      <c r="L254" s="3048">
        <v>10</v>
      </c>
      <c r="M254" s="3048">
        <v>11</v>
      </c>
      <c r="N254" s="3049">
        <v>12</v>
      </c>
      <c r="O254" s="3049">
        <v>13</v>
      </c>
      <c r="P254" s="3049">
        <v>14</v>
      </c>
      <c r="Q254" s="3049">
        <v>15</v>
      </c>
      <c r="R254" s="3049">
        <v>16</v>
      </c>
      <c r="S254" s="3048">
        <v>17</v>
      </c>
      <c r="T254" s="3048">
        <v>18</v>
      </c>
      <c r="U254" s="3049">
        <v>19</v>
      </c>
      <c r="V254" s="3049">
        <v>20</v>
      </c>
      <c r="W254" s="3049">
        <v>21</v>
      </c>
      <c r="X254" s="3049">
        <v>22</v>
      </c>
      <c r="Y254" s="3049">
        <v>23</v>
      </c>
      <c r="Z254" s="3048">
        <v>24</v>
      </c>
      <c r="AA254" s="3048">
        <v>25</v>
      </c>
      <c r="AB254" s="3049">
        <v>26</v>
      </c>
      <c r="AC254" s="3049">
        <v>27</v>
      </c>
      <c r="AD254" s="3049">
        <v>28</v>
      </c>
      <c r="AE254" s="3049">
        <v>29</v>
      </c>
      <c r="AF254" s="3048">
        <v>30</v>
      </c>
      <c r="AG254" s="3050"/>
      <c r="AH254" s="184"/>
      <c r="AI254" s="185"/>
    </row>
    <row r="255" spans="1:35" ht="21" customHeight="1" x14ac:dyDescent="0.2">
      <c r="A255" s="531">
        <v>3701</v>
      </c>
      <c r="B255" s="476"/>
      <c r="C255" s="2734"/>
      <c r="D255" s="2734"/>
      <c r="E255" s="2734"/>
      <c r="F255" s="2735"/>
      <c r="G255" s="2734"/>
      <c r="H255" s="2734" t="s">
        <v>31</v>
      </c>
      <c r="I255" s="2734" t="s">
        <v>31</v>
      </c>
      <c r="J255" s="2734" t="s">
        <v>31</v>
      </c>
      <c r="K255" s="2734" t="s">
        <v>31</v>
      </c>
      <c r="L255" s="2734"/>
      <c r="M255" s="2734"/>
      <c r="N255" s="2740" t="s">
        <v>31</v>
      </c>
      <c r="O255" s="2740" t="s">
        <v>31</v>
      </c>
      <c r="P255" s="2740" t="s">
        <v>31</v>
      </c>
      <c r="Q255" s="2736" t="s">
        <v>31</v>
      </c>
      <c r="R255" s="2740" t="s">
        <v>31</v>
      </c>
      <c r="S255" s="2734"/>
      <c r="T255" s="2734"/>
      <c r="U255" s="2740" t="s">
        <v>31</v>
      </c>
      <c r="V255" s="2740" t="s">
        <v>31</v>
      </c>
      <c r="W255" s="2740" t="s">
        <v>31</v>
      </c>
      <c r="X255" s="2734" t="s">
        <v>31</v>
      </c>
      <c r="Y255" s="2740" t="s">
        <v>31</v>
      </c>
      <c r="Z255" s="2734"/>
      <c r="AA255" s="2734"/>
      <c r="AB255" s="2734" t="s">
        <v>31</v>
      </c>
      <c r="AC255" s="2734" t="s">
        <v>31</v>
      </c>
      <c r="AD255" s="2735" t="s">
        <v>31</v>
      </c>
      <c r="AE255" s="2734" t="s">
        <v>31</v>
      </c>
      <c r="AF255" s="2735"/>
      <c r="AG255" s="478"/>
      <c r="AH255" s="189"/>
      <c r="AI255" s="190"/>
    </row>
    <row r="256" spans="1:35" ht="21" customHeight="1" x14ac:dyDescent="0.2">
      <c r="A256" s="2974">
        <v>3702</v>
      </c>
      <c r="B256" s="3063" t="s">
        <v>310</v>
      </c>
      <c r="C256" s="2734"/>
      <c r="D256" s="2734"/>
      <c r="E256" s="2734"/>
      <c r="F256" s="2735"/>
      <c r="G256" s="2734"/>
      <c r="H256" s="2734" t="s">
        <v>31</v>
      </c>
      <c r="I256" s="2734" t="s">
        <v>31</v>
      </c>
      <c r="J256" s="2734" t="s">
        <v>31</v>
      </c>
      <c r="K256" s="2734" t="s">
        <v>31</v>
      </c>
      <c r="L256" s="2734"/>
      <c r="M256" s="2734"/>
      <c r="N256" s="2740" t="s">
        <v>31</v>
      </c>
      <c r="O256" s="2740" t="s">
        <v>31</v>
      </c>
      <c r="P256" s="2740" t="s">
        <v>31</v>
      </c>
      <c r="Q256" s="2736" t="s">
        <v>31</v>
      </c>
      <c r="R256" s="2740" t="s">
        <v>31</v>
      </c>
      <c r="S256" s="2734"/>
      <c r="T256" s="2734"/>
      <c r="U256" s="2740" t="s">
        <v>31</v>
      </c>
      <c r="V256" s="2740" t="s">
        <v>31</v>
      </c>
      <c r="W256" s="2740" t="s">
        <v>31</v>
      </c>
      <c r="X256" s="2734" t="s">
        <v>31</v>
      </c>
      <c r="Y256" s="2740" t="s">
        <v>31</v>
      </c>
      <c r="Z256" s="2734"/>
      <c r="AA256" s="2734"/>
      <c r="AB256" s="2734" t="s">
        <v>31</v>
      </c>
      <c r="AC256" s="2734" t="s">
        <v>31</v>
      </c>
      <c r="AD256" s="2735" t="s">
        <v>31</v>
      </c>
      <c r="AE256" s="2734" t="s">
        <v>31</v>
      </c>
      <c r="AF256" s="2735"/>
      <c r="AG256" s="3102"/>
      <c r="AH256" s="189"/>
      <c r="AI256" s="190"/>
    </row>
    <row r="257" spans="1:35" ht="21" customHeight="1" x14ac:dyDescent="0.2">
      <c r="A257" s="2974"/>
      <c r="B257" s="3063"/>
      <c r="C257" s="3100"/>
      <c r="D257" s="3100"/>
      <c r="E257" s="3100"/>
      <c r="F257" s="3100"/>
      <c r="G257" s="3100"/>
      <c r="H257" s="3100"/>
      <c r="I257" s="3100"/>
      <c r="J257" s="3100"/>
      <c r="K257" s="3100"/>
      <c r="L257" s="3100"/>
      <c r="M257" s="2975"/>
      <c r="N257" s="3100"/>
      <c r="O257" s="3100"/>
      <c r="P257" s="3100"/>
      <c r="Q257" s="3100"/>
      <c r="R257" s="3100"/>
      <c r="S257" s="3100"/>
      <c r="T257" s="3100"/>
      <c r="U257" s="3100"/>
      <c r="V257" s="3100"/>
      <c r="W257" s="3100"/>
      <c r="X257" s="3100"/>
      <c r="Y257" s="3100"/>
      <c r="Z257" s="3100"/>
      <c r="AA257" s="3100"/>
      <c r="AB257" s="3100"/>
      <c r="AC257" s="3100"/>
      <c r="AD257" s="3100"/>
      <c r="AE257" s="3100"/>
      <c r="AF257" s="3100"/>
      <c r="AG257" s="3102"/>
      <c r="AH257" s="189"/>
      <c r="AI257" s="190"/>
    </row>
    <row r="258" spans="1:35" ht="21" customHeight="1" thickBot="1" x14ac:dyDescent="0.25">
      <c r="A258" s="2976"/>
      <c r="B258" s="2977"/>
      <c r="C258" s="3049"/>
      <c r="D258" s="3049"/>
      <c r="E258" s="3049"/>
      <c r="F258" s="3049"/>
      <c r="G258" s="3049"/>
      <c r="H258" s="3049"/>
      <c r="I258" s="3049"/>
      <c r="J258" s="3049"/>
      <c r="K258" s="3049"/>
      <c r="L258" s="3049"/>
      <c r="M258" s="3049"/>
      <c r="N258" s="3049"/>
      <c r="O258" s="3049"/>
      <c r="P258" s="3049"/>
      <c r="Q258" s="3049"/>
      <c r="R258" s="3049"/>
      <c r="S258" s="3049"/>
      <c r="T258" s="3049"/>
      <c r="U258" s="3049"/>
      <c r="V258" s="3049"/>
      <c r="W258" s="3049"/>
      <c r="X258" s="3049"/>
      <c r="Y258" s="3049"/>
      <c r="Z258" s="3049"/>
      <c r="AA258" s="3049"/>
      <c r="AB258" s="3049"/>
      <c r="AC258" s="3049"/>
      <c r="AD258" s="3049"/>
      <c r="AE258" s="3049"/>
      <c r="AF258" s="3049"/>
      <c r="AG258" s="3050"/>
      <c r="AH258" s="189"/>
      <c r="AI258" s="190"/>
    </row>
    <row r="259" spans="1:35" ht="21" customHeight="1" x14ac:dyDescent="0.2">
      <c r="A259" s="251"/>
      <c r="B259" s="3259" t="s">
        <v>311</v>
      </c>
      <c r="C259" s="3260"/>
      <c r="D259" s="3260"/>
      <c r="E259" s="3260"/>
      <c r="F259" s="3260"/>
      <c r="G259" s="3260"/>
      <c r="H259" s="3260"/>
      <c r="I259" s="3260"/>
      <c r="J259" s="3260"/>
      <c r="K259" s="3260"/>
      <c r="L259" s="3260"/>
      <c r="M259" s="3260"/>
      <c r="N259" s="3260"/>
      <c r="O259" s="3260"/>
      <c r="P259" s="3260"/>
      <c r="Q259" s="3260"/>
      <c r="R259" s="3260"/>
      <c r="S259" s="3260"/>
      <c r="T259" s="3260"/>
      <c r="U259" s="3260"/>
      <c r="V259" s="3260"/>
      <c r="W259" s="3260"/>
      <c r="X259" s="3260"/>
      <c r="Y259" s="3260"/>
      <c r="Z259" s="3260"/>
      <c r="AA259" s="3260"/>
      <c r="AB259" s="3260"/>
      <c r="AC259" s="3260"/>
      <c r="AD259" s="3260"/>
      <c r="AE259" s="3260"/>
      <c r="AF259" s="3260"/>
      <c r="AG259" s="3261"/>
      <c r="AH259" s="187"/>
      <c r="AI259" s="188"/>
    </row>
    <row r="260" spans="1:35" ht="21" customHeight="1" x14ac:dyDescent="0.2">
      <c r="A260" s="2974">
        <v>3702</v>
      </c>
      <c r="B260" s="2936" t="s">
        <v>312</v>
      </c>
      <c r="C260" s="3100"/>
      <c r="D260" s="3100"/>
      <c r="E260" s="3100"/>
      <c r="F260" s="3100"/>
      <c r="G260" s="3100"/>
      <c r="H260" s="3100" t="s">
        <v>313</v>
      </c>
      <c r="I260" s="3100" t="s">
        <v>313</v>
      </c>
      <c r="J260" s="3100" t="s">
        <v>313</v>
      </c>
      <c r="K260" s="3100" t="s">
        <v>313</v>
      </c>
      <c r="L260" s="3100"/>
      <c r="M260" s="3100"/>
      <c r="N260" s="3100" t="s">
        <v>313</v>
      </c>
      <c r="O260" s="3100" t="s">
        <v>313</v>
      </c>
      <c r="P260" s="3100" t="s">
        <v>313</v>
      </c>
      <c r="Q260" s="3100" t="s">
        <v>313</v>
      </c>
      <c r="R260" s="3100" t="s">
        <v>313</v>
      </c>
      <c r="S260" s="3100"/>
      <c r="T260" s="3100"/>
      <c r="U260" s="3100" t="s">
        <v>313</v>
      </c>
      <c r="V260" s="3100" t="s">
        <v>313</v>
      </c>
      <c r="W260" s="3100" t="s">
        <v>313</v>
      </c>
      <c r="X260" s="3100" t="s">
        <v>313</v>
      </c>
      <c r="Y260" s="3100" t="s">
        <v>313</v>
      </c>
      <c r="Z260" s="3100"/>
      <c r="AA260" s="3100"/>
      <c r="AB260" s="3100" t="s">
        <v>313</v>
      </c>
      <c r="AC260" s="3100" t="s">
        <v>313</v>
      </c>
      <c r="AD260" s="3100" t="s">
        <v>313</v>
      </c>
      <c r="AE260" s="3100" t="s">
        <v>313</v>
      </c>
      <c r="AF260" s="3100"/>
      <c r="AG260" s="3262"/>
      <c r="AH260" s="189"/>
      <c r="AI260" s="190"/>
    </row>
    <row r="261" spans="1:35" ht="21" customHeight="1" x14ac:dyDescent="0.2">
      <c r="A261" s="2974"/>
      <c r="B261" s="2932" t="s">
        <v>314</v>
      </c>
      <c r="C261" s="3100"/>
      <c r="D261" s="3100"/>
      <c r="E261" s="3100"/>
      <c r="F261" s="3100"/>
      <c r="G261" s="3100"/>
      <c r="H261" s="3100" t="s">
        <v>315</v>
      </c>
      <c r="I261" s="3100" t="s">
        <v>315</v>
      </c>
      <c r="J261" s="3100" t="s">
        <v>315</v>
      </c>
      <c r="K261" s="3100" t="s">
        <v>315</v>
      </c>
      <c r="L261" s="3100"/>
      <c r="M261" s="3100"/>
      <c r="N261" s="3100" t="s">
        <v>315</v>
      </c>
      <c r="O261" s="3100" t="s">
        <v>315</v>
      </c>
      <c r="P261" s="3100" t="s">
        <v>315</v>
      </c>
      <c r="Q261" s="3100" t="s">
        <v>315</v>
      </c>
      <c r="R261" s="3100" t="s">
        <v>315</v>
      </c>
      <c r="S261" s="3100"/>
      <c r="T261" s="3100"/>
      <c r="U261" s="3100" t="s">
        <v>315</v>
      </c>
      <c r="V261" s="3100" t="s">
        <v>315</v>
      </c>
      <c r="W261" s="3100" t="s">
        <v>315</v>
      </c>
      <c r="X261" s="3100" t="s">
        <v>315</v>
      </c>
      <c r="Y261" s="3100" t="s">
        <v>315</v>
      </c>
      <c r="Z261" s="3100"/>
      <c r="AA261" s="3100"/>
      <c r="AB261" s="3100" t="s">
        <v>315</v>
      </c>
      <c r="AC261" s="3100" t="s">
        <v>315</v>
      </c>
      <c r="AD261" s="3100" t="s">
        <v>315</v>
      </c>
      <c r="AE261" s="3100" t="s">
        <v>315</v>
      </c>
      <c r="AF261" s="3100"/>
      <c r="AG261" s="3262"/>
      <c r="AH261" s="189"/>
      <c r="AI261" s="190"/>
    </row>
    <row r="262" spans="1:35" ht="21" customHeight="1" thickBot="1" x14ac:dyDescent="0.25">
      <c r="A262" s="3263"/>
      <c r="B262" s="2944" t="s">
        <v>316</v>
      </c>
      <c r="C262" s="3096"/>
      <c r="D262" s="3096"/>
      <c r="E262" s="3096"/>
      <c r="F262" s="3096"/>
      <c r="G262" s="3096"/>
      <c r="H262" s="3096" t="s">
        <v>317</v>
      </c>
      <c r="I262" s="3096" t="s">
        <v>317</v>
      </c>
      <c r="J262" s="3096" t="s">
        <v>317</v>
      </c>
      <c r="K262" s="3096" t="s">
        <v>317</v>
      </c>
      <c r="L262" s="3096"/>
      <c r="M262" s="3096"/>
      <c r="N262" s="3096" t="s">
        <v>317</v>
      </c>
      <c r="O262" s="3096" t="s">
        <v>317</v>
      </c>
      <c r="P262" s="3096" t="s">
        <v>317</v>
      </c>
      <c r="Q262" s="3096" t="s">
        <v>317</v>
      </c>
      <c r="R262" s="3096" t="s">
        <v>317</v>
      </c>
      <c r="S262" s="3096"/>
      <c r="T262" s="3096"/>
      <c r="U262" s="3096" t="s">
        <v>317</v>
      </c>
      <c r="V262" s="3096" t="s">
        <v>317</v>
      </c>
      <c r="W262" s="3096" t="s">
        <v>317</v>
      </c>
      <c r="X262" s="3096" t="s">
        <v>317</v>
      </c>
      <c r="Y262" s="3096" t="s">
        <v>317</v>
      </c>
      <c r="Z262" s="3096"/>
      <c r="AA262" s="3096"/>
      <c r="AB262" s="3096" t="s">
        <v>317</v>
      </c>
      <c r="AC262" s="3096" t="s">
        <v>317</v>
      </c>
      <c r="AD262" s="3264" t="s">
        <v>317</v>
      </c>
      <c r="AE262" s="3096" t="s">
        <v>317</v>
      </c>
      <c r="AF262" s="3096"/>
      <c r="AG262" s="3265"/>
      <c r="AH262" s="189"/>
      <c r="AI262" s="190"/>
    </row>
    <row r="263" spans="1:35" ht="21" customHeight="1" x14ac:dyDescent="0.2"/>
    <row r="264" spans="1:35" ht="21" customHeight="1" x14ac:dyDescent="0.2"/>
    <row r="265" spans="1:35" ht="21" customHeight="1" thickBot="1" x14ac:dyDescent="0.25">
      <c r="A265" s="162" t="s">
        <v>318</v>
      </c>
    </row>
    <row r="266" spans="1:35" ht="21" customHeight="1" x14ac:dyDescent="0.2">
      <c r="B266" s="530" t="s">
        <v>267</v>
      </c>
      <c r="C266" s="500"/>
      <c r="D266" s="516" t="s">
        <v>90</v>
      </c>
      <c r="E266" s="473"/>
      <c r="F266" s="504"/>
      <c r="G266" s="500"/>
      <c r="H266" s="516" t="s">
        <v>91</v>
      </c>
      <c r="I266" s="473"/>
      <c r="J266" s="504"/>
      <c r="K266" s="500"/>
      <c r="L266" s="516" t="s">
        <v>92</v>
      </c>
      <c r="M266" s="473"/>
      <c r="N266" s="504"/>
      <c r="O266" s="500"/>
      <c r="P266" s="516" t="s">
        <v>93</v>
      </c>
      <c r="Q266" s="473"/>
      <c r="R266" s="504"/>
      <c r="S266" s="500"/>
      <c r="T266" s="516" t="s">
        <v>94</v>
      </c>
      <c r="U266" s="473"/>
      <c r="V266" s="504"/>
      <c r="W266" s="500"/>
      <c r="X266" s="516" t="s">
        <v>95</v>
      </c>
      <c r="Y266" s="473"/>
      <c r="Z266" s="504"/>
      <c r="AA266" s="500"/>
      <c r="AB266" s="516" t="s">
        <v>96</v>
      </c>
      <c r="AC266" s="473"/>
      <c r="AD266" s="473"/>
      <c r="AE266" s="519" t="s">
        <v>97</v>
      </c>
      <c r="AF266" s="473"/>
      <c r="AG266" s="473"/>
      <c r="AH266" s="473"/>
      <c r="AI266" s="474"/>
    </row>
    <row r="267" spans="1:35" ht="21" customHeight="1" x14ac:dyDescent="0.2">
      <c r="B267" s="3">
        <v>8500</v>
      </c>
      <c r="C267" s="3115" t="s">
        <v>319</v>
      </c>
      <c r="D267" s="117"/>
      <c r="E267" s="14"/>
      <c r="F267" s="116"/>
      <c r="G267" s="3115" t="s">
        <v>319</v>
      </c>
      <c r="H267" s="117"/>
      <c r="I267" s="14"/>
      <c r="J267" s="116"/>
      <c r="K267" s="3115" t="s">
        <v>319</v>
      </c>
      <c r="L267" s="117"/>
      <c r="M267" s="14"/>
      <c r="N267" s="116"/>
      <c r="O267" s="3115" t="s">
        <v>319</v>
      </c>
      <c r="P267" s="117"/>
      <c r="Q267" s="14"/>
      <c r="R267" s="116"/>
      <c r="S267" s="3115" t="s">
        <v>320</v>
      </c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 thickBot="1" x14ac:dyDescent="0.25">
      <c r="A268" s="110"/>
      <c r="B268" s="3266"/>
      <c r="C268" s="3267"/>
      <c r="D268" s="3268"/>
      <c r="E268" s="3250"/>
      <c r="F268" s="3251"/>
      <c r="G268" s="3267"/>
      <c r="H268" s="3252"/>
      <c r="I268" s="3250"/>
      <c r="J268" s="3251"/>
      <c r="K268" s="3267"/>
      <c r="L268" s="3252"/>
      <c r="M268" s="3250"/>
      <c r="N268" s="3251"/>
      <c r="O268" s="3267"/>
      <c r="P268" s="3252"/>
      <c r="Q268" s="3250"/>
      <c r="R268" s="3251"/>
      <c r="S268" s="3267"/>
      <c r="T268" s="3252"/>
      <c r="U268" s="3250"/>
      <c r="V268" s="3251"/>
      <c r="W268" s="3253"/>
      <c r="X268" s="3252"/>
      <c r="Y268" s="3250"/>
      <c r="Z268" s="3251"/>
      <c r="AA268" s="3253"/>
      <c r="AB268" s="3252"/>
      <c r="AC268" s="3250"/>
      <c r="AD268" s="3250"/>
      <c r="AE268" s="3257"/>
      <c r="AF268" s="3250"/>
      <c r="AG268" s="3250"/>
      <c r="AH268" s="3250"/>
      <c r="AI268" s="3258"/>
    </row>
    <row r="269" spans="1:35" ht="21" customHeight="1" x14ac:dyDescent="0.2">
      <c r="A269" s="16" t="s">
        <v>321</v>
      </c>
    </row>
    <row r="270" spans="1:35" ht="21" customHeight="1" thickBot="1" x14ac:dyDescent="0.25">
      <c r="A270" s="3269"/>
      <c r="B270" s="3270" t="s">
        <v>29</v>
      </c>
      <c r="C270" s="3048">
        <v>1</v>
      </c>
      <c r="D270" s="3048">
        <v>2</v>
      </c>
      <c r="E270" s="3048">
        <v>3</v>
      </c>
      <c r="F270" s="3048">
        <v>4</v>
      </c>
      <c r="G270" s="3048">
        <v>5</v>
      </c>
      <c r="H270" s="3049">
        <v>6</v>
      </c>
      <c r="I270" s="3049">
        <v>7</v>
      </c>
      <c r="J270" s="3049">
        <v>8</v>
      </c>
      <c r="K270" s="3049">
        <v>9</v>
      </c>
      <c r="L270" s="3048">
        <v>10</v>
      </c>
      <c r="M270" s="3048">
        <v>11</v>
      </c>
      <c r="N270" s="3049">
        <v>12</v>
      </c>
      <c r="O270" s="3049">
        <v>13</v>
      </c>
      <c r="P270" s="3049">
        <v>14</v>
      </c>
      <c r="Q270" s="3049">
        <v>15</v>
      </c>
      <c r="R270" s="3049">
        <v>16</v>
      </c>
      <c r="S270" s="3048">
        <v>17</v>
      </c>
      <c r="T270" s="3048">
        <v>18</v>
      </c>
      <c r="U270" s="3049">
        <v>19</v>
      </c>
      <c r="V270" s="3049">
        <v>20</v>
      </c>
      <c r="W270" s="3049">
        <v>21</v>
      </c>
      <c r="X270" s="3049">
        <v>22</v>
      </c>
      <c r="Y270" s="3049">
        <v>23</v>
      </c>
      <c r="Z270" s="3048">
        <v>24</v>
      </c>
      <c r="AA270" s="3048">
        <v>25</v>
      </c>
      <c r="AB270" s="3049">
        <v>26</v>
      </c>
      <c r="AC270" s="3049">
        <v>27</v>
      </c>
      <c r="AD270" s="3049">
        <v>28</v>
      </c>
      <c r="AE270" s="3049">
        <v>29</v>
      </c>
      <c r="AF270" s="3048">
        <v>30</v>
      </c>
      <c r="AG270" s="3050"/>
      <c r="AH270" s="184"/>
      <c r="AI270" s="185"/>
    </row>
    <row r="271" spans="1:35" ht="21" customHeight="1" x14ac:dyDescent="0.2">
      <c r="A271" s="8">
        <v>8500</v>
      </c>
      <c r="B271" s="157" t="s">
        <v>322</v>
      </c>
      <c r="C271" s="2734"/>
      <c r="D271" s="2734"/>
      <c r="E271" s="2734"/>
      <c r="F271" s="2735"/>
      <c r="G271" s="2734"/>
      <c r="H271" s="2734" t="s">
        <v>31</v>
      </c>
      <c r="I271" s="2734" t="s">
        <v>31</v>
      </c>
      <c r="J271" s="2734" t="s">
        <v>31</v>
      </c>
      <c r="K271" s="2734" t="s">
        <v>31</v>
      </c>
      <c r="L271" s="2734"/>
      <c r="M271" s="2734"/>
      <c r="N271" s="2740" t="s">
        <v>31</v>
      </c>
      <c r="O271" s="2740" t="s">
        <v>31</v>
      </c>
      <c r="P271" s="2740" t="s">
        <v>31</v>
      </c>
      <c r="Q271" s="2736" t="s">
        <v>31</v>
      </c>
      <c r="R271" s="2740" t="s">
        <v>31</v>
      </c>
      <c r="S271" s="2734"/>
      <c r="T271" s="2734"/>
      <c r="U271" s="2740" t="s">
        <v>31</v>
      </c>
      <c r="V271" s="2740" t="s">
        <v>31</v>
      </c>
      <c r="W271" s="2740" t="s">
        <v>31</v>
      </c>
      <c r="X271" s="2734" t="s">
        <v>31</v>
      </c>
      <c r="Y271" s="2740" t="s">
        <v>31</v>
      </c>
      <c r="Z271" s="2734"/>
      <c r="AA271" s="2734"/>
      <c r="AB271" s="2734" t="s">
        <v>31</v>
      </c>
      <c r="AC271" s="2734" t="s">
        <v>31</v>
      </c>
      <c r="AD271" s="2735" t="s">
        <v>31</v>
      </c>
      <c r="AE271" s="2734" t="s">
        <v>31</v>
      </c>
      <c r="AF271" s="2735"/>
      <c r="AG271" s="2735"/>
      <c r="AH271" s="196"/>
      <c r="AI271" s="197"/>
    </row>
    <row r="272" spans="1:35" ht="21" customHeight="1" x14ac:dyDescent="0.2">
      <c r="A272" s="3054"/>
      <c r="B272" s="3271" t="s">
        <v>323</v>
      </c>
      <c r="C272" s="2734"/>
      <c r="D272" s="2734"/>
      <c r="E272" s="2734"/>
      <c r="F272" s="2735"/>
      <c r="G272" s="2734"/>
      <c r="H272" s="2734" t="s">
        <v>31</v>
      </c>
      <c r="I272" s="2734" t="s">
        <v>31</v>
      </c>
      <c r="J272" s="2734" t="s">
        <v>31</v>
      </c>
      <c r="K272" s="2734" t="s">
        <v>31</v>
      </c>
      <c r="L272" s="2734"/>
      <c r="M272" s="2734"/>
      <c r="N272" s="2740" t="s">
        <v>31</v>
      </c>
      <c r="O272" s="2740" t="s">
        <v>31</v>
      </c>
      <c r="P272" s="2740" t="s">
        <v>31</v>
      </c>
      <c r="Q272" s="2736" t="s">
        <v>31</v>
      </c>
      <c r="R272" s="2740" t="s">
        <v>31</v>
      </c>
      <c r="S272" s="2734"/>
      <c r="T272" s="2734"/>
      <c r="U272" s="2740" t="s">
        <v>31</v>
      </c>
      <c r="V272" s="2740" t="s">
        <v>31</v>
      </c>
      <c r="W272" s="2740" t="s">
        <v>31</v>
      </c>
      <c r="X272" s="2734" t="s">
        <v>31</v>
      </c>
      <c r="Y272" s="2740" t="s">
        <v>31</v>
      </c>
      <c r="Z272" s="2734"/>
      <c r="AA272" s="2734"/>
      <c r="AB272" s="2734" t="s">
        <v>31</v>
      </c>
      <c r="AC272" s="2734" t="s">
        <v>31</v>
      </c>
      <c r="AD272" s="2735" t="s">
        <v>31</v>
      </c>
      <c r="AE272" s="2734" t="s">
        <v>31</v>
      </c>
      <c r="AF272" s="2735"/>
      <c r="AG272" s="2735"/>
      <c r="AH272" s="196"/>
      <c r="AI272" s="197"/>
    </row>
    <row r="273" spans="1:35" ht="22.15" customHeight="1" x14ac:dyDescent="0.2">
      <c r="A273" s="3272"/>
      <c r="B273" s="3271" t="s">
        <v>324</v>
      </c>
      <c r="C273" s="2734"/>
      <c r="D273" s="2734"/>
      <c r="E273" s="2734"/>
      <c r="F273" s="2735"/>
      <c r="G273" s="2734"/>
      <c r="H273" s="2734" t="s">
        <v>31</v>
      </c>
      <c r="I273" s="2734" t="s">
        <v>31</v>
      </c>
      <c r="J273" s="2734" t="s">
        <v>31</v>
      </c>
      <c r="K273" s="2734" t="s">
        <v>31</v>
      </c>
      <c r="L273" s="2734"/>
      <c r="M273" s="2734"/>
      <c r="N273" s="2740" t="s">
        <v>31</v>
      </c>
      <c r="O273" s="2740" t="s">
        <v>31</v>
      </c>
      <c r="P273" s="2740" t="s">
        <v>31</v>
      </c>
      <c r="Q273" s="2736" t="s">
        <v>31</v>
      </c>
      <c r="R273" s="2740" t="s">
        <v>31</v>
      </c>
      <c r="S273" s="2734"/>
      <c r="T273" s="2734"/>
      <c r="U273" s="2740" t="s">
        <v>31</v>
      </c>
      <c r="V273" s="2740" t="s">
        <v>31</v>
      </c>
      <c r="W273" s="2740" t="s">
        <v>31</v>
      </c>
      <c r="X273" s="2734" t="s">
        <v>31</v>
      </c>
      <c r="Y273" s="2740" t="s">
        <v>31</v>
      </c>
      <c r="Z273" s="2734"/>
      <c r="AA273" s="2734"/>
      <c r="AB273" s="2734" t="s">
        <v>31</v>
      </c>
      <c r="AC273" s="2734" t="s">
        <v>31</v>
      </c>
      <c r="AD273" s="2735" t="s">
        <v>31</v>
      </c>
      <c r="AE273" s="2734" t="s">
        <v>31</v>
      </c>
      <c r="AF273" s="2735"/>
      <c r="AG273" s="2735"/>
      <c r="AH273" s="196"/>
      <c r="AI273" s="197"/>
    </row>
    <row r="274" spans="1:35" ht="22.15" customHeight="1" x14ac:dyDescent="0.2">
      <c r="A274" s="102"/>
      <c r="B274" s="3273"/>
      <c r="C274" s="2735"/>
      <c r="D274" s="2735"/>
      <c r="E274" s="2735"/>
      <c r="F274" s="2735"/>
      <c r="G274" s="2735"/>
      <c r="H274" s="2735"/>
      <c r="I274" s="2735"/>
      <c r="J274" s="2735"/>
      <c r="K274" s="2735"/>
      <c r="L274" s="2735"/>
      <c r="M274" s="2735"/>
      <c r="N274" s="2735"/>
      <c r="O274" s="2735"/>
      <c r="P274" s="2735"/>
      <c r="Q274" s="2735"/>
      <c r="R274" s="2735"/>
      <c r="S274" s="2735"/>
      <c r="T274" s="2735"/>
      <c r="U274" s="2735"/>
      <c r="V274" s="2735"/>
      <c r="W274" s="2735"/>
      <c r="X274" s="2735"/>
      <c r="Y274" s="2735"/>
      <c r="Z274" s="2735"/>
      <c r="AA274" s="2735"/>
      <c r="AB274" s="2735"/>
      <c r="AC274" s="2735"/>
      <c r="AD274" s="2735"/>
      <c r="AE274" s="2735"/>
      <c r="AF274" s="2735"/>
      <c r="AG274" s="2742"/>
      <c r="AH274" s="196"/>
      <c r="AI274" s="197"/>
    </row>
    <row r="275" spans="1:35" ht="21" customHeight="1" x14ac:dyDescent="0.2">
      <c r="A275" s="2920"/>
      <c r="B275" s="3273"/>
      <c r="C275" s="3100"/>
      <c r="D275" s="3100"/>
      <c r="E275" s="3100"/>
      <c r="F275" s="3100"/>
      <c r="G275" s="3100"/>
      <c r="H275" s="3100"/>
      <c r="I275" s="3100"/>
      <c r="J275" s="3100"/>
      <c r="K275" s="3100"/>
      <c r="L275" s="3100"/>
      <c r="M275" s="3100"/>
      <c r="N275" s="3059"/>
      <c r="O275" s="3059"/>
      <c r="P275" s="3100"/>
      <c r="Q275" s="3100"/>
      <c r="R275" s="3100"/>
      <c r="S275" s="3100"/>
      <c r="T275" s="3100"/>
      <c r="U275" s="3100"/>
      <c r="V275" s="3100"/>
      <c r="W275" s="3100"/>
      <c r="X275" s="3100"/>
      <c r="Y275" s="3100"/>
      <c r="Z275" s="3100"/>
      <c r="AA275" s="3100"/>
      <c r="AB275" s="3059"/>
      <c r="AC275" s="3059"/>
      <c r="AD275" s="3100"/>
      <c r="AE275" s="3100"/>
      <c r="AF275" s="3100"/>
      <c r="AG275" s="3100"/>
      <c r="AH275" s="198"/>
      <c r="AI275" s="199"/>
    </row>
    <row r="276" spans="1:35" ht="22.15" customHeight="1" x14ac:dyDescent="0.2">
      <c r="A276" s="2649"/>
      <c r="B276" s="3274"/>
      <c r="C276" s="3100"/>
      <c r="D276" s="3100"/>
      <c r="E276" s="3100"/>
      <c r="F276" s="3100"/>
      <c r="G276" s="3100"/>
      <c r="H276" s="3100"/>
      <c r="I276" s="3100"/>
      <c r="J276" s="3100"/>
      <c r="K276" s="3100"/>
      <c r="L276" s="3100"/>
      <c r="M276" s="3100"/>
      <c r="N276" s="3059"/>
      <c r="O276" s="3059"/>
      <c r="P276" s="3100"/>
      <c r="Q276" s="3100"/>
      <c r="R276" s="3100"/>
      <c r="S276" s="3100"/>
      <c r="T276" s="3100"/>
      <c r="U276" s="3100"/>
      <c r="V276" s="3100"/>
      <c r="W276" s="3100"/>
      <c r="X276" s="3100"/>
      <c r="Y276" s="3100"/>
      <c r="Z276" s="3100"/>
      <c r="AA276" s="3100"/>
      <c r="AB276" s="3059"/>
      <c r="AC276" s="3059"/>
      <c r="AD276" s="3100"/>
      <c r="AE276" s="3100"/>
      <c r="AF276" s="3100"/>
      <c r="AG276" s="3100"/>
      <c r="AH276" s="198"/>
      <c r="AI276" s="199"/>
    </row>
    <row r="277" spans="1:35" ht="22.15" customHeight="1" thickBot="1" x14ac:dyDescent="0.25">
      <c r="A277" s="688"/>
      <c r="B277" s="3275"/>
      <c r="C277" s="3276"/>
      <c r="D277" s="3277"/>
      <c r="E277" s="3277"/>
      <c r="F277" s="3277"/>
      <c r="G277" s="3277"/>
      <c r="H277" s="3277"/>
      <c r="I277" s="3277"/>
      <c r="J277" s="3277"/>
      <c r="K277" s="3277"/>
      <c r="L277" s="3277"/>
      <c r="M277" s="3277"/>
      <c r="N277" s="3278"/>
      <c r="O277" s="3278"/>
      <c r="P277" s="3277"/>
      <c r="Q277" s="3277"/>
      <c r="R277" s="3277"/>
      <c r="S277" s="3277"/>
      <c r="T277" s="3277"/>
      <c r="U277" s="3277"/>
      <c r="V277" s="3277"/>
      <c r="W277" s="3277"/>
      <c r="X277" s="3277"/>
      <c r="Y277" s="3277"/>
      <c r="Z277" s="3277"/>
      <c r="AA277" s="3277"/>
      <c r="AB277" s="3278"/>
      <c r="AC277" s="3278"/>
      <c r="AD277" s="3277"/>
      <c r="AE277" s="3277"/>
      <c r="AF277" s="3277"/>
      <c r="AG277" s="3279"/>
      <c r="AH277" s="198"/>
      <c r="AI277" s="199"/>
    </row>
    <row r="278" spans="1:35" ht="22.15" customHeight="1" x14ac:dyDescent="0.2">
      <c r="A278" s="262"/>
      <c r="B278" s="263"/>
      <c r="C278" s="255"/>
      <c r="D278" s="255"/>
      <c r="E278" s="255"/>
      <c r="F278" s="255"/>
      <c r="G278" s="255"/>
      <c r="H278" s="255"/>
      <c r="I278" s="255"/>
      <c r="J278" s="255"/>
      <c r="K278" s="255"/>
      <c r="L278" s="255"/>
      <c r="M278" s="255"/>
      <c r="N278" s="229"/>
      <c r="O278" s="229"/>
      <c r="P278" s="255"/>
      <c r="Q278" s="255"/>
      <c r="R278" s="255"/>
      <c r="S278" s="255"/>
      <c r="T278" s="255"/>
      <c r="U278" s="255"/>
      <c r="V278" s="255"/>
      <c r="W278" s="255"/>
      <c r="X278" s="255"/>
      <c r="Y278" s="255"/>
      <c r="Z278" s="255"/>
      <c r="AA278" s="255"/>
      <c r="AB278" s="229"/>
      <c r="AC278" s="229"/>
      <c r="AD278" s="255"/>
      <c r="AE278" s="255"/>
      <c r="AF278" s="255"/>
      <c r="AG278" s="255"/>
      <c r="AH278" s="264"/>
      <c r="AI278" s="199"/>
    </row>
    <row r="279" spans="1:35" ht="24" customHeight="1" x14ac:dyDescent="0.2"/>
    <row r="280" spans="1:35" ht="25.5" customHeight="1" thickBot="1" x14ac:dyDescent="0.25">
      <c r="A280" s="162" t="s">
        <v>325</v>
      </c>
    </row>
    <row r="281" spans="1:35" ht="21" customHeight="1" x14ac:dyDescent="0.2">
      <c r="A281" s="1"/>
      <c r="B281" s="530" t="s">
        <v>267</v>
      </c>
      <c r="C281" s="500"/>
      <c r="D281" s="516" t="s">
        <v>90</v>
      </c>
      <c r="E281" s="473"/>
      <c r="F281" s="504"/>
      <c r="G281" s="500"/>
      <c r="H281" s="516" t="s">
        <v>91</v>
      </c>
      <c r="I281" s="473"/>
      <c r="J281" s="504"/>
      <c r="K281" s="500"/>
      <c r="L281" s="516" t="s">
        <v>92</v>
      </c>
      <c r="M281" s="473"/>
      <c r="N281" s="504"/>
      <c r="O281" s="500"/>
      <c r="P281" s="516" t="s">
        <v>93</v>
      </c>
      <c r="Q281" s="473"/>
      <c r="R281" s="504"/>
      <c r="S281" s="500"/>
      <c r="T281" s="516" t="s">
        <v>94</v>
      </c>
      <c r="U281" s="473"/>
      <c r="V281" s="504"/>
      <c r="W281" s="500"/>
      <c r="X281" s="516" t="s">
        <v>95</v>
      </c>
      <c r="Y281" s="473"/>
      <c r="Z281" s="504"/>
      <c r="AA281" s="500"/>
      <c r="AB281" s="516" t="s">
        <v>96</v>
      </c>
      <c r="AC281" s="473"/>
      <c r="AD281" s="473"/>
      <c r="AE281" s="519" t="s">
        <v>97</v>
      </c>
      <c r="AF281" s="473"/>
      <c r="AG281" s="473"/>
      <c r="AH281" s="473"/>
      <c r="AI281" s="474"/>
    </row>
    <row r="282" spans="1:35" ht="21" customHeight="1" x14ac:dyDescent="0.2">
      <c r="A282" s="1"/>
      <c r="B282" s="3"/>
      <c r="C282" s="8"/>
      <c r="D282" s="117"/>
      <c r="E282" s="14"/>
      <c r="F282" s="116"/>
      <c r="G282" s="8"/>
      <c r="H282" s="117"/>
      <c r="I282" s="14"/>
      <c r="J282" s="116"/>
      <c r="K282" s="8"/>
      <c r="L282" s="117"/>
      <c r="M282" s="14"/>
      <c r="N282" s="116"/>
      <c r="O282" s="8"/>
      <c r="P282" s="117"/>
      <c r="Q282" s="14"/>
      <c r="R282" s="116"/>
      <c r="S282" s="8"/>
      <c r="T282" s="117"/>
      <c r="U282" s="14"/>
      <c r="V282" s="116"/>
      <c r="W282" s="8"/>
      <c r="X282" s="117"/>
      <c r="Y282" s="14"/>
      <c r="Z282" s="116"/>
      <c r="AA282" s="8"/>
      <c r="AB282" s="117"/>
      <c r="AC282" s="14"/>
      <c r="AD282" s="14"/>
      <c r="AE282" s="118"/>
      <c r="AF282" s="14"/>
      <c r="AG282" s="14"/>
      <c r="AH282" s="14"/>
      <c r="AI282" s="119"/>
    </row>
    <row r="283" spans="1:35" ht="21" customHeight="1" x14ac:dyDescent="0.2">
      <c r="A283" s="110"/>
      <c r="B283" s="2962"/>
      <c r="C283" s="3115"/>
      <c r="D283" s="3030"/>
      <c r="E283" s="3030"/>
      <c r="F283" s="3189"/>
      <c r="G283" s="3115"/>
      <c r="H283" s="3030"/>
      <c r="I283" s="3030"/>
      <c r="J283" s="3189"/>
      <c r="K283" s="3115"/>
      <c r="L283" s="3030"/>
      <c r="M283" s="3030"/>
      <c r="N283" s="3189"/>
      <c r="O283" s="3115"/>
      <c r="P283" s="3030"/>
      <c r="Q283" s="3030"/>
      <c r="R283" s="3189"/>
      <c r="S283" s="3115"/>
      <c r="T283" s="3030"/>
      <c r="U283" s="3030"/>
      <c r="V283" s="3189"/>
      <c r="W283" s="3115"/>
      <c r="X283" s="3030"/>
      <c r="Y283" s="3030"/>
      <c r="Z283" s="3189"/>
      <c r="AA283" s="3187"/>
      <c r="AB283" s="3030"/>
      <c r="AC283" s="3030"/>
      <c r="AD283" s="3116"/>
      <c r="AE283" s="3280"/>
      <c r="AF283" s="3030"/>
      <c r="AG283" s="3030"/>
      <c r="AH283" s="3116"/>
      <c r="AI283" s="3039"/>
    </row>
    <row r="284" spans="1:35" ht="21" customHeight="1" thickBot="1" x14ac:dyDescent="0.25">
      <c r="A284" s="1"/>
      <c r="B284" s="3199"/>
      <c r="C284" s="3200"/>
      <c r="D284" s="3082"/>
      <c r="E284" s="3082"/>
      <c r="F284" s="3223"/>
      <c r="G284" s="3200"/>
      <c r="H284" s="3082"/>
      <c r="I284" s="3082"/>
      <c r="J284" s="3223"/>
      <c r="K284" s="3200"/>
      <c r="L284" s="3082"/>
      <c r="M284" s="3082"/>
      <c r="N284" s="3223"/>
      <c r="O284" s="3200"/>
      <c r="P284" s="3082"/>
      <c r="Q284" s="3082"/>
      <c r="R284" s="3223"/>
      <c r="S284" s="3200"/>
      <c r="T284" s="3082"/>
      <c r="U284" s="3082"/>
      <c r="V284" s="3223"/>
      <c r="W284" s="3221"/>
      <c r="X284" s="3082"/>
      <c r="Y284" s="3082"/>
      <c r="Z284" s="3223"/>
      <c r="AA284" s="3221"/>
      <c r="AB284" s="3082"/>
      <c r="AC284" s="3082"/>
      <c r="AD284" s="3207"/>
      <c r="AE284" s="3221"/>
      <c r="AF284" s="3082"/>
      <c r="AG284" s="3082"/>
      <c r="AH284" s="3207"/>
      <c r="AI284" s="3089"/>
    </row>
    <row r="285" spans="1:35" ht="21" customHeight="1" x14ac:dyDescent="0.2">
      <c r="A285" s="1"/>
      <c r="B285" s="18"/>
      <c r="C285" s="64"/>
      <c r="F285" s="69"/>
      <c r="G285" s="64"/>
      <c r="J285" s="69"/>
      <c r="K285" s="64"/>
      <c r="N285" s="69"/>
      <c r="O285" s="64"/>
      <c r="R285" s="69"/>
      <c r="S285" s="64"/>
      <c r="V285" s="69"/>
      <c r="W285" s="69"/>
      <c r="Z285" s="69"/>
      <c r="AA285" s="69"/>
      <c r="AD285" s="69"/>
      <c r="AE285" s="69"/>
      <c r="AH285" s="69"/>
    </row>
    <row r="286" spans="1:35" ht="33" customHeight="1" x14ac:dyDescent="0.2">
      <c r="A286" s="162" t="s">
        <v>326</v>
      </c>
      <c r="B286" s="18"/>
      <c r="C286" s="64"/>
      <c r="F286" s="69"/>
      <c r="G286" s="64"/>
      <c r="J286" s="69"/>
      <c r="K286" s="64"/>
      <c r="N286" s="69"/>
      <c r="O286" s="64"/>
      <c r="R286" s="69"/>
      <c r="S286" s="64"/>
      <c r="V286" s="69"/>
      <c r="W286" s="69"/>
      <c r="Z286" s="69"/>
      <c r="AA286" s="69"/>
      <c r="AD286" s="69"/>
      <c r="AE286" s="69"/>
      <c r="AH286" s="69"/>
    </row>
    <row r="287" spans="1:35" ht="21" customHeight="1" thickBot="1" x14ac:dyDescent="0.25">
      <c r="A287" s="3281" t="s">
        <v>28</v>
      </c>
      <c r="B287" s="3270" t="s">
        <v>29</v>
      </c>
      <c r="C287" s="3048">
        <v>1</v>
      </c>
      <c r="D287" s="3048">
        <v>2</v>
      </c>
      <c r="E287" s="3048">
        <v>3</v>
      </c>
      <c r="F287" s="3048">
        <v>4</v>
      </c>
      <c r="G287" s="3048">
        <v>5</v>
      </c>
      <c r="H287" s="3049">
        <v>6</v>
      </c>
      <c r="I287" s="3049">
        <v>7</v>
      </c>
      <c r="J287" s="3049">
        <v>8</v>
      </c>
      <c r="K287" s="3049">
        <v>9</v>
      </c>
      <c r="L287" s="3048">
        <v>10</v>
      </c>
      <c r="M287" s="3048">
        <v>11</v>
      </c>
      <c r="N287" s="3049">
        <v>12</v>
      </c>
      <c r="O287" s="3049">
        <v>13</v>
      </c>
      <c r="P287" s="3049">
        <v>14</v>
      </c>
      <c r="Q287" s="3049">
        <v>15</v>
      </c>
      <c r="R287" s="3049">
        <v>16</v>
      </c>
      <c r="S287" s="3048">
        <v>17</v>
      </c>
      <c r="T287" s="3048">
        <v>18</v>
      </c>
      <c r="U287" s="3049">
        <v>19</v>
      </c>
      <c r="V287" s="3049">
        <v>20</v>
      </c>
      <c r="W287" s="3049">
        <v>21</v>
      </c>
      <c r="X287" s="3049">
        <v>22</v>
      </c>
      <c r="Y287" s="3049">
        <v>23</v>
      </c>
      <c r="Z287" s="3048">
        <v>24</v>
      </c>
      <c r="AA287" s="3048">
        <v>25</v>
      </c>
      <c r="AB287" s="3049">
        <v>26</v>
      </c>
      <c r="AC287" s="3049">
        <v>27</v>
      </c>
      <c r="AD287" s="3049">
        <v>28</v>
      </c>
      <c r="AE287" s="3049">
        <v>29</v>
      </c>
      <c r="AF287" s="3048">
        <v>30</v>
      </c>
      <c r="AG287" s="3050"/>
      <c r="AH287" s="200"/>
      <c r="AI287" s="185"/>
    </row>
    <row r="288" spans="1:35" ht="21" customHeight="1" x14ac:dyDescent="0.2">
      <c r="A288" s="88"/>
      <c r="B288" s="158" t="s">
        <v>327</v>
      </c>
      <c r="C288" s="2734"/>
      <c r="D288" s="2734"/>
      <c r="E288" s="2734"/>
      <c r="F288" s="2735"/>
      <c r="G288" s="2734"/>
      <c r="H288" s="2734" t="s">
        <v>31</v>
      </c>
      <c r="I288" s="2734" t="s">
        <v>31</v>
      </c>
      <c r="J288" s="2734" t="s">
        <v>31</v>
      </c>
      <c r="K288" s="2734" t="s">
        <v>31</v>
      </c>
      <c r="L288" s="2734"/>
      <c r="M288" s="2734"/>
      <c r="N288" s="2740" t="s">
        <v>31</v>
      </c>
      <c r="O288" s="2740" t="s">
        <v>31</v>
      </c>
      <c r="P288" s="2740" t="s">
        <v>31</v>
      </c>
      <c r="Q288" s="2736" t="s">
        <v>31</v>
      </c>
      <c r="R288" s="2740" t="s">
        <v>31</v>
      </c>
      <c r="S288" s="2734"/>
      <c r="T288" s="2734"/>
      <c r="U288" s="2740" t="s">
        <v>31</v>
      </c>
      <c r="V288" s="2740" t="s">
        <v>31</v>
      </c>
      <c r="W288" s="2740" t="s">
        <v>31</v>
      </c>
      <c r="X288" s="2734" t="s">
        <v>31</v>
      </c>
      <c r="Y288" s="2740" t="s">
        <v>31</v>
      </c>
      <c r="Z288" s="2734"/>
      <c r="AA288" s="2734"/>
      <c r="AB288" s="2734" t="s">
        <v>31</v>
      </c>
      <c r="AC288" s="2734" t="s">
        <v>31</v>
      </c>
      <c r="AD288" s="2735" t="s">
        <v>31</v>
      </c>
      <c r="AE288" s="2734" t="s">
        <v>31</v>
      </c>
      <c r="AF288" s="2735"/>
      <c r="AG288" s="2735"/>
      <c r="AH288" s="201"/>
      <c r="AI288" s="197"/>
    </row>
    <row r="289" spans="1:35" ht="21" customHeight="1" x14ac:dyDescent="0.2">
      <c r="A289" s="3282"/>
      <c r="B289" s="3283" t="s">
        <v>328</v>
      </c>
      <c r="C289" s="2734"/>
      <c r="D289" s="2734"/>
      <c r="E289" s="2734"/>
      <c r="F289" s="2735"/>
      <c r="G289" s="2734"/>
      <c r="H289" s="2734" t="s">
        <v>31</v>
      </c>
      <c r="I289" s="2734" t="s">
        <v>31</v>
      </c>
      <c r="J289" s="2734" t="s">
        <v>31</v>
      </c>
      <c r="K289" s="2734" t="s">
        <v>31</v>
      </c>
      <c r="L289" s="2734"/>
      <c r="M289" s="2734"/>
      <c r="N289" s="2740" t="s">
        <v>31</v>
      </c>
      <c r="O289" s="2740" t="s">
        <v>31</v>
      </c>
      <c r="P289" s="2740" t="s">
        <v>31</v>
      </c>
      <c r="Q289" s="2736" t="s">
        <v>31</v>
      </c>
      <c r="R289" s="2740" t="s">
        <v>31</v>
      </c>
      <c r="S289" s="2734"/>
      <c r="T289" s="2734"/>
      <c r="U289" s="2740" t="s">
        <v>31</v>
      </c>
      <c r="V289" s="2740" t="s">
        <v>31</v>
      </c>
      <c r="W289" s="2740" t="s">
        <v>31</v>
      </c>
      <c r="X289" s="2734" t="s">
        <v>31</v>
      </c>
      <c r="Y289" s="2740" t="s">
        <v>31</v>
      </c>
      <c r="Z289" s="2734"/>
      <c r="AA289" s="2734"/>
      <c r="AB289" s="2734" t="s">
        <v>31</v>
      </c>
      <c r="AC289" s="2734" t="s">
        <v>31</v>
      </c>
      <c r="AD289" s="2735" t="s">
        <v>31</v>
      </c>
      <c r="AE289" s="2734" t="s">
        <v>31</v>
      </c>
      <c r="AF289" s="2735"/>
      <c r="AG289" s="2735"/>
      <c r="AH289" s="201"/>
      <c r="AI289" s="197"/>
    </row>
    <row r="290" spans="1:35" ht="21" customHeight="1" x14ac:dyDescent="0.2">
      <c r="A290" s="2974"/>
      <c r="B290" s="3283" t="s">
        <v>329</v>
      </c>
      <c r="C290" s="2734"/>
      <c r="D290" s="2734"/>
      <c r="E290" s="2734"/>
      <c r="F290" s="2735"/>
      <c r="G290" s="2734"/>
      <c r="H290" s="2734" t="s">
        <v>31</v>
      </c>
      <c r="I290" s="2734" t="s">
        <v>31</v>
      </c>
      <c r="J290" s="2734" t="s">
        <v>31</v>
      </c>
      <c r="K290" s="2734" t="s">
        <v>31</v>
      </c>
      <c r="L290" s="2734"/>
      <c r="M290" s="2734"/>
      <c r="N290" s="2740" t="s">
        <v>31</v>
      </c>
      <c r="O290" s="2740" t="s">
        <v>31</v>
      </c>
      <c r="P290" s="2740" t="s">
        <v>31</v>
      </c>
      <c r="Q290" s="2736" t="s">
        <v>31</v>
      </c>
      <c r="R290" s="2740" t="s">
        <v>31</v>
      </c>
      <c r="S290" s="2734"/>
      <c r="T290" s="2734"/>
      <c r="U290" s="2740" t="s">
        <v>31</v>
      </c>
      <c r="V290" s="2740" t="s">
        <v>31</v>
      </c>
      <c r="W290" s="2740" t="s">
        <v>31</v>
      </c>
      <c r="X290" s="2734" t="s">
        <v>31</v>
      </c>
      <c r="Y290" s="2740" t="s">
        <v>31</v>
      </c>
      <c r="Z290" s="2734"/>
      <c r="AA290" s="2734"/>
      <c r="AB290" s="2734" t="s">
        <v>31</v>
      </c>
      <c r="AC290" s="2734" t="s">
        <v>31</v>
      </c>
      <c r="AD290" s="2735" t="s">
        <v>31</v>
      </c>
      <c r="AE290" s="2734" t="s">
        <v>31</v>
      </c>
      <c r="AF290" s="2735"/>
      <c r="AG290" s="2735"/>
      <c r="AH290" s="201"/>
      <c r="AI290" s="197"/>
    </row>
    <row r="291" spans="1:35" ht="21" customHeight="1" x14ac:dyDescent="0.2">
      <c r="A291" s="2974"/>
      <c r="B291" s="3283" t="s">
        <v>330</v>
      </c>
      <c r="C291" s="2734"/>
      <c r="D291" s="2734"/>
      <c r="E291" s="2734"/>
      <c r="F291" s="2735"/>
      <c r="G291" s="2734"/>
      <c r="H291" s="2734" t="s">
        <v>31</v>
      </c>
      <c r="I291" s="2734" t="s">
        <v>31</v>
      </c>
      <c r="J291" s="2734" t="s">
        <v>31</v>
      </c>
      <c r="K291" s="2734" t="s">
        <v>31</v>
      </c>
      <c r="L291" s="2734"/>
      <c r="M291" s="2734"/>
      <c r="N291" s="2740" t="s">
        <v>31</v>
      </c>
      <c r="O291" s="2740" t="s">
        <v>31</v>
      </c>
      <c r="P291" s="2740" t="s">
        <v>31</v>
      </c>
      <c r="Q291" s="2736" t="s">
        <v>31</v>
      </c>
      <c r="R291" s="2740" t="s">
        <v>31</v>
      </c>
      <c r="S291" s="2734"/>
      <c r="T291" s="2734"/>
      <c r="U291" s="2740" t="s">
        <v>31</v>
      </c>
      <c r="V291" s="2740" t="s">
        <v>31</v>
      </c>
      <c r="W291" s="2740" t="s">
        <v>31</v>
      </c>
      <c r="X291" s="2734" t="s">
        <v>31</v>
      </c>
      <c r="Y291" s="2740" t="s">
        <v>31</v>
      </c>
      <c r="Z291" s="2734"/>
      <c r="AA291" s="2734"/>
      <c r="AB291" s="2734" t="s">
        <v>31</v>
      </c>
      <c r="AC291" s="2734" t="s">
        <v>31</v>
      </c>
      <c r="AD291" s="2735" t="s">
        <v>31</v>
      </c>
      <c r="AE291" s="2734" t="s">
        <v>31</v>
      </c>
      <c r="AF291" s="2735"/>
      <c r="AG291" s="2735"/>
      <c r="AH291" s="201"/>
      <c r="AI291" s="197"/>
    </row>
    <row r="292" spans="1:35" ht="21" customHeight="1" x14ac:dyDescent="0.2">
      <c r="A292" s="2974"/>
      <c r="B292" s="3283" t="s">
        <v>331</v>
      </c>
      <c r="C292" s="2734"/>
      <c r="D292" s="2734"/>
      <c r="E292" s="2734"/>
      <c r="F292" s="2735"/>
      <c r="G292" s="2734"/>
      <c r="H292" s="2734" t="s">
        <v>31</v>
      </c>
      <c r="I292" s="2734" t="s">
        <v>31</v>
      </c>
      <c r="J292" s="2734" t="s">
        <v>31</v>
      </c>
      <c r="K292" s="2734" t="s">
        <v>31</v>
      </c>
      <c r="L292" s="2734"/>
      <c r="M292" s="2734"/>
      <c r="N292" s="2740" t="s">
        <v>31</v>
      </c>
      <c r="O292" s="2740" t="s">
        <v>31</v>
      </c>
      <c r="P292" s="2740" t="s">
        <v>31</v>
      </c>
      <c r="Q292" s="2736" t="s">
        <v>31</v>
      </c>
      <c r="R292" s="2740" t="s">
        <v>31</v>
      </c>
      <c r="S292" s="2734"/>
      <c r="T292" s="2734"/>
      <c r="U292" s="2740" t="s">
        <v>31</v>
      </c>
      <c r="V292" s="2740" t="s">
        <v>31</v>
      </c>
      <c r="W292" s="2740" t="s">
        <v>31</v>
      </c>
      <c r="X292" s="2734" t="s">
        <v>31</v>
      </c>
      <c r="Y292" s="2740" t="s">
        <v>31</v>
      </c>
      <c r="Z292" s="2734"/>
      <c r="AA292" s="2734"/>
      <c r="AB292" s="2734" t="s">
        <v>31</v>
      </c>
      <c r="AC292" s="2734" t="s">
        <v>31</v>
      </c>
      <c r="AD292" s="2735" t="s">
        <v>31</v>
      </c>
      <c r="AE292" s="2734" t="s">
        <v>31</v>
      </c>
      <c r="AF292" s="2735"/>
      <c r="AG292" s="3100"/>
      <c r="AH292" s="201"/>
      <c r="AI292" s="197"/>
    </row>
    <row r="293" spans="1:35" ht="21" customHeight="1" x14ac:dyDescent="0.2">
      <c r="A293" s="2974"/>
      <c r="B293" s="3283" t="s">
        <v>332</v>
      </c>
      <c r="C293" s="2734"/>
      <c r="D293" s="2734"/>
      <c r="E293" s="2734"/>
      <c r="F293" s="2735"/>
      <c r="G293" s="2734"/>
      <c r="H293" s="2734" t="s">
        <v>31</v>
      </c>
      <c r="I293" s="2734" t="s">
        <v>31</v>
      </c>
      <c r="J293" s="2734" t="s">
        <v>31</v>
      </c>
      <c r="K293" s="2734" t="s">
        <v>31</v>
      </c>
      <c r="L293" s="2734"/>
      <c r="M293" s="2734"/>
      <c r="N293" s="2740" t="s">
        <v>31</v>
      </c>
      <c r="O293" s="2740" t="s">
        <v>31</v>
      </c>
      <c r="P293" s="2740" t="s">
        <v>31</v>
      </c>
      <c r="Q293" s="2736" t="s">
        <v>31</v>
      </c>
      <c r="R293" s="2740" t="s">
        <v>31</v>
      </c>
      <c r="S293" s="2734"/>
      <c r="T293" s="2734"/>
      <c r="U293" s="2740" t="s">
        <v>31</v>
      </c>
      <c r="V293" s="2740" t="s">
        <v>31</v>
      </c>
      <c r="W293" s="2740" t="s">
        <v>31</v>
      </c>
      <c r="X293" s="2734" t="s">
        <v>31</v>
      </c>
      <c r="Y293" s="2740" t="s">
        <v>31</v>
      </c>
      <c r="Z293" s="2734"/>
      <c r="AA293" s="2734"/>
      <c r="AB293" s="2734" t="s">
        <v>31</v>
      </c>
      <c r="AC293" s="2734" t="s">
        <v>31</v>
      </c>
      <c r="AD293" s="2735" t="s">
        <v>31</v>
      </c>
      <c r="AE293" s="2734" t="s">
        <v>31</v>
      </c>
      <c r="AF293" s="2735"/>
      <c r="AG293" s="3100"/>
      <c r="AH293" s="201"/>
      <c r="AI293" s="197"/>
    </row>
    <row r="294" spans="1:35" ht="21" customHeight="1" x14ac:dyDescent="0.2">
      <c r="A294" s="2974"/>
      <c r="B294" s="3283" t="s">
        <v>333</v>
      </c>
      <c r="C294" s="2734"/>
      <c r="D294" s="2734"/>
      <c r="E294" s="2734"/>
      <c r="F294" s="2735"/>
      <c r="G294" s="2734"/>
      <c r="H294" s="2734" t="s">
        <v>31</v>
      </c>
      <c r="I294" s="2734" t="s">
        <v>31</v>
      </c>
      <c r="J294" s="2734" t="s">
        <v>31</v>
      </c>
      <c r="K294" s="2734" t="s">
        <v>31</v>
      </c>
      <c r="L294" s="2734"/>
      <c r="M294" s="2734"/>
      <c r="N294" s="2740" t="s">
        <v>31</v>
      </c>
      <c r="O294" s="2740" t="s">
        <v>31</v>
      </c>
      <c r="P294" s="2740" t="s">
        <v>31</v>
      </c>
      <c r="Q294" s="2736" t="s">
        <v>31</v>
      </c>
      <c r="R294" s="2740" t="s">
        <v>31</v>
      </c>
      <c r="S294" s="2734"/>
      <c r="T294" s="2734"/>
      <c r="U294" s="2740" t="s">
        <v>31</v>
      </c>
      <c r="V294" s="2740" t="s">
        <v>31</v>
      </c>
      <c r="W294" s="2740" t="s">
        <v>31</v>
      </c>
      <c r="X294" s="2734" t="s">
        <v>31</v>
      </c>
      <c r="Y294" s="2740" t="s">
        <v>31</v>
      </c>
      <c r="Z294" s="2734"/>
      <c r="AA294" s="2734"/>
      <c r="AB294" s="2734" t="s">
        <v>31</v>
      </c>
      <c r="AC294" s="2734" t="s">
        <v>31</v>
      </c>
      <c r="AD294" s="2735" t="s">
        <v>31</v>
      </c>
      <c r="AE294" s="2734" t="s">
        <v>31</v>
      </c>
      <c r="AF294" s="2735"/>
      <c r="AG294" s="3100"/>
      <c r="AH294" s="201"/>
      <c r="AI294" s="197"/>
    </row>
    <row r="295" spans="1:35" ht="21" customHeight="1" x14ac:dyDescent="0.2">
      <c r="A295" s="2974"/>
      <c r="B295" s="3283" t="s">
        <v>334</v>
      </c>
      <c r="C295" s="2734"/>
      <c r="D295" s="2734"/>
      <c r="E295" s="2734"/>
      <c r="F295" s="2735"/>
      <c r="G295" s="2734"/>
      <c r="H295" s="2734" t="s">
        <v>31</v>
      </c>
      <c r="I295" s="2734" t="s">
        <v>31</v>
      </c>
      <c r="J295" s="2734" t="s">
        <v>31</v>
      </c>
      <c r="K295" s="2734" t="s">
        <v>31</v>
      </c>
      <c r="L295" s="2734"/>
      <c r="M295" s="2734"/>
      <c r="N295" s="2740" t="s">
        <v>31</v>
      </c>
      <c r="O295" s="2740" t="s">
        <v>31</v>
      </c>
      <c r="P295" s="2740" t="s">
        <v>31</v>
      </c>
      <c r="Q295" s="2736" t="s">
        <v>31</v>
      </c>
      <c r="R295" s="2740" t="s">
        <v>31</v>
      </c>
      <c r="S295" s="2734"/>
      <c r="T295" s="2734"/>
      <c r="U295" s="2740" t="s">
        <v>31</v>
      </c>
      <c r="V295" s="2740" t="s">
        <v>31</v>
      </c>
      <c r="W295" s="2740" t="s">
        <v>31</v>
      </c>
      <c r="X295" s="2734" t="s">
        <v>31</v>
      </c>
      <c r="Y295" s="2740" t="s">
        <v>31</v>
      </c>
      <c r="Z295" s="2734"/>
      <c r="AA295" s="2734"/>
      <c r="AB295" s="2734" t="s">
        <v>31</v>
      </c>
      <c r="AC295" s="2734" t="s">
        <v>31</v>
      </c>
      <c r="AD295" s="2735" t="s">
        <v>31</v>
      </c>
      <c r="AE295" s="2734" t="s">
        <v>31</v>
      </c>
      <c r="AF295" s="2735"/>
      <c r="AG295" s="3100"/>
      <c r="AH295" s="201"/>
      <c r="AI295" s="197"/>
    </row>
    <row r="296" spans="1:35" ht="21" customHeight="1" x14ac:dyDescent="0.2">
      <c r="A296" s="2974"/>
      <c r="B296" s="3271" t="s">
        <v>400</v>
      </c>
      <c r="C296" s="2734"/>
      <c r="D296" s="2734"/>
      <c r="E296" s="2734"/>
      <c r="F296" s="2735"/>
      <c r="G296" s="2734"/>
      <c r="H296" s="2734" t="s">
        <v>31</v>
      </c>
      <c r="I296" s="2734" t="s">
        <v>31</v>
      </c>
      <c r="J296" s="2734" t="s">
        <v>31</v>
      </c>
      <c r="K296" s="2734" t="s">
        <v>31</v>
      </c>
      <c r="L296" s="2734"/>
      <c r="M296" s="2734"/>
      <c r="N296" s="2740" t="s">
        <v>31</v>
      </c>
      <c r="O296" s="2740" t="s">
        <v>31</v>
      </c>
      <c r="P296" s="2740" t="s">
        <v>31</v>
      </c>
      <c r="Q296" s="2736" t="s">
        <v>31</v>
      </c>
      <c r="R296" s="2740" t="s">
        <v>31</v>
      </c>
      <c r="S296" s="2734"/>
      <c r="T296" s="2734"/>
      <c r="U296" s="2740" t="s">
        <v>31</v>
      </c>
      <c r="V296" s="2740" t="s">
        <v>31</v>
      </c>
      <c r="W296" s="2740" t="s">
        <v>31</v>
      </c>
      <c r="X296" s="2734" t="s">
        <v>31</v>
      </c>
      <c r="Y296" s="2740" t="s">
        <v>31</v>
      </c>
      <c r="Z296" s="2734"/>
      <c r="AA296" s="2734"/>
      <c r="AB296" s="2734" t="s">
        <v>31</v>
      </c>
      <c r="AC296" s="2734" t="s">
        <v>31</v>
      </c>
      <c r="AD296" s="2735" t="s">
        <v>31</v>
      </c>
      <c r="AE296" s="2734" t="s">
        <v>31</v>
      </c>
      <c r="AF296" s="2735"/>
      <c r="AG296" s="3100"/>
      <c r="AH296" s="201"/>
      <c r="AI296" s="197"/>
    </row>
    <row r="297" spans="1:35" ht="21" customHeight="1" x14ac:dyDescent="0.2">
      <c r="A297" s="2974"/>
      <c r="B297" s="3284" t="s">
        <v>335</v>
      </c>
      <c r="C297" s="2734"/>
      <c r="D297" s="2734"/>
      <c r="E297" s="2734"/>
      <c r="F297" s="2735"/>
      <c r="G297" s="2734"/>
      <c r="H297" s="2734" t="s">
        <v>31</v>
      </c>
      <c r="I297" s="2734" t="s">
        <v>31</v>
      </c>
      <c r="J297" s="2734" t="s">
        <v>31</v>
      </c>
      <c r="K297" s="2734" t="s">
        <v>31</v>
      </c>
      <c r="L297" s="2734"/>
      <c r="M297" s="2734"/>
      <c r="N297" s="2740" t="s">
        <v>31</v>
      </c>
      <c r="O297" s="2740" t="s">
        <v>31</v>
      </c>
      <c r="P297" s="2740" t="s">
        <v>31</v>
      </c>
      <c r="Q297" s="2736" t="s">
        <v>31</v>
      </c>
      <c r="R297" s="2740" t="s">
        <v>31</v>
      </c>
      <c r="S297" s="2734"/>
      <c r="T297" s="2734"/>
      <c r="U297" s="2740" t="s">
        <v>31</v>
      </c>
      <c r="V297" s="2740" t="s">
        <v>31</v>
      </c>
      <c r="W297" s="2740" t="s">
        <v>31</v>
      </c>
      <c r="X297" s="2734" t="s">
        <v>31</v>
      </c>
      <c r="Y297" s="2740" t="s">
        <v>31</v>
      </c>
      <c r="Z297" s="2734"/>
      <c r="AA297" s="2734"/>
      <c r="AB297" s="2734" t="s">
        <v>31</v>
      </c>
      <c r="AC297" s="2734" t="s">
        <v>31</v>
      </c>
      <c r="AD297" s="2735" t="s">
        <v>31</v>
      </c>
      <c r="AE297" s="2734" t="s">
        <v>31</v>
      </c>
      <c r="AF297" s="2735"/>
      <c r="AG297" s="3100"/>
      <c r="AH297" s="201"/>
      <c r="AI297" s="197"/>
    </row>
    <row r="298" spans="1:35" ht="21" customHeight="1" x14ac:dyDescent="0.2">
      <c r="A298" s="2974"/>
      <c r="B298" s="2766" t="s">
        <v>336</v>
      </c>
      <c r="C298" s="2734"/>
      <c r="D298" s="2734"/>
      <c r="E298" s="2734"/>
      <c r="F298" s="2735"/>
      <c r="G298" s="2734"/>
      <c r="H298" s="2734" t="s">
        <v>31</v>
      </c>
      <c r="I298" s="2734" t="s">
        <v>31</v>
      </c>
      <c r="J298" s="2734" t="s">
        <v>31</v>
      </c>
      <c r="K298" s="2734" t="s">
        <v>31</v>
      </c>
      <c r="L298" s="2734"/>
      <c r="M298" s="2734"/>
      <c r="N298" s="2740" t="s">
        <v>31</v>
      </c>
      <c r="O298" s="2740" t="s">
        <v>31</v>
      </c>
      <c r="P298" s="2740" t="s">
        <v>31</v>
      </c>
      <c r="Q298" s="2736" t="s">
        <v>31</v>
      </c>
      <c r="R298" s="2740" t="s">
        <v>31</v>
      </c>
      <c r="S298" s="2734"/>
      <c r="T298" s="2734"/>
      <c r="U298" s="2740" t="s">
        <v>31</v>
      </c>
      <c r="V298" s="2740" t="s">
        <v>31</v>
      </c>
      <c r="W298" s="2740" t="s">
        <v>31</v>
      </c>
      <c r="X298" s="2734" t="s">
        <v>31</v>
      </c>
      <c r="Y298" s="2740" t="s">
        <v>31</v>
      </c>
      <c r="Z298" s="2734"/>
      <c r="AA298" s="2734"/>
      <c r="AB298" s="2734" t="s">
        <v>31</v>
      </c>
      <c r="AC298" s="2734" t="s">
        <v>31</v>
      </c>
      <c r="AD298" s="2735" t="s">
        <v>31</v>
      </c>
      <c r="AE298" s="2734" t="s">
        <v>31</v>
      </c>
      <c r="AF298" s="2735"/>
      <c r="AG298" s="3100"/>
      <c r="AH298" s="201"/>
      <c r="AI298" s="197"/>
    </row>
    <row r="299" spans="1:35" ht="21" customHeight="1" x14ac:dyDescent="0.2">
      <c r="A299" s="2974"/>
      <c r="B299" s="3284"/>
      <c r="C299" s="2735"/>
      <c r="D299" s="2661"/>
      <c r="E299" s="2735"/>
      <c r="F299" s="2735"/>
      <c r="G299" s="2735"/>
      <c r="H299" s="2735"/>
      <c r="I299" s="2735"/>
      <c r="J299" s="2735"/>
      <c r="K299" s="2735"/>
      <c r="L299" s="2735"/>
      <c r="M299" s="2735"/>
      <c r="N299" s="2735"/>
      <c r="O299" s="2735"/>
      <c r="P299" s="2735"/>
      <c r="Q299" s="2735"/>
      <c r="R299" s="2735"/>
      <c r="S299" s="2735"/>
      <c r="T299" s="2735"/>
      <c r="U299" s="2735"/>
      <c r="V299" s="2735"/>
      <c r="W299" s="2735"/>
      <c r="X299" s="2735"/>
      <c r="Y299" s="2735"/>
      <c r="Z299" s="2735"/>
      <c r="AA299" s="2735"/>
      <c r="AB299" s="2735"/>
      <c r="AC299" s="2735"/>
      <c r="AD299" s="2735"/>
      <c r="AE299" s="2735"/>
      <c r="AF299" s="2735"/>
      <c r="AG299" s="3100"/>
      <c r="AH299" s="201"/>
      <c r="AI299" s="197"/>
    </row>
    <row r="300" spans="1:35" ht="21" customHeight="1" x14ac:dyDescent="0.2">
      <c r="A300" s="3109"/>
      <c r="B300" s="3284"/>
      <c r="C300" s="3100"/>
      <c r="D300" s="3100"/>
      <c r="E300" s="3100"/>
      <c r="F300" s="3100"/>
      <c r="G300" s="3100"/>
      <c r="H300" s="3100"/>
      <c r="I300" s="3100"/>
      <c r="J300" s="3100"/>
      <c r="K300" s="3100"/>
      <c r="L300" s="3100"/>
      <c r="M300" s="3100"/>
      <c r="N300" s="3059"/>
      <c r="O300" s="3059"/>
      <c r="P300" s="3100"/>
      <c r="Q300" s="3100"/>
      <c r="R300" s="3100"/>
      <c r="S300" s="3100"/>
      <c r="T300" s="3100"/>
      <c r="U300" s="3100"/>
      <c r="V300" s="3100"/>
      <c r="W300" s="3100"/>
      <c r="X300" s="3100"/>
      <c r="Y300" s="3100"/>
      <c r="Z300" s="3100"/>
      <c r="AA300" s="3100"/>
      <c r="AB300" s="3059"/>
      <c r="AC300" s="3059"/>
      <c r="AD300" s="3100"/>
      <c r="AE300" s="3100"/>
      <c r="AF300" s="3100"/>
      <c r="AG300" s="3100"/>
      <c r="AH300" s="201"/>
      <c r="AI300" s="199"/>
    </row>
    <row r="301" spans="1:35" ht="21" customHeight="1" thickBot="1" x14ac:dyDescent="0.25">
      <c r="A301" s="686"/>
      <c r="B301" s="687"/>
      <c r="C301" s="3276"/>
      <c r="D301" s="3277"/>
      <c r="E301" s="3277"/>
      <c r="F301" s="3277"/>
      <c r="G301" s="3277"/>
      <c r="H301" s="3277"/>
      <c r="I301" s="3277"/>
      <c r="J301" s="3277"/>
      <c r="K301" s="3277"/>
      <c r="L301" s="3277"/>
      <c r="M301" s="3277"/>
      <c r="N301" s="3278"/>
      <c r="O301" s="3278"/>
      <c r="P301" s="3277"/>
      <c r="Q301" s="3277"/>
      <c r="R301" s="3277"/>
      <c r="S301" s="3277"/>
      <c r="T301" s="3277"/>
      <c r="U301" s="3277"/>
      <c r="V301" s="3277"/>
      <c r="W301" s="3277"/>
      <c r="X301" s="3277"/>
      <c r="Y301" s="3277"/>
      <c r="Z301" s="3277"/>
      <c r="AA301" s="3277"/>
      <c r="AB301" s="3278"/>
      <c r="AC301" s="3278"/>
      <c r="AD301" s="3277"/>
      <c r="AE301" s="3277"/>
      <c r="AF301" s="3277"/>
      <c r="AG301" s="3277"/>
      <c r="AH301" s="201"/>
      <c r="AI301" s="199"/>
    </row>
  </sheetData>
  <protectedRanges>
    <protectedRange sqref="B226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5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" name="Område1_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90187-A501-4B22-80E4-7518D69C824E}">
  <sheetPr codeName="Ark18"/>
  <dimension ref="A1:D24"/>
  <sheetViews>
    <sheetView zoomScale="67" zoomScaleNormal="67" workbookViewId="0">
      <selection activeCell="F6" sqref="F6"/>
    </sheetView>
  </sheetViews>
  <sheetFormatPr defaultRowHeight="12" x14ac:dyDescent="0.2"/>
  <cols>
    <col min="1" max="1" width="92.140625" customWidth="1"/>
    <col min="2" max="2" width="17.28515625" customWidth="1"/>
    <col min="3" max="3" width="17" customWidth="1"/>
    <col min="4" max="4" width="15.7109375" customWidth="1"/>
  </cols>
  <sheetData>
    <row r="1" spans="1:4" ht="38.25" x14ac:dyDescent="0.4">
      <c r="A1" s="3285" t="s">
        <v>434</v>
      </c>
      <c r="B1" s="3286" t="s">
        <v>435</v>
      </c>
      <c r="C1" s="3287" t="s">
        <v>436</v>
      </c>
      <c r="D1" s="3288" t="s">
        <v>437</v>
      </c>
    </row>
    <row r="2" spans="1:4" ht="18" x14ac:dyDescent="0.25">
      <c r="A2" s="124" t="s">
        <v>438</v>
      </c>
      <c r="B2" s="3289">
        <v>350</v>
      </c>
      <c r="C2" s="3289">
        <v>350</v>
      </c>
      <c r="D2" s="3289">
        <v>350</v>
      </c>
    </row>
    <row r="3" spans="1:4" ht="48" customHeight="1" x14ac:dyDescent="0.25">
      <c r="A3" s="3290" t="s">
        <v>439</v>
      </c>
      <c r="B3" s="3289">
        <v>450</v>
      </c>
      <c r="C3" s="3291">
        <v>450</v>
      </c>
      <c r="D3" s="3292">
        <v>450</v>
      </c>
    </row>
    <row r="4" spans="1:4" ht="45" customHeight="1" x14ac:dyDescent="0.25">
      <c r="A4" s="3290" t="s">
        <v>440</v>
      </c>
      <c r="B4" s="3289">
        <v>600</v>
      </c>
      <c r="C4" s="3293">
        <v>600</v>
      </c>
      <c r="D4" s="3291">
        <v>600</v>
      </c>
    </row>
    <row r="5" spans="1:4" ht="45" customHeight="1" x14ac:dyDescent="0.25">
      <c r="A5" s="3290" t="s">
        <v>441</v>
      </c>
      <c r="B5" s="3289">
        <v>375</v>
      </c>
      <c r="C5" s="3294"/>
      <c r="D5" s="153"/>
    </row>
    <row r="6" spans="1:4" ht="45" customHeight="1" x14ac:dyDescent="0.25">
      <c r="A6" s="3290" t="s">
        <v>442</v>
      </c>
      <c r="B6" s="3289">
        <v>450</v>
      </c>
      <c r="C6" s="202"/>
    </row>
    <row r="7" spans="1:4" ht="48.75" customHeight="1" x14ac:dyDescent="0.25">
      <c r="A7" s="3295" t="s">
        <v>443</v>
      </c>
      <c r="B7" s="3296">
        <v>340</v>
      </c>
      <c r="C7" s="203"/>
    </row>
    <row r="8" spans="1:4" ht="58.5" customHeight="1" x14ac:dyDescent="0.25">
      <c r="A8" s="3297" t="s">
        <v>444</v>
      </c>
      <c r="B8" s="3296">
        <v>529485</v>
      </c>
      <c r="C8" s="203"/>
    </row>
    <row r="9" spans="1:4" ht="45" customHeight="1" x14ac:dyDescent="0.25">
      <c r="A9" s="3295" t="s">
        <v>445</v>
      </c>
      <c r="B9" s="3296">
        <v>450</v>
      </c>
    </row>
    <row r="10" spans="1:4" ht="45" customHeight="1" x14ac:dyDescent="0.25">
      <c r="A10" s="3290" t="s">
        <v>446</v>
      </c>
      <c r="B10" s="3289">
        <v>500</v>
      </c>
    </row>
    <row r="11" spans="1:4" ht="45" customHeight="1" x14ac:dyDescent="0.25">
      <c r="A11" s="3298" t="s">
        <v>447</v>
      </c>
      <c r="B11" s="3299">
        <v>220</v>
      </c>
    </row>
    <row r="12" spans="1:4" ht="45" customHeight="1" x14ac:dyDescent="0.25">
      <c r="A12" s="3300"/>
      <c r="B12" s="3289"/>
    </row>
    <row r="13" spans="1:4" ht="45" customHeight="1" x14ac:dyDescent="0.25">
      <c r="A13" s="3301" t="s">
        <v>448</v>
      </c>
      <c r="B13" s="3302">
        <v>255</v>
      </c>
    </row>
    <row r="14" spans="1:4" ht="45" customHeight="1" x14ac:dyDescent="0.25">
      <c r="A14" s="3303" t="s">
        <v>449</v>
      </c>
      <c r="B14" s="3304">
        <v>350</v>
      </c>
    </row>
    <row r="15" spans="1:4" ht="45" customHeight="1" x14ac:dyDescent="0.25">
      <c r="A15" s="3303" t="s">
        <v>450</v>
      </c>
      <c r="B15" s="3304">
        <v>0.6</v>
      </c>
    </row>
    <row r="16" spans="1:4" ht="45" customHeight="1" x14ac:dyDescent="0.25">
      <c r="A16" s="3303" t="s">
        <v>451</v>
      </c>
      <c r="B16" s="3302">
        <v>255</v>
      </c>
      <c r="C16" s="3305" t="s">
        <v>452</v>
      </c>
    </row>
    <row r="17" spans="1:3" ht="45" customHeight="1" x14ac:dyDescent="0.25">
      <c r="A17" s="3306" t="s">
        <v>453</v>
      </c>
      <c r="B17" s="3307">
        <v>127.5</v>
      </c>
      <c r="C17" s="3305" t="s">
        <v>454</v>
      </c>
    </row>
    <row r="18" spans="1:3" ht="45" customHeight="1" x14ac:dyDescent="0.25">
      <c r="A18" s="3308" t="s">
        <v>455</v>
      </c>
      <c r="B18" s="3309">
        <v>63.75</v>
      </c>
      <c r="C18" s="3310" t="s">
        <v>456</v>
      </c>
    </row>
    <row r="19" spans="1:3" ht="45" customHeight="1" x14ac:dyDescent="0.25">
      <c r="A19" s="3311" t="s">
        <v>457</v>
      </c>
      <c r="B19" s="3312">
        <v>350</v>
      </c>
    </row>
    <row r="20" spans="1:3" ht="45" customHeight="1" x14ac:dyDescent="0.25">
      <c r="A20" s="3313"/>
      <c r="B20" s="204"/>
    </row>
    <row r="21" spans="1:3" ht="45" customHeight="1" x14ac:dyDescent="0.25">
      <c r="A21" s="3314" t="s">
        <v>458</v>
      </c>
      <c r="B21" s="3315">
        <v>310</v>
      </c>
    </row>
    <row r="22" spans="1:3" ht="25.15" customHeight="1" x14ac:dyDescent="0.25">
      <c r="A22" s="3316" t="s">
        <v>459</v>
      </c>
      <c r="B22" s="3317">
        <v>100</v>
      </c>
    </row>
    <row r="23" spans="1:3" ht="30.6" customHeight="1" x14ac:dyDescent="0.25">
      <c r="A23" s="3316" t="s">
        <v>460</v>
      </c>
      <c r="B23" s="205">
        <v>20</v>
      </c>
    </row>
    <row r="24" spans="1:3" ht="46.9" customHeight="1" x14ac:dyDescent="0.25">
      <c r="A24" s="3316" t="s">
        <v>461</v>
      </c>
      <c r="B24" s="3318">
        <v>20</v>
      </c>
    </row>
  </sheetData>
  <pageMargins left="0" right="0" top="0.39374999999999999" bottom="0.19652777777777777" header="0.51180555555555551" footer="0.51180555555555551"/>
  <pageSetup paperSize="9" firstPageNumber="0" orientation="portrait" horizontalDpi="300" vertic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16"/>
  <dimension ref="A1:D24"/>
  <sheetViews>
    <sheetView zoomScale="67" zoomScaleNormal="67" workbookViewId="0">
      <selection activeCell="D10" sqref="D10"/>
    </sheetView>
  </sheetViews>
  <sheetFormatPr defaultRowHeight="12" x14ac:dyDescent="0.2"/>
  <cols>
    <col min="1" max="1" width="92.140625" customWidth="1"/>
    <col min="2" max="2" width="17.28515625" customWidth="1"/>
    <col min="3" max="3" width="17" customWidth="1"/>
    <col min="4" max="4" width="15.7109375" customWidth="1"/>
  </cols>
  <sheetData>
    <row r="1" spans="1:4" ht="38.25" x14ac:dyDescent="0.4">
      <c r="A1" s="3319" t="s">
        <v>462</v>
      </c>
      <c r="B1" s="3286" t="s">
        <v>435</v>
      </c>
      <c r="C1" s="3287" t="s">
        <v>436</v>
      </c>
      <c r="D1" s="3320" t="s">
        <v>437</v>
      </c>
    </row>
    <row r="2" spans="1:4" ht="18" x14ac:dyDescent="0.25">
      <c r="A2" s="124" t="s">
        <v>438</v>
      </c>
      <c r="B2" s="3321">
        <v>350</v>
      </c>
      <c r="C2" s="3321">
        <v>350</v>
      </c>
      <c r="D2" s="3321">
        <v>350</v>
      </c>
    </row>
    <row r="3" spans="1:4" ht="48" customHeight="1" x14ac:dyDescent="0.25">
      <c r="A3" s="3322" t="s">
        <v>439</v>
      </c>
      <c r="B3" s="3321">
        <v>450</v>
      </c>
      <c r="C3" s="3291">
        <v>450</v>
      </c>
      <c r="D3" s="3292">
        <v>450</v>
      </c>
    </row>
    <row r="4" spans="1:4" ht="45" customHeight="1" x14ac:dyDescent="0.25">
      <c r="A4" s="3322" t="s">
        <v>440</v>
      </c>
      <c r="B4" s="3321">
        <v>600</v>
      </c>
      <c r="C4" s="3323">
        <v>600</v>
      </c>
      <c r="D4" s="3291">
        <v>600</v>
      </c>
    </row>
    <row r="5" spans="1:4" ht="45" customHeight="1" x14ac:dyDescent="0.25">
      <c r="A5" s="3322" t="s">
        <v>441</v>
      </c>
      <c r="B5" s="3321">
        <v>375</v>
      </c>
      <c r="C5" s="3324"/>
      <c r="D5" s="153"/>
    </row>
    <row r="6" spans="1:4" ht="45" customHeight="1" x14ac:dyDescent="0.25">
      <c r="A6" s="3322" t="s">
        <v>442</v>
      </c>
      <c r="B6" s="3321">
        <v>450</v>
      </c>
      <c r="C6" s="202"/>
    </row>
    <row r="7" spans="1:4" ht="48.75" customHeight="1" x14ac:dyDescent="0.25">
      <c r="A7" s="3325" t="s">
        <v>443</v>
      </c>
      <c r="B7" s="3326">
        <v>340</v>
      </c>
      <c r="C7" s="203"/>
    </row>
    <row r="8" spans="1:4" ht="58.5" customHeight="1" x14ac:dyDescent="0.25">
      <c r="A8" s="3327" t="s">
        <v>444</v>
      </c>
      <c r="B8" s="3326">
        <v>521918</v>
      </c>
      <c r="C8" s="203"/>
    </row>
    <row r="9" spans="1:4" ht="45" customHeight="1" x14ac:dyDescent="0.25">
      <c r="A9" s="3325" t="s">
        <v>445</v>
      </c>
      <c r="B9" s="3326">
        <v>450</v>
      </c>
    </row>
    <row r="10" spans="1:4" ht="45" customHeight="1" x14ac:dyDescent="0.25">
      <c r="A10" s="3322" t="s">
        <v>446</v>
      </c>
      <c r="B10" s="3321">
        <v>500</v>
      </c>
    </row>
    <row r="11" spans="1:4" ht="45" customHeight="1" x14ac:dyDescent="0.25">
      <c r="A11" s="3328" t="s">
        <v>447</v>
      </c>
      <c r="B11" s="3329">
        <v>220</v>
      </c>
    </row>
    <row r="12" spans="1:4" ht="45" customHeight="1" x14ac:dyDescent="0.25">
      <c r="A12" s="3330"/>
      <c r="B12" s="3321"/>
    </row>
    <row r="13" spans="1:4" ht="45" customHeight="1" x14ac:dyDescent="0.25">
      <c r="A13" s="3331" t="s">
        <v>448</v>
      </c>
      <c r="B13" s="3302">
        <v>255</v>
      </c>
    </row>
    <row r="14" spans="1:4" ht="45" customHeight="1" x14ac:dyDescent="0.25">
      <c r="A14" s="3332" t="s">
        <v>449</v>
      </c>
      <c r="B14" s="3304">
        <v>350</v>
      </c>
    </row>
    <row r="15" spans="1:4" ht="45" customHeight="1" x14ac:dyDescent="0.25">
      <c r="A15" s="3332" t="s">
        <v>450</v>
      </c>
      <c r="B15" s="3304">
        <v>0.6</v>
      </c>
    </row>
    <row r="16" spans="1:4" ht="45" customHeight="1" x14ac:dyDescent="0.25">
      <c r="A16" s="3332" t="s">
        <v>451</v>
      </c>
      <c r="B16" s="3302">
        <v>255</v>
      </c>
      <c r="C16" s="3305" t="s">
        <v>452</v>
      </c>
    </row>
    <row r="17" spans="1:3" ht="45" customHeight="1" x14ac:dyDescent="0.25">
      <c r="A17" s="3333" t="s">
        <v>453</v>
      </c>
      <c r="B17" s="3307">
        <v>127.5</v>
      </c>
      <c r="C17" s="3305" t="s">
        <v>454</v>
      </c>
    </row>
    <row r="18" spans="1:3" ht="45" customHeight="1" x14ac:dyDescent="0.25">
      <c r="A18" s="3334" t="s">
        <v>455</v>
      </c>
      <c r="B18" s="3335">
        <v>63.75</v>
      </c>
      <c r="C18" s="3336" t="s">
        <v>456</v>
      </c>
    </row>
    <row r="19" spans="1:3" ht="45" customHeight="1" x14ac:dyDescent="0.25">
      <c r="A19" s="3337" t="s">
        <v>457</v>
      </c>
      <c r="B19" s="3338">
        <v>350</v>
      </c>
    </row>
    <row r="20" spans="1:3" ht="45" customHeight="1" x14ac:dyDescent="0.25">
      <c r="A20" s="3339"/>
      <c r="B20" s="204"/>
    </row>
    <row r="21" spans="1:3" ht="45" customHeight="1" x14ac:dyDescent="0.25">
      <c r="A21" s="3340" t="s">
        <v>458</v>
      </c>
      <c r="B21" s="3341">
        <v>310</v>
      </c>
    </row>
    <row r="22" spans="1:3" ht="25.15" customHeight="1" x14ac:dyDescent="0.25">
      <c r="A22" s="3342" t="s">
        <v>459</v>
      </c>
      <c r="B22" s="3317">
        <v>100</v>
      </c>
    </row>
    <row r="23" spans="1:3" ht="30.6" customHeight="1" x14ac:dyDescent="0.25">
      <c r="A23" s="3342" t="s">
        <v>460</v>
      </c>
      <c r="B23" s="205">
        <v>20</v>
      </c>
    </row>
    <row r="24" spans="1:3" ht="46.9" customHeight="1" x14ac:dyDescent="0.25">
      <c r="A24" s="3342" t="s">
        <v>461</v>
      </c>
      <c r="B24" s="3343">
        <v>20</v>
      </c>
    </row>
  </sheetData>
  <phoneticPr fontId="7" type="noConversion"/>
  <pageMargins left="0" right="0" top="0.39374999999999999" bottom="0.19652777777777777" header="0.51180555555555551" footer="0.51180555555555551"/>
  <pageSetup paperSize="9" firstPageNumber="0" orientation="portrait" horizontalDpi="300" verticalDpi="3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7"/>
  <dimension ref="A1:O80"/>
  <sheetViews>
    <sheetView zoomScale="67" zoomScaleNormal="67" workbookViewId="0">
      <selection activeCell="L26" sqref="L26"/>
    </sheetView>
  </sheetViews>
  <sheetFormatPr defaultRowHeight="12" x14ac:dyDescent="0.2"/>
  <cols>
    <col min="1" max="1" width="46.5703125" bestFit="1" customWidth="1"/>
    <col min="2" max="2" width="35.85546875" bestFit="1" customWidth="1"/>
    <col min="3" max="3" width="13.5703125" customWidth="1"/>
    <col min="4" max="4" width="8.140625" customWidth="1"/>
    <col min="5" max="5" width="38.85546875" bestFit="1" customWidth="1"/>
    <col min="6" max="6" width="42.42578125" customWidth="1"/>
    <col min="7" max="7" width="12.85546875" style="125" customWidth="1"/>
    <col min="8" max="8" width="2.7109375" customWidth="1"/>
    <col min="9" max="9" width="22.85546875" customWidth="1"/>
    <col min="10" max="10" width="27" customWidth="1"/>
    <col min="11" max="11" width="11.42578125" customWidth="1"/>
    <col min="14" max="15" width="38.85546875" bestFit="1" customWidth="1"/>
  </cols>
  <sheetData>
    <row r="1" spans="1:15" ht="20.25" x14ac:dyDescent="0.2">
      <c r="F1" s="126" t="s">
        <v>463</v>
      </c>
    </row>
    <row r="2" spans="1:15" ht="16.149999999999999" customHeight="1" x14ac:dyDescent="0.2">
      <c r="A2" s="114" t="s">
        <v>464</v>
      </c>
      <c r="B2" s="142"/>
      <c r="C2" s="142"/>
      <c r="D2" s="142"/>
      <c r="E2" s="114" t="s">
        <v>465</v>
      </c>
      <c r="F2" s="142"/>
      <c r="G2" s="143"/>
      <c r="H2" s="142"/>
      <c r="I2" s="114" t="s">
        <v>466</v>
      </c>
      <c r="J2" s="142"/>
    </row>
    <row r="3" spans="1:15" ht="15" customHeight="1" thickBot="1" x14ac:dyDescent="0.25">
      <c r="A3" s="3344" t="s">
        <v>467</v>
      </c>
      <c r="B3" s="3344" t="s">
        <v>468</v>
      </c>
      <c r="C3" s="3344" t="s">
        <v>469</v>
      </c>
      <c r="D3" s="142"/>
      <c r="E3" s="3345" t="s">
        <v>467</v>
      </c>
      <c r="F3" s="3345" t="s">
        <v>468</v>
      </c>
      <c r="G3" s="3346" t="s">
        <v>469</v>
      </c>
      <c r="H3" s="142"/>
      <c r="I3" s="3345" t="s">
        <v>467</v>
      </c>
      <c r="J3" s="3345" t="s">
        <v>468</v>
      </c>
      <c r="K3" s="3347" t="s">
        <v>469</v>
      </c>
      <c r="N3" s="3348"/>
      <c r="O3" s="3349"/>
    </row>
    <row r="4" spans="1:15" ht="15" customHeight="1" x14ac:dyDescent="0.2">
      <c r="A4" s="3348" t="s">
        <v>470</v>
      </c>
      <c r="B4" s="3350" t="s">
        <v>471</v>
      </c>
      <c r="C4" s="3351"/>
      <c r="D4" s="142"/>
      <c r="E4" s="246" t="s">
        <v>471</v>
      </c>
      <c r="F4" s="567" t="s">
        <v>74</v>
      </c>
      <c r="G4" s="3351"/>
      <c r="H4" s="142"/>
      <c r="I4" s="246"/>
      <c r="J4" s="3349"/>
      <c r="K4" s="562"/>
      <c r="N4" s="3352"/>
      <c r="O4" s="3353"/>
    </row>
    <row r="5" spans="1:15" ht="15" customHeight="1" x14ac:dyDescent="0.2">
      <c r="A5" s="3352"/>
      <c r="B5" s="3350" t="s">
        <v>472</v>
      </c>
      <c r="C5" s="3351"/>
      <c r="D5" s="142"/>
      <c r="E5" s="3354"/>
      <c r="F5" s="3355" t="s">
        <v>75</v>
      </c>
      <c r="G5" s="3351"/>
      <c r="H5" s="142"/>
      <c r="I5" s="3354"/>
      <c r="J5" s="3349"/>
      <c r="K5" s="3356"/>
      <c r="N5" s="3352"/>
      <c r="O5" s="3353"/>
    </row>
    <row r="6" spans="1:15" ht="15" customHeight="1" thickBot="1" x14ac:dyDescent="0.25">
      <c r="A6" s="3352"/>
      <c r="B6" s="3350" t="s">
        <v>473</v>
      </c>
      <c r="C6" s="3351"/>
      <c r="D6" s="142"/>
      <c r="E6" s="3357"/>
      <c r="F6" s="3358" t="s">
        <v>474</v>
      </c>
      <c r="G6" s="147"/>
      <c r="H6" s="142"/>
      <c r="I6" s="3357"/>
      <c r="J6" s="159"/>
      <c r="K6" s="3359"/>
      <c r="N6" s="3352"/>
      <c r="O6" s="3353"/>
    </row>
    <row r="7" spans="1:15" ht="15" customHeight="1" x14ac:dyDescent="0.2">
      <c r="A7" s="3352"/>
      <c r="B7" s="3350" t="s">
        <v>475</v>
      </c>
      <c r="C7" s="3351" t="s">
        <v>476</v>
      </c>
      <c r="D7" s="142"/>
      <c r="E7" s="3354"/>
      <c r="F7" s="3360" t="s">
        <v>477</v>
      </c>
      <c r="G7" s="3361"/>
      <c r="H7" s="142"/>
      <c r="I7" s="246"/>
      <c r="J7" s="307"/>
      <c r="K7" s="562"/>
      <c r="N7" s="3348"/>
      <c r="O7" s="3362"/>
    </row>
    <row r="8" spans="1:15" ht="15" customHeight="1" x14ac:dyDescent="0.2">
      <c r="A8" s="3352"/>
      <c r="B8" s="3350" t="s">
        <v>478</v>
      </c>
      <c r="C8" s="3351"/>
      <c r="D8" s="142"/>
      <c r="E8" s="3357"/>
      <c r="F8" s="3363" t="s">
        <v>123</v>
      </c>
      <c r="G8" s="3364"/>
      <c r="H8" s="142"/>
      <c r="I8" s="145"/>
      <c r="J8" s="3365"/>
      <c r="K8" s="15"/>
      <c r="N8" s="3348"/>
      <c r="O8" s="3366"/>
    </row>
    <row r="9" spans="1:15" ht="15" customHeight="1" x14ac:dyDescent="0.2">
      <c r="A9" s="3352"/>
      <c r="B9" s="3350" t="s">
        <v>479</v>
      </c>
      <c r="C9" s="3351"/>
      <c r="D9" s="142"/>
      <c r="E9" s="3352"/>
      <c r="F9" s="3367"/>
      <c r="G9" s="3368"/>
      <c r="H9" s="142"/>
      <c r="I9" s="145"/>
      <c r="J9" s="3365"/>
      <c r="K9" s="15"/>
      <c r="N9" s="3352"/>
      <c r="O9" s="3353"/>
    </row>
    <row r="10" spans="1:15" ht="15" customHeight="1" x14ac:dyDescent="0.2">
      <c r="A10" s="3352"/>
      <c r="B10" s="3350" t="s">
        <v>480</v>
      </c>
      <c r="C10" s="3351"/>
      <c r="D10" s="142"/>
      <c r="E10" s="154" t="s">
        <v>478</v>
      </c>
      <c r="F10" s="239" t="s">
        <v>65</v>
      </c>
      <c r="G10" s="3351"/>
      <c r="H10" s="142"/>
      <c r="I10" s="3354"/>
      <c r="J10" s="3369"/>
      <c r="K10" s="3356"/>
      <c r="N10" s="3352"/>
      <c r="O10" s="3353"/>
    </row>
    <row r="11" spans="1:15" ht="15" customHeight="1" x14ac:dyDescent="0.2">
      <c r="A11" s="3352"/>
      <c r="B11" s="3350" t="s">
        <v>481</v>
      </c>
      <c r="C11" s="3351"/>
      <c r="D11" s="142"/>
      <c r="E11" s="3354"/>
      <c r="F11" s="3367" t="s">
        <v>180</v>
      </c>
      <c r="G11" s="3351"/>
      <c r="H11" s="142"/>
      <c r="I11" s="3357"/>
      <c r="J11" s="3349"/>
      <c r="K11" s="3359"/>
      <c r="N11" s="3348"/>
      <c r="O11" s="3353"/>
    </row>
    <row r="12" spans="1:15" ht="15" customHeight="1" thickBot="1" x14ac:dyDescent="0.25">
      <c r="A12" s="3352"/>
      <c r="B12" s="3350" t="s">
        <v>202</v>
      </c>
      <c r="C12" s="3351"/>
      <c r="D12" s="142"/>
      <c r="E12" s="3357"/>
      <c r="F12" s="3363" t="s">
        <v>72</v>
      </c>
      <c r="G12" s="147"/>
      <c r="H12" s="142"/>
      <c r="I12" s="144"/>
      <c r="J12" s="3370"/>
      <c r="K12" s="3371"/>
      <c r="N12" s="3352"/>
      <c r="O12" s="3350"/>
    </row>
    <row r="13" spans="1:15" ht="15" customHeight="1" x14ac:dyDescent="0.25">
      <c r="A13" s="3352"/>
      <c r="B13" s="3350" t="s">
        <v>482</v>
      </c>
      <c r="C13" s="3372"/>
      <c r="D13" s="142"/>
      <c r="E13" s="3354"/>
      <c r="F13" s="3367" t="s">
        <v>114</v>
      </c>
      <c r="G13" s="3361"/>
      <c r="H13" s="142"/>
      <c r="I13" s="247"/>
      <c r="J13" s="160"/>
      <c r="K13" s="562"/>
      <c r="N13" s="3352"/>
      <c r="O13" s="3373"/>
    </row>
    <row r="14" spans="1:15" ht="15" customHeight="1" x14ac:dyDescent="0.2">
      <c r="A14" s="142"/>
      <c r="B14" s="3350"/>
      <c r="C14" s="142"/>
      <c r="D14" s="142"/>
      <c r="E14" s="3357"/>
      <c r="F14" s="3374" t="s">
        <v>124</v>
      </c>
      <c r="G14" s="3364"/>
      <c r="H14" s="142"/>
      <c r="I14" s="3354"/>
      <c r="J14" s="3349"/>
      <c r="K14" s="3356"/>
      <c r="N14" s="3348"/>
      <c r="O14" s="3350"/>
    </row>
    <row r="15" spans="1:15" ht="15" customHeight="1" x14ac:dyDescent="0.2">
      <c r="A15" s="142"/>
      <c r="B15" s="142"/>
      <c r="C15" s="142"/>
      <c r="D15" s="142"/>
      <c r="E15" s="3352"/>
      <c r="F15" s="3367"/>
      <c r="G15" s="3368"/>
      <c r="H15" s="142"/>
      <c r="I15" s="3354"/>
      <c r="J15" s="159"/>
      <c r="K15" s="3356"/>
      <c r="N15" s="3348"/>
      <c r="O15" s="3349"/>
    </row>
    <row r="16" spans="1:15" ht="15" customHeight="1" x14ac:dyDescent="0.2">
      <c r="A16" s="114" t="s">
        <v>483</v>
      </c>
      <c r="B16" s="142"/>
      <c r="C16" s="142"/>
      <c r="D16" s="142"/>
      <c r="E16" s="3348"/>
      <c r="F16" s="3349"/>
      <c r="G16" s="3351"/>
      <c r="H16" s="142"/>
      <c r="I16" s="3354"/>
      <c r="J16" s="161"/>
      <c r="K16" s="3356"/>
      <c r="N16" s="3348"/>
      <c r="O16" s="3350"/>
    </row>
    <row r="17" spans="1:15" ht="15" customHeight="1" thickBot="1" x14ac:dyDescent="0.25">
      <c r="A17" s="3344" t="s">
        <v>467</v>
      </c>
      <c r="B17" s="3344" t="s">
        <v>468</v>
      </c>
      <c r="C17" s="3344" t="s">
        <v>469</v>
      </c>
      <c r="D17" s="142"/>
      <c r="E17" s="3348" t="s">
        <v>475</v>
      </c>
      <c r="F17" s="3375" t="s">
        <v>77</v>
      </c>
      <c r="G17" s="3376"/>
      <c r="H17" s="142"/>
      <c r="I17" s="144"/>
      <c r="J17" s="750"/>
      <c r="K17" s="3371"/>
      <c r="N17" s="3348"/>
      <c r="O17" s="3353"/>
    </row>
    <row r="18" spans="1:15" ht="15" customHeight="1" x14ac:dyDescent="0.2">
      <c r="A18" s="3348" t="s">
        <v>279</v>
      </c>
      <c r="B18" s="3350" t="s">
        <v>280</v>
      </c>
      <c r="C18" s="3351"/>
      <c r="D18" s="142"/>
      <c r="E18" s="3352"/>
      <c r="F18" s="3377" t="s">
        <v>111</v>
      </c>
      <c r="G18" s="3351"/>
      <c r="H18" s="142"/>
      <c r="I18" s="142"/>
      <c r="J18" s="142"/>
      <c r="N18" s="3348"/>
      <c r="O18" s="3353"/>
    </row>
    <row r="19" spans="1:15" ht="15" customHeight="1" x14ac:dyDescent="0.2">
      <c r="A19" s="3352"/>
      <c r="B19" s="3350" t="s">
        <v>281</v>
      </c>
      <c r="C19" s="3351"/>
      <c r="D19" s="142"/>
      <c r="E19" s="3352"/>
      <c r="F19" s="3353" t="s">
        <v>79</v>
      </c>
      <c r="G19" s="3351"/>
      <c r="H19" s="142"/>
      <c r="I19" s="114"/>
      <c r="J19" s="142"/>
      <c r="N19" s="3352"/>
      <c r="O19" s="3360"/>
    </row>
    <row r="20" spans="1:15" ht="15" customHeight="1" x14ac:dyDescent="0.2">
      <c r="A20" s="3352"/>
      <c r="B20" s="3350" t="s">
        <v>484</v>
      </c>
      <c r="C20" s="3351"/>
      <c r="D20" s="142"/>
      <c r="E20" s="3348"/>
      <c r="F20" s="3367" t="s">
        <v>485</v>
      </c>
      <c r="G20" s="3351"/>
      <c r="H20" s="142"/>
      <c r="I20" s="114"/>
      <c r="J20" s="142"/>
      <c r="N20" s="3352"/>
      <c r="O20" s="3353"/>
    </row>
    <row r="21" spans="1:15" ht="15" customHeight="1" x14ac:dyDescent="0.25">
      <c r="A21" s="3352"/>
      <c r="B21" s="3373" t="s">
        <v>283</v>
      </c>
      <c r="C21" s="3351"/>
      <c r="D21" s="142"/>
      <c r="E21" s="3378"/>
      <c r="F21" s="3379" t="s">
        <v>127</v>
      </c>
      <c r="G21" s="3351"/>
      <c r="H21" s="142"/>
      <c r="I21" s="3345" t="s">
        <v>467</v>
      </c>
      <c r="J21" s="3345" t="s">
        <v>468</v>
      </c>
      <c r="K21" s="3347" t="s">
        <v>469</v>
      </c>
      <c r="N21" s="3351"/>
      <c r="O21" s="3360"/>
    </row>
    <row r="22" spans="1:15" ht="15" customHeight="1" x14ac:dyDescent="0.25">
      <c r="A22" s="3352"/>
      <c r="B22" s="3373" t="s">
        <v>284</v>
      </c>
      <c r="C22" s="3351"/>
      <c r="D22" s="142"/>
      <c r="E22" s="3348"/>
      <c r="F22" s="3350"/>
      <c r="G22" s="3351"/>
      <c r="H22" s="142"/>
      <c r="I22" s="3348" t="s">
        <v>486</v>
      </c>
      <c r="J22" s="3349" t="s">
        <v>470</v>
      </c>
      <c r="K22" s="3380"/>
      <c r="N22" s="3350"/>
      <c r="O22" s="3353"/>
    </row>
    <row r="23" spans="1:15" ht="15" customHeight="1" x14ac:dyDescent="0.25">
      <c r="A23" s="3352"/>
      <c r="B23" s="3373" t="s">
        <v>285</v>
      </c>
      <c r="C23" s="3351"/>
      <c r="D23" s="142"/>
      <c r="E23" s="154" t="s">
        <v>473</v>
      </c>
      <c r="F23" s="3350" t="s">
        <v>86</v>
      </c>
      <c r="G23" s="3351" t="s">
        <v>487</v>
      </c>
      <c r="H23" s="142"/>
      <c r="I23" s="3352"/>
      <c r="J23" s="3349" t="s">
        <v>279</v>
      </c>
      <c r="K23" s="3380"/>
      <c r="N23" s="3352"/>
      <c r="O23" s="3350"/>
    </row>
    <row r="24" spans="1:15" ht="15" customHeight="1" x14ac:dyDescent="0.25">
      <c r="A24" s="3352"/>
      <c r="B24" s="3373" t="s">
        <v>488</v>
      </c>
      <c r="C24" s="3351"/>
      <c r="D24" s="142"/>
      <c r="E24" s="3352"/>
      <c r="F24" s="3373" t="s">
        <v>489</v>
      </c>
      <c r="G24" s="3351" t="s">
        <v>487</v>
      </c>
      <c r="H24" s="142"/>
      <c r="I24" s="3352"/>
      <c r="J24" s="3349"/>
      <c r="K24" s="3380"/>
      <c r="N24" s="3352"/>
      <c r="O24" s="3381"/>
    </row>
    <row r="25" spans="1:15" ht="15" customHeight="1" x14ac:dyDescent="0.25">
      <c r="A25" s="3352"/>
      <c r="B25" s="3373" t="s">
        <v>490</v>
      </c>
      <c r="C25" s="3351"/>
      <c r="D25" s="142"/>
      <c r="E25" s="3348"/>
      <c r="F25" s="3350" t="s">
        <v>88</v>
      </c>
      <c r="G25" s="3351" t="s">
        <v>487</v>
      </c>
      <c r="H25" s="142"/>
      <c r="I25" s="3352"/>
      <c r="J25" s="3369"/>
      <c r="K25" s="3380"/>
      <c r="N25" s="3352"/>
      <c r="O25" s="3350"/>
    </row>
    <row r="26" spans="1:15" ht="15" customHeight="1" x14ac:dyDescent="0.25">
      <c r="A26" s="3352"/>
      <c r="B26" s="3373" t="s">
        <v>292</v>
      </c>
      <c r="C26" s="3351"/>
      <c r="D26" s="142"/>
      <c r="E26" s="3352"/>
      <c r="F26" s="3350" t="s">
        <v>111</v>
      </c>
      <c r="G26" s="3351"/>
      <c r="H26" s="142"/>
      <c r="I26" s="3352"/>
      <c r="J26" s="3349"/>
      <c r="K26" s="3380"/>
      <c r="N26" s="3352"/>
      <c r="O26" s="3350"/>
    </row>
    <row r="27" spans="1:15" ht="15" customHeight="1" x14ac:dyDescent="0.25">
      <c r="A27" s="3352"/>
      <c r="B27" s="3382" t="s">
        <v>290</v>
      </c>
      <c r="C27" s="3351"/>
      <c r="D27" s="142"/>
      <c r="E27" s="3352"/>
      <c r="F27" s="3373"/>
      <c r="G27" s="3351"/>
      <c r="H27" s="142"/>
      <c r="I27" s="3352"/>
      <c r="J27" s="3349"/>
      <c r="K27" s="3380"/>
      <c r="N27" s="3352"/>
      <c r="O27" s="3350"/>
    </row>
    <row r="28" spans="1:15" ht="15" customHeight="1" thickBot="1" x14ac:dyDescent="0.25">
      <c r="A28" s="3352"/>
      <c r="B28" s="752" t="s">
        <v>491</v>
      </c>
      <c r="C28" s="3351"/>
      <c r="D28" s="142"/>
      <c r="E28" s="3383" t="s">
        <v>472</v>
      </c>
      <c r="F28" s="3350" t="s">
        <v>113</v>
      </c>
      <c r="G28" s="3351"/>
      <c r="H28" s="142"/>
      <c r="I28" s="3352"/>
      <c r="J28" s="3349"/>
      <c r="K28" s="3380"/>
      <c r="N28" s="3380"/>
      <c r="O28" s="3350"/>
    </row>
    <row r="29" spans="1:15" ht="15" customHeight="1" x14ac:dyDescent="0.2">
      <c r="A29" s="3352"/>
      <c r="B29" s="3367" t="s">
        <v>492</v>
      </c>
      <c r="C29" s="3351"/>
      <c r="D29" s="142"/>
      <c r="E29" s="3348"/>
      <c r="F29" s="3353" t="s">
        <v>84</v>
      </c>
      <c r="G29" s="3351"/>
      <c r="H29" s="142"/>
      <c r="I29" s="3352"/>
      <c r="J29" s="2811" t="s">
        <v>372</v>
      </c>
      <c r="K29" s="3380"/>
      <c r="N29" s="3380"/>
      <c r="O29" s="3384"/>
    </row>
    <row r="30" spans="1:15" ht="15" customHeight="1" x14ac:dyDescent="0.2">
      <c r="A30" s="3352"/>
      <c r="B30" s="3385" t="s">
        <v>296</v>
      </c>
      <c r="C30" s="3351"/>
      <c r="D30" s="142"/>
      <c r="E30" s="3348"/>
      <c r="F30" s="3353" t="s">
        <v>85</v>
      </c>
      <c r="G30" s="3351"/>
      <c r="H30" s="142"/>
      <c r="I30" s="3352"/>
      <c r="J30" s="2733" t="s">
        <v>124</v>
      </c>
      <c r="K30" s="3380"/>
      <c r="N30" s="3348"/>
      <c r="O30" s="3380"/>
    </row>
    <row r="31" spans="1:15" ht="15" customHeight="1" thickBot="1" x14ac:dyDescent="0.25">
      <c r="A31" s="3352"/>
      <c r="B31" s="3367" t="s">
        <v>493</v>
      </c>
      <c r="C31" s="3351"/>
      <c r="D31" s="142"/>
      <c r="E31" s="3348"/>
      <c r="F31" s="3386" t="s">
        <v>122</v>
      </c>
      <c r="G31" s="3351"/>
      <c r="H31" s="142"/>
      <c r="I31" s="3352"/>
      <c r="J31" s="2733" t="s">
        <v>122</v>
      </c>
      <c r="K31" s="3380"/>
      <c r="N31" s="3352"/>
      <c r="O31" s="3384"/>
    </row>
    <row r="32" spans="1:15" ht="15" customHeight="1" x14ac:dyDescent="0.2">
      <c r="A32" s="3352"/>
      <c r="B32" s="3367" t="s">
        <v>293</v>
      </c>
      <c r="C32" s="3351"/>
      <c r="D32" s="142"/>
      <c r="E32" s="3348"/>
      <c r="F32" s="3387"/>
      <c r="G32" s="3351"/>
      <c r="H32" s="142"/>
      <c r="I32" s="3352"/>
      <c r="J32" s="379" t="s">
        <v>123</v>
      </c>
      <c r="K32" s="3380"/>
      <c r="N32" s="3352"/>
      <c r="O32" s="3350"/>
    </row>
    <row r="33" spans="1:15" ht="15" customHeight="1" x14ac:dyDescent="0.2">
      <c r="A33" s="3348"/>
      <c r="B33" s="3367"/>
      <c r="C33" s="3361"/>
      <c r="D33" s="142"/>
      <c r="E33" s="3383" t="s">
        <v>479</v>
      </c>
      <c r="F33" s="3360" t="s">
        <v>178</v>
      </c>
      <c r="G33" s="3351" t="s">
        <v>494</v>
      </c>
      <c r="H33" s="142"/>
      <c r="I33" s="3352"/>
      <c r="J33" s="2811" t="s">
        <v>127</v>
      </c>
      <c r="K33" s="3380"/>
      <c r="N33" s="3352"/>
      <c r="O33" s="3360"/>
    </row>
    <row r="34" spans="1:15" ht="15" customHeight="1" x14ac:dyDescent="0.2">
      <c r="A34" s="3388"/>
      <c r="B34" s="3389"/>
      <c r="C34" s="3364"/>
      <c r="D34" s="142"/>
      <c r="E34" s="3352" t="s">
        <v>495</v>
      </c>
      <c r="F34" s="3353" t="s">
        <v>496</v>
      </c>
      <c r="G34" s="3351" t="s">
        <v>494</v>
      </c>
      <c r="H34" s="142"/>
      <c r="I34" s="3352"/>
      <c r="J34" s="3390" t="s">
        <v>348</v>
      </c>
      <c r="K34" s="3380"/>
      <c r="N34" s="3352"/>
      <c r="O34" s="3360"/>
    </row>
    <row r="35" spans="1:15" ht="15" customHeight="1" x14ac:dyDescent="0.2">
      <c r="A35" s="114"/>
      <c r="B35" s="3349"/>
      <c r="C35" s="142"/>
      <c r="D35" s="142"/>
      <c r="E35" s="3351"/>
      <c r="F35" s="3360"/>
      <c r="G35" s="3351"/>
      <c r="H35" s="142"/>
      <c r="I35" s="3352"/>
      <c r="J35" s="3349"/>
      <c r="K35" s="3380"/>
      <c r="N35" s="3352"/>
      <c r="O35" s="3360"/>
    </row>
    <row r="36" spans="1:15" ht="15" customHeight="1" x14ac:dyDescent="0.2">
      <c r="A36" s="3391"/>
      <c r="B36" s="171"/>
      <c r="C36" s="3391"/>
      <c r="D36" s="142"/>
      <c r="E36" s="3350"/>
      <c r="F36" s="3360" t="s">
        <v>182</v>
      </c>
      <c r="G36" s="3351" t="s">
        <v>494</v>
      </c>
      <c r="H36" s="142"/>
      <c r="I36" s="146"/>
      <c r="J36" s="142"/>
      <c r="N36" s="3380"/>
      <c r="O36" s="3360"/>
    </row>
    <row r="37" spans="1:15" ht="15" customHeight="1" x14ac:dyDescent="0.25">
      <c r="A37" s="3348"/>
      <c r="B37" s="3349"/>
      <c r="C37" s="3351"/>
      <c r="D37" s="142"/>
      <c r="E37" s="3352"/>
      <c r="F37" s="3392" t="s">
        <v>497</v>
      </c>
      <c r="G37" s="3351" t="s">
        <v>494</v>
      </c>
      <c r="H37" s="142"/>
      <c r="I37" s="3393"/>
      <c r="J37" s="3394"/>
      <c r="K37" s="3380"/>
      <c r="N37" s="3380"/>
      <c r="O37" s="3350"/>
    </row>
    <row r="38" spans="1:15" ht="15" customHeight="1" x14ac:dyDescent="0.2">
      <c r="A38" s="3352"/>
      <c r="B38" s="3349"/>
      <c r="C38" s="3351"/>
      <c r="D38" s="142"/>
      <c r="E38" s="3352"/>
      <c r="F38" s="3350" t="s">
        <v>164</v>
      </c>
      <c r="G38" s="3351" t="s">
        <v>494</v>
      </c>
      <c r="H38" s="142"/>
      <c r="I38" s="3395"/>
      <c r="J38" s="3396"/>
      <c r="K38" s="3380"/>
    </row>
    <row r="39" spans="1:15" ht="15" customHeight="1" x14ac:dyDescent="0.2">
      <c r="A39" s="3352"/>
      <c r="B39" s="3349"/>
      <c r="C39" s="3351"/>
      <c r="D39" s="142"/>
      <c r="E39" s="3352"/>
      <c r="F39" s="3350"/>
      <c r="G39" s="3351"/>
      <c r="H39" s="142"/>
      <c r="I39" s="3395"/>
      <c r="J39" s="3396"/>
      <c r="K39" s="3380"/>
    </row>
    <row r="40" spans="1:15" ht="15" customHeight="1" x14ac:dyDescent="0.2">
      <c r="A40" s="3352"/>
      <c r="B40" s="3352"/>
      <c r="C40" s="3351"/>
      <c r="D40" s="142"/>
      <c r="E40" s="3350" t="s">
        <v>498</v>
      </c>
      <c r="F40" s="3350" t="s">
        <v>499</v>
      </c>
      <c r="G40" s="3351" t="s">
        <v>500</v>
      </c>
      <c r="H40" s="142"/>
      <c r="I40" s="3395"/>
      <c r="J40" s="3397"/>
      <c r="K40" s="3380"/>
    </row>
    <row r="41" spans="1:15" ht="15" customHeight="1" x14ac:dyDescent="0.2">
      <c r="A41" s="114"/>
      <c r="B41" s="142"/>
      <c r="C41" s="142"/>
      <c r="D41" s="142"/>
      <c r="E41" s="3352"/>
      <c r="F41" s="3350" t="s">
        <v>157</v>
      </c>
      <c r="G41" s="3351" t="s">
        <v>500</v>
      </c>
      <c r="H41" s="142"/>
      <c r="I41" s="3395"/>
      <c r="J41" s="3349"/>
      <c r="K41" s="3380"/>
    </row>
    <row r="42" spans="1:15" ht="15" customHeight="1" x14ac:dyDescent="0.2">
      <c r="A42" s="18"/>
      <c r="B42" s="18"/>
      <c r="C42" s="18"/>
      <c r="E42" s="3380"/>
      <c r="F42" s="3381" t="s">
        <v>109</v>
      </c>
      <c r="G42" s="3351" t="s">
        <v>500</v>
      </c>
      <c r="I42" s="3398"/>
      <c r="J42" s="3399"/>
      <c r="K42" s="3380"/>
    </row>
    <row r="43" spans="1:15" ht="15" customHeight="1" x14ac:dyDescent="0.2">
      <c r="A43" s="114"/>
      <c r="B43" s="151"/>
      <c r="E43" s="3380"/>
      <c r="F43" s="3379" t="s">
        <v>372</v>
      </c>
      <c r="G43" s="3351"/>
      <c r="I43" s="3380"/>
      <c r="J43" s="3349"/>
      <c r="K43" s="3380"/>
    </row>
    <row r="44" spans="1:15" ht="15" customHeight="1" x14ac:dyDescent="0.2">
      <c r="B44" s="151"/>
      <c r="E44" s="3348"/>
      <c r="F44" s="3350" t="s">
        <v>501</v>
      </c>
      <c r="G44" s="3351" t="s">
        <v>500</v>
      </c>
      <c r="I44" s="3380"/>
      <c r="J44" s="3349"/>
      <c r="K44" s="3380"/>
    </row>
    <row r="45" spans="1:15" ht="15" customHeight="1" x14ac:dyDescent="0.2">
      <c r="B45" s="151"/>
      <c r="E45" s="3380"/>
      <c r="F45" s="3350"/>
      <c r="G45" s="3351"/>
      <c r="I45" s="3380"/>
      <c r="J45" s="3397"/>
      <c r="K45" s="3380"/>
    </row>
    <row r="46" spans="1:15" ht="15" customHeight="1" x14ac:dyDescent="0.2">
      <c r="B46" s="151"/>
      <c r="E46" s="3352"/>
      <c r="F46" s="3381"/>
      <c r="G46" s="3351"/>
      <c r="I46" s="3380"/>
      <c r="J46" s="3349"/>
      <c r="K46" s="3380"/>
    </row>
    <row r="47" spans="1:15" ht="15" customHeight="1" x14ac:dyDescent="0.2">
      <c r="A47" s="114" t="s">
        <v>502</v>
      </c>
      <c r="B47" s="142"/>
      <c r="C47" s="142"/>
      <c r="E47" s="3352"/>
      <c r="F47" s="3353"/>
      <c r="G47" s="3351"/>
    </row>
    <row r="48" spans="1:15" ht="15" customHeight="1" x14ac:dyDescent="0.25">
      <c r="A48" s="3344" t="s">
        <v>467</v>
      </c>
      <c r="B48" s="3344" t="s">
        <v>468</v>
      </c>
      <c r="C48" s="3344" t="s">
        <v>469</v>
      </c>
      <c r="E48" s="3352"/>
      <c r="F48" s="3400"/>
      <c r="G48" s="3351"/>
    </row>
    <row r="49" spans="1:7" ht="15" customHeight="1" x14ac:dyDescent="0.25">
      <c r="A49" s="3348" t="s">
        <v>470</v>
      </c>
      <c r="B49" s="3350" t="s">
        <v>503</v>
      </c>
      <c r="C49" s="3351"/>
      <c r="E49" s="3352"/>
      <c r="F49" s="3400"/>
      <c r="G49" s="3351"/>
    </row>
    <row r="50" spans="1:7" ht="15" customHeight="1" x14ac:dyDescent="0.25">
      <c r="A50" s="3352"/>
      <c r="B50" s="3350" t="s">
        <v>504</v>
      </c>
      <c r="C50" s="3351"/>
      <c r="E50" s="3380"/>
      <c r="F50" s="3373"/>
      <c r="G50" s="3401"/>
    </row>
    <row r="51" spans="1:7" ht="15" customHeight="1" x14ac:dyDescent="0.25">
      <c r="A51" s="3352"/>
      <c r="B51" s="3402" t="s">
        <v>210</v>
      </c>
      <c r="C51" s="3351"/>
      <c r="E51" s="3380"/>
      <c r="F51" s="3373"/>
      <c r="G51" s="3401"/>
    </row>
    <row r="52" spans="1:7" ht="15.75" x14ac:dyDescent="0.2">
      <c r="A52" s="3352"/>
      <c r="B52" s="3403" t="s">
        <v>209</v>
      </c>
      <c r="C52" s="3351"/>
      <c r="E52" s="3380"/>
      <c r="F52" s="3350"/>
      <c r="G52" s="3401"/>
    </row>
    <row r="53" spans="1:7" ht="15.75" x14ac:dyDescent="0.2">
      <c r="B53" s="151"/>
      <c r="F53" s="238"/>
    </row>
    <row r="54" spans="1:7" ht="15" x14ac:dyDescent="0.2">
      <c r="B54" s="151"/>
    </row>
    <row r="55" spans="1:7" ht="15" x14ac:dyDescent="0.2">
      <c r="B55" s="151"/>
    </row>
    <row r="56" spans="1:7" ht="15" x14ac:dyDescent="0.2">
      <c r="B56" s="151"/>
    </row>
    <row r="58" spans="1:7" ht="15.75" x14ac:dyDescent="0.2">
      <c r="A58" s="3348" t="s">
        <v>505</v>
      </c>
      <c r="B58" s="3404"/>
    </row>
    <row r="59" spans="1:7" ht="20.25" customHeight="1" x14ac:dyDescent="0.2">
      <c r="A59" s="3348" t="s">
        <v>482</v>
      </c>
      <c r="B59" s="3404"/>
    </row>
    <row r="60" spans="1:7" ht="15.75" x14ac:dyDescent="0.2">
      <c r="A60" s="3380"/>
      <c r="B60" s="3405" t="s">
        <v>249</v>
      </c>
    </row>
    <row r="61" spans="1:7" ht="15.75" x14ac:dyDescent="0.2">
      <c r="A61" s="3380"/>
      <c r="B61" s="3405" t="s">
        <v>250</v>
      </c>
    </row>
    <row r="62" spans="1:7" ht="15.75" x14ac:dyDescent="0.2">
      <c r="A62" s="3380"/>
      <c r="B62" s="3405" t="s">
        <v>252</v>
      </c>
    </row>
    <row r="63" spans="1:7" ht="15.75" x14ac:dyDescent="0.2">
      <c r="A63" s="3380"/>
      <c r="B63" s="3405" t="s">
        <v>260</v>
      </c>
    </row>
    <row r="64" spans="1:7" ht="15.75" x14ac:dyDescent="0.2">
      <c r="A64" s="3380"/>
      <c r="B64" s="3405" t="s">
        <v>255</v>
      </c>
    </row>
    <row r="65" spans="1:2" ht="15.75" x14ac:dyDescent="0.2">
      <c r="A65" s="3380"/>
      <c r="B65" s="3405" t="s">
        <v>258</v>
      </c>
    </row>
    <row r="66" spans="1:2" ht="15.75" x14ac:dyDescent="0.2">
      <c r="A66" s="3380"/>
      <c r="B66" s="3405" t="s">
        <v>261</v>
      </c>
    </row>
    <row r="67" spans="1:2" ht="15.75" x14ac:dyDescent="0.2">
      <c r="A67" s="3380"/>
      <c r="B67" s="3367" t="s">
        <v>506</v>
      </c>
    </row>
    <row r="68" spans="1:2" ht="15.75" x14ac:dyDescent="0.2">
      <c r="A68" s="3380"/>
      <c r="B68" s="3366" t="s">
        <v>257</v>
      </c>
    </row>
    <row r="69" spans="1:2" ht="16.5" thickBot="1" x14ac:dyDescent="0.25">
      <c r="A69" s="3380"/>
      <c r="B69" s="753" t="s">
        <v>507</v>
      </c>
    </row>
    <row r="70" spans="1:2" ht="15.75" x14ac:dyDescent="0.2">
      <c r="A70" s="3380"/>
      <c r="B70" s="3405" t="s">
        <v>263</v>
      </c>
    </row>
    <row r="71" spans="1:2" ht="15.75" x14ac:dyDescent="0.2">
      <c r="A71" s="3380"/>
      <c r="B71" s="3405" t="s">
        <v>508</v>
      </c>
    </row>
    <row r="72" spans="1:2" ht="15.75" x14ac:dyDescent="0.2">
      <c r="A72" s="3380"/>
      <c r="B72" s="3403" t="s">
        <v>422</v>
      </c>
    </row>
    <row r="73" spans="1:2" ht="15.75" x14ac:dyDescent="0.2">
      <c r="A73" s="3380"/>
      <c r="B73" s="3406" t="s">
        <v>253</v>
      </c>
    </row>
    <row r="74" spans="1:2" ht="15.75" x14ac:dyDescent="0.2">
      <c r="A74" s="114" t="s">
        <v>183</v>
      </c>
      <c r="B74" s="114"/>
    </row>
    <row r="75" spans="1:2" ht="15.75" x14ac:dyDescent="0.2">
      <c r="A75" s="3352"/>
      <c r="B75" s="3405" t="s">
        <v>509</v>
      </c>
    </row>
    <row r="76" spans="1:2" ht="15.75" x14ac:dyDescent="0.2">
      <c r="A76" s="3352"/>
      <c r="B76" s="3405" t="s">
        <v>510</v>
      </c>
    </row>
    <row r="77" spans="1:2" ht="15.75" x14ac:dyDescent="0.2">
      <c r="A77" s="3352"/>
      <c r="B77" s="3405" t="s">
        <v>511</v>
      </c>
    </row>
    <row r="78" spans="1:2" ht="15.75" x14ac:dyDescent="0.2">
      <c r="A78" s="3352"/>
      <c r="B78" s="3405" t="s">
        <v>408</v>
      </c>
    </row>
    <row r="79" spans="1:2" ht="15.75" x14ac:dyDescent="0.2">
      <c r="A79" s="3352"/>
      <c r="B79" s="3353" t="s">
        <v>512</v>
      </c>
    </row>
    <row r="80" spans="1:2" ht="15.75" x14ac:dyDescent="0.2">
      <c r="A80" s="3380"/>
      <c r="B80" s="3353" t="s">
        <v>513</v>
      </c>
    </row>
  </sheetData>
  <protectedRanges>
    <protectedRange sqref="O19:O20 F33:F34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O22 F47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72" name="Område1_1_1_1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phoneticPr fontId="7" type="noConversion"/>
  <pageMargins left="0.19652777777777777" right="0" top="0" bottom="0" header="0.51180555555555551" footer="0.51180555555555551"/>
  <pageSetup paperSize="9" scale="90" firstPageNumber="0" orientation="landscape" horizontalDpi="300" verticalDpi="300" r:id="rId1"/>
  <headerFooter alignWithMargins="0"/>
  <ignoredErrors>
    <ignoredError sqref="G23:G25" twoDigitTextYear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N160"/>
  <sheetViews>
    <sheetView topLeftCell="C25" zoomScale="67" zoomScaleNormal="67" workbookViewId="0">
      <selection activeCell="T42" sqref="T42"/>
    </sheetView>
  </sheetViews>
  <sheetFormatPr defaultRowHeight="12" x14ac:dyDescent="0.2"/>
  <cols>
    <col min="1" max="1" width="23.85546875" customWidth="1"/>
    <col min="2" max="2" width="13" customWidth="1"/>
    <col min="3" max="3" width="10.5703125" customWidth="1"/>
    <col min="4" max="4" width="12.7109375" customWidth="1"/>
    <col min="5" max="5" width="11.85546875" customWidth="1"/>
    <col min="6" max="8" width="10.5703125" customWidth="1"/>
    <col min="9" max="9" width="13" customWidth="1"/>
    <col min="10" max="10" width="25" customWidth="1"/>
  </cols>
  <sheetData>
    <row r="1" spans="1:10" ht="20.100000000000001" customHeight="1" x14ac:dyDescent="0.2">
      <c r="A1" s="1" t="s">
        <v>514</v>
      </c>
      <c r="B1" s="1"/>
      <c r="D1" s="2"/>
      <c r="E1" s="2"/>
    </row>
    <row r="2" spans="1:10" ht="20.100000000000001" customHeight="1" x14ac:dyDescent="0.2">
      <c r="A2" s="568" t="s">
        <v>515</v>
      </c>
      <c r="B2" s="569" t="s">
        <v>90</v>
      </c>
      <c r="C2" s="561" t="s">
        <v>91</v>
      </c>
      <c r="D2" s="561" t="s">
        <v>92</v>
      </c>
      <c r="E2" s="561" t="s">
        <v>93</v>
      </c>
      <c r="F2" s="561" t="s">
        <v>94</v>
      </c>
      <c r="G2" s="561" t="s">
        <v>95</v>
      </c>
      <c r="H2" s="503" t="s">
        <v>96</v>
      </c>
      <c r="I2" s="500" t="s">
        <v>138</v>
      </c>
      <c r="J2" s="570" t="s">
        <v>97</v>
      </c>
    </row>
    <row r="3" spans="1:10" ht="20.100000000000001" customHeight="1" x14ac:dyDescent="0.2">
      <c r="A3" s="3"/>
      <c r="B3" s="4" t="s">
        <v>272</v>
      </c>
      <c r="C3" s="4" t="s">
        <v>272</v>
      </c>
      <c r="D3" s="4" t="s">
        <v>272</v>
      </c>
      <c r="E3" s="4" t="s">
        <v>272</v>
      </c>
      <c r="F3" s="5" t="s">
        <v>273</v>
      </c>
      <c r="G3" s="6"/>
      <c r="H3" s="7"/>
      <c r="I3" s="8"/>
      <c r="J3" s="9"/>
    </row>
    <row r="4" spans="1:10" ht="20.100000000000001" customHeight="1" x14ac:dyDescent="0.2">
      <c r="A4" s="3232" t="s">
        <v>516</v>
      </c>
      <c r="B4" s="3407">
        <v>7.75</v>
      </c>
      <c r="C4" s="3407">
        <v>7.75</v>
      </c>
      <c r="D4" s="3407">
        <v>7.75</v>
      </c>
      <c r="E4" s="3407">
        <v>7.75</v>
      </c>
      <c r="F4" s="3408">
        <v>6</v>
      </c>
      <c r="G4" s="3409"/>
      <c r="H4" s="3410"/>
      <c r="I4" s="3411">
        <f>SUM(B4:H4)</f>
        <v>37</v>
      </c>
      <c r="J4" s="3412"/>
    </row>
    <row r="5" spans="1:10" ht="20.100000000000001" customHeight="1" x14ac:dyDescent="0.2"/>
    <row r="6" spans="1:10" ht="20.100000000000001" customHeight="1" x14ac:dyDescent="0.2">
      <c r="A6" s="1" t="s">
        <v>19</v>
      </c>
      <c r="B6" s="1"/>
      <c r="D6" s="2"/>
      <c r="E6" s="2"/>
    </row>
    <row r="7" spans="1:10" ht="18" customHeight="1" x14ac:dyDescent="0.2">
      <c r="A7" s="304" t="s">
        <v>517</v>
      </c>
      <c r="B7" s="423" t="s">
        <v>90</v>
      </c>
      <c r="C7" s="424" t="s">
        <v>91</v>
      </c>
      <c r="D7" s="424" t="s">
        <v>92</v>
      </c>
      <c r="E7" s="424" t="s">
        <v>93</v>
      </c>
      <c r="F7" s="424" t="s">
        <v>94</v>
      </c>
      <c r="G7" s="424" t="s">
        <v>95</v>
      </c>
      <c r="H7" s="308" t="s">
        <v>96</v>
      </c>
      <c r="I7" s="309" t="s">
        <v>138</v>
      </c>
      <c r="J7" s="425" t="s">
        <v>97</v>
      </c>
    </row>
    <row r="8" spans="1:10" ht="18" customHeight="1" x14ac:dyDescent="0.2">
      <c r="A8" s="571"/>
      <c r="B8" s="572" t="s">
        <v>518</v>
      </c>
      <c r="C8" s="572" t="s">
        <v>519</v>
      </c>
      <c r="D8" s="573" t="s">
        <v>520</v>
      </c>
      <c r="E8" s="573" t="s">
        <v>520</v>
      </c>
      <c r="F8" s="573" t="s">
        <v>520</v>
      </c>
      <c r="G8" s="573" t="s">
        <v>521</v>
      </c>
      <c r="H8" s="573" t="s">
        <v>521</v>
      </c>
      <c r="I8" s="500"/>
      <c r="J8" s="574"/>
    </row>
    <row r="9" spans="1:10" ht="18" customHeight="1" x14ac:dyDescent="0.2">
      <c r="A9" s="3413" t="s">
        <v>522</v>
      </c>
      <c r="B9" s="3414">
        <v>7.4</v>
      </c>
      <c r="C9" s="3407">
        <v>8</v>
      </c>
      <c r="D9" s="3408">
        <v>8</v>
      </c>
      <c r="E9" s="3408">
        <v>8</v>
      </c>
      <c r="F9" s="3408">
        <v>8</v>
      </c>
      <c r="G9" s="3408">
        <v>12</v>
      </c>
      <c r="H9" s="3415">
        <v>12</v>
      </c>
      <c r="I9" s="3416">
        <f>SUM(B9:H9)</f>
        <v>63.4</v>
      </c>
      <c r="J9" s="3417"/>
    </row>
    <row r="10" spans="1:10" ht="18" customHeight="1" x14ac:dyDescent="0.2">
      <c r="A10" s="10"/>
      <c r="B10" s="4" t="s">
        <v>520</v>
      </c>
      <c r="C10" s="4" t="s">
        <v>520</v>
      </c>
      <c r="D10" s="572" t="s">
        <v>518</v>
      </c>
      <c r="E10" s="572" t="s">
        <v>518</v>
      </c>
      <c r="F10" s="572" t="s">
        <v>518</v>
      </c>
      <c r="G10" s="5"/>
      <c r="H10" s="11"/>
      <c r="I10" s="8"/>
      <c r="J10" s="12"/>
    </row>
    <row r="11" spans="1:10" ht="18" customHeight="1" x14ac:dyDescent="0.2">
      <c r="A11" s="3232" t="s">
        <v>523</v>
      </c>
      <c r="B11" s="3407">
        <v>8</v>
      </c>
      <c r="C11" s="3408">
        <v>8</v>
      </c>
      <c r="D11" s="3414">
        <v>7.4</v>
      </c>
      <c r="E11" s="3414">
        <v>7.4</v>
      </c>
      <c r="F11" s="3414">
        <v>7.4</v>
      </c>
      <c r="G11" s="3408"/>
      <c r="H11" s="3415"/>
      <c r="I11" s="3416">
        <f>SUM(B11:H11)</f>
        <v>38.199999999999996</v>
      </c>
      <c r="J11" s="3417"/>
    </row>
    <row r="12" spans="1:10" ht="18" customHeight="1" x14ac:dyDescent="0.2">
      <c r="A12" s="575"/>
      <c r="B12" s="572" t="s">
        <v>524</v>
      </c>
      <c r="C12" s="572" t="s">
        <v>524</v>
      </c>
      <c r="D12" s="572" t="s">
        <v>524</v>
      </c>
      <c r="E12" s="572" t="s">
        <v>524</v>
      </c>
      <c r="F12" s="572" t="s">
        <v>524</v>
      </c>
      <c r="G12" s="573"/>
      <c r="H12" s="576"/>
      <c r="I12" s="500"/>
      <c r="J12" s="574"/>
    </row>
    <row r="13" spans="1:10" ht="18" customHeight="1" x14ac:dyDescent="0.2">
      <c r="A13" s="3232" t="s">
        <v>525</v>
      </c>
      <c r="B13" s="3407">
        <v>8</v>
      </c>
      <c r="C13" s="3408">
        <v>8</v>
      </c>
      <c r="D13" s="3408">
        <v>8</v>
      </c>
      <c r="E13" s="3408">
        <v>8</v>
      </c>
      <c r="F13" s="3408">
        <v>8</v>
      </c>
      <c r="G13" s="3408"/>
      <c r="H13" s="3415"/>
      <c r="I13" s="3416">
        <f>SUM(B13:H13)</f>
        <v>40</v>
      </c>
      <c r="J13" s="3417"/>
    </row>
    <row r="14" spans="1:10" ht="18" customHeight="1" x14ac:dyDescent="0.2">
      <c r="A14" s="575"/>
      <c r="B14" s="572" t="s">
        <v>526</v>
      </c>
      <c r="C14" s="572" t="s">
        <v>526</v>
      </c>
      <c r="D14" s="572" t="s">
        <v>526</v>
      </c>
      <c r="E14" s="572" t="s">
        <v>526</v>
      </c>
      <c r="F14" s="577" t="s">
        <v>526</v>
      </c>
      <c r="G14" s="578" t="s">
        <v>527</v>
      </c>
      <c r="H14" s="565" t="s">
        <v>527</v>
      </c>
      <c r="I14" s="500"/>
      <c r="J14" s="562"/>
    </row>
    <row r="15" spans="1:10" ht="18" customHeight="1" x14ac:dyDescent="0.2">
      <c r="A15" s="3418" t="s">
        <v>470</v>
      </c>
      <c r="B15" s="3414">
        <v>8</v>
      </c>
      <c r="C15" s="3414">
        <v>8</v>
      </c>
      <c r="D15" s="3414">
        <v>8</v>
      </c>
      <c r="E15" s="3414">
        <v>8</v>
      </c>
      <c r="F15" s="3414">
        <v>8</v>
      </c>
      <c r="G15" s="3414">
        <v>12</v>
      </c>
      <c r="H15" s="3419">
        <v>12</v>
      </c>
      <c r="I15" s="3416">
        <f>SUM(B15:H15)</f>
        <v>64</v>
      </c>
      <c r="J15" s="3371"/>
    </row>
    <row r="16" spans="1:10" ht="18" customHeight="1" x14ac:dyDescent="0.2">
      <c r="A16" s="575"/>
      <c r="B16" s="572" t="s">
        <v>518</v>
      </c>
      <c r="C16" s="572" t="s">
        <v>518</v>
      </c>
      <c r="D16" s="572" t="s">
        <v>518</v>
      </c>
      <c r="E16" s="572" t="s">
        <v>518</v>
      </c>
      <c r="F16" s="572" t="s">
        <v>518</v>
      </c>
      <c r="G16" s="579"/>
      <c r="H16" s="473"/>
      <c r="I16" s="500"/>
      <c r="J16" s="562"/>
    </row>
    <row r="17" spans="1:14" ht="18" customHeight="1" x14ac:dyDescent="0.2">
      <c r="A17" s="3418" t="s">
        <v>528</v>
      </c>
      <c r="B17" s="3414">
        <v>7.4</v>
      </c>
      <c r="C17" s="3414">
        <v>7.4</v>
      </c>
      <c r="D17" s="3414">
        <v>7.4</v>
      </c>
      <c r="E17" s="3414">
        <v>7.4</v>
      </c>
      <c r="F17" s="3414">
        <v>7.4</v>
      </c>
      <c r="G17" s="3420"/>
      <c r="H17" s="3421"/>
      <c r="I17" s="3416">
        <f>SUM(B17:H17)</f>
        <v>37</v>
      </c>
      <c r="J17" s="3371"/>
    </row>
    <row r="18" spans="1:14" ht="18" customHeight="1" x14ac:dyDescent="0.2">
      <c r="A18" s="10"/>
      <c r="B18" s="4" t="s">
        <v>526</v>
      </c>
      <c r="C18" s="4" t="s">
        <v>526</v>
      </c>
      <c r="D18" s="4" t="s">
        <v>526</v>
      </c>
      <c r="E18" s="4" t="s">
        <v>526</v>
      </c>
      <c r="F18" s="4" t="s">
        <v>526</v>
      </c>
      <c r="G18" s="13"/>
      <c r="H18" s="14"/>
      <c r="I18" s="572" t="s">
        <v>0</v>
      </c>
      <c r="J18" s="15"/>
    </row>
    <row r="19" spans="1:14" ht="18" customHeight="1" x14ac:dyDescent="0.2">
      <c r="A19" s="3418" t="s">
        <v>529</v>
      </c>
      <c r="B19" s="3414">
        <v>8</v>
      </c>
      <c r="C19" s="3414">
        <v>8</v>
      </c>
      <c r="D19" s="3414">
        <v>8</v>
      </c>
      <c r="E19" s="3414">
        <v>8</v>
      </c>
      <c r="F19" s="3414">
        <v>8</v>
      </c>
      <c r="G19" s="3420"/>
      <c r="H19" s="3422"/>
      <c r="I19" s="3416">
        <f>SUM(B19:H19)</f>
        <v>40</v>
      </c>
      <c r="J19" s="3371"/>
    </row>
    <row r="20" spans="1:14" ht="18" customHeight="1" x14ac:dyDescent="0.2">
      <c r="A20" s="310" t="s">
        <v>530</v>
      </c>
      <c r="B20" s="310">
        <f t="shared" ref="B20:I20" si="0">SUM(B9,B11,B13,B15,B17,B19)</f>
        <v>46.8</v>
      </c>
      <c r="C20" s="310">
        <f t="shared" si="0"/>
        <v>47.4</v>
      </c>
      <c r="D20" s="310">
        <f t="shared" si="0"/>
        <v>46.8</v>
      </c>
      <c r="E20" s="310">
        <f t="shared" si="0"/>
        <v>46.8</v>
      </c>
      <c r="F20" s="310">
        <f t="shared" si="0"/>
        <v>46.8</v>
      </c>
      <c r="G20" s="310">
        <f t="shared" si="0"/>
        <v>24</v>
      </c>
      <c r="H20" s="310">
        <f t="shared" si="0"/>
        <v>24</v>
      </c>
      <c r="I20" s="310">
        <f t="shared" si="0"/>
        <v>282.60000000000002</v>
      </c>
      <c r="J20" s="311"/>
    </row>
    <row r="21" spans="1:14" ht="18" customHeight="1" x14ac:dyDescent="0.2">
      <c r="D21" s="2"/>
      <c r="E21" s="2"/>
    </row>
    <row r="22" spans="1:14" ht="18" customHeight="1" x14ac:dyDescent="0.2">
      <c r="A22" s="16" t="s">
        <v>531</v>
      </c>
      <c r="D22" s="2"/>
      <c r="E22" s="2"/>
    </row>
    <row r="23" spans="1:14" ht="18" customHeight="1" x14ac:dyDescent="0.2">
      <c r="A23" s="312" t="s">
        <v>532</v>
      </c>
      <c r="B23" s="313" t="s">
        <v>90</v>
      </c>
      <c r="C23" s="314" t="s">
        <v>91</v>
      </c>
      <c r="D23" s="314" t="s">
        <v>92</v>
      </c>
      <c r="E23" s="314" t="s">
        <v>93</v>
      </c>
      <c r="F23" s="314" t="s">
        <v>94</v>
      </c>
      <c r="G23" s="314" t="s">
        <v>95</v>
      </c>
      <c r="H23" s="315" t="s">
        <v>96</v>
      </c>
      <c r="I23" s="316" t="s">
        <v>138</v>
      </c>
      <c r="J23" s="317" t="s">
        <v>97</v>
      </c>
    </row>
    <row r="24" spans="1:14" ht="18" customHeight="1" x14ac:dyDescent="0.2">
      <c r="A24" s="575"/>
      <c r="B24" s="572" t="s">
        <v>319</v>
      </c>
      <c r="C24" s="572" t="s">
        <v>319</v>
      </c>
      <c r="D24" s="572" t="s">
        <v>319</v>
      </c>
      <c r="E24" s="572" t="s">
        <v>319</v>
      </c>
      <c r="F24" s="573" t="s">
        <v>320</v>
      </c>
      <c r="G24" s="573"/>
      <c r="H24" s="576"/>
      <c r="I24" s="500"/>
      <c r="J24" s="580"/>
    </row>
    <row r="25" spans="1:14" ht="18" customHeight="1" x14ac:dyDescent="0.2">
      <c r="A25" s="3232" t="s">
        <v>533</v>
      </c>
      <c r="B25" s="3407">
        <v>7.75</v>
      </c>
      <c r="C25" s="3407">
        <v>7.75</v>
      </c>
      <c r="D25" s="3407">
        <v>7.75</v>
      </c>
      <c r="E25" s="3407">
        <v>7.75</v>
      </c>
      <c r="F25" s="3408">
        <v>6</v>
      </c>
      <c r="G25" s="3408"/>
      <c r="H25" s="3415"/>
      <c r="I25" s="3416">
        <f>SUM(B25:H25)</f>
        <v>37</v>
      </c>
      <c r="J25" s="3423"/>
    </row>
    <row r="26" spans="1:14" ht="18" customHeight="1" x14ac:dyDescent="0.2">
      <c r="A26" s="575"/>
      <c r="B26" s="572" t="s">
        <v>319</v>
      </c>
      <c r="C26" s="572" t="s">
        <v>319</v>
      </c>
      <c r="D26" s="572" t="s">
        <v>319</v>
      </c>
      <c r="E26" s="572" t="s">
        <v>319</v>
      </c>
      <c r="F26" s="573" t="s">
        <v>320</v>
      </c>
      <c r="G26" s="573"/>
      <c r="H26" s="576"/>
      <c r="I26" s="500"/>
      <c r="J26" s="580"/>
    </row>
    <row r="27" spans="1:14" ht="18" customHeight="1" x14ac:dyDescent="0.2">
      <c r="A27" s="3232" t="s">
        <v>534</v>
      </c>
      <c r="B27" s="3407">
        <v>7.75</v>
      </c>
      <c r="C27" s="3407">
        <v>7.75</v>
      </c>
      <c r="D27" s="3407">
        <v>7.75</v>
      </c>
      <c r="E27" s="3407">
        <v>7.75</v>
      </c>
      <c r="F27" s="3408">
        <v>6</v>
      </c>
      <c r="G27" s="3408"/>
      <c r="H27" s="3415"/>
      <c r="I27" s="3416">
        <f>SUM(B27:H27)</f>
        <v>37</v>
      </c>
      <c r="J27" s="3423"/>
      <c r="L27" s="17"/>
      <c r="M27" s="17"/>
      <c r="N27" s="17"/>
    </row>
    <row r="28" spans="1:14" ht="18" customHeight="1" x14ac:dyDescent="0.2">
      <c r="A28" s="575"/>
      <c r="B28" s="572" t="s">
        <v>319</v>
      </c>
      <c r="C28" s="572" t="s">
        <v>319</v>
      </c>
      <c r="D28" s="572" t="s">
        <v>319</v>
      </c>
      <c r="E28" s="572" t="s">
        <v>319</v>
      </c>
      <c r="F28" s="573" t="s">
        <v>320</v>
      </c>
      <c r="G28" s="573"/>
      <c r="H28" s="576"/>
      <c r="I28" s="500"/>
      <c r="J28" s="580"/>
    </row>
    <row r="29" spans="1:14" ht="18" customHeight="1" x14ac:dyDescent="0.2">
      <c r="A29" s="3232" t="s">
        <v>481</v>
      </c>
      <c r="B29" s="3407">
        <v>7.75</v>
      </c>
      <c r="C29" s="3407">
        <v>7.75</v>
      </c>
      <c r="D29" s="3407">
        <v>7.75</v>
      </c>
      <c r="E29" s="3407">
        <v>7.75</v>
      </c>
      <c r="F29" s="3408">
        <v>6</v>
      </c>
      <c r="G29" s="3408"/>
      <c r="H29" s="3415"/>
      <c r="I29" s="3416">
        <f>SUM(B29:H29)</f>
        <v>37</v>
      </c>
      <c r="J29" s="3423"/>
    </row>
    <row r="30" spans="1:14" ht="18" customHeight="1" x14ac:dyDescent="0.2">
      <c r="A30" s="310" t="s">
        <v>530</v>
      </c>
      <c r="B30" s="310">
        <f t="shared" ref="B30:I30" si="1">SUM(B25,B27,B29)</f>
        <v>23.25</v>
      </c>
      <c r="C30" s="310">
        <f t="shared" si="1"/>
        <v>23.25</v>
      </c>
      <c r="D30" s="310">
        <f t="shared" si="1"/>
        <v>23.25</v>
      </c>
      <c r="E30" s="310">
        <f t="shared" si="1"/>
        <v>23.25</v>
      </c>
      <c r="F30" s="310">
        <f t="shared" si="1"/>
        <v>18</v>
      </c>
      <c r="G30" s="310">
        <f t="shared" si="1"/>
        <v>0</v>
      </c>
      <c r="H30" s="310">
        <f t="shared" si="1"/>
        <v>0</v>
      </c>
      <c r="I30" s="318">
        <f t="shared" si="1"/>
        <v>111</v>
      </c>
      <c r="J30" s="319"/>
    </row>
    <row r="31" spans="1:14" ht="18" customHeight="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9"/>
    </row>
    <row r="32" spans="1:14" ht="18" customHeight="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9"/>
    </row>
    <row r="33" spans="1:14" ht="18" customHeight="1" x14ac:dyDescent="0.2">
      <c r="A33" s="1" t="s">
        <v>535</v>
      </c>
      <c r="B33" s="18"/>
      <c r="C33" s="18"/>
      <c r="D33" s="18"/>
      <c r="E33" s="18"/>
      <c r="F33" s="18"/>
    </row>
    <row r="34" spans="1:14" ht="18" customHeight="1" x14ac:dyDescent="0.2">
      <c r="A34" s="568" t="s">
        <v>536</v>
      </c>
      <c r="B34" s="569" t="s">
        <v>90</v>
      </c>
      <c r="C34" s="561" t="s">
        <v>91</v>
      </c>
      <c r="D34" s="561" t="s">
        <v>92</v>
      </c>
      <c r="E34" s="561" t="s">
        <v>93</v>
      </c>
      <c r="F34" s="561" t="s">
        <v>94</v>
      </c>
      <c r="G34" s="561" t="s">
        <v>95</v>
      </c>
      <c r="H34" s="503" t="s">
        <v>96</v>
      </c>
      <c r="I34" s="500" t="s">
        <v>138</v>
      </c>
      <c r="J34" s="570" t="s">
        <v>97</v>
      </c>
    </row>
    <row r="35" spans="1:14" ht="18" customHeight="1" x14ac:dyDescent="0.2">
      <c r="A35" s="20" t="s">
        <v>537</v>
      </c>
      <c r="B35" s="21" t="s">
        <v>538</v>
      </c>
      <c r="C35" s="21" t="s">
        <v>538</v>
      </c>
      <c r="D35" s="581" t="s">
        <v>520</v>
      </c>
      <c r="E35" s="581" t="s">
        <v>520</v>
      </c>
      <c r="F35" s="581" t="s">
        <v>520</v>
      </c>
      <c r="G35" s="582" t="s">
        <v>521</v>
      </c>
      <c r="H35" s="583" t="s">
        <v>520</v>
      </c>
      <c r="I35" s="8"/>
      <c r="J35" s="12"/>
      <c r="L35" s="22" t="s">
        <v>539</v>
      </c>
      <c r="M35" s="22"/>
    </row>
    <row r="36" spans="1:14" ht="18" customHeight="1" x14ac:dyDescent="0.2">
      <c r="A36" s="3424" t="s">
        <v>540</v>
      </c>
      <c r="B36" s="3425">
        <v>7.75</v>
      </c>
      <c r="C36" s="3425">
        <v>7.75</v>
      </c>
      <c r="D36" s="3426">
        <v>8</v>
      </c>
      <c r="E36" s="3426">
        <v>8</v>
      </c>
      <c r="F36" s="3426">
        <v>8</v>
      </c>
      <c r="G36" s="3427">
        <v>12</v>
      </c>
      <c r="H36" s="3428">
        <v>8</v>
      </c>
      <c r="I36" s="3416">
        <f>SUM(B36:H36)</f>
        <v>59.5</v>
      </c>
      <c r="J36" s="3429"/>
      <c r="L36" s="23" t="s">
        <v>541</v>
      </c>
      <c r="M36" s="23"/>
    </row>
    <row r="37" spans="1:14" ht="18" customHeight="1" x14ac:dyDescent="0.2">
      <c r="A37" s="584"/>
      <c r="B37" s="572" t="s">
        <v>519</v>
      </c>
      <c r="C37" s="573" t="s">
        <v>320</v>
      </c>
      <c r="D37" s="585" t="s">
        <v>542</v>
      </c>
      <c r="E37" s="585" t="s">
        <v>542</v>
      </c>
      <c r="F37" s="585" t="s">
        <v>542</v>
      </c>
      <c r="G37" s="585" t="s">
        <v>543</v>
      </c>
      <c r="H37" s="586" t="s">
        <v>542</v>
      </c>
      <c r="I37" s="500"/>
      <c r="J37" s="574"/>
      <c r="L37" s="24" t="s">
        <v>544</v>
      </c>
      <c r="M37" s="24"/>
    </row>
    <row r="38" spans="1:14" ht="18" customHeight="1" x14ac:dyDescent="0.2">
      <c r="A38" s="3424" t="s">
        <v>545</v>
      </c>
      <c r="B38" s="3407">
        <v>8</v>
      </c>
      <c r="C38" s="3408">
        <v>6</v>
      </c>
      <c r="D38" s="3430">
        <v>7</v>
      </c>
      <c r="E38" s="3430">
        <v>7</v>
      </c>
      <c r="F38" s="3430">
        <v>7</v>
      </c>
      <c r="G38" s="3430">
        <v>11</v>
      </c>
      <c r="H38" s="3431">
        <v>7</v>
      </c>
      <c r="I38" s="3416">
        <f>SUM(B38:H38)</f>
        <v>53</v>
      </c>
      <c r="J38" s="3417"/>
    </row>
    <row r="39" spans="1:14" ht="18" customHeight="1" x14ac:dyDescent="0.2">
      <c r="A39" s="584"/>
      <c r="B39" s="572" t="s">
        <v>518</v>
      </c>
      <c r="C39" s="572" t="s">
        <v>518</v>
      </c>
      <c r="D39" s="585" t="s">
        <v>542</v>
      </c>
      <c r="E39" s="585" t="s">
        <v>542</v>
      </c>
      <c r="F39" s="585" t="s">
        <v>542</v>
      </c>
      <c r="G39" s="585" t="s">
        <v>543</v>
      </c>
      <c r="H39" s="586" t="s">
        <v>542</v>
      </c>
      <c r="I39" s="500"/>
      <c r="J39" s="574"/>
      <c r="L39" s="25" t="s">
        <v>546</v>
      </c>
      <c r="M39" s="25" t="s">
        <v>547</v>
      </c>
    </row>
    <row r="40" spans="1:14" ht="18" customHeight="1" x14ac:dyDescent="0.2">
      <c r="A40" s="3424" t="s">
        <v>548</v>
      </c>
      <c r="B40" s="3414">
        <v>7.4</v>
      </c>
      <c r="C40" s="3414">
        <v>7.4</v>
      </c>
      <c r="D40" s="3430">
        <v>7</v>
      </c>
      <c r="E40" s="3430">
        <v>7</v>
      </c>
      <c r="F40" s="3430">
        <v>7</v>
      </c>
      <c r="G40" s="3430">
        <v>11</v>
      </c>
      <c r="H40" s="3431">
        <v>7</v>
      </c>
      <c r="I40" s="3416">
        <f>SUM(B40:H40)</f>
        <v>53.8</v>
      </c>
      <c r="J40" s="3417"/>
    </row>
    <row r="41" spans="1:14" ht="18" customHeight="1" x14ac:dyDescent="0.2">
      <c r="A41" s="587" t="s">
        <v>549</v>
      </c>
      <c r="B41" s="585" t="s">
        <v>542</v>
      </c>
      <c r="C41" s="585" t="s">
        <v>542</v>
      </c>
      <c r="D41" s="572" t="s">
        <v>518</v>
      </c>
      <c r="E41" s="572" t="s">
        <v>518</v>
      </c>
      <c r="F41" s="572" t="s">
        <v>518</v>
      </c>
      <c r="G41" s="565"/>
      <c r="H41" s="473"/>
      <c r="I41" s="500"/>
      <c r="J41" s="562"/>
    </row>
    <row r="42" spans="1:14" ht="18" customHeight="1" x14ac:dyDescent="0.2">
      <c r="A42" s="3424" t="s">
        <v>550</v>
      </c>
      <c r="B42" s="3430">
        <v>7</v>
      </c>
      <c r="C42" s="3430">
        <v>7</v>
      </c>
      <c r="D42" s="3414">
        <v>7.4</v>
      </c>
      <c r="E42" s="3414">
        <v>7.4</v>
      </c>
      <c r="F42" s="3414">
        <v>7.4</v>
      </c>
      <c r="G42" s="3420"/>
      <c r="H42" s="3421"/>
      <c r="I42" s="3416">
        <f>SUM(B42:H42)</f>
        <v>36.199999999999996</v>
      </c>
      <c r="J42" s="3371"/>
    </row>
    <row r="43" spans="1:14" ht="18" customHeight="1" x14ac:dyDescent="0.2">
      <c r="A43" s="584"/>
      <c r="B43" s="581" t="s">
        <v>520</v>
      </c>
      <c r="C43" s="581" t="s">
        <v>520</v>
      </c>
      <c r="D43" s="572" t="s">
        <v>518</v>
      </c>
      <c r="E43" s="572" t="s">
        <v>518</v>
      </c>
      <c r="F43" s="572" t="s">
        <v>518</v>
      </c>
      <c r="G43" s="579"/>
      <c r="H43" s="473"/>
      <c r="I43" s="500"/>
      <c r="J43" s="562"/>
    </row>
    <row r="44" spans="1:14" ht="18" customHeight="1" x14ac:dyDescent="0.2">
      <c r="A44" s="3432" t="s">
        <v>551</v>
      </c>
      <c r="B44" s="3426">
        <v>8</v>
      </c>
      <c r="C44" s="3426">
        <v>8</v>
      </c>
      <c r="D44" s="3414">
        <v>7.4</v>
      </c>
      <c r="E44" s="3414">
        <v>7.4</v>
      </c>
      <c r="F44" s="3414">
        <v>7.4</v>
      </c>
      <c r="G44" s="3420"/>
      <c r="H44" s="3421"/>
      <c r="I44" s="3416">
        <f>SUM(B44:H44)</f>
        <v>38.199999999999996</v>
      </c>
      <c r="J44" s="3371"/>
      <c r="L44" s="26" t="s">
        <v>552</v>
      </c>
      <c r="M44" s="26"/>
      <c r="N44" s="26"/>
    </row>
    <row r="45" spans="1:14" ht="18" customHeight="1" x14ac:dyDescent="0.2">
      <c r="A45" s="27"/>
      <c r="B45" s="585" t="s">
        <v>542</v>
      </c>
      <c r="C45" s="585" t="s">
        <v>542</v>
      </c>
      <c r="D45" s="572" t="s">
        <v>518</v>
      </c>
      <c r="E45" s="572" t="s">
        <v>518</v>
      </c>
      <c r="F45" s="572" t="s">
        <v>518</v>
      </c>
      <c r="G45" s="13"/>
      <c r="H45" s="14"/>
      <c r="I45" s="8"/>
      <c r="J45" s="15"/>
      <c r="L45" s="28" t="s">
        <v>553</v>
      </c>
      <c r="M45" s="28"/>
      <c r="N45" s="28"/>
    </row>
    <row r="46" spans="1:14" ht="18" customHeight="1" x14ac:dyDescent="0.2">
      <c r="A46" s="3432" t="s">
        <v>554</v>
      </c>
      <c r="B46" s="3430">
        <v>7</v>
      </c>
      <c r="C46" s="3430">
        <v>7</v>
      </c>
      <c r="D46" s="3414">
        <v>7.4</v>
      </c>
      <c r="E46" s="3414">
        <v>7.4</v>
      </c>
      <c r="F46" s="3414">
        <v>7.4</v>
      </c>
      <c r="G46" s="3420"/>
      <c r="H46" s="3422"/>
      <c r="I46" s="3416">
        <f>SUM(B46:H46)</f>
        <v>36.199999999999996</v>
      </c>
      <c r="J46" s="3371"/>
      <c r="L46" s="29" t="s">
        <v>555</v>
      </c>
      <c r="M46" s="29"/>
      <c r="N46" s="29"/>
    </row>
    <row r="47" spans="1:14" ht="18" customHeight="1" x14ac:dyDescent="0.2">
      <c r="A47" s="587" t="s">
        <v>556</v>
      </c>
      <c r="B47" s="588" t="s">
        <v>519</v>
      </c>
      <c r="C47" s="588" t="s">
        <v>519</v>
      </c>
      <c r="D47" s="588" t="s">
        <v>519</v>
      </c>
      <c r="E47" s="588" t="s">
        <v>519</v>
      </c>
      <c r="F47" s="588" t="s">
        <v>320</v>
      </c>
      <c r="G47" s="573"/>
      <c r="H47" s="576"/>
      <c r="I47" s="500"/>
      <c r="J47" s="574"/>
      <c r="L47" s="30" t="s">
        <v>557</v>
      </c>
      <c r="M47" s="30"/>
      <c r="N47" s="30"/>
    </row>
    <row r="48" spans="1:14" ht="18" customHeight="1" x14ac:dyDescent="0.2">
      <c r="A48" s="3432" t="s">
        <v>558</v>
      </c>
      <c r="B48" s="3433">
        <v>8</v>
      </c>
      <c r="C48" s="3433">
        <v>8</v>
      </c>
      <c r="D48" s="3433">
        <v>8</v>
      </c>
      <c r="E48" s="3433">
        <v>8</v>
      </c>
      <c r="F48" s="3433">
        <v>6</v>
      </c>
      <c r="G48" s="3408"/>
      <c r="H48" s="3415"/>
      <c r="I48" s="3416">
        <f>SUM(B48:H48)</f>
        <v>38</v>
      </c>
      <c r="J48" s="3417"/>
    </row>
    <row r="49" spans="1:10" ht="18" customHeight="1" x14ac:dyDescent="0.2">
      <c r="A49" s="584"/>
      <c r="B49" s="589" t="s">
        <v>519</v>
      </c>
      <c r="C49" s="589" t="s">
        <v>519</v>
      </c>
      <c r="D49" s="589" t="s">
        <v>519</v>
      </c>
      <c r="E49" s="589" t="s">
        <v>519</v>
      </c>
      <c r="F49" s="589" t="s">
        <v>320</v>
      </c>
      <c r="G49" s="565"/>
      <c r="H49" s="473"/>
      <c r="I49" s="500"/>
      <c r="J49" s="562"/>
    </row>
    <row r="50" spans="1:10" ht="18" customHeight="1" x14ac:dyDescent="0.2">
      <c r="A50" s="3424" t="s">
        <v>559</v>
      </c>
      <c r="B50" s="3434">
        <v>8</v>
      </c>
      <c r="C50" s="3434">
        <v>8</v>
      </c>
      <c r="D50" s="3434">
        <v>8</v>
      </c>
      <c r="E50" s="3434">
        <v>8</v>
      </c>
      <c r="F50" s="3434">
        <v>6</v>
      </c>
      <c r="G50" s="3420"/>
      <c r="H50" s="3421"/>
      <c r="I50" s="3416">
        <f>SUM(B50:H50)</f>
        <v>38</v>
      </c>
      <c r="J50" s="3371"/>
    </row>
    <row r="51" spans="1:10" ht="18" customHeight="1" x14ac:dyDescent="0.2">
      <c r="A51" s="584"/>
      <c r="B51" s="589" t="s">
        <v>519</v>
      </c>
      <c r="C51" s="589" t="s">
        <v>519</v>
      </c>
      <c r="D51" s="589" t="s">
        <v>519</v>
      </c>
      <c r="E51" s="589" t="s">
        <v>519</v>
      </c>
      <c r="F51" s="589" t="s">
        <v>320</v>
      </c>
      <c r="G51" s="579"/>
      <c r="H51" s="473"/>
      <c r="I51" s="500"/>
      <c r="J51" s="562"/>
    </row>
    <row r="52" spans="1:10" ht="18" customHeight="1" x14ac:dyDescent="0.2">
      <c r="A52" s="3424" t="s">
        <v>560</v>
      </c>
      <c r="B52" s="3434">
        <v>8</v>
      </c>
      <c r="C52" s="3434">
        <v>8</v>
      </c>
      <c r="D52" s="3434">
        <v>8</v>
      </c>
      <c r="E52" s="3434">
        <v>8</v>
      </c>
      <c r="F52" s="3434">
        <v>6</v>
      </c>
      <c r="G52" s="3420"/>
      <c r="H52" s="3421"/>
      <c r="I52" s="3416">
        <f>SUM(B52:H52)</f>
        <v>38</v>
      </c>
      <c r="J52" s="3371"/>
    </row>
    <row r="53" spans="1:10" ht="18" customHeight="1" x14ac:dyDescent="0.2">
      <c r="A53" s="20" t="s">
        <v>561</v>
      </c>
      <c r="B53" s="31" t="s">
        <v>562</v>
      </c>
      <c r="C53" s="31" t="s">
        <v>562</v>
      </c>
      <c r="D53" s="31" t="s">
        <v>562</v>
      </c>
      <c r="E53" s="31" t="s">
        <v>562</v>
      </c>
      <c r="F53" s="31" t="s">
        <v>562</v>
      </c>
      <c r="G53" s="13" t="s">
        <v>527</v>
      </c>
      <c r="H53" s="32" t="s">
        <v>562</v>
      </c>
      <c r="I53" s="8"/>
      <c r="J53" s="15"/>
    </row>
    <row r="54" spans="1:10" ht="18" customHeight="1" x14ac:dyDescent="0.2">
      <c r="A54" s="3424" t="s">
        <v>563</v>
      </c>
      <c r="B54" s="3435">
        <v>7</v>
      </c>
      <c r="C54" s="3435">
        <v>7</v>
      </c>
      <c r="D54" s="3435">
        <v>7</v>
      </c>
      <c r="E54" s="3435">
        <v>7</v>
      </c>
      <c r="F54" s="3435">
        <v>7</v>
      </c>
      <c r="G54" s="3414">
        <v>12</v>
      </c>
      <c r="H54" s="3436">
        <v>7</v>
      </c>
      <c r="I54" s="3416">
        <f>SUM(B54:H54)</f>
        <v>54</v>
      </c>
      <c r="J54" s="3371"/>
    </row>
    <row r="55" spans="1:10" ht="18" customHeight="1" x14ac:dyDescent="0.2">
      <c r="A55" s="584"/>
      <c r="B55" s="590" t="s">
        <v>526</v>
      </c>
      <c r="C55" s="590" t="s">
        <v>526</v>
      </c>
      <c r="D55" s="590" t="s">
        <v>526</v>
      </c>
      <c r="E55" s="590" t="s">
        <v>526</v>
      </c>
      <c r="F55" s="590" t="s">
        <v>526</v>
      </c>
      <c r="G55" s="573" t="s">
        <v>564</v>
      </c>
      <c r="H55" s="591" t="s">
        <v>526</v>
      </c>
      <c r="I55" s="500"/>
      <c r="J55" s="574"/>
    </row>
    <row r="56" spans="1:10" ht="18" customHeight="1" x14ac:dyDescent="0.2">
      <c r="A56" s="33" t="s">
        <v>565</v>
      </c>
      <c r="B56" s="3437">
        <v>8</v>
      </c>
      <c r="C56" s="3437">
        <v>8</v>
      </c>
      <c r="D56" s="3437">
        <v>8</v>
      </c>
      <c r="E56" s="3437">
        <v>8</v>
      </c>
      <c r="F56" s="3437">
        <v>8</v>
      </c>
      <c r="G56" s="3408">
        <v>8</v>
      </c>
      <c r="H56" s="3438">
        <v>8</v>
      </c>
      <c r="I56" s="3416">
        <f>SUM(B56:H56)</f>
        <v>56</v>
      </c>
      <c r="J56" s="3417"/>
    </row>
    <row r="57" spans="1:10" ht="18" customHeight="1" x14ac:dyDescent="0.2">
      <c r="A57" s="584"/>
      <c r="B57" s="31" t="s">
        <v>562</v>
      </c>
      <c r="C57" s="31" t="s">
        <v>562</v>
      </c>
      <c r="D57" s="31" t="s">
        <v>562</v>
      </c>
      <c r="E57" s="31" t="s">
        <v>562</v>
      </c>
      <c r="F57" s="31" t="s">
        <v>562</v>
      </c>
      <c r="G57" s="13" t="s">
        <v>527</v>
      </c>
      <c r="H57" s="32" t="s">
        <v>562</v>
      </c>
      <c r="I57" s="500"/>
      <c r="J57" s="562"/>
    </row>
    <row r="58" spans="1:10" ht="18" customHeight="1" x14ac:dyDescent="0.2">
      <c r="A58" s="3424" t="s">
        <v>566</v>
      </c>
      <c r="B58" s="3435">
        <v>7</v>
      </c>
      <c r="C58" s="3435">
        <v>7</v>
      </c>
      <c r="D58" s="3435">
        <v>7</v>
      </c>
      <c r="E58" s="3435">
        <v>7</v>
      </c>
      <c r="F58" s="3435">
        <v>7</v>
      </c>
      <c r="G58" s="3414">
        <v>12</v>
      </c>
      <c r="H58" s="3436">
        <v>7</v>
      </c>
      <c r="I58" s="3416">
        <f>SUM(B58:H58)</f>
        <v>54</v>
      </c>
      <c r="J58" s="3371"/>
    </row>
    <row r="59" spans="1:10" ht="18" customHeight="1" x14ac:dyDescent="0.2">
      <c r="A59" s="587" t="s">
        <v>567</v>
      </c>
      <c r="B59" s="572" t="s">
        <v>518</v>
      </c>
      <c r="C59" s="572" t="s">
        <v>518</v>
      </c>
      <c r="D59" s="589" t="s">
        <v>519</v>
      </c>
      <c r="E59" s="589" t="s">
        <v>519</v>
      </c>
      <c r="F59" s="589" t="s">
        <v>320</v>
      </c>
      <c r="G59" s="579"/>
      <c r="H59" s="473"/>
      <c r="I59" s="500"/>
      <c r="J59" s="562"/>
    </row>
    <row r="60" spans="1:10" ht="18" customHeight="1" x14ac:dyDescent="0.2">
      <c r="A60" s="3432" t="s">
        <v>568</v>
      </c>
      <c r="B60" s="3414">
        <v>7.4</v>
      </c>
      <c r="C60" s="3414">
        <v>7.4</v>
      </c>
      <c r="D60" s="3434">
        <v>8</v>
      </c>
      <c r="E60" s="3434">
        <v>8</v>
      </c>
      <c r="F60" s="3434">
        <v>6</v>
      </c>
      <c r="G60" s="3420"/>
      <c r="H60" s="3421"/>
      <c r="I60" s="3416">
        <f>SUM(B60:H60)</f>
        <v>36.799999999999997</v>
      </c>
      <c r="J60" s="3371"/>
    </row>
    <row r="61" spans="1:10" ht="18" customHeight="1" x14ac:dyDescent="0.2">
      <c r="A61" s="584"/>
      <c r="B61" s="572" t="s">
        <v>518</v>
      </c>
      <c r="C61" s="572" t="s">
        <v>518</v>
      </c>
      <c r="D61" s="592" t="s">
        <v>519</v>
      </c>
      <c r="E61" s="592" t="s">
        <v>519</v>
      </c>
      <c r="F61" s="592" t="s">
        <v>320</v>
      </c>
      <c r="G61" s="579"/>
      <c r="H61" s="473"/>
      <c r="I61" s="500"/>
      <c r="J61" s="562"/>
    </row>
    <row r="62" spans="1:10" ht="18" customHeight="1" x14ac:dyDescent="0.2">
      <c r="A62" s="3439" t="s">
        <v>569</v>
      </c>
      <c r="B62" s="3414">
        <v>7.4</v>
      </c>
      <c r="C62" s="3414">
        <v>7.4</v>
      </c>
      <c r="D62" s="3440">
        <v>8</v>
      </c>
      <c r="E62" s="3440">
        <v>8</v>
      </c>
      <c r="F62" s="3440">
        <v>6</v>
      </c>
      <c r="G62" s="3420"/>
      <c r="H62" s="3421"/>
      <c r="I62" s="3416">
        <f>SUM(B62:H62)</f>
        <v>36.799999999999997</v>
      </c>
      <c r="J62" s="3371"/>
    </row>
    <row r="63" spans="1:10" ht="18" customHeight="1" x14ac:dyDescent="0.2">
      <c r="A63" s="27"/>
      <c r="B63" s="572" t="s">
        <v>518</v>
      </c>
      <c r="C63" s="572" t="s">
        <v>518</v>
      </c>
      <c r="D63" s="21" t="s">
        <v>538</v>
      </c>
      <c r="E63" s="21" t="s">
        <v>538</v>
      </c>
      <c r="F63" s="21" t="s">
        <v>538</v>
      </c>
      <c r="G63" s="13"/>
      <c r="H63" s="14"/>
      <c r="I63" s="8"/>
      <c r="J63" s="15"/>
    </row>
    <row r="64" spans="1:10" ht="18" customHeight="1" x14ac:dyDescent="0.2">
      <c r="A64" s="3424" t="s">
        <v>570</v>
      </c>
      <c r="B64" s="3414">
        <v>7.4</v>
      </c>
      <c r="C64" s="3414">
        <v>7.4</v>
      </c>
      <c r="D64" s="3441">
        <v>7.75</v>
      </c>
      <c r="E64" s="3441">
        <v>7.75</v>
      </c>
      <c r="F64" s="3441">
        <v>7.75</v>
      </c>
      <c r="G64" s="3420"/>
      <c r="H64" s="3422"/>
      <c r="I64" s="3416">
        <f>SUM(B64:H64)</f>
        <v>38.049999999999997</v>
      </c>
      <c r="J64" s="3371"/>
    </row>
    <row r="65" spans="1:10" ht="18" customHeight="1" x14ac:dyDescent="0.2">
      <c r="A65" s="310" t="s">
        <v>530</v>
      </c>
      <c r="B65" s="310">
        <f t="shared" ref="B65:I65" si="2">SUM(B36,B38,B40,B42,B44,B46,B48,B50,B52,B54,B56,B58,B60,B62,B64)</f>
        <v>113.35000000000002</v>
      </c>
      <c r="C65" s="310">
        <f t="shared" si="2"/>
        <v>111.35000000000002</v>
      </c>
      <c r="D65" s="310">
        <f t="shared" si="2"/>
        <v>113.94999999999999</v>
      </c>
      <c r="E65" s="310">
        <f t="shared" si="2"/>
        <v>113.94999999999999</v>
      </c>
      <c r="F65" s="310">
        <f t="shared" si="2"/>
        <v>103.94999999999999</v>
      </c>
      <c r="G65" s="310">
        <f t="shared" si="2"/>
        <v>66</v>
      </c>
      <c r="H65" s="310">
        <f t="shared" si="2"/>
        <v>44</v>
      </c>
      <c r="I65" s="318">
        <f t="shared" si="2"/>
        <v>666.54999999999984</v>
      </c>
      <c r="J65" s="311"/>
    </row>
    <row r="66" spans="1:10" ht="18" customHeight="1" x14ac:dyDescent="0.2">
      <c r="A66" s="1" t="s">
        <v>571</v>
      </c>
      <c r="B66" s="18"/>
      <c r="C66" s="18"/>
      <c r="D66" s="18"/>
      <c r="E66" s="18"/>
      <c r="F66" s="18"/>
    </row>
    <row r="67" spans="1:10" ht="18" customHeight="1" x14ac:dyDescent="0.2">
      <c r="A67" s="312" t="s">
        <v>572</v>
      </c>
      <c r="B67" s="313" t="s">
        <v>90</v>
      </c>
      <c r="C67" s="314" t="s">
        <v>91</v>
      </c>
      <c r="D67" s="314" t="s">
        <v>92</v>
      </c>
      <c r="E67" s="314" t="s">
        <v>93</v>
      </c>
      <c r="F67" s="314" t="s">
        <v>94</v>
      </c>
      <c r="G67" s="314" t="s">
        <v>95</v>
      </c>
      <c r="H67" s="315" t="s">
        <v>96</v>
      </c>
      <c r="I67" s="316" t="s">
        <v>138</v>
      </c>
      <c r="J67" s="317" t="s">
        <v>97</v>
      </c>
    </row>
    <row r="68" spans="1:10" ht="18" customHeight="1" x14ac:dyDescent="0.2">
      <c r="A68" s="575" t="s">
        <v>573</v>
      </c>
      <c r="B68" s="505" t="s">
        <v>302</v>
      </c>
      <c r="C68" s="505" t="s">
        <v>302</v>
      </c>
      <c r="D68" s="505" t="s">
        <v>302</v>
      </c>
      <c r="E68" s="505" t="s">
        <v>302</v>
      </c>
      <c r="F68" s="505" t="s">
        <v>302</v>
      </c>
      <c r="G68" s="561"/>
      <c r="H68" s="507"/>
      <c r="I68" s="505"/>
      <c r="J68" s="574"/>
    </row>
    <row r="69" spans="1:10" ht="18" customHeight="1" x14ac:dyDescent="0.2">
      <c r="A69" s="3442"/>
      <c r="B69" s="3407">
        <v>7</v>
      </c>
      <c r="C69" s="3407">
        <v>7</v>
      </c>
      <c r="D69" s="3407">
        <v>7</v>
      </c>
      <c r="E69" s="3407">
        <v>7</v>
      </c>
      <c r="F69" s="3408">
        <v>7</v>
      </c>
      <c r="G69" s="3409"/>
      <c r="H69" s="3410"/>
      <c r="I69" s="3416">
        <f>SUM(B69:H69)</f>
        <v>35</v>
      </c>
      <c r="J69" s="3417"/>
    </row>
    <row r="70" spans="1:10" ht="18" customHeight="1" x14ac:dyDescent="0.2">
      <c r="A70" s="10" t="s">
        <v>574</v>
      </c>
      <c r="B70" s="3443" t="s">
        <v>575</v>
      </c>
      <c r="C70" s="3443" t="s">
        <v>575</v>
      </c>
      <c r="D70" s="3443" t="s">
        <v>575</v>
      </c>
      <c r="E70" s="3443" t="s">
        <v>575</v>
      </c>
      <c r="F70" s="3443" t="s">
        <v>576</v>
      </c>
      <c r="G70" s="6"/>
      <c r="H70" s="7"/>
      <c r="I70" s="34"/>
      <c r="J70" s="12"/>
    </row>
    <row r="71" spans="1:10" ht="18" customHeight="1" x14ac:dyDescent="0.2">
      <c r="A71" s="35"/>
      <c r="B71" s="3444">
        <v>7</v>
      </c>
      <c r="C71" s="3444">
        <v>7</v>
      </c>
      <c r="D71" s="3444">
        <v>7</v>
      </c>
      <c r="E71" s="3444">
        <v>7</v>
      </c>
      <c r="F71" s="3445">
        <v>6</v>
      </c>
      <c r="G71" s="3446"/>
      <c r="H71" s="36"/>
      <c r="I71" s="3416">
        <f>SUM(B71:H71)</f>
        <v>34</v>
      </c>
      <c r="J71" s="3429"/>
    </row>
    <row r="72" spans="1:10" ht="18" customHeight="1" x14ac:dyDescent="0.2">
      <c r="A72" s="575" t="s">
        <v>577</v>
      </c>
      <c r="B72" s="505" t="s">
        <v>578</v>
      </c>
      <c r="C72" s="505" t="s">
        <v>578</v>
      </c>
      <c r="D72" s="505" t="s">
        <v>578</v>
      </c>
      <c r="E72" s="505" t="s">
        <v>579</v>
      </c>
      <c r="F72" s="505" t="s">
        <v>580</v>
      </c>
      <c r="G72" s="505"/>
      <c r="H72" s="505" t="s">
        <v>524</v>
      </c>
      <c r="I72" s="505"/>
      <c r="J72" s="574"/>
    </row>
    <row r="73" spans="1:10" ht="18" customHeight="1" x14ac:dyDescent="0.2">
      <c r="A73" s="3232"/>
      <c r="B73" s="3407">
        <v>6.5</v>
      </c>
      <c r="C73" s="3407">
        <v>6.5</v>
      </c>
      <c r="D73" s="3407">
        <v>6.5</v>
      </c>
      <c r="E73" s="3408">
        <v>5.5</v>
      </c>
      <c r="F73" s="3408">
        <v>7.25</v>
      </c>
      <c r="G73" s="3408"/>
      <c r="H73" s="3415">
        <v>8</v>
      </c>
      <c r="I73" s="3416">
        <f>SUM(B73:H73)</f>
        <v>40.25</v>
      </c>
      <c r="J73" s="3417"/>
    </row>
    <row r="74" spans="1:10" ht="18" customHeight="1" x14ac:dyDescent="0.2">
      <c r="A74" s="310" t="s">
        <v>530</v>
      </c>
      <c r="B74" s="310">
        <f t="shared" ref="B74:I74" si="3">SUM(B69,B71,B73)</f>
        <v>20.5</v>
      </c>
      <c r="C74" s="310">
        <f t="shared" si="3"/>
        <v>20.5</v>
      </c>
      <c r="D74" s="310">
        <f t="shared" si="3"/>
        <v>20.5</v>
      </c>
      <c r="E74" s="310">
        <f t="shared" si="3"/>
        <v>19.5</v>
      </c>
      <c r="F74" s="310">
        <f t="shared" si="3"/>
        <v>20.25</v>
      </c>
      <c r="G74" s="310">
        <f t="shared" si="3"/>
        <v>0</v>
      </c>
      <c r="H74" s="310">
        <f t="shared" si="3"/>
        <v>8</v>
      </c>
      <c r="I74" s="318">
        <f t="shared" si="3"/>
        <v>109.25</v>
      </c>
      <c r="J74" s="319"/>
    </row>
    <row r="75" spans="1:10" ht="18" customHeight="1" x14ac:dyDescent="0.2">
      <c r="A75" s="1" t="s">
        <v>581</v>
      </c>
      <c r="B75" s="18"/>
      <c r="C75" s="18"/>
      <c r="D75" s="18"/>
      <c r="E75" s="18"/>
      <c r="F75" s="18"/>
    </row>
    <row r="76" spans="1:10" ht="18" customHeight="1" x14ac:dyDescent="0.2">
      <c r="A76" s="312" t="s">
        <v>582</v>
      </c>
      <c r="B76" s="313" t="s">
        <v>90</v>
      </c>
      <c r="C76" s="314" t="s">
        <v>91</v>
      </c>
      <c r="D76" s="314" t="s">
        <v>92</v>
      </c>
      <c r="E76" s="314" t="s">
        <v>93</v>
      </c>
      <c r="F76" s="314" t="s">
        <v>94</v>
      </c>
      <c r="G76" s="314" t="s">
        <v>95</v>
      </c>
      <c r="H76" s="315" t="s">
        <v>96</v>
      </c>
      <c r="I76" s="316" t="s">
        <v>138</v>
      </c>
      <c r="J76" s="317" t="s">
        <v>97</v>
      </c>
    </row>
    <row r="77" spans="1:10" ht="18" customHeight="1" x14ac:dyDescent="0.2">
      <c r="A77" s="10" t="s">
        <v>583</v>
      </c>
      <c r="B77" s="3443" t="s">
        <v>584</v>
      </c>
      <c r="C77" s="3447" t="s">
        <v>584</v>
      </c>
      <c r="D77" s="34" t="s">
        <v>584</v>
      </c>
      <c r="E77" s="3447" t="s">
        <v>584</v>
      </c>
      <c r="F77" s="3443" t="s">
        <v>301</v>
      </c>
      <c r="G77" s="6"/>
      <c r="H77" s="7"/>
      <c r="I77" s="34"/>
      <c r="J77" s="12" t="s">
        <v>585</v>
      </c>
    </row>
    <row r="78" spans="1:10" ht="18" customHeight="1" x14ac:dyDescent="0.2">
      <c r="A78" s="35"/>
      <c r="B78" s="3444">
        <v>8</v>
      </c>
      <c r="C78" s="3444">
        <v>8</v>
      </c>
      <c r="D78" s="3444">
        <v>8</v>
      </c>
      <c r="E78" s="3444">
        <v>8</v>
      </c>
      <c r="F78" s="3445">
        <v>7</v>
      </c>
      <c r="G78" s="3446"/>
      <c r="H78" s="36"/>
      <c r="I78" s="3416">
        <f>SUM(B78:H78)</f>
        <v>39</v>
      </c>
      <c r="J78" s="3429"/>
    </row>
    <row r="79" spans="1:10" ht="18" customHeight="1" x14ac:dyDescent="0.2">
      <c r="A79" s="575" t="s">
        <v>586</v>
      </c>
      <c r="B79" s="505" t="s">
        <v>587</v>
      </c>
      <c r="C79" s="505" t="s">
        <v>587</v>
      </c>
      <c r="D79" s="505" t="s">
        <v>587</v>
      </c>
      <c r="E79" s="505" t="s">
        <v>587</v>
      </c>
      <c r="F79" s="505" t="s">
        <v>588</v>
      </c>
      <c r="G79" s="561"/>
      <c r="H79" s="507"/>
      <c r="I79" s="505"/>
      <c r="J79" s="574"/>
    </row>
    <row r="80" spans="1:10" ht="18" customHeight="1" x14ac:dyDescent="0.2">
      <c r="A80" s="35"/>
      <c r="B80" s="3444">
        <v>6.5</v>
      </c>
      <c r="C80" s="3444">
        <v>6.5</v>
      </c>
      <c r="D80" s="3444">
        <v>6.5</v>
      </c>
      <c r="E80" s="3444">
        <v>6.5</v>
      </c>
      <c r="F80" s="3445">
        <v>7</v>
      </c>
      <c r="G80" s="3446"/>
      <c r="H80" s="36"/>
      <c r="I80" s="3416">
        <f>SUM(B80:H80)</f>
        <v>33</v>
      </c>
      <c r="J80" s="3429"/>
    </row>
    <row r="81" spans="1:10" ht="18" customHeight="1" x14ac:dyDescent="0.2">
      <c r="A81" s="575" t="s">
        <v>589</v>
      </c>
      <c r="B81" s="572" t="s">
        <v>590</v>
      </c>
      <c r="C81" s="505" t="s">
        <v>591</v>
      </c>
      <c r="D81" s="505" t="s">
        <v>590</v>
      </c>
      <c r="E81" s="505" t="s">
        <v>590</v>
      </c>
      <c r="F81" s="505" t="s">
        <v>592</v>
      </c>
      <c r="G81" s="505" t="s">
        <v>593</v>
      </c>
      <c r="H81" s="573"/>
      <c r="I81" s="505"/>
      <c r="J81" s="574" t="s">
        <v>594</v>
      </c>
    </row>
    <row r="82" spans="1:10" ht="18" customHeight="1" x14ac:dyDescent="0.2">
      <c r="A82" s="3232"/>
      <c r="B82" s="3407">
        <v>7</v>
      </c>
      <c r="C82" s="3408">
        <v>4</v>
      </c>
      <c r="D82" s="3408">
        <v>7</v>
      </c>
      <c r="E82" s="3408">
        <v>7</v>
      </c>
      <c r="F82" s="3408">
        <v>6.25</v>
      </c>
      <c r="G82" s="3408">
        <v>6.5</v>
      </c>
      <c r="H82" s="3415"/>
      <c r="I82" s="3416">
        <f>SUM(B82:H82)</f>
        <v>37.75</v>
      </c>
      <c r="J82" s="3417"/>
    </row>
    <row r="83" spans="1:10" ht="18" customHeight="1" x14ac:dyDescent="0.2">
      <c r="A83" s="3448" t="s">
        <v>595</v>
      </c>
      <c r="B83" s="3449" t="s">
        <v>584</v>
      </c>
      <c r="C83" s="3450" t="s">
        <v>584</v>
      </c>
      <c r="D83" s="34" t="s">
        <v>584</v>
      </c>
      <c r="E83" s="3447" t="s">
        <v>584</v>
      </c>
      <c r="F83" s="3447" t="s">
        <v>301</v>
      </c>
      <c r="G83" s="565"/>
      <c r="H83" s="473"/>
      <c r="I83" s="505"/>
      <c r="J83" s="12" t="s">
        <v>585</v>
      </c>
    </row>
    <row r="84" spans="1:10" ht="18" customHeight="1" x14ac:dyDescent="0.2">
      <c r="A84" s="3418"/>
      <c r="B84" s="3414">
        <v>8</v>
      </c>
      <c r="C84" s="3414">
        <v>8</v>
      </c>
      <c r="D84" s="3414">
        <v>8</v>
      </c>
      <c r="E84" s="3414">
        <v>8</v>
      </c>
      <c r="F84" s="3414">
        <v>7</v>
      </c>
      <c r="G84" s="3420"/>
      <c r="H84" s="3421"/>
      <c r="I84" s="3416">
        <f>SUM(B84:H84)</f>
        <v>39</v>
      </c>
      <c r="J84" s="3371"/>
    </row>
    <row r="85" spans="1:10" ht="18" customHeight="1" x14ac:dyDescent="0.2">
      <c r="A85" s="3448" t="s">
        <v>596</v>
      </c>
      <c r="B85" s="34" t="s">
        <v>587</v>
      </c>
      <c r="C85" s="3447" t="s">
        <v>587</v>
      </c>
      <c r="D85" s="3447" t="s">
        <v>587</v>
      </c>
      <c r="E85" s="3449" t="s">
        <v>587</v>
      </c>
      <c r="F85" s="3447" t="s">
        <v>588</v>
      </c>
      <c r="G85" s="579"/>
      <c r="H85" s="473"/>
      <c r="I85" s="505"/>
      <c r="J85" s="562"/>
    </row>
    <row r="86" spans="1:10" ht="18" customHeight="1" x14ac:dyDescent="0.2">
      <c r="A86" s="3451"/>
      <c r="B86" s="3452">
        <v>6.5</v>
      </c>
      <c r="C86" s="3452">
        <v>6.5</v>
      </c>
      <c r="D86" s="3452">
        <v>6.5</v>
      </c>
      <c r="E86" s="3452">
        <v>6.5</v>
      </c>
      <c r="F86" s="3452">
        <v>7</v>
      </c>
      <c r="G86" s="3453"/>
      <c r="H86" s="3454"/>
      <c r="I86" s="3416">
        <f>SUM(B86:H86)</f>
        <v>33</v>
      </c>
      <c r="J86" s="3455"/>
    </row>
    <row r="87" spans="1:10" ht="18" customHeight="1" x14ac:dyDescent="0.2">
      <c r="A87" s="426" t="s">
        <v>597</v>
      </c>
      <c r="B87" s="505" t="s">
        <v>302</v>
      </c>
      <c r="C87" s="572" t="s">
        <v>302</v>
      </c>
      <c r="D87" s="505" t="s">
        <v>302</v>
      </c>
      <c r="E87" s="505" t="s">
        <v>302</v>
      </c>
      <c r="F87" s="572" t="s">
        <v>518</v>
      </c>
      <c r="G87" s="505"/>
      <c r="H87" s="572" t="s">
        <v>524</v>
      </c>
      <c r="I87" s="505"/>
      <c r="J87" s="562"/>
    </row>
    <row r="88" spans="1:10" ht="18" customHeight="1" x14ac:dyDescent="0.2">
      <c r="A88" s="3232"/>
      <c r="B88" s="3407">
        <v>7</v>
      </c>
      <c r="C88" s="3407">
        <v>7</v>
      </c>
      <c r="D88" s="3407">
        <v>7</v>
      </c>
      <c r="E88" s="3407">
        <v>7</v>
      </c>
      <c r="F88" s="3414">
        <v>7.4</v>
      </c>
      <c r="G88" s="3456"/>
      <c r="H88" s="3416">
        <v>8</v>
      </c>
      <c r="I88" s="3416">
        <f>SUM(B88:H88)</f>
        <v>43.4</v>
      </c>
      <c r="J88" s="3371"/>
    </row>
    <row r="89" spans="1:10" ht="18" customHeight="1" x14ac:dyDescent="0.2">
      <c r="A89" s="310" t="s">
        <v>530</v>
      </c>
      <c r="B89" s="310">
        <f t="shared" ref="B89:I89" si="4">SUM(B78,B80,B82,B84,B86,B88)</f>
        <v>43</v>
      </c>
      <c r="C89" s="310">
        <f t="shared" si="4"/>
        <v>40</v>
      </c>
      <c r="D89" s="310">
        <f t="shared" si="4"/>
        <v>43</v>
      </c>
      <c r="E89" s="310">
        <f t="shared" si="4"/>
        <v>43</v>
      </c>
      <c r="F89" s="310">
        <f t="shared" si="4"/>
        <v>41.65</v>
      </c>
      <c r="G89" s="310">
        <f t="shared" si="4"/>
        <v>6.5</v>
      </c>
      <c r="H89" s="310">
        <f t="shared" si="4"/>
        <v>8</v>
      </c>
      <c r="I89" s="318">
        <f t="shared" si="4"/>
        <v>225.15</v>
      </c>
      <c r="J89" s="311"/>
    </row>
    <row r="90" spans="1:10" ht="18" customHeight="1" x14ac:dyDescent="0.2">
      <c r="A90" s="1" t="s">
        <v>598</v>
      </c>
      <c r="B90" s="18"/>
      <c r="C90" s="18"/>
      <c r="D90" s="18"/>
      <c r="E90" s="18"/>
      <c r="F90" s="18"/>
    </row>
    <row r="91" spans="1:10" ht="18" customHeight="1" x14ac:dyDescent="0.2">
      <c r="A91" s="312" t="s">
        <v>599</v>
      </c>
      <c r="B91" s="313" t="s">
        <v>90</v>
      </c>
      <c r="C91" s="314" t="s">
        <v>91</v>
      </c>
      <c r="D91" s="314" t="s">
        <v>92</v>
      </c>
      <c r="E91" s="314" t="s">
        <v>93</v>
      </c>
      <c r="F91" s="314" t="s">
        <v>94</v>
      </c>
      <c r="G91" s="314" t="s">
        <v>95</v>
      </c>
      <c r="H91" s="315" t="s">
        <v>96</v>
      </c>
      <c r="I91" s="316" t="s">
        <v>138</v>
      </c>
      <c r="J91" s="317" t="s">
        <v>97</v>
      </c>
    </row>
    <row r="92" spans="1:10" ht="18" customHeight="1" x14ac:dyDescent="0.2">
      <c r="A92" s="575" t="s">
        <v>600</v>
      </c>
      <c r="B92" s="505" t="s">
        <v>301</v>
      </c>
      <c r="C92" s="505" t="s">
        <v>301</v>
      </c>
      <c r="D92" s="505" t="s">
        <v>301</v>
      </c>
      <c r="E92" s="505" t="s">
        <v>301</v>
      </c>
      <c r="F92" s="505" t="s">
        <v>302</v>
      </c>
      <c r="G92" s="561"/>
      <c r="H92" s="507"/>
      <c r="I92" s="505"/>
      <c r="J92" s="574"/>
    </row>
    <row r="93" spans="1:10" ht="18" customHeight="1" x14ac:dyDescent="0.2">
      <c r="A93" s="3442"/>
      <c r="B93" s="3407">
        <v>7.5</v>
      </c>
      <c r="C93" s="3407">
        <v>7.5</v>
      </c>
      <c r="D93" s="3407">
        <v>7.5</v>
      </c>
      <c r="E93" s="3407">
        <v>7.5</v>
      </c>
      <c r="F93" s="3408">
        <v>7</v>
      </c>
      <c r="G93" s="3409"/>
      <c r="H93" s="3410"/>
      <c r="I93" s="3416">
        <f>SUM(B93:H93)</f>
        <v>37</v>
      </c>
      <c r="J93" s="3417"/>
    </row>
    <row r="94" spans="1:10" ht="18" customHeight="1" x14ac:dyDescent="0.2">
      <c r="A94" s="3448" t="s">
        <v>601</v>
      </c>
      <c r="B94" s="3447" t="s">
        <v>602</v>
      </c>
      <c r="C94" s="3447" t="s">
        <v>602</v>
      </c>
      <c r="D94" s="3447" t="s">
        <v>602</v>
      </c>
      <c r="E94" s="3447" t="s">
        <v>602</v>
      </c>
      <c r="F94" s="3447" t="s">
        <v>576</v>
      </c>
      <c r="G94" s="6"/>
      <c r="H94" s="7"/>
      <c r="I94" s="34"/>
      <c r="J94" s="12"/>
    </row>
    <row r="95" spans="1:10" ht="18" customHeight="1" x14ac:dyDescent="0.2">
      <c r="A95" s="35"/>
      <c r="B95" s="3444">
        <v>7.5</v>
      </c>
      <c r="C95" s="3444">
        <v>7.5</v>
      </c>
      <c r="D95" s="3444">
        <v>7.5</v>
      </c>
      <c r="E95" s="3444">
        <v>7.5</v>
      </c>
      <c r="F95" s="3445">
        <v>6</v>
      </c>
      <c r="G95" s="3446"/>
      <c r="H95" s="36"/>
      <c r="I95" s="3416">
        <f>SUM(B95:H95)</f>
        <v>36</v>
      </c>
      <c r="J95" s="3429"/>
    </row>
    <row r="96" spans="1:10" ht="18" customHeight="1" x14ac:dyDescent="0.2">
      <c r="A96" s="571" t="s">
        <v>603</v>
      </c>
      <c r="B96" s="505" t="s">
        <v>604</v>
      </c>
      <c r="C96" s="505" t="s">
        <v>604</v>
      </c>
      <c r="D96" s="505" t="s">
        <v>604</v>
      </c>
      <c r="E96" s="505" t="s">
        <v>604</v>
      </c>
      <c r="F96" s="505" t="s">
        <v>605</v>
      </c>
      <c r="G96" s="505"/>
      <c r="H96" s="505"/>
      <c r="I96" s="505"/>
      <c r="J96" s="574"/>
    </row>
    <row r="97" spans="1:10" ht="18" customHeight="1" x14ac:dyDescent="0.2">
      <c r="A97" s="3232"/>
      <c r="B97" s="3407">
        <v>7.5</v>
      </c>
      <c r="C97" s="3407">
        <v>7.5</v>
      </c>
      <c r="D97" s="3407">
        <v>7.5</v>
      </c>
      <c r="E97" s="3407">
        <v>7.5</v>
      </c>
      <c r="F97" s="3408">
        <v>6</v>
      </c>
      <c r="G97" s="3408"/>
      <c r="H97" s="3415"/>
      <c r="I97" s="3416">
        <f>SUM(B97:H97)</f>
        <v>36</v>
      </c>
      <c r="J97" s="3417"/>
    </row>
    <row r="98" spans="1:10" ht="18" customHeight="1" x14ac:dyDescent="0.2">
      <c r="A98" s="310" t="s">
        <v>530</v>
      </c>
      <c r="B98" s="310">
        <f t="shared" ref="B98:I98" si="5">SUM(B93,B95,B97)</f>
        <v>22.5</v>
      </c>
      <c r="C98" s="310">
        <f t="shared" si="5"/>
        <v>22.5</v>
      </c>
      <c r="D98" s="310">
        <f t="shared" si="5"/>
        <v>22.5</v>
      </c>
      <c r="E98" s="310">
        <f t="shared" si="5"/>
        <v>22.5</v>
      </c>
      <c r="F98" s="310">
        <f t="shared" si="5"/>
        <v>19</v>
      </c>
      <c r="G98" s="310">
        <f t="shared" si="5"/>
        <v>0</v>
      </c>
      <c r="H98" s="310">
        <f t="shared" si="5"/>
        <v>0</v>
      </c>
      <c r="I98" s="318">
        <f t="shared" si="5"/>
        <v>109</v>
      </c>
      <c r="J98" s="319"/>
    </row>
    <row r="99" spans="1:10" ht="18" customHeight="1" x14ac:dyDescent="0.2">
      <c r="A99" s="1" t="s">
        <v>606</v>
      </c>
      <c r="B99" s="18"/>
      <c r="C99" s="18"/>
      <c r="D99" s="18"/>
      <c r="E99" s="18"/>
      <c r="F99" s="18"/>
    </row>
    <row r="100" spans="1:10" ht="18" customHeight="1" x14ac:dyDescent="0.2">
      <c r="A100" s="304" t="s">
        <v>532</v>
      </c>
      <c r="B100" s="423" t="s">
        <v>90</v>
      </c>
      <c r="C100" s="424" t="s">
        <v>91</v>
      </c>
      <c r="D100" s="424" t="s">
        <v>92</v>
      </c>
      <c r="E100" s="424" t="s">
        <v>93</v>
      </c>
      <c r="F100" s="424" t="s">
        <v>94</v>
      </c>
      <c r="G100" s="424" t="s">
        <v>95</v>
      </c>
      <c r="H100" s="308" t="s">
        <v>96</v>
      </c>
      <c r="I100" s="309" t="s">
        <v>138</v>
      </c>
      <c r="J100" s="425" t="s">
        <v>97</v>
      </c>
    </row>
    <row r="101" spans="1:10" ht="18" customHeight="1" x14ac:dyDescent="0.2">
      <c r="A101" s="568"/>
      <c r="B101" s="572" t="s">
        <v>319</v>
      </c>
      <c r="C101" s="572" t="s">
        <v>319</v>
      </c>
      <c r="D101" s="572" t="s">
        <v>319</v>
      </c>
      <c r="E101" s="572" t="s">
        <v>319</v>
      </c>
      <c r="F101" s="572" t="s">
        <v>320</v>
      </c>
      <c r="G101" s="561"/>
      <c r="H101" s="507"/>
      <c r="I101" s="500"/>
      <c r="J101" s="570"/>
    </row>
    <row r="102" spans="1:10" ht="18" customHeight="1" x14ac:dyDescent="0.2">
      <c r="A102" s="3232" t="s">
        <v>607</v>
      </c>
      <c r="B102" s="3407">
        <v>7.75</v>
      </c>
      <c r="C102" s="3407">
        <v>7.75</v>
      </c>
      <c r="D102" s="3407">
        <v>7.75</v>
      </c>
      <c r="E102" s="3407">
        <v>7.75</v>
      </c>
      <c r="F102" s="3407">
        <v>6</v>
      </c>
      <c r="G102" s="3409"/>
      <c r="H102" s="3410"/>
      <c r="I102" s="3411">
        <f>SUM(B102:H102)</f>
        <v>37</v>
      </c>
      <c r="J102" s="3412"/>
    </row>
    <row r="103" spans="1:10" ht="18" customHeight="1" x14ac:dyDescent="0.2"/>
    <row r="104" spans="1:10" ht="18" customHeight="1" x14ac:dyDescent="0.2">
      <c r="A104" s="1" t="s">
        <v>608</v>
      </c>
      <c r="B104" s="18"/>
      <c r="C104" s="18"/>
      <c r="D104" s="18"/>
      <c r="E104" s="18"/>
      <c r="F104" s="18"/>
    </row>
    <row r="105" spans="1:10" ht="18" customHeight="1" x14ac:dyDescent="0.2">
      <c r="A105" s="304" t="s">
        <v>609</v>
      </c>
      <c r="B105" s="423" t="s">
        <v>90</v>
      </c>
      <c r="C105" s="424" t="s">
        <v>91</v>
      </c>
      <c r="D105" s="424" t="s">
        <v>92</v>
      </c>
      <c r="E105" s="424" t="s">
        <v>93</v>
      </c>
      <c r="F105" s="424" t="s">
        <v>94</v>
      </c>
      <c r="G105" s="424" t="s">
        <v>95</v>
      </c>
      <c r="H105" s="308" t="s">
        <v>96</v>
      </c>
      <c r="I105" s="309" t="s">
        <v>138</v>
      </c>
      <c r="J105" s="425" t="s">
        <v>97</v>
      </c>
    </row>
    <row r="106" spans="1:10" ht="18" customHeight="1" x14ac:dyDescent="0.2">
      <c r="A106" s="568"/>
      <c r="B106" s="572" t="s">
        <v>610</v>
      </c>
      <c r="C106" s="572" t="s">
        <v>610</v>
      </c>
      <c r="D106" s="572" t="s">
        <v>524</v>
      </c>
      <c r="E106" s="572" t="s">
        <v>524</v>
      </c>
      <c r="F106" s="572" t="s">
        <v>163</v>
      </c>
      <c r="G106" s="573"/>
      <c r="H106" s="576"/>
      <c r="I106" s="500"/>
      <c r="J106" s="574"/>
    </row>
    <row r="107" spans="1:10" ht="18" customHeight="1" x14ac:dyDescent="0.2">
      <c r="A107" s="3232" t="s">
        <v>611</v>
      </c>
      <c r="B107" s="3407">
        <v>7.5</v>
      </c>
      <c r="C107" s="3408">
        <v>7.5</v>
      </c>
      <c r="D107" s="3408">
        <v>8</v>
      </c>
      <c r="E107" s="3408">
        <v>8</v>
      </c>
      <c r="F107" s="3408">
        <v>6</v>
      </c>
      <c r="G107" s="3408"/>
      <c r="H107" s="3415"/>
      <c r="I107" s="3411">
        <f>SUM(B107:H107)</f>
        <v>37</v>
      </c>
      <c r="J107" s="3417"/>
    </row>
    <row r="108" spans="1:10" ht="18" customHeight="1" x14ac:dyDescent="0.2"/>
    <row r="109" spans="1:10" ht="18" customHeight="1" x14ac:dyDescent="0.2">
      <c r="A109" s="1" t="s">
        <v>612</v>
      </c>
      <c r="B109" s="18"/>
      <c r="C109" s="18"/>
      <c r="D109" s="18"/>
      <c r="E109" s="18"/>
      <c r="F109" s="18"/>
    </row>
    <row r="110" spans="1:10" ht="18" customHeight="1" x14ac:dyDescent="0.2">
      <c r="A110" s="304" t="s">
        <v>532</v>
      </c>
      <c r="B110" s="423" t="s">
        <v>90</v>
      </c>
      <c r="C110" s="424" t="s">
        <v>91</v>
      </c>
      <c r="D110" s="424" t="s">
        <v>92</v>
      </c>
      <c r="E110" s="424" t="s">
        <v>93</v>
      </c>
      <c r="F110" s="424" t="s">
        <v>94</v>
      </c>
      <c r="G110" s="424" t="s">
        <v>95</v>
      </c>
      <c r="H110" s="308" t="s">
        <v>96</v>
      </c>
      <c r="I110" s="309" t="s">
        <v>138</v>
      </c>
      <c r="J110" s="425" t="s">
        <v>97</v>
      </c>
    </row>
    <row r="111" spans="1:10" ht="18" customHeight="1" x14ac:dyDescent="0.2">
      <c r="A111" s="575"/>
      <c r="B111" s="572" t="s">
        <v>319</v>
      </c>
      <c r="C111" s="572" t="s">
        <v>319</v>
      </c>
      <c r="D111" s="572" t="s">
        <v>319</v>
      </c>
      <c r="E111" s="572" t="s">
        <v>319</v>
      </c>
      <c r="F111" s="572" t="s">
        <v>320</v>
      </c>
      <c r="G111" s="573"/>
      <c r="H111" s="576"/>
      <c r="I111" s="500"/>
      <c r="J111" s="574"/>
    </row>
    <row r="112" spans="1:10" ht="18" customHeight="1" x14ac:dyDescent="0.2">
      <c r="A112" s="3232" t="s">
        <v>613</v>
      </c>
      <c r="B112" s="3407">
        <v>7.75</v>
      </c>
      <c r="C112" s="3407">
        <v>7.75</v>
      </c>
      <c r="D112" s="3407">
        <v>7.75</v>
      </c>
      <c r="E112" s="3407">
        <v>7.75</v>
      </c>
      <c r="F112" s="3407">
        <v>6</v>
      </c>
      <c r="G112" s="3408"/>
      <c r="H112" s="3415"/>
      <c r="I112" s="3416">
        <f>SUM(B112:H112)</f>
        <v>37</v>
      </c>
      <c r="J112" s="3417"/>
    </row>
    <row r="113" spans="1:10" ht="18" customHeight="1" x14ac:dyDescent="0.2">
      <c r="A113" s="575"/>
      <c r="B113" s="572" t="s">
        <v>319</v>
      </c>
      <c r="C113" s="572" t="s">
        <v>319</v>
      </c>
      <c r="D113" s="572" t="s">
        <v>319</v>
      </c>
      <c r="E113" s="572" t="s">
        <v>319</v>
      </c>
      <c r="F113" s="572" t="s">
        <v>320</v>
      </c>
      <c r="G113" s="573"/>
      <c r="H113" s="576"/>
      <c r="I113" s="500"/>
      <c r="J113" s="574"/>
    </row>
    <row r="114" spans="1:10" ht="18" customHeight="1" x14ac:dyDescent="0.2">
      <c r="A114" s="3232" t="s">
        <v>614</v>
      </c>
      <c r="B114" s="3407">
        <v>7.75</v>
      </c>
      <c r="C114" s="3407">
        <v>7.75</v>
      </c>
      <c r="D114" s="3407">
        <v>7.75</v>
      </c>
      <c r="E114" s="3407">
        <v>7.75</v>
      </c>
      <c r="F114" s="3407">
        <v>6</v>
      </c>
      <c r="G114" s="3408"/>
      <c r="H114" s="3415"/>
      <c r="I114" s="3416">
        <f>SUM(B114:H114)</f>
        <v>37</v>
      </c>
      <c r="J114" s="3417"/>
    </row>
    <row r="115" spans="1:10" ht="18" customHeight="1" x14ac:dyDescent="0.2">
      <c r="A115" s="575"/>
      <c r="B115" s="572" t="s">
        <v>319</v>
      </c>
      <c r="C115" s="572" t="s">
        <v>319</v>
      </c>
      <c r="D115" s="572" t="s">
        <v>319</v>
      </c>
      <c r="E115" s="572" t="s">
        <v>319</v>
      </c>
      <c r="F115" s="572" t="s">
        <v>320</v>
      </c>
      <c r="G115" s="573"/>
      <c r="H115" s="576"/>
      <c r="I115" s="500"/>
      <c r="J115" s="574"/>
    </row>
    <row r="116" spans="1:10" ht="18" customHeight="1" x14ac:dyDescent="0.2">
      <c r="A116" s="3232" t="s">
        <v>615</v>
      </c>
      <c r="B116" s="3407">
        <v>7.75</v>
      </c>
      <c r="C116" s="3407">
        <v>7.75</v>
      </c>
      <c r="D116" s="3407">
        <v>7.75</v>
      </c>
      <c r="E116" s="3407">
        <v>7.75</v>
      </c>
      <c r="F116" s="3407">
        <v>6</v>
      </c>
      <c r="G116" s="3408"/>
      <c r="H116" s="3415"/>
      <c r="I116" s="3416">
        <f>SUM(B116:H116)</f>
        <v>37</v>
      </c>
      <c r="J116" s="3417"/>
    </row>
    <row r="117" spans="1:10" ht="18" customHeight="1" x14ac:dyDescent="0.2">
      <c r="A117" s="310" t="s">
        <v>530</v>
      </c>
      <c r="B117" s="310">
        <f t="shared" ref="B117:I117" si="6">SUM(B112,B114,B116)</f>
        <v>23.25</v>
      </c>
      <c r="C117" s="310">
        <f t="shared" si="6"/>
        <v>23.25</v>
      </c>
      <c r="D117" s="310">
        <f t="shared" si="6"/>
        <v>23.25</v>
      </c>
      <c r="E117" s="310">
        <f t="shared" si="6"/>
        <v>23.25</v>
      </c>
      <c r="F117" s="310">
        <f t="shared" si="6"/>
        <v>18</v>
      </c>
      <c r="G117" s="310">
        <f t="shared" si="6"/>
        <v>0</v>
      </c>
      <c r="H117" s="310">
        <f t="shared" si="6"/>
        <v>0</v>
      </c>
      <c r="I117" s="318">
        <f t="shared" si="6"/>
        <v>111</v>
      </c>
      <c r="J117" s="319"/>
    </row>
    <row r="118" spans="1:10" ht="18" customHeight="1" x14ac:dyDescent="0.2">
      <c r="A118" s="18"/>
      <c r="B118" s="18"/>
      <c r="C118" s="18"/>
      <c r="D118" s="18"/>
      <c r="E118" s="18"/>
      <c r="F118" s="18"/>
      <c r="G118" s="37"/>
      <c r="H118" s="37"/>
      <c r="I118" s="18"/>
      <c r="J118" s="19"/>
    </row>
    <row r="119" spans="1:10" ht="18" customHeight="1" x14ac:dyDescent="0.2">
      <c r="A119" s="1" t="s">
        <v>616</v>
      </c>
      <c r="B119" s="18"/>
      <c r="C119" s="18"/>
      <c r="D119" s="18"/>
      <c r="E119" s="18"/>
      <c r="F119" s="18"/>
    </row>
    <row r="120" spans="1:10" ht="18" customHeight="1" x14ac:dyDescent="0.2">
      <c r="A120" s="304" t="s">
        <v>617</v>
      </c>
      <c r="B120" s="423" t="s">
        <v>90</v>
      </c>
      <c r="C120" s="424" t="s">
        <v>91</v>
      </c>
      <c r="D120" s="424" t="s">
        <v>92</v>
      </c>
      <c r="E120" s="424" t="s">
        <v>93</v>
      </c>
      <c r="F120" s="424" t="s">
        <v>94</v>
      </c>
      <c r="G120" s="424" t="s">
        <v>95</v>
      </c>
      <c r="H120" s="308" t="s">
        <v>96</v>
      </c>
      <c r="I120" s="309" t="s">
        <v>138</v>
      </c>
      <c r="J120" s="425" t="s">
        <v>97</v>
      </c>
    </row>
    <row r="121" spans="1:10" ht="18" customHeight="1" x14ac:dyDescent="0.2">
      <c r="A121" s="571" t="s">
        <v>0</v>
      </c>
      <c r="B121" s="572" t="s">
        <v>269</v>
      </c>
      <c r="C121" s="572" t="s">
        <v>269</v>
      </c>
      <c r="D121" s="572" t="s">
        <v>269</v>
      </c>
      <c r="E121" s="572" t="s">
        <v>269</v>
      </c>
      <c r="F121" s="573" t="s">
        <v>270</v>
      </c>
      <c r="G121" s="573"/>
      <c r="H121" s="573"/>
      <c r="I121" s="500"/>
      <c r="J121" s="574"/>
    </row>
    <row r="122" spans="1:10" ht="18" customHeight="1" x14ac:dyDescent="0.2">
      <c r="A122" s="3413" t="s">
        <v>618</v>
      </c>
      <c r="B122" s="3414">
        <v>7.75</v>
      </c>
      <c r="C122" s="3414">
        <v>7.75</v>
      </c>
      <c r="D122" s="3414">
        <v>7.75</v>
      </c>
      <c r="E122" s="3414">
        <v>7.75</v>
      </c>
      <c r="F122" s="3457">
        <v>6</v>
      </c>
      <c r="G122" s="3457"/>
      <c r="H122" s="3457"/>
      <c r="I122" s="3458">
        <f>SUM(B122:H122)</f>
        <v>37</v>
      </c>
      <c r="J122" s="3459"/>
    </row>
    <row r="123" spans="1:10" ht="18" customHeight="1" x14ac:dyDescent="0.2">
      <c r="A123" s="38"/>
      <c r="B123" s="3444"/>
      <c r="C123" s="3444"/>
      <c r="D123" s="3444"/>
      <c r="E123" s="3444"/>
      <c r="F123" s="3445"/>
      <c r="G123" s="3445"/>
      <c r="H123" s="37"/>
      <c r="I123" s="3460"/>
      <c r="J123" s="3461"/>
    </row>
    <row r="124" spans="1:10" ht="18" customHeight="1" x14ac:dyDescent="0.2">
      <c r="A124" s="39" t="s">
        <v>619</v>
      </c>
      <c r="B124" s="3444"/>
      <c r="C124" s="3444"/>
      <c r="D124" s="3444"/>
      <c r="E124" s="3444"/>
      <c r="F124" s="3445"/>
      <c r="G124" s="3445"/>
      <c r="H124" s="37"/>
      <c r="I124" s="3460"/>
      <c r="J124" s="3461"/>
    </row>
    <row r="125" spans="1:10" ht="18" customHeight="1" x14ac:dyDescent="0.2">
      <c r="A125" s="312" t="s">
        <v>620</v>
      </c>
      <c r="B125" s="313" t="s">
        <v>90</v>
      </c>
      <c r="C125" s="314" t="s">
        <v>91</v>
      </c>
      <c r="D125" s="314" t="s">
        <v>92</v>
      </c>
      <c r="E125" s="314" t="s">
        <v>93</v>
      </c>
      <c r="F125" s="314" t="s">
        <v>94</v>
      </c>
      <c r="G125" s="314" t="s">
        <v>95</v>
      </c>
      <c r="H125" s="315" t="s">
        <v>96</v>
      </c>
      <c r="I125" s="316" t="s">
        <v>138</v>
      </c>
      <c r="J125" s="317" t="s">
        <v>97</v>
      </c>
    </row>
    <row r="126" spans="1:10" ht="18" customHeight="1" x14ac:dyDescent="0.2">
      <c r="A126" s="40" t="s">
        <v>0</v>
      </c>
      <c r="B126" s="4" t="s">
        <v>621</v>
      </c>
      <c r="C126" s="4" t="s">
        <v>621</v>
      </c>
      <c r="D126" s="4" t="s">
        <v>621</v>
      </c>
      <c r="E126" s="4" t="s">
        <v>621</v>
      </c>
      <c r="F126" s="5" t="s">
        <v>301</v>
      </c>
      <c r="G126" s="5"/>
      <c r="H126" s="5"/>
      <c r="I126" s="8"/>
      <c r="J126" s="12"/>
    </row>
    <row r="127" spans="1:10" ht="18" customHeight="1" x14ac:dyDescent="0.2">
      <c r="A127" s="3413" t="s">
        <v>622</v>
      </c>
      <c r="B127" s="3414">
        <v>7.5</v>
      </c>
      <c r="C127" s="3414">
        <v>7.5</v>
      </c>
      <c r="D127" s="3414">
        <v>7.5</v>
      </c>
      <c r="E127" s="3414">
        <v>7.5</v>
      </c>
      <c r="F127" s="3457">
        <v>7</v>
      </c>
      <c r="G127" s="3457"/>
      <c r="H127" s="3457"/>
      <c r="I127" s="3462">
        <f>SUM(B127:H127)</f>
        <v>37</v>
      </c>
      <c r="J127" s="3417" t="s">
        <v>594</v>
      </c>
    </row>
    <row r="128" spans="1:10" ht="18" customHeight="1" x14ac:dyDescent="0.2">
      <c r="A128" s="18"/>
      <c r="B128" s="18"/>
      <c r="C128" s="18"/>
      <c r="D128" s="18"/>
      <c r="E128" s="18"/>
      <c r="F128" s="37"/>
      <c r="G128" s="37"/>
      <c r="H128" s="37"/>
      <c r="I128" s="18"/>
      <c r="J128" s="19"/>
    </row>
    <row r="129" spans="1:10" ht="18" customHeight="1" x14ac:dyDescent="0.2">
      <c r="A129" s="18"/>
      <c r="B129" s="18"/>
      <c r="C129" s="18"/>
      <c r="D129" s="18"/>
      <c r="E129" s="18"/>
      <c r="F129" s="37"/>
      <c r="G129" s="37"/>
      <c r="H129" s="37"/>
      <c r="I129" s="18"/>
      <c r="J129" s="19"/>
    </row>
    <row r="130" spans="1:10" ht="18" customHeight="1" x14ac:dyDescent="0.2">
      <c r="A130" s="18"/>
      <c r="B130" s="18"/>
      <c r="C130" s="18"/>
      <c r="D130" s="18"/>
      <c r="E130" s="18"/>
      <c r="F130" s="37"/>
      <c r="G130" s="37"/>
      <c r="H130" s="37"/>
      <c r="I130" s="18"/>
      <c r="J130" s="19"/>
    </row>
    <row r="131" spans="1:10" ht="18" customHeight="1" x14ac:dyDescent="0.2">
      <c r="A131" s="18"/>
      <c r="B131" s="18"/>
      <c r="C131" s="18"/>
      <c r="D131" s="18"/>
      <c r="E131" s="18"/>
      <c r="F131" s="37"/>
      <c r="G131" s="37"/>
      <c r="H131" s="37"/>
      <c r="I131" s="18"/>
      <c r="J131" s="19"/>
    </row>
    <row r="132" spans="1:10" ht="18" customHeight="1" x14ac:dyDescent="0.2">
      <c r="A132" s="3252" t="s">
        <v>623</v>
      </c>
      <c r="B132" s="18"/>
      <c r="C132" s="18"/>
      <c r="D132" s="18"/>
      <c r="E132" s="18"/>
      <c r="F132" s="37"/>
      <c r="G132" s="37"/>
      <c r="H132" s="37"/>
      <c r="I132" s="18"/>
      <c r="J132" s="19"/>
    </row>
    <row r="133" spans="1:10" ht="18" customHeight="1" x14ac:dyDescent="0.2">
      <c r="A133" s="35" t="s">
        <v>620</v>
      </c>
      <c r="B133" s="423" t="s">
        <v>90</v>
      </c>
      <c r="C133" s="424" t="s">
        <v>91</v>
      </c>
      <c r="D133" s="424" t="s">
        <v>92</v>
      </c>
      <c r="E133" s="424" t="s">
        <v>93</v>
      </c>
      <c r="F133" s="424" t="s">
        <v>94</v>
      </c>
      <c r="G133" s="424" t="s">
        <v>95</v>
      </c>
      <c r="H133" s="308" t="s">
        <v>96</v>
      </c>
      <c r="I133" s="309" t="s">
        <v>138</v>
      </c>
      <c r="J133" s="425" t="s">
        <v>97</v>
      </c>
    </row>
    <row r="134" spans="1:10" ht="18" customHeight="1" x14ac:dyDescent="0.2">
      <c r="A134" s="571" t="s">
        <v>0</v>
      </c>
      <c r="B134" s="572" t="s">
        <v>621</v>
      </c>
      <c r="C134" s="572" t="s">
        <v>621</v>
      </c>
      <c r="D134" s="572" t="s">
        <v>621</v>
      </c>
      <c r="E134" s="572" t="s">
        <v>621</v>
      </c>
      <c r="F134" s="573" t="s">
        <v>301</v>
      </c>
      <c r="G134" s="573"/>
      <c r="H134" s="573"/>
      <c r="I134" s="500"/>
      <c r="J134" s="574"/>
    </row>
    <row r="135" spans="1:10" ht="18" customHeight="1" x14ac:dyDescent="0.2">
      <c r="A135" s="3413" t="s">
        <v>624</v>
      </c>
      <c r="B135" s="3414">
        <v>7.5</v>
      </c>
      <c r="C135" s="3414">
        <v>7.5</v>
      </c>
      <c r="D135" s="3414">
        <v>7.5</v>
      </c>
      <c r="E135" s="3414">
        <v>7.5</v>
      </c>
      <c r="F135" s="3457">
        <v>7</v>
      </c>
      <c r="G135" s="3457"/>
      <c r="H135" s="3457"/>
      <c r="I135" s="3414">
        <f>SUM(B135:H135)</f>
        <v>37</v>
      </c>
      <c r="J135" s="3417" t="s">
        <v>594</v>
      </c>
    </row>
    <row r="136" spans="1:10" ht="18" customHeight="1" x14ac:dyDescent="0.2">
      <c r="A136" s="571" t="s">
        <v>0</v>
      </c>
      <c r="B136" s="572" t="s">
        <v>621</v>
      </c>
      <c r="C136" s="572" t="s">
        <v>621</v>
      </c>
      <c r="D136" s="572" t="s">
        <v>621</v>
      </c>
      <c r="E136" s="572" t="s">
        <v>621</v>
      </c>
      <c r="F136" s="573" t="s">
        <v>301</v>
      </c>
      <c r="G136" s="573"/>
      <c r="H136" s="573"/>
      <c r="I136" s="500"/>
      <c r="J136" s="574"/>
    </row>
    <row r="137" spans="1:10" ht="18" customHeight="1" x14ac:dyDescent="0.2">
      <c r="A137" s="3413" t="s">
        <v>625</v>
      </c>
      <c r="B137" s="3414">
        <v>7.5</v>
      </c>
      <c r="C137" s="3414">
        <v>7.5</v>
      </c>
      <c r="D137" s="3414">
        <v>7.5</v>
      </c>
      <c r="E137" s="3414">
        <v>7.5</v>
      </c>
      <c r="F137" s="3457">
        <v>7</v>
      </c>
      <c r="G137" s="3457"/>
      <c r="H137" s="3457"/>
      <c r="I137" s="3414">
        <f>SUM(B137:H137)</f>
        <v>37</v>
      </c>
      <c r="J137" s="3417" t="s">
        <v>594</v>
      </c>
    </row>
    <row r="138" spans="1:10" ht="18" customHeight="1" x14ac:dyDescent="0.2">
      <c r="A138" s="571" t="s">
        <v>0</v>
      </c>
      <c r="B138" s="572" t="s">
        <v>621</v>
      </c>
      <c r="C138" s="572" t="s">
        <v>621</v>
      </c>
      <c r="D138" s="572" t="s">
        <v>621</v>
      </c>
      <c r="E138" s="572" t="s">
        <v>621</v>
      </c>
      <c r="F138" s="573" t="s">
        <v>301</v>
      </c>
      <c r="G138" s="573"/>
      <c r="H138" s="573"/>
      <c r="I138" s="500"/>
      <c r="J138" s="574"/>
    </row>
    <row r="139" spans="1:10" ht="18" customHeight="1" x14ac:dyDescent="0.2">
      <c r="A139" s="3413" t="s">
        <v>626</v>
      </c>
      <c r="B139" s="3414">
        <v>7.5</v>
      </c>
      <c r="C139" s="3414">
        <v>7.5</v>
      </c>
      <c r="D139" s="3414">
        <v>7.5</v>
      </c>
      <c r="E139" s="3414">
        <v>7.5</v>
      </c>
      <c r="F139" s="3457">
        <v>7</v>
      </c>
      <c r="G139" s="3457"/>
      <c r="H139" s="3457"/>
      <c r="I139" s="3414">
        <f>SUM(B139:H139)</f>
        <v>37</v>
      </c>
      <c r="J139" s="3417" t="s">
        <v>594</v>
      </c>
    </row>
    <row r="140" spans="1:10" ht="18" customHeight="1" x14ac:dyDescent="0.2">
      <c r="A140" s="571" t="s">
        <v>0</v>
      </c>
      <c r="B140" s="572" t="s">
        <v>621</v>
      </c>
      <c r="C140" s="572" t="s">
        <v>621</v>
      </c>
      <c r="D140" s="572" t="s">
        <v>621</v>
      </c>
      <c r="E140" s="572" t="s">
        <v>621</v>
      </c>
      <c r="F140" s="573" t="s">
        <v>301</v>
      </c>
      <c r="G140" s="573"/>
      <c r="H140" s="573"/>
      <c r="I140" s="500"/>
      <c r="J140" s="574"/>
    </row>
    <row r="141" spans="1:10" ht="18" customHeight="1" x14ac:dyDescent="0.2">
      <c r="A141" s="3413" t="s">
        <v>627</v>
      </c>
      <c r="B141" s="3414">
        <v>7.5</v>
      </c>
      <c r="C141" s="3414">
        <v>7.5</v>
      </c>
      <c r="D141" s="3414">
        <v>7.5</v>
      </c>
      <c r="E141" s="3414">
        <v>7.5</v>
      </c>
      <c r="F141" s="3457">
        <v>7</v>
      </c>
      <c r="G141" s="3457"/>
      <c r="H141" s="3457"/>
      <c r="I141" s="3414">
        <f>SUM(B141:H141)</f>
        <v>37</v>
      </c>
      <c r="J141" s="3417" t="s">
        <v>594</v>
      </c>
    </row>
    <row r="142" spans="1:10" ht="18" customHeight="1" x14ac:dyDescent="0.2">
      <c r="A142" s="571" t="s">
        <v>0</v>
      </c>
      <c r="B142" s="572" t="s">
        <v>621</v>
      </c>
      <c r="C142" s="572" t="s">
        <v>621</v>
      </c>
      <c r="D142" s="572" t="s">
        <v>621</v>
      </c>
      <c r="E142" s="572" t="s">
        <v>621</v>
      </c>
      <c r="F142" s="573" t="s">
        <v>301</v>
      </c>
      <c r="G142" s="573"/>
      <c r="H142" s="573"/>
      <c r="I142" s="500"/>
      <c r="J142" s="574"/>
    </row>
    <row r="143" spans="1:10" ht="18" customHeight="1" x14ac:dyDescent="0.2">
      <c r="A143" s="3413" t="s">
        <v>628</v>
      </c>
      <c r="B143" s="3414">
        <v>7.5</v>
      </c>
      <c r="C143" s="3414">
        <v>7.5</v>
      </c>
      <c r="D143" s="3414">
        <v>7.5</v>
      </c>
      <c r="E143" s="3414">
        <v>7.5</v>
      </c>
      <c r="F143" s="3457">
        <v>7</v>
      </c>
      <c r="G143" s="3457"/>
      <c r="H143" s="3457"/>
      <c r="I143" s="3414">
        <f>SUM(B143:H143)</f>
        <v>37</v>
      </c>
      <c r="J143" s="3417" t="s">
        <v>594</v>
      </c>
    </row>
    <row r="144" spans="1:10" ht="18" customHeight="1" x14ac:dyDescent="0.2">
      <c r="A144" s="310" t="s">
        <v>530</v>
      </c>
      <c r="B144" s="310">
        <f t="shared" ref="B144:I144" si="7">SUM(B135,B137,B139,B141,B143)</f>
        <v>37.5</v>
      </c>
      <c r="C144" s="310">
        <f t="shared" si="7"/>
        <v>37.5</v>
      </c>
      <c r="D144" s="310">
        <f t="shared" si="7"/>
        <v>37.5</v>
      </c>
      <c r="E144" s="310">
        <f t="shared" si="7"/>
        <v>37.5</v>
      </c>
      <c r="F144" s="310">
        <f t="shared" si="7"/>
        <v>35</v>
      </c>
      <c r="G144" s="310">
        <f t="shared" si="7"/>
        <v>0</v>
      </c>
      <c r="H144" s="310">
        <f t="shared" si="7"/>
        <v>0</v>
      </c>
      <c r="I144" s="318">
        <f t="shared" si="7"/>
        <v>185</v>
      </c>
      <c r="J144" s="319"/>
    </row>
    <row r="145" spans="1:10" ht="18" customHeight="1" x14ac:dyDescent="0.2">
      <c r="A145" s="18"/>
      <c r="B145" s="18"/>
      <c r="C145" s="18"/>
      <c r="D145" s="18"/>
      <c r="E145" s="18"/>
      <c r="F145" s="37"/>
      <c r="G145" s="37"/>
      <c r="H145" s="37"/>
      <c r="I145" s="18"/>
      <c r="J145" s="19"/>
    </row>
    <row r="146" spans="1:10" ht="18" customHeight="1" x14ac:dyDescent="0.2">
      <c r="A146" s="18"/>
      <c r="B146" s="18"/>
      <c r="C146" s="18"/>
      <c r="D146" s="18"/>
      <c r="E146" s="18"/>
      <c r="F146" s="37"/>
      <c r="G146" s="37"/>
      <c r="H146" s="37"/>
      <c r="I146" s="18"/>
      <c r="J146" s="19"/>
    </row>
    <row r="147" spans="1:10" ht="20.100000000000001" customHeight="1" x14ac:dyDescent="0.2">
      <c r="B147" s="320" t="s">
        <v>90</v>
      </c>
      <c r="C147" s="314" t="s">
        <v>91</v>
      </c>
      <c r="D147" s="314" t="s">
        <v>92</v>
      </c>
      <c r="E147" s="314" t="s">
        <v>93</v>
      </c>
      <c r="F147" s="314" t="s">
        <v>94</v>
      </c>
      <c r="G147" s="314" t="s">
        <v>95</v>
      </c>
      <c r="H147" s="321" t="s">
        <v>96</v>
      </c>
      <c r="I147" s="322" t="s">
        <v>629</v>
      </c>
      <c r="J147" s="37" t="s">
        <v>0</v>
      </c>
    </row>
    <row r="148" spans="1:10" ht="20.100000000000001" customHeight="1" x14ac:dyDescent="0.2">
      <c r="A148" s="3463" t="s">
        <v>630</v>
      </c>
      <c r="B148" s="4">
        <f t="shared" ref="B148:I148" si="8">SUM(B4,B20,B30,B65,B74,B89,B98,B102,B107,B117,B122,B127,B144)</f>
        <v>368.40000000000003</v>
      </c>
      <c r="C148" s="4">
        <f t="shared" si="8"/>
        <v>364</v>
      </c>
      <c r="D148" s="4">
        <f t="shared" si="8"/>
        <v>369.5</v>
      </c>
      <c r="E148" s="4">
        <f t="shared" si="8"/>
        <v>368.5</v>
      </c>
      <c r="F148" s="4">
        <f t="shared" si="8"/>
        <v>333.65</v>
      </c>
      <c r="G148" s="4">
        <f t="shared" si="8"/>
        <v>96.5</v>
      </c>
      <c r="H148" s="4">
        <f t="shared" si="8"/>
        <v>84</v>
      </c>
      <c r="I148" s="4">
        <f t="shared" si="8"/>
        <v>1984.55</v>
      </c>
      <c r="J148" s="3460" t="s">
        <v>0</v>
      </c>
    </row>
    <row r="149" spans="1:10" ht="20.100000000000001" customHeight="1" x14ac:dyDescent="0.2">
      <c r="A149" s="3463" t="s">
        <v>631</v>
      </c>
      <c r="B149" s="3449">
        <f>SUM(G148)*4</f>
        <v>386</v>
      </c>
      <c r="C149" s="3449">
        <f>SUM(G148)*1</f>
        <v>96.5</v>
      </c>
      <c r="D149" s="3449">
        <f>SUM(G148)*0</f>
        <v>0</v>
      </c>
      <c r="E149" s="3449">
        <f>SUM(G148)*2</f>
        <v>193</v>
      </c>
      <c r="F149" s="3449">
        <f>SUM(G148)*2</f>
        <v>193</v>
      </c>
      <c r="G149" s="3449">
        <f>SUM(G148)*0</f>
        <v>0</v>
      </c>
      <c r="H149" s="3449">
        <f>SUM(G148)*0</f>
        <v>0</v>
      </c>
      <c r="I149" s="4">
        <f>SUM(B149:H149)</f>
        <v>868.5</v>
      </c>
    </row>
    <row r="150" spans="1:10" ht="20.100000000000001" customHeight="1" x14ac:dyDescent="0.2">
      <c r="A150" s="3463" t="s">
        <v>632</v>
      </c>
      <c r="B150" s="4">
        <f>SUM(B148*48)+B149</f>
        <v>18069.2</v>
      </c>
      <c r="C150" s="4">
        <f>SUM(C148*51)+C149</f>
        <v>18660.5</v>
      </c>
      <c r="D150" s="4">
        <f>SUM(D148*52)+D149</f>
        <v>19214</v>
      </c>
      <c r="E150" s="4">
        <f>SUM(E148*52)+E149</f>
        <v>19355</v>
      </c>
      <c r="F150" s="4">
        <f>SUM(F148*52)+F149</f>
        <v>17542.8</v>
      </c>
      <c r="G150" s="4">
        <f>SUM(G148*52)+G149</f>
        <v>5018</v>
      </c>
      <c r="H150" s="4">
        <f>SUM(H148*52)+H149</f>
        <v>4368</v>
      </c>
      <c r="I150" s="41">
        <f>SUM(B150:H150)</f>
        <v>102227.5</v>
      </c>
    </row>
    <row r="151" spans="1:10" ht="20.100000000000001" customHeight="1" x14ac:dyDescent="0.2"/>
    <row r="152" spans="1:10" ht="20.100000000000001" customHeight="1" x14ac:dyDescent="0.2"/>
    <row r="153" spans="1:10" ht="20.100000000000001" customHeight="1" x14ac:dyDescent="0.2">
      <c r="A153" s="3463" t="s">
        <v>633</v>
      </c>
      <c r="B153" s="3463"/>
      <c r="C153" s="3463"/>
      <c r="D153" s="3463"/>
      <c r="E153" s="3449">
        <v>56</v>
      </c>
      <c r="F153" s="3463"/>
      <c r="G153" s="3463"/>
      <c r="H153" s="3464"/>
      <c r="I153" s="3465">
        <f>SUM(E153)*52</f>
        <v>2912</v>
      </c>
    </row>
    <row r="154" spans="1:10" ht="20.100000000000001" customHeight="1" x14ac:dyDescent="0.2">
      <c r="A154" s="3466" t="s">
        <v>634</v>
      </c>
      <c r="B154" s="3466"/>
      <c r="C154" s="3466"/>
      <c r="D154" s="3466"/>
      <c r="E154" s="3466"/>
      <c r="F154" s="3466"/>
      <c r="G154" s="3466"/>
      <c r="H154" s="3466"/>
      <c r="I154" s="3465">
        <f>SUM(I153*2)</f>
        <v>5824</v>
      </c>
    </row>
    <row r="155" spans="1:10" ht="20.100000000000001" customHeight="1" x14ac:dyDescent="0.2">
      <c r="A155" s="3463" t="s">
        <v>635</v>
      </c>
      <c r="B155" s="3463"/>
      <c r="C155" s="3464"/>
      <c r="D155" s="3466"/>
      <c r="E155" s="3466"/>
      <c r="F155" s="3466"/>
      <c r="G155" s="3466"/>
      <c r="H155" s="3466"/>
      <c r="I155" s="3465">
        <f>48*12</f>
        <v>576</v>
      </c>
    </row>
    <row r="156" spans="1:10" ht="20.100000000000001" customHeight="1" x14ac:dyDescent="0.2">
      <c r="A156" s="3467" t="s">
        <v>629</v>
      </c>
      <c r="B156" s="3467"/>
      <c r="C156" s="3467"/>
      <c r="D156" s="3467"/>
      <c r="E156" s="3467"/>
      <c r="F156" s="3467"/>
      <c r="G156" s="3467"/>
      <c r="H156" s="3467"/>
      <c r="I156" s="3468">
        <f>SUM(I153:I155)</f>
        <v>9312</v>
      </c>
    </row>
    <row r="157" spans="1:10" ht="20.100000000000001" customHeight="1" x14ac:dyDescent="0.2">
      <c r="I157" s="42"/>
    </row>
    <row r="158" spans="1:10" ht="20.100000000000001" customHeight="1" x14ac:dyDescent="0.2">
      <c r="I158" s="42"/>
    </row>
    <row r="159" spans="1:10" ht="20.100000000000001" customHeight="1" x14ac:dyDescent="0.2">
      <c r="A159" s="3467" t="s">
        <v>636</v>
      </c>
      <c r="B159" s="3467"/>
      <c r="C159" s="3467"/>
      <c r="D159" s="3467"/>
      <c r="E159" s="3467"/>
      <c r="F159" s="3467"/>
      <c r="G159" s="3467"/>
      <c r="H159" s="3467"/>
      <c r="I159" s="3469">
        <f>SUM(I150:I156)</f>
        <v>120851.5</v>
      </c>
      <c r="J159" t="s">
        <v>637</v>
      </c>
    </row>
    <row r="160" spans="1:10" ht="20.100000000000001" customHeight="1" x14ac:dyDescent="0.2"/>
  </sheetData>
  <phoneticPr fontId="7" type="noConversion"/>
  <pageMargins left="0" right="0" top="0.39305555555555555" bottom="0.19652777777777777" header="0.19652777777777777" footer="0.51180555555555551"/>
  <pageSetup paperSize="9" scale="95" firstPageNumber="0" pageOrder="overThenDown" orientation="landscape" horizontalDpi="300" verticalDpi="300" r:id="rId1"/>
  <headerFooter alignWithMargins="0">
    <oddHeader>&amp;C&amp;"Arial,fed"Vagtplans nøgler&amp;ROpdateret &amp;D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A1:AF267"/>
  <sheetViews>
    <sheetView topLeftCell="A68" zoomScale="90" zoomScaleNormal="90" workbookViewId="0">
      <selection activeCell="O85" sqref="O85"/>
    </sheetView>
  </sheetViews>
  <sheetFormatPr defaultRowHeight="12" x14ac:dyDescent="0.2"/>
  <cols>
    <col min="1" max="1" width="26.28515625" customWidth="1"/>
    <col min="2" max="2" width="15.28515625" customWidth="1"/>
    <col min="3" max="3" width="15.5703125" customWidth="1"/>
    <col min="4" max="4" width="16.140625" customWidth="1"/>
    <col min="5" max="5" width="14.7109375" customWidth="1"/>
    <col min="6" max="6" width="16.5703125" customWidth="1"/>
    <col min="7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140625" customWidth="1"/>
    <col min="23" max="23" width="15.85546875" customWidth="1"/>
    <col min="24" max="24" width="19.140625" customWidth="1"/>
    <col min="25" max="25" width="11.28515625" customWidth="1"/>
  </cols>
  <sheetData>
    <row r="1" spans="1:15" ht="20.100000000000001" customHeight="1" x14ac:dyDescent="0.2">
      <c r="A1" s="1" t="s">
        <v>514</v>
      </c>
      <c r="B1" s="1"/>
      <c r="D1" s="2"/>
      <c r="E1" s="2"/>
    </row>
    <row r="2" spans="1:15" ht="20.100000000000001" customHeight="1" x14ac:dyDescent="0.2">
      <c r="A2" s="568" t="s">
        <v>638</v>
      </c>
      <c r="B2" s="569" t="s">
        <v>90</v>
      </c>
      <c r="C2" s="561" t="s">
        <v>91</v>
      </c>
      <c r="D2" s="561" t="s">
        <v>92</v>
      </c>
      <c r="E2" s="561" t="s">
        <v>93</v>
      </c>
      <c r="F2" s="561" t="s">
        <v>94</v>
      </c>
      <c r="G2" s="561" t="s">
        <v>95</v>
      </c>
      <c r="H2" s="503" t="s">
        <v>96</v>
      </c>
      <c r="I2" s="500" t="s">
        <v>138</v>
      </c>
      <c r="J2" s="570" t="s">
        <v>97</v>
      </c>
    </row>
    <row r="3" spans="1:15" ht="20.100000000000001" customHeight="1" x14ac:dyDescent="0.2">
      <c r="A3" s="3"/>
      <c r="B3" s="4" t="s">
        <v>176</v>
      </c>
      <c r="C3" s="4" t="s">
        <v>176</v>
      </c>
      <c r="D3" s="4" t="s">
        <v>176</v>
      </c>
      <c r="E3" s="4" t="s">
        <v>176</v>
      </c>
      <c r="F3" s="5" t="s">
        <v>639</v>
      </c>
      <c r="G3" s="6"/>
      <c r="H3" s="7"/>
      <c r="I3" s="8"/>
      <c r="J3" s="9"/>
    </row>
    <row r="4" spans="1:15" ht="20.100000000000001" customHeight="1" x14ac:dyDescent="0.2">
      <c r="A4" s="3470" t="s">
        <v>640</v>
      </c>
      <c r="B4" s="3407">
        <v>7.75</v>
      </c>
      <c r="C4" s="3407">
        <v>7.75</v>
      </c>
      <c r="D4" s="3407">
        <v>7.75</v>
      </c>
      <c r="E4" s="3407">
        <v>7.75</v>
      </c>
      <c r="F4" s="3408">
        <v>6</v>
      </c>
      <c r="G4" s="3409"/>
      <c r="H4" s="3410"/>
      <c r="I4" s="3411">
        <f>SUM(B4:H4)</f>
        <v>37</v>
      </c>
      <c r="J4" s="3412"/>
    </row>
    <row r="5" spans="1:15" ht="20.100000000000001" customHeight="1" x14ac:dyDescent="0.2">
      <c r="A5" s="1" t="s">
        <v>641</v>
      </c>
      <c r="B5" s="1"/>
      <c r="D5" s="2"/>
      <c r="E5" s="2"/>
    </row>
    <row r="6" spans="1:15" ht="20.100000000000001" customHeight="1" x14ac:dyDescent="0.2">
      <c r="A6" s="530" t="s">
        <v>532</v>
      </c>
      <c r="B6" s="569" t="s">
        <v>90</v>
      </c>
      <c r="C6" s="561" t="s">
        <v>91</v>
      </c>
      <c r="D6" s="561" t="s">
        <v>92</v>
      </c>
      <c r="E6" s="561" t="s">
        <v>93</v>
      </c>
      <c r="F6" s="561" t="s">
        <v>94</v>
      </c>
      <c r="G6" s="561" t="s">
        <v>95</v>
      </c>
      <c r="H6" s="561" t="s">
        <v>96</v>
      </c>
      <c r="I6" s="565" t="s">
        <v>138</v>
      </c>
      <c r="J6" s="570" t="s">
        <v>97</v>
      </c>
    </row>
    <row r="7" spans="1:15" ht="20.100000000000001" customHeight="1" x14ac:dyDescent="0.2">
      <c r="A7" s="3471"/>
      <c r="B7" s="3472" t="s">
        <v>319</v>
      </c>
      <c r="C7" s="3472" t="s">
        <v>319</v>
      </c>
      <c r="D7" s="3472" t="s">
        <v>319</v>
      </c>
      <c r="E7" s="3472" t="s">
        <v>319</v>
      </c>
      <c r="F7" s="3472" t="s">
        <v>320</v>
      </c>
      <c r="G7" s="3473"/>
      <c r="H7" s="3473"/>
      <c r="I7" s="3463"/>
      <c r="J7" s="3474"/>
    </row>
    <row r="8" spans="1:15" ht="20.100000000000001" customHeight="1" x14ac:dyDescent="0.2">
      <c r="A8" s="3470" t="s">
        <v>30</v>
      </c>
      <c r="B8" s="3457">
        <v>7.75</v>
      </c>
      <c r="C8" s="3457">
        <v>7.75</v>
      </c>
      <c r="D8" s="3457">
        <v>7.75</v>
      </c>
      <c r="E8" s="3457">
        <v>7.75</v>
      </c>
      <c r="F8" s="3457">
        <v>6</v>
      </c>
      <c r="G8" s="3409"/>
      <c r="H8" s="3410"/>
      <c r="I8" s="3411">
        <f>SUM(B8:H8)</f>
        <v>37</v>
      </c>
      <c r="J8" s="3412"/>
    </row>
    <row r="9" spans="1:15" ht="20.100000000000001" customHeight="1" x14ac:dyDescent="0.2">
      <c r="A9" s="18"/>
      <c r="E9" s="18"/>
      <c r="F9" s="37"/>
      <c r="G9" s="3475" t="s">
        <v>642</v>
      </c>
      <c r="H9" s="3475" t="s">
        <v>643</v>
      </c>
      <c r="I9" s="3475" t="s">
        <v>644</v>
      </c>
      <c r="J9" s="44"/>
    </row>
    <row r="10" spans="1:15" ht="20.100000000000001" customHeight="1" x14ac:dyDescent="0.2">
      <c r="A10" s="18"/>
      <c r="E10" s="18"/>
      <c r="F10" s="37"/>
      <c r="G10" s="3449">
        <f>I4+I8</f>
        <v>74</v>
      </c>
      <c r="H10" s="3476">
        <f>SUM(G10*13/3)</f>
        <v>320.66666666666669</v>
      </c>
      <c r="I10" s="3449">
        <f>SUM(H10*12)</f>
        <v>3848</v>
      </c>
      <c r="J10" s="44"/>
    </row>
    <row r="11" spans="1:15" ht="20.100000000000001" customHeight="1" x14ac:dyDescent="0.2">
      <c r="A11" s="152" t="s">
        <v>19</v>
      </c>
      <c r="B11" s="152"/>
      <c r="D11" s="2"/>
      <c r="E11" s="2"/>
    </row>
    <row r="12" spans="1:15" ht="18" customHeight="1" x14ac:dyDescent="0.2">
      <c r="A12" s="304" t="s">
        <v>517</v>
      </c>
      <c r="B12" s="423" t="s">
        <v>90</v>
      </c>
      <c r="C12" s="424" t="s">
        <v>91</v>
      </c>
      <c r="D12" s="424" t="s">
        <v>92</v>
      </c>
      <c r="E12" s="424" t="s">
        <v>93</v>
      </c>
      <c r="F12" s="424" t="s">
        <v>94</v>
      </c>
      <c r="G12" s="424" t="s">
        <v>95</v>
      </c>
      <c r="H12" s="308" t="s">
        <v>96</v>
      </c>
      <c r="I12" s="309" t="s">
        <v>138</v>
      </c>
      <c r="J12" s="425" t="s">
        <v>97</v>
      </c>
    </row>
    <row r="13" spans="1:15" ht="18" customHeight="1" x14ac:dyDescent="0.2">
      <c r="A13" s="593" t="s">
        <v>0</v>
      </c>
      <c r="B13" s="561" t="s">
        <v>645</v>
      </c>
      <c r="C13" s="561" t="s">
        <v>645</v>
      </c>
      <c r="D13" s="561" t="s">
        <v>645</v>
      </c>
      <c r="E13" s="561" t="s">
        <v>645</v>
      </c>
      <c r="F13" s="561" t="s">
        <v>645</v>
      </c>
      <c r="G13" s="561" t="s">
        <v>646</v>
      </c>
      <c r="H13" s="561" t="s">
        <v>646</v>
      </c>
      <c r="I13" s="513"/>
      <c r="J13" s="323" t="s">
        <v>647</v>
      </c>
      <c r="M13" s="427"/>
      <c r="N13" s="324" t="s">
        <v>648</v>
      </c>
    </row>
    <row r="14" spans="1:15" ht="18" customHeight="1" x14ac:dyDescent="0.2">
      <c r="A14" s="3477" t="s">
        <v>39</v>
      </c>
      <c r="B14" s="3457">
        <v>8.25</v>
      </c>
      <c r="C14" s="3457">
        <v>8.25</v>
      </c>
      <c r="D14" s="3408">
        <v>8.25</v>
      </c>
      <c r="E14" s="3408">
        <v>8.25</v>
      </c>
      <c r="F14" s="3408">
        <v>8.25</v>
      </c>
      <c r="G14" s="3408">
        <v>12.25</v>
      </c>
      <c r="H14" s="3408">
        <v>12.25</v>
      </c>
      <c r="I14" s="3478">
        <f>SUM(B14:H14)</f>
        <v>65.75</v>
      </c>
      <c r="J14" s="3479" t="s">
        <v>649</v>
      </c>
      <c r="K14" s="3480"/>
      <c r="M14" s="3481"/>
      <c r="N14" s="3482" t="s">
        <v>650</v>
      </c>
      <c r="O14" s="18"/>
    </row>
    <row r="15" spans="1:15" ht="18" customHeight="1" x14ac:dyDescent="0.2">
      <c r="A15" s="593" t="s">
        <v>0</v>
      </c>
      <c r="B15" s="572" t="s">
        <v>154</v>
      </c>
      <c r="C15" s="572" t="s">
        <v>154</v>
      </c>
      <c r="D15" s="572" t="s">
        <v>154</v>
      </c>
      <c r="E15" s="572" t="s">
        <v>154</v>
      </c>
      <c r="F15" s="572" t="s">
        <v>154</v>
      </c>
      <c r="G15" s="513"/>
      <c r="H15" s="513"/>
      <c r="I15" s="594"/>
      <c r="J15" s="595" t="s">
        <v>651</v>
      </c>
      <c r="K15" s="18"/>
      <c r="M15" s="3481" t="s">
        <v>139</v>
      </c>
      <c r="N15" s="3482">
        <f>I14</f>
        <v>65.75</v>
      </c>
      <c r="O15" s="18"/>
    </row>
    <row r="16" spans="1:15" ht="18" customHeight="1" x14ac:dyDescent="0.2">
      <c r="A16" s="3477" t="s">
        <v>652</v>
      </c>
      <c r="B16" s="3457"/>
      <c r="C16" s="3457"/>
      <c r="D16" s="3457"/>
      <c r="E16" s="3457"/>
      <c r="F16" s="3457"/>
      <c r="G16" s="3483"/>
      <c r="H16" s="3483"/>
      <c r="I16" s="3478">
        <f>SUM(B16:H16)</f>
        <v>0</v>
      </c>
      <c r="J16" s="3479" t="s">
        <v>22</v>
      </c>
      <c r="K16" s="18"/>
      <c r="M16" s="3481" t="s">
        <v>143</v>
      </c>
      <c r="N16" s="3482">
        <f>I16</f>
        <v>0</v>
      </c>
      <c r="O16" s="18"/>
    </row>
    <row r="17" spans="1:17" ht="18" customHeight="1" x14ac:dyDescent="0.2">
      <c r="A17" s="593" t="s">
        <v>0</v>
      </c>
      <c r="B17" s="561" t="s">
        <v>653</v>
      </c>
      <c r="C17" s="561" t="s">
        <v>653</v>
      </c>
      <c r="D17" s="561" t="s">
        <v>653</v>
      </c>
      <c r="E17" s="561" t="s">
        <v>653</v>
      </c>
      <c r="F17" s="561" t="s">
        <v>653</v>
      </c>
      <c r="G17" s="596"/>
      <c r="H17" s="596"/>
      <c r="I17" s="594"/>
      <c r="J17" s="595" t="s">
        <v>654</v>
      </c>
      <c r="K17" s="18"/>
      <c r="M17" s="3481" t="s">
        <v>153</v>
      </c>
      <c r="N17" s="3482">
        <v>0</v>
      </c>
      <c r="O17" s="18"/>
    </row>
    <row r="18" spans="1:17" ht="18" customHeight="1" x14ac:dyDescent="0.2">
      <c r="A18" s="3484" t="s">
        <v>655</v>
      </c>
      <c r="B18" s="3408">
        <v>8.25</v>
      </c>
      <c r="C18" s="3408">
        <v>8.25</v>
      </c>
      <c r="D18" s="3408">
        <v>8.25</v>
      </c>
      <c r="E18" s="3408">
        <v>8.25</v>
      </c>
      <c r="F18" s="3408">
        <v>8.25</v>
      </c>
      <c r="G18" s="3457"/>
      <c r="H18" s="3457"/>
      <c r="I18" s="3478">
        <f>SUM(B18:H18)</f>
        <v>41.25</v>
      </c>
      <c r="J18" s="3479" t="s">
        <v>656</v>
      </c>
      <c r="K18" s="3460"/>
      <c r="M18" s="3481" t="s">
        <v>155</v>
      </c>
      <c r="N18" s="3482">
        <f>I20</f>
        <v>64.5</v>
      </c>
      <c r="O18" s="18"/>
    </row>
    <row r="19" spans="1:17" ht="18" customHeight="1" x14ac:dyDescent="0.2">
      <c r="A19" s="597" t="s">
        <v>0</v>
      </c>
      <c r="B19" s="561" t="s">
        <v>657</v>
      </c>
      <c r="C19" s="561" t="s">
        <v>657</v>
      </c>
      <c r="D19" s="561" t="s">
        <v>657</v>
      </c>
      <c r="E19" s="561" t="s">
        <v>657</v>
      </c>
      <c r="F19" s="561" t="s">
        <v>657</v>
      </c>
      <c r="G19" s="596" t="s">
        <v>658</v>
      </c>
      <c r="H19" s="596" t="s">
        <v>658</v>
      </c>
      <c r="I19" s="594"/>
      <c r="J19" s="562"/>
      <c r="K19" s="18"/>
      <c r="M19" s="3481" t="s">
        <v>174</v>
      </c>
      <c r="N19" s="3482">
        <v>0</v>
      </c>
      <c r="O19" s="18"/>
    </row>
    <row r="20" spans="1:17" ht="18" customHeight="1" x14ac:dyDescent="0.2">
      <c r="A20" s="3477" t="s">
        <v>34</v>
      </c>
      <c r="B20" s="3457">
        <v>8</v>
      </c>
      <c r="C20" s="3457">
        <v>8</v>
      </c>
      <c r="D20" s="3457">
        <v>8</v>
      </c>
      <c r="E20" s="3457">
        <v>8</v>
      </c>
      <c r="F20" s="3457">
        <v>8</v>
      </c>
      <c r="G20" s="3472">
        <v>12.25</v>
      </c>
      <c r="H20" s="3472">
        <v>12.25</v>
      </c>
      <c r="I20" s="3478">
        <f>SUM(B20:H20)</f>
        <v>64.5</v>
      </c>
      <c r="J20" s="3371"/>
      <c r="K20" s="18"/>
      <c r="M20" s="3481" t="s">
        <v>190</v>
      </c>
      <c r="N20" s="3482">
        <v>0</v>
      </c>
      <c r="O20" s="18"/>
    </row>
    <row r="21" spans="1:17" ht="18" customHeight="1" x14ac:dyDescent="0.2">
      <c r="A21" s="593" t="s">
        <v>0</v>
      </c>
      <c r="B21" s="572" t="s">
        <v>154</v>
      </c>
      <c r="C21" s="572" t="s">
        <v>154</v>
      </c>
      <c r="D21" s="572" t="s">
        <v>154</v>
      </c>
      <c r="E21" s="572" t="s">
        <v>154</v>
      </c>
      <c r="F21" s="572" t="s">
        <v>154</v>
      </c>
      <c r="G21" s="598"/>
      <c r="H21" s="599"/>
      <c r="I21" s="594"/>
      <c r="J21" s="562"/>
      <c r="K21" s="18"/>
      <c r="M21" s="3485" t="s">
        <v>659</v>
      </c>
      <c r="N21" s="3486">
        <f>SUM(N15:N20)</f>
        <v>130.25</v>
      </c>
      <c r="O21" s="18"/>
    </row>
    <row r="22" spans="1:17" ht="18" customHeight="1" x14ac:dyDescent="0.2">
      <c r="A22" s="3477" t="s">
        <v>660</v>
      </c>
      <c r="B22" s="3444"/>
      <c r="C22" s="3444"/>
      <c r="D22" s="3444"/>
      <c r="E22" s="3444"/>
      <c r="F22" s="3444"/>
      <c r="G22" s="3483"/>
      <c r="H22" s="3487"/>
      <c r="I22" s="3478">
        <f>SUM(B22:H22)</f>
        <v>0</v>
      </c>
      <c r="J22" s="3371"/>
      <c r="K22" s="18"/>
    </row>
    <row r="23" spans="1:17" ht="18" customHeight="1" x14ac:dyDescent="0.2">
      <c r="A23" s="593" t="s">
        <v>0</v>
      </c>
      <c r="B23" s="561" t="s">
        <v>661</v>
      </c>
      <c r="C23" s="561" t="s">
        <v>661</v>
      </c>
      <c r="D23" s="561" t="s">
        <v>661</v>
      </c>
      <c r="E23" s="561" t="s">
        <v>661</v>
      </c>
      <c r="F23" s="561" t="s">
        <v>661</v>
      </c>
      <c r="G23" s="513"/>
      <c r="H23" s="599"/>
      <c r="I23" s="594"/>
      <c r="J23" s="562" t="s">
        <v>662</v>
      </c>
      <c r="K23" s="18"/>
      <c r="M23" t="s">
        <v>663</v>
      </c>
      <c r="N23" t="s">
        <v>664</v>
      </c>
      <c r="P23">
        <v>148</v>
      </c>
      <c r="Q23" t="s">
        <v>665</v>
      </c>
    </row>
    <row r="24" spans="1:17" ht="18" customHeight="1" x14ac:dyDescent="0.2">
      <c r="A24" s="3477" t="s">
        <v>666</v>
      </c>
      <c r="B24" s="3457">
        <v>7.25</v>
      </c>
      <c r="C24" s="3457">
        <v>7.25</v>
      </c>
      <c r="D24" s="3457">
        <v>7.25</v>
      </c>
      <c r="E24" s="3457">
        <v>7.25</v>
      </c>
      <c r="F24" s="3457">
        <v>7.25</v>
      </c>
      <c r="G24" s="3483"/>
      <c r="H24" s="3488"/>
      <c r="I24" s="3478">
        <f>SUM(B24:H24)</f>
        <v>36.25</v>
      </c>
      <c r="J24" s="3371"/>
      <c r="K24" s="18"/>
      <c r="O24" t="s">
        <v>0</v>
      </c>
    </row>
    <row r="25" spans="1:17" ht="18" customHeight="1" x14ac:dyDescent="0.2">
      <c r="A25" s="310" t="s">
        <v>530</v>
      </c>
      <c r="B25" s="325">
        <f t="shared" ref="B25:I25" si="0">SUM(B14,B16,B18,B20,B22,B24)</f>
        <v>31.75</v>
      </c>
      <c r="C25" s="325">
        <f t="shared" si="0"/>
        <v>31.75</v>
      </c>
      <c r="D25" s="325">
        <f t="shared" si="0"/>
        <v>31.75</v>
      </c>
      <c r="E25" s="325">
        <f t="shared" si="0"/>
        <v>31.75</v>
      </c>
      <c r="F25" s="325">
        <f t="shared" si="0"/>
        <v>31.75</v>
      </c>
      <c r="G25" s="325">
        <f t="shared" si="0"/>
        <v>24.5</v>
      </c>
      <c r="H25" s="325">
        <f t="shared" si="0"/>
        <v>24.5</v>
      </c>
      <c r="I25" s="325">
        <f t="shared" si="0"/>
        <v>207.75</v>
      </c>
      <c r="J25" s="311"/>
      <c r="K25" s="18"/>
      <c r="M25" t="s">
        <v>667</v>
      </c>
      <c r="O25" s="69">
        <f>N21</f>
        <v>130.25</v>
      </c>
    </row>
    <row r="26" spans="1:17" ht="18" customHeight="1" x14ac:dyDescent="0.2">
      <c r="A26" s="16" t="s">
        <v>531</v>
      </c>
      <c r="D26" s="2"/>
      <c r="E26" s="2"/>
    </row>
    <row r="27" spans="1:17" ht="18" customHeight="1" x14ac:dyDescent="0.2">
      <c r="A27" s="304" t="s">
        <v>532</v>
      </c>
      <c r="B27" s="423" t="s">
        <v>90</v>
      </c>
      <c r="C27" s="424" t="s">
        <v>91</v>
      </c>
      <c r="D27" s="424" t="s">
        <v>92</v>
      </c>
      <c r="E27" s="424" t="s">
        <v>93</v>
      </c>
      <c r="F27" s="424" t="s">
        <v>94</v>
      </c>
      <c r="G27" s="424" t="s">
        <v>95</v>
      </c>
      <c r="H27" s="308" t="s">
        <v>96</v>
      </c>
      <c r="I27" s="309" t="s">
        <v>138</v>
      </c>
      <c r="J27" s="425" t="s">
        <v>97</v>
      </c>
      <c r="M27">
        <f>O25</f>
        <v>130.25</v>
      </c>
      <c r="N27" t="s">
        <v>668</v>
      </c>
      <c r="P27" s="42">
        <f>SUM(N21/37)</f>
        <v>3.5202702702702702</v>
      </c>
      <c r="Q27" t="s">
        <v>665</v>
      </c>
    </row>
    <row r="28" spans="1:17" ht="18" customHeight="1" x14ac:dyDescent="0.2">
      <c r="A28" s="571"/>
      <c r="B28" s="573" t="s">
        <v>319</v>
      </c>
      <c r="C28" s="573" t="s">
        <v>319</v>
      </c>
      <c r="D28" s="573" t="s">
        <v>319</v>
      </c>
      <c r="E28" s="573" t="s">
        <v>319</v>
      </c>
      <c r="F28" s="573" t="s">
        <v>320</v>
      </c>
      <c r="G28" s="573"/>
      <c r="H28" s="573"/>
      <c r="I28" s="513"/>
      <c r="J28" s="574"/>
    </row>
    <row r="29" spans="1:17" ht="18" customHeight="1" x14ac:dyDescent="0.2">
      <c r="A29" s="3413" t="s">
        <v>669</v>
      </c>
      <c r="B29" s="3457">
        <v>7.75</v>
      </c>
      <c r="C29" s="3457">
        <v>7.75</v>
      </c>
      <c r="D29" s="3457">
        <v>7.75</v>
      </c>
      <c r="E29" s="3457">
        <v>7.75</v>
      </c>
      <c r="F29" s="3457">
        <v>6</v>
      </c>
      <c r="G29" s="3457"/>
      <c r="H29" s="3457"/>
      <c r="I29" s="3457">
        <f>SUM(B29:H29)</f>
        <v>37</v>
      </c>
      <c r="J29" s="3459"/>
      <c r="M29" s="42">
        <f>P27</f>
        <v>3.5202702702702702</v>
      </c>
      <c r="N29" t="s">
        <v>670</v>
      </c>
      <c r="P29" s="42">
        <f>SUM(P27*3)</f>
        <v>10.560810810810811</v>
      </c>
      <c r="Q29" t="s">
        <v>665</v>
      </c>
    </row>
    <row r="30" spans="1:17" ht="18" customHeight="1" x14ac:dyDescent="0.2">
      <c r="A30" s="571"/>
      <c r="B30" s="573" t="s">
        <v>319</v>
      </c>
      <c r="C30" s="573" t="s">
        <v>319</v>
      </c>
      <c r="D30" s="573" t="s">
        <v>319</v>
      </c>
      <c r="E30" s="573" t="s">
        <v>319</v>
      </c>
      <c r="F30" s="573" t="s">
        <v>320</v>
      </c>
      <c r="G30" s="573"/>
      <c r="H30" s="573"/>
      <c r="I30" s="513"/>
      <c r="J30" s="574"/>
      <c r="M30" s="42"/>
      <c r="P30" s="42"/>
    </row>
    <row r="31" spans="1:17" ht="18" customHeight="1" x14ac:dyDescent="0.2">
      <c r="A31" s="3232" t="s">
        <v>671</v>
      </c>
      <c r="B31" s="3457">
        <v>7.75</v>
      </c>
      <c r="C31" s="3457">
        <v>7.75</v>
      </c>
      <c r="D31" s="3457">
        <v>7.75</v>
      </c>
      <c r="E31" s="3457">
        <v>7.75</v>
      </c>
      <c r="F31" s="3457">
        <v>6</v>
      </c>
      <c r="G31" s="3457"/>
      <c r="H31" s="3457"/>
      <c r="I31" s="3457">
        <f>SUM(B31:H31)</f>
        <v>37</v>
      </c>
      <c r="J31" s="3459"/>
      <c r="M31" s="42"/>
      <c r="P31" s="42"/>
    </row>
    <row r="32" spans="1:17" ht="18" customHeight="1" x14ac:dyDescent="0.2">
      <c r="A32" s="10"/>
      <c r="B32" s="5" t="s">
        <v>319</v>
      </c>
      <c r="C32" s="5" t="s">
        <v>319</v>
      </c>
      <c r="D32" s="5" t="s">
        <v>319</v>
      </c>
      <c r="E32" s="5" t="s">
        <v>319</v>
      </c>
      <c r="F32" s="5" t="s">
        <v>320</v>
      </c>
      <c r="G32" s="5"/>
      <c r="H32" s="11"/>
      <c r="I32" s="70"/>
      <c r="J32" s="12"/>
    </row>
    <row r="33" spans="1:25" ht="18" customHeight="1" x14ac:dyDescent="0.2">
      <c r="A33" s="3232" t="s">
        <v>338</v>
      </c>
      <c r="B33" s="3457">
        <v>7.75</v>
      </c>
      <c r="C33" s="3457">
        <v>7.75</v>
      </c>
      <c r="D33" s="3457">
        <v>7.75</v>
      </c>
      <c r="E33" s="3457">
        <v>7.75</v>
      </c>
      <c r="F33" s="3457">
        <v>6</v>
      </c>
      <c r="G33" s="3408"/>
      <c r="H33" s="3415"/>
      <c r="I33" s="3478">
        <f>SUM(B33:H33)</f>
        <v>37</v>
      </c>
      <c r="J33" s="3417"/>
      <c r="M33">
        <f>P23</f>
        <v>148</v>
      </c>
      <c r="N33" t="s">
        <v>672</v>
      </c>
      <c r="P33" s="71">
        <f>P29</f>
        <v>10.560810810810811</v>
      </c>
      <c r="Q33" t="s">
        <v>673</v>
      </c>
      <c r="R33" s="42">
        <f>SUM(M33-P33)</f>
        <v>137.43918918918919</v>
      </c>
      <c r="S33" t="s">
        <v>674</v>
      </c>
    </row>
    <row r="34" spans="1:25" ht="18" customHeight="1" x14ac:dyDescent="0.2">
      <c r="A34" s="310" t="s">
        <v>530</v>
      </c>
      <c r="B34" s="326">
        <f t="shared" ref="B34:I34" si="1">SUM(B29,B31,B33)</f>
        <v>23.25</v>
      </c>
      <c r="C34" s="326">
        <f t="shared" si="1"/>
        <v>23.25</v>
      </c>
      <c r="D34" s="326">
        <f t="shared" si="1"/>
        <v>23.25</v>
      </c>
      <c r="E34" s="326">
        <f t="shared" si="1"/>
        <v>23.25</v>
      </c>
      <c r="F34" s="326">
        <f t="shared" si="1"/>
        <v>18</v>
      </c>
      <c r="G34" s="326">
        <f t="shared" si="1"/>
        <v>0</v>
      </c>
      <c r="H34" s="326">
        <f t="shared" si="1"/>
        <v>0</v>
      </c>
      <c r="I34" s="326">
        <f t="shared" si="1"/>
        <v>111</v>
      </c>
      <c r="J34" s="319"/>
    </row>
    <row r="35" spans="1:25" ht="18" customHeight="1" x14ac:dyDescent="0.2">
      <c r="A35" s="18"/>
      <c r="B35" s="18"/>
      <c r="C35" s="18"/>
      <c r="D35" s="18"/>
      <c r="E35" s="18"/>
      <c r="F35" s="18"/>
      <c r="G35" s="3475" t="s">
        <v>642</v>
      </c>
      <c r="H35" s="3475" t="s">
        <v>643</v>
      </c>
      <c r="I35" s="3475" t="s">
        <v>644</v>
      </c>
      <c r="J35" s="19"/>
      <c r="M35">
        <f>I25</f>
        <v>207.75</v>
      </c>
      <c r="N35" t="s">
        <v>675</v>
      </c>
      <c r="O35" s="42">
        <f>R33</f>
        <v>137.43918918918919</v>
      </c>
      <c r="P35" s="327">
        <f>SUM(M35-O35)</f>
        <v>70.310810810810807</v>
      </c>
    </row>
    <row r="36" spans="1:25" ht="18" customHeight="1" x14ac:dyDescent="0.2">
      <c r="A36" s="18"/>
      <c r="B36" s="18"/>
      <c r="C36" s="18"/>
      <c r="D36" s="18"/>
      <c r="E36" s="18"/>
      <c r="F36" s="18"/>
      <c r="G36" s="3449">
        <f>I25+I34</f>
        <v>318.75</v>
      </c>
      <c r="H36" s="3476">
        <f>SUM(G36*13/3)</f>
        <v>1381.25</v>
      </c>
      <c r="I36" s="3449">
        <f>SUM(H36*12)</f>
        <v>16575</v>
      </c>
      <c r="J36" s="19"/>
    </row>
    <row r="37" spans="1:25" ht="18" customHeight="1" x14ac:dyDescent="0.2">
      <c r="A37" s="18"/>
      <c r="B37" s="18"/>
      <c r="C37" s="18"/>
      <c r="D37" s="18"/>
      <c r="E37" s="18"/>
      <c r="F37" s="18"/>
      <c r="G37" s="18"/>
      <c r="H37" s="45"/>
      <c r="I37" s="18"/>
      <c r="J37" s="19"/>
    </row>
    <row r="38" spans="1:25" ht="17.649999999999999" customHeight="1" x14ac:dyDescent="0.2">
      <c r="A38" s="152" t="s">
        <v>676</v>
      </c>
      <c r="B38" s="18"/>
      <c r="C38" s="18"/>
      <c r="D38" s="18"/>
      <c r="E38" s="18"/>
      <c r="F38" s="18"/>
    </row>
    <row r="39" spans="1:25" ht="17.649999999999999" customHeight="1" x14ac:dyDescent="0.2">
      <c r="A39" s="428" t="s">
        <v>677</v>
      </c>
      <c r="B39" s="423" t="s">
        <v>90</v>
      </c>
      <c r="C39" s="424" t="s">
        <v>91</v>
      </c>
      <c r="D39" s="424" t="s">
        <v>92</v>
      </c>
      <c r="E39" s="424" t="s">
        <v>93</v>
      </c>
      <c r="F39" s="424" t="s">
        <v>94</v>
      </c>
      <c r="G39" s="424" t="s">
        <v>95</v>
      </c>
      <c r="H39" s="328" t="s">
        <v>96</v>
      </c>
      <c r="I39" s="429" t="s">
        <v>138</v>
      </c>
      <c r="J39" s="329" t="s">
        <v>97</v>
      </c>
      <c r="K39" t="s">
        <v>0</v>
      </c>
      <c r="M39" s="330" t="s">
        <v>648</v>
      </c>
      <c r="N39" s="331"/>
      <c r="P39" s="72"/>
      <c r="Q39" s="72"/>
      <c r="R39" s="72"/>
      <c r="S39" t="s">
        <v>678</v>
      </c>
      <c r="V39" s="1" t="s">
        <v>0</v>
      </c>
    </row>
    <row r="40" spans="1:25" ht="17.649999999999999" customHeight="1" x14ac:dyDescent="0.2">
      <c r="A40" s="430" t="s">
        <v>537</v>
      </c>
      <c r="B40" s="431" t="s">
        <v>679</v>
      </c>
      <c r="C40" s="431" t="s">
        <v>679</v>
      </c>
      <c r="D40" s="431" t="s">
        <v>679</v>
      </c>
      <c r="E40" s="431" t="s">
        <v>679</v>
      </c>
      <c r="F40" s="431" t="s">
        <v>679</v>
      </c>
      <c r="G40" s="432" t="s">
        <v>680</v>
      </c>
      <c r="H40" s="432" t="s">
        <v>680</v>
      </c>
      <c r="I40" s="429"/>
      <c r="J40" s="332" t="s">
        <v>537</v>
      </c>
      <c r="M40" s="73"/>
      <c r="N40" s="74" t="s">
        <v>681</v>
      </c>
      <c r="S40" s="3489" t="s">
        <v>682</v>
      </c>
      <c r="T40" s="3490"/>
      <c r="U40" s="3491"/>
      <c r="V40" s="3491"/>
      <c r="W40" s="72"/>
      <c r="Y40" s="18"/>
    </row>
    <row r="41" spans="1:25" ht="17.649999999999999" customHeight="1" x14ac:dyDescent="0.2">
      <c r="A41" s="3432" t="s">
        <v>540</v>
      </c>
      <c r="B41" s="3492">
        <v>8.25</v>
      </c>
      <c r="C41" s="3492">
        <v>8.25</v>
      </c>
      <c r="D41" s="3492">
        <v>8.25</v>
      </c>
      <c r="E41" s="3492">
        <v>8.25</v>
      </c>
      <c r="F41" s="3492">
        <v>8.25</v>
      </c>
      <c r="G41" s="3493">
        <v>12.25</v>
      </c>
      <c r="H41" s="3493">
        <v>12.25</v>
      </c>
      <c r="I41" s="3407">
        <f>SUM(B41:H41)</f>
        <v>65.75</v>
      </c>
      <c r="J41" s="3494" t="s">
        <v>683</v>
      </c>
      <c r="M41" s="3481" t="s">
        <v>139</v>
      </c>
      <c r="N41" s="3482">
        <f>I41</f>
        <v>65.75</v>
      </c>
      <c r="S41" s="3495" t="s">
        <v>684</v>
      </c>
      <c r="T41" s="3496"/>
      <c r="U41" s="3496"/>
      <c r="V41" s="3496"/>
      <c r="Y41" s="18"/>
    </row>
    <row r="42" spans="1:25" ht="17.649999999999999" customHeight="1" x14ac:dyDescent="0.2">
      <c r="A42" s="433"/>
      <c r="B42" s="434" t="s">
        <v>685</v>
      </c>
      <c r="C42" s="434" t="s">
        <v>685</v>
      </c>
      <c r="D42" s="434" t="s">
        <v>685</v>
      </c>
      <c r="E42" s="434" t="s">
        <v>685</v>
      </c>
      <c r="F42" s="434" t="s">
        <v>685</v>
      </c>
      <c r="G42" s="435" t="s">
        <v>686</v>
      </c>
      <c r="H42" s="333" t="s">
        <v>686</v>
      </c>
      <c r="I42" s="429"/>
      <c r="J42" s="334"/>
      <c r="M42" s="3481" t="s">
        <v>143</v>
      </c>
      <c r="N42" s="3482">
        <f>I47</f>
        <v>0</v>
      </c>
      <c r="S42" s="3497" t="s">
        <v>687</v>
      </c>
      <c r="T42" s="3498"/>
      <c r="U42" s="3498"/>
      <c r="V42" s="3498"/>
      <c r="Y42" s="18"/>
    </row>
    <row r="43" spans="1:25" ht="17.649999999999999" customHeight="1" x14ac:dyDescent="0.2">
      <c r="A43" s="3432" t="s">
        <v>688</v>
      </c>
      <c r="B43" s="3430">
        <v>7</v>
      </c>
      <c r="C43" s="3430">
        <v>7</v>
      </c>
      <c r="D43" s="3430">
        <v>7</v>
      </c>
      <c r="E43" s="3430">
        <v>7</v>
      </c>
      <c r="F43" s="3430">
        <v>7</v>
      </c>
      <c r="G43" s="3499">
        <v>11</v>
      </c>
      <c r="H43" s="3500">
        <v>11</v>
      </c>
      <c r="I43" s="3407">
        <f>SUM(B43:H43)</f>
        <v>57</v>
      </c>
      <c r="J43" s="3494" t="s">
        <v>689</v>
      </c>
      <c r="K43" s="1" t="s">
        <v>0</v>
      </c>
      <c r="M43" s="3481" t="s">
        <v>153</v>
      </c>
      <c r="N43" s="3482">
        <f>I53</f>
        <v>58.5</v>
      </c>
      <c r="S43" s="3501" t="s">
        <v>690</v>
      </c>
      <c r="T43" s="3502"/>
      <c r="U43" s="3502"/>
      <c r="V43" s="3502"/>
      <c r="Y43" s="18"/>
    </row>
    <row r="44" spans="1:25" ht="17.649999999999999" customHeight="1" x14ac:dyDescent="0.2">
      <c r="A44" s="433"/>
      <c r="B44" s="436" t="s">
        <v>691</v>
      </c>
      <c r="C44" s="436" t="s">
        <v>691</v>
      </c>
      <c r="D44" s="436" t="s">
        <v>691</v>
      </c>
      <c r="E44" s="436" t="s">
        <v>691</v>
      </c>
      <c r="F44" s="436" t="s">
        <v>691</v>
      </c>
      <c r="G44" s="333" t="s">
        <v>692</v>
      </c>
      <c r="H44" s="333" t="s">
        <v>692</v>
      </c>
      <c r="I44" s="429"/>
      <c r="J44" s="334"/>
      <c r="M44" s="3481" t="s">
        <v>155</v>
      </c>
      <c r="N44" s="3482">
        <f>I59</f>
        <v>0</v>
      </c>
      <c r="S44" s="75"/>
      <c r="T44" s="76"/>
      <c r="Y44" s="18"/>
    </row>
    <row r="45" spans="1:25" ht="17.649999999999999" customHeight="1" x14ac:dyDescent="0.2">
      <c r="A45" s="3432" t="s">
        <v>693</v>
      </c>
      <c r="B45" s="3503">
        <v>8</v>
      </c>
      <c r="C45" s="3503">
        <v>8</v>
      </c>
      <c r="D45" s="3503">
        <v>8</v>
      </c>
      <c r="E45" s="3503">
        <v>8</v>
      </c>
      <c r="F45" s="3503">
        <v>8</v>
      </c>
      <c r="G45" s="3499">
        <v>12</v>
      </c>
      <c r="H45" s="3499">
        <v>12</v>
      </c>
      <c r="I45" s="3407">
        <f>SUM(B45:H45)</f>
        <v>64</v>
      </c>
      <c r="J45" s="3494" t="s">
        <v>694</v>
      </c>
      <c r="M45" s="3481" t="s">
        <v>174</v>
      </c>
      <c r="N45" s="3482">
        <v>0</v>
      </c>
      <c r="Y45" s="18"/>
    </row>
    <row r="46" spans="1:25" ht="17.649999999999999" customHeight="1" x14ac:dyDescent="0.2">
      <c r="A46" s="430" t="s">
        <v>549</v>
      </c>
      <c r="B46" s="572" t="s">
        <v>518</v>
      </c>
      <c r="C46" s="572" t="s">
        <v>518</v>
      </c>
      <c r="D46" s="572" t="s">
        <v>518</v>
      </c>
      <c r="E46" s="572" t="s">
        <v>518</v>
      </c>
      <c r="F46" s="572" t="s">
        <v>518</v>
      </c>
      <c r="G46" s="437"/>
      <c r="H46" s="335"/>
      <c r="I46" s="438"/>
      <c r="J46" s="332" t="s">
        <v>549</v>
      </c>
      <c r="M46" s="3481" t="s">
        <v>190</v>
      </c>
      <c r="N46" s="3482">
        <f>I43</f>
        <v>57</v>
      </c>
      <c r="S46" s="3504" t="s">
        <v>695</v>
      </c>
      <c r="T46" s="3505"/>
      <c r="U46" s="3505"/>
      <c r="V46" s="3505"/>
      <c r="Y46" s="18"/>
    </row>
    <row r="47" spans="1:25" ht="17.649999999999999" customHeight="1" x14ac:dyDescent="0.2">
      <c r="A47" s="3432" t="s">
        <v>696</v>
      </c>
      <c r="B47" s="3414"/>
      <c r="C47" s="3414"/>
      <c r="D47" s="3414"/>
      <c r="E47" s="3414"/>
      <c r="F47" s="3414"/>
      <c r="G47" s="3408"/>
      <c r="H47" s="3506"/>
      <c r="I47" s="3407">
        <f>SUM(B47:H47)</f>
        <v>0</v>
      </c>
      <c r="J47" s="3494" t="s">
        <v>697</v>
      </c>
      <c r="M47" s="3481" t="s">
        <v>698</v>
      </c>
      <c r="N47" s="3482">
        <f>I49</f>
        <v>0</v>
      </c>
      <c r="S47" s="1"/>
      <c r="Y47" s="18"/>
    </row>
    <row r="48" spans="1:25" ht="17.649999999999999" customHeight="1" x14ac:dyDescent="0.2">
      <c r="A48" s="433"/>
      <c r="B48" s="572" t="s">
        <v>518</v>
      </c>
      <c r="C48" s="572" t="s">
        <v>518</v>
      </c>
      <c r="D48" s="572" t="s">
        <v>518</v>
      </c>
      <c r="E48" s="572" t="s">
        <v>518</v>
      </c>
      <c r="F48" s="572" t="s">
        <v>518</v>
      </c>
      <c r="G48" s="429"/>
      <c r="H48" s="336"/>
      <c r="I48" s="429"/>
      <c r="J48" s="334"/>
      <c r="M48" s="3481" t="s">
        <v>699</v>
      </c>
      <c r="N48" s="3482">
        <f>I55</f>
        <v>56</v>
      </c>
      <c r="S48" s="3504" t="s">
        <v>700</v>
      </c>
      <c r="T48" s="3505"/>
      <c r="U48" s="3505"/>
      <c r="V48" s="3505"/>
      <c r="Y48" s="18"/>
    </row>
    <row r="49" spans="1:32" ht="17.649999999999999" customHeight="1" x14ac:dyDescent="0.2">
      <c r="A49" s="3432" t="s">
        <v>701</v>
      </c>
      <c r="B49" s="3414"/>
      <c r="C49" s="3414"/>
      <c r="D49" s="3414"/>
      <c r="E49" s="3414"/>
      <c r="F49" s="3414"/>
      <c r="G49" s="3456"/>
      <c r="H49" s="3251"/>
      <c r="I49" s="3407">
        <f>SUM(B49:H49)</f>
        <v>0</v>
      </c>
      <c r="J49" s="3494" t="s">
        <v>698</v>
      </c>
      <c r="M49" s="3481" t="s">
        <v>702</v>
      </c>
      <c r="N49" s="3482">
        <f>I61</f>
        <v>0</v>
      </c>
      <c r="S49" s="1"/>
      <c r="Y49" s="18"/>
    </row>
    <row r="50" spans="1:32" ht="17.649999999999999" customHeight="1" x14ac:dyDescent="0.2">
      <c r="A50" s="428"/>
      <c r="B50" s="572" t="s">
        <v>518</v>
      </c>
      <c r="C50" s="572" t="s">
        <v>518</v>
      </c>
      <c r="D50" s="572" t="s">
        <v>518</v>
      </c>
      <c r="E50" s="572" t="s">
        <v>518</v>
      </c>
      <c r="F50" s="572" t="s">
        <v>518</v>
      </c>
      <c r="G50" s="439" t="s">
        <v>703</v>
      </c>
      <c r="H50" s="337" t="s">
        <v>704</v>
      </c>
      <c r="I50" s="429"/>
      <c r="J50" s="338"/>
      <c r="M50" s="3481" t="s">
        <v>705</v>
      </c>
      <c r="N50" s="3482">
        <v>41.5</v>
      </c>
      <c r="S50" s="3504" t="s">
        <v>706</v>
      </c>
      <c r="T50" s="3505"/>
      <c r="U50" s="3505"/>
      <c r="V50" s="3505"/>
      <c r="Y50" s="18"/>
    </row>
    <row r="51" spans="1:32" ht="17.649999999999999" customHeight="1" x14ac:dyDescent="0.2">
      <c r="A51" s="3432" t="s">
        <v>707</v>
      </c>
      <c r="B51" s="3414"/>
      <c r="C51" s="3414"/>
      <c r="D51" s="3414"/>
      <c r="E51" s="3414"/>
      <c r="F51" s="3414"/>
      <c r="G51" s="3507">
        <v>12.25</v>
      </c>
      <c r="H51" s="3508">
        <v>12.25</v>
      </c>
      <c r="I51" s="3407">
        <f>SUM(B51:H51)</f>
        <v>24.5</v>
      </c>
      <c r="J51" s="3494" t="s">
        <v>708</v>
      </c>
      <c r="M51" s="3481" t="s">
        <v>709</v>
      </c>
      <c r="N51" s="3482">
        <f>I45</f>
        <v>64</v>
      </c>
      <c r="Y51" s="18"/>
    </row>
    <row r="52" spans="1:32" ht="17.649999999999999" customHeight="1" x14ac:dyDescent="0.2">
      <c r="A52" s="430" t="s">
        <v>556</v>
      </c>
      <c r="B52" s="440" t="s">
        <v>710</v>
      </c>
      <c r="C52" s="440" t="s">
        <v>710</v>
      </c>
      <c r="D52" s="440" t="s">
        <v>710</v>
      </c>
      <c r="E52" s="440" t="s">
        <v>710</v>
      </c>
      <c r="F52" s="440" t="s">
        <v>711</v>
      </c>
      <c r="G52" s="439" t="s">
        <v>712</v>
      </c>
      <c r="H52" s="337" t="s">
        <v>712</v>
      </c>
      <c r="I52" s="429"/>
      <c r="J52" s="332" t="s">
        <v>556</v>
      </c>
      <c r="K52" s="1" t="s">
        <v>0</v>
      </c>
      <c r="M52" s="3481" t="s">
        <v>713</v>
      </c>
      <c r="N52" s="3482">
        <f>I51</f>
        <v>24.5</v>
      </c>
      <c r="S52" t="s">
        <v>714</v>
      </c>
      <c r="Y52" s="18"/>
    </row>
    <row r="53" spans="1:32" ht="17.649999999999999" customHeight="1" x14ac:dyDescent="0.2">
      <c r="A53" s="3432" t="s">
        <v>558</v>
      </c>
      <c r="B53" s="3509">
        <v>7</v>
      </c>
      <c r="C53" s="3509">
        <v>7</v>
      </c>
      <c r="D53" s="3509">
        <v>7</v>
      </c>
      <c r="E53" s="3509">
        <v>7</v>
      </c>
      <c r="F53" s="3509">
        <v>6.5</v>
      </c>
      <c r="G53" s="3507">
        <v>12</v>
      </c>
      <c r="H53" s="3508">
        <v>12</v>
      </c>
      <c r="I53" s="3407">
        <f>SUM(B53:H53)</f>
        <v>58.5</v>
      </c>
      <c r="J53" s="3494" t="s">
        <v>715</v>
      </c>
      <c r="M53" s="3481" t="s">
        <v>716</v>
      </c>
      <c r="N53" s="3482">
        <f>I57</f>
        <v>40</v>
      </c>
      <c r="S53" s="3510" t="s">
        <v>717</v>
      </c>
      <c r="T53" s="3511"/>
      <c r="U53" s="3511"/>
      <c r="V53" s="3511"/>
      <c r="Y53" s="18"/>
    </row>
    <row r="54" spans="1:32" ht="17.649999999999999" customHeight="1" x14ac:dyDescent="0.2">
      <c r="A54" s="433"/>
      <c r="B54" s="441" t="s">
        <v>718</v>
      </c>
      <c r="C54" s="441" t="s">
        <v>718</v>
      </c>
      <c r="D54" s="441" t="s">
        <v>718</v>
      </c>
      <c r="E54" s="441" t="s">
        <v>718</v>
      </c>
      <c r="F54" s="441" t="s">
        <v>718</v>
      </c>
      <c r="G54" s="439" t="s">
        <v>719</v>
      </c>
      <c r="H54" s="337" t="s">
        <v>712</v>
      </c>
      <c r="I54" s="438"/>
      <c r="J54" s="334"/>
      <c r="M54" s="3481" t="s">
        <v>720</v>
      </c>
      <c r="N54" s="3482">
        <f>I63</f>
        <v>40</v>
      </c>
      <c r="S54" s="3512" t="s">
        <v>721</v>
      </c>
      <c r="T54" s="3513"/>
      <c r="U54" s="3513"/>
      <c r="V54" s="3513"/>
      <c r="Y54" s="18"/>
    </row>
    <row r="55" spans="1:32" ht="17.649999999999999" customHeight="1" x14ac:dyDescent="0.2">
      <c r="A55" s="39" t="s">
        <v>722</v>
      </c>
      <c r="B55" s="3514">
        <v>7</v>
      </c>
      <c r="C55" s="3514">
        <v>7</v>
      </c>
      <c r="D55" s="3514">
        <v>7</v>
      </c>
      <c r="E55" s="3514">
        <v>7</v>
      </c>
      <c r="F55" s="3514">
        <v>7</v>
      </c>
      <c r="G55" s="3515">
        <v>9</v>
      </c>
      <c r="H55" s="3508">
        <v>12</v>
      </c>
      <c r="I55" s="3407">
        <f>SUM(B55:H55)</f>
        <v>56</v>
      </c>
      <c r="J55" s="3494" t="s">
        <v>699</v>
      </c>
      <c r="M55" s="3481" t="s">
        <v>723</v>
      </c>
      <c r="N55" s="3482">
        <v>0</v>
      </c>
      <c r="S55" s="3516" t="s">
        <v>724</v>
      </c>
      <c r="T55" s="3517"/>
      <c r="U55" s="3518"/>
      <c r="V55" s="3518"/>
      <c r="Y55" s="18"/>
    </row>
    <row r="56" spans="1:32" ht="17.649999999999999" customHeight="1" x14ac:dyDescent="0.2">
      <c r="A56" s="433"/>
      <c r="B56" s="3519" t="s">
        <v>725</v>
      </c>
      <c r="C56" s="3519" t="s">
        <v>725</v>
      </c>
      <c r="D56" s="3519" t="s">
        <v>725</v>
      </c>
      <c r="E56" s="3519" t="s">
        <v>725</v>
      </c>
      <c r="F56" s="3519" t="s">
        <v>725</v>
      </c>
      <c r="G56" s="437"/>
      <c r="H56" s="335"/>
      <c r="I56" s="429"/>
      <c r="J56" s="334"/>
      <c r="M56" s="3485" t="s">
        <v>659</v>
      </c>
      <c r="N56" s="3486">
        <f>SUM(N41:N55)</f>
        <v>447.25</v>
      </c>
      <c r="S56" s="3520" t="s">
        <v>726</v>
      </c>
      <c r="T56" s="3521"/>
      <c r="U56" s="3521"/>
      <c r="V56" s="3521"/>
      <c r="Y56" s="18"/>
    </row>
    <row r="57" spans="1:32" ht="17.649999999999999" customHeight="1" x14ac:dyDescent="0.2">
      <c r="A57" s="3432" t="s">
        <v>727</v>
      </c>
      <c r="B57" s="3522">
        <v>8</v>
      </c>
      <c r="C57" s="3522">
        <v>8</v>
      </c>
      <c r="D57" s="3522">
        <v>8</v>
      </c>
      <c r="E57" s="3522">
        <v>8</v>
      </c>
      <c r="F57" s="3522">
        <v>8</v>
      </c>
      <c r="G57" s="3445"/>
      <c r="H57" s="77"/>
      <c r="I57" s="3407">
        <f>SUM(B57:H57)</f>
        <v>40</v>
      </c>
      <c r="J57" s="3494" t="s">
        <v>716</v>
      </c>
      <c r="N57" s="18"/>
      <c r="S57" s="75"/>
      <c r="T57" s="76"/>
      <c r="Y57" s="18"/>
      <c r="AE57" s="59"/>
      <c r="AF57" s="59"/>
    </row>
    <row r="58" spans="1:32" ht="17.649999999999999" customHeight="1" x14ac:dyDescent="0.2">
      <c r="A58" s="430" t="s">
        <v>561</v>
      </c>
      <c r="B58" s="572" t="s">
        <v>518</v>
      </c>
      <c r="C58" s="572" t="s">
        <v>518</v>
      </c>
      <c r="D58" s="572" t="s">
        <v>518</v>
      </c>
      <c r="E58" s="572" t="s">
        <v>518</v>
      </c>
      <c r="F58" s="572" t="s">
        <v>518</v>
      </c>
      <c r="G58" s="437"/>
      <c r="H58" s="335"/>
      <c r="I58" s="429"/>
      <c r="J58" s="332" t="s">
        <v>561</v>
      </c>
      <c r="M58" t="s">
        <v>663</v>
      </c>
      <c r="N58" t="s">
        <v>728</v>
      </c>
      <c r="P58">
        <v>555</v>
      </c>
      <c r="Q58" t="s">
        <v>665</v>
      </c>
      <c r="S58" t="s">
        <v>729</v>
      </c>
      <c r="AE58" s="18"/>
      <c r="AF58" s="18"/>
    </row>
    <row r="59" spans="1:32" ht="17.649999999999999" customHeight="1" x14ac:dyDescent="0.2">
      <c r="A59" s="39" t="s">
        <v>730</v>
      </c>
      <c r="B59" s="3452"/>
      <c r="C59" s="3452"/>
      <c r="D59" s="3452"/>
      <c r="E59" s="3452"/>
      <c r="F59" s="3452"/>
      <c r="G59" s="3445"/>
      <c r="H59" s="77"/>
      <c r="I59" s="3444">
        <f>SUM(B59:H59)</f>
        <v>0</v>
      </c>
      <c r="J59" s="3494" t="s">
        <v>155</v>
      </c>
      <c r="O59" t="s">
        <v>0</v>
      </c>
      <c r="S59" s="3523" t="s">
        <v>731</v>
      </c>
      <c r="T59" s="3524"/>
    </row>
    <row r="60" spans="1:32" ht="17.649999999999999" customHeight="1" x14ac:dyDescent="0.2">
      <c r="A60" s="433"/>
      <c r="B60" s="572" t="s">
        <v>518</v>
      </c>
      <c r="C60" s="572" t="s">
        <v>518</v>
      </c>
      <c r="D60" s="572" t="s">
        <v>518</v>
      </c>
      <c r="E60" s="572" t="s">
        <v>518</v>
      </c>
      <c r="F60" s="572" t="s">
        <v>518</v>
      </c>
      <c r="G60" s="429"/>
      <c r="H60" s="336"/>
      <c r="I60" s="429"/>
      <c r="J60" s="334"/>
      <c r="M60" t="s">
        <v>667</v>
      </c>
      <c r="O60" s="69">
        <f>N56</f>
        <v>447.25</v>
      </c>
      <c r="S60" s="3525" t="s">
        <v>732</v>
      </c>
      <c r="T60" s="3526"/>
    </row>
    <row r="61" spans="1:32" ht="17.649999999999999" customHeight="1" x14ac:dyDescent="0.2">
      <c r="A61" s="33" t="s">
        <v>733</v>
      </c>
      <c r="B61" s="3452"/>
      <c r="C61" s="3452"/>
      <c r="D61" s="3414"/>
      <c r="E61" s="3414"/>
      <c r="F61" s="3414"/>
      <c r="G61" s="3527"/>
      <c r="H61" s="54"/>
      <c r="I61" s="3444">
        <f>SUM(B61:H61)</f>
        <v>0</v>
      </c>
      <c r="J61" s="3528" t="s">
        <v>702</v>
      </c>
      <c r="S61" s="3529" t="s">
        <v>734</v>
      </c>
      <c r="T61" s="3530"/>
      <c r="AE61" s="36"/>
      <c r="AF61" s="36"/>
    </row>
    <row r="62" spans="1:32" ht="17.649999999999999" customHeight="1" x14ac:dyDescent="0.2">
      <c r="A62" s="433" t="s">
        <v>0</v>
      </c>
      <c r="B62" s="442" t="s">
        <v>690</v>
      </c>
      <c r="C62" s="442" t="s">
        <v>690</v>
      </c>
      <c r="D62" s="442" t="s">
        <v>690</v>
      </c>
      <c r="E62" s="442" t="s">
        <v>690</v>
      </c>
      <c r="F62" s="442" t="s">
        <v>690</v>
      </c>
      <c r="G62" s="443"/>
      <c r="H62" s="336"/>
      <c r="I62" s="429"/>
      <c r="J62" s="334" t="s">
        <v>0</v>
      </c>
      <c r="M62">
        <f>O60</f>
        <v>447.25</v>
      </c>
      <c r="N62" t="s">
        <v>668</v>
      </c>
      <c r="P62" s="42">
        <f>SUM(M62/37)</f>
        <v>12.087837837837839</v>
      </c>
      <c r="Q62" t="s">
        <v>665</v>
      </c>
      <c r="AE62" s="37"/>
      <c r="AF62" s="37"/>
    </row>
    <row r="63" spans="1:32" ht="17.649999999999999" customHeight="1" x14ac:dyDescent="0.2">
      <c r="A63" s="39" t="s">
        <v>735</v>
      </c>
      <c r="B63" s="3531">
        <v>8</v>
      </c>
      <c r="C63" s="3531">
        <v>8</v>
      </c>
      <c r="D63" s="3531">
        <v>8</v>
      </c>
      <c r="E63" s="3531">
        <v>8</v>
      </c>
      <c r="F63" s="3531">
        <v>8</v>
      </c>
      <c r="G63" s="3527"/>
      <c r="H63" s="54"/>
      <c r="I63" s="3444">
        <f>SUM(B63:H63)</f>
        <v>40</v>
      </c>
      <c r="J63" s="3494" t="s">
        <v>736</v>
      </c>
      <c r="S63" s="3532" t="s">
        <v>737</v>
      </c>
      <c r="T63" s="3533"/>
      <c r="U63" s="3534"/>
    </row>
    <row r="64" spans="1:32" ht="17.649999999999999" customHeight="1" x14ac:dyDescent="0.2">
      <c r="A64" s="430" t="s">
        <v>567</v>
      </c>
      <c r="B64" s="444" t="s">
        <v>738</v>
      </c>
      <c r="C64" s="444" t="s">
        <v>738</v>
      </c>
      <c r="D64" s="444" t="s">
        <v>738</v>
      </c>
      <c r="E64" s="444" t="s">
        <v>738</v>
      </c>
      <c r="F64" s="444" t="s">
        <v>738</v>
      </c>
      <c r="G64" s="423"/>
      <c r="H64" s="339"/>
      <c r="I64" s="429"/>
      <c r="J64" s="332" t="s">
        <v>567</v>
      </c>
      <c r="M64" s="42">
        <f>P62</f>
        <v>12.087837837837839</v>
      </c>
      <c r="N64" t="s">
        <v>670</v>
      </c>
      <c r="P64" s="42">
        <f>SUM(P62*3)</f>
        <v>36.263513513513516</v>
      </c>
      <c r="Q64" t="s">
        <v>665</v>
      </c>
    </row>
    <row r="65" spans="1:31" ht="17.649999999999999" customHeight="1" x14ac:dyDescent="0.2">
      <c r="A65" s="39" t="s">
        <v>568</v>
      </c>
      <c r="B65" s="3535">
        <v>7</v>
      </c>
      <c r="C65" s="3535">
        <v>7</v>
      </c>
      <c r="D65" s="3535">
        <v>7</v>
      </c>
      <c r="E65" s="3535">
        <v>7</v>
      </c>
      <c r="F65" s="3535">
        <v>7</v>
      </c>
      <c r="G65" s="3444"/>
      <c r="H65" s="78"/>
      <c r="I65" s="3444">
        <f>SUM(B65:H65)</f>
        <v>35</v>
      </c>
      <c r="J65" s="55" t="s">
        <v>739</v>
      </c>
      <c r="S65" s="3532" t="s">
        <v>740</v>
      </c>
      <c r="T65" s="3533"/>
      <c r="U65" s="3534"/>
    </row>
    <row r="66" spans="1:31" ht="17.649999999999999" customHeight="1" x14ac:dyDescent="0.2">
      <c r="A66" s="433"/>
      <c r="B66" s="340" t="s">
        <v>741</v>
      </c>
      <c r="C66" s="340" t="s">
        <v>741</v>
      </c>
      <c r="D66" s="340" t="s">
        <v>741</v>
      </c>
      <c r="E66" s="340" t="s">
        <v>741</v>
      </c>
      <c r="F66" s="340" t="s">
        <v>741</v>
      </c>
      <c r="G66" s="423"/>
      <c r="H66" s="339"/>
      <c r="I66" s="445"/>
      <c r="J66" s="334"/>
      <c r="M66">
        <f>P58</f>
        <v>555</v>
      </c>
      <c r="N66" t="s">
        <v>672</v>
      </c>
      <c r="P66" s="71">
        <f>P64</f>
        <v>36.263513513513516</v>
      </c>
      <c r="Q66" t="s">
        <v>673</v>
      </c>
      <c r="R66" s="79">
        <f>SUM(M66-P66)</f>
        <v>518.73648648648646</v>
      </c>
    </row>
    <row r="67" spans="1:31" ht="17.649999999999999" customHeight="1" x14ac:dyDescent="0.2">
      <c r="A67" s="3439" t="s">
        <v>569</v>
      </c>
      <c r="B67" s="3536">
        <v>7.5</v>
      </c>
      <c r="C67" s="3536">
        <v>7.5</v>
      </c>
      <c r="D67" s="3536">
        <v>7.5</v>
      </c>
      <c r="E67" s="3536">
        <v>7.5</v>
      </c>
      <c r="F67" s="3536">
        <v>7.5</v>
      </c>
      <c r="G67" s="3407"/>
      <c r="H67" s="3537"/>
      <c r="I67" s="3538">
        <v>41.5</v>
      </c>
      <c r="J67" s="3528" t="s">
        <v>742</v>
      </c>
      <c r="S67" s="3539" t="s">
        <v>743</v>
      </c>
      <c r="T67" s="3540"/>
      <c r="U67" s="3541"/>
      <c r="AE67" s="36"/>
    </row>
    <row r="68" spans="1:31" ht="17.649999999999999" customHeight="1" x14ac:dyDescent="0.2">
      <c r="A68" s="433"/>
      <c r="B68" s="341" t="s">
        <v>744</v>
      </c>
      <c r="C68" s="446" t="s">
        <v>744</v>
      </c>
      <c r="D68" s="446" t="s">
        <v>744</v>
      </c>
      <c r="E68" s="446" t="s">
        <v>744</v>
      </c>
      <c r="F68" s="446" t="s">
        <v>744</v>
      </c>
      <c r="G68" s="423"/>
      <c r="H68" s="339"/>
      <c r="I68" s="447"/>
      <c r="J68" s="334"/>
      <c r="M68" s="42">
        <v>522.25</v>
      </c>
      <c r="N68" t="s">
        <v>675</v>
      </c>
      <c r="O68" s="71">
        <f>R66</f>
        <v>518.73648648648646</v>
      </c>
      <c r="P68" s="327">
        <f>SUM(M68-O68)</f>
        <v>3.5135135135135442</v>
      </c>
      <c r="S68" s="75"/>
      <c r="T68" s="76"/>
      <c r="AE68" s="37"/>
    </row>
    <row r="69" spans="1:31" ht="17.649999999999999" customHeight="1" x14ac:dyDescent="0.2">
      <c r="A69" s="3432" t="s">
        <v>570</v>
      </c>
      <c r="B69" s="3542">
        <v>8</v>
      </c>
      <c r="C69" s="3542">
        <v>8</v>
      </c>
      <c r="D69" s="3542">
        <v>8</v>
      </c>
      <c r="E69" s="3542">
        <v>8</v>
      </c>
      <c r="F69" s="3542">
        <v>8</v>
      </c>
      <c r="G69" s="3407"/>
      <c r="H69" s="3407"/>
      <c r="I69" s="3538">
        <f>SUM(B69:H69)</f>
        <v>40</v>
      </c>
      <c r="J69" s="3494" t="s">
        <v>745</v>
      </c>
    </row>
    <row r="70" spans="1:31" ht="17.649999999999999" customHeight="1" x14ac:dyDescent="0.2">
      <c r="A70" s="46" t="s">
        <v>530</v>
      </c>
      <c r="B70" s="62">
        <f t="shared" ref="B70:I70" si="2">SUM(B41,B43,B45,B47,B49,B51,B53,B55,B57,B59,B61,B63,B65,B67,B69)</f>
        <v>75.75</v>
      </c>
      <c r="C70" s="62">
        <f t="shared" si="2"/>
        <v>75.75</v>
      </c>
      <c r="D70" s="62">
        <f t="shared" si="2"/>
        <v>75.75</v>
      </c>
      <c r="E70" s="62">
        <f t="shared" si="2"/>
        <v>75.75</v>
      </c>
      <c r="F70" s="62">
        <f t="shared" si="2"/>
        <v>75.25</v>
      </c>
      <c r="G70" s="62">
        <f t="shared" si="2"/>
        <v>68.5</v>
      </c>
      <c r="H70" s="62">
        <f t="shared" si="2"/>
        <v>71.5</v>
      </c>
      <c r="I70" s="62">
        <f t="shared" si="2"/>
        <v>522.25</v>
      </c>
      <c r="J70" s="48"/>
    </row>
    <row r="71" spans="1:31" ht="17.649999999999999" customHeight="1" x14ac:dyDescent="0.2">
      <c r="A71" s="18"/>
      <c r="B71" s="18"/>
      <c r="C71" s="18"/>
      <c r="D71" s="18"/>
      <c r="E71" s="18"/>
      <c r="F71" s="18"/>
      <c r="G71" s="3475" t="s">
        <v>642</v>
      </c>
      <c r="H71" s="3475" t="s">
        <v>643</v>
      </c>
      <c r="I71" s="3475" t="s">
        <v>644</v>
      </c>
      <c r="M71" s="59"/>
      <c r="N71" s="59"/>
      <c r="O71" s="59"/>
      <c r="P71" s="59"/>
      <c r="Q71" s="59"/>
      <c r="R71" s="59"/>
    </row>
    <row r="72" spans="1:31" ht="17.649999999999999" customHeight="1" x14ac:dyDescent="0.2">
      <c r="A72" s="18"/>
      <c r="B72" s="36"/>
      <c r="C72" s="36"/>
      <c r="D72" s="36"/>
      <c r="E72" s="36"/>
      <c r="F72" s="36"/>
      <c r="G72" s="3449">
        <f>I70</f>
        <v>522.25</v>
      </c>
      <c r="H72" s="3476">
        <f>SUM(G72*13/3)</f>
        <v>2263.0833333333335</v>
      </c>
      <c r="I72" s="3449">
        <f>SUM(H72*12)</f>
        <v>27157</v>
      </c>
      <c r="M72" s="18"/>
      <c r="N72" s="18"/>
      <c r="O72" s="18"/>
      <c r="P72" s="18"/>
      <c r="Q72" s="18"/>
      <c r="R72" s="18"/>
    </row>
    <row r="73" spans="1:31" ht="17.649999999999999" customHeight="1" x14ac:dyDescent="0.2">
      <c r="A73" s="18"/>
      <c r="B73" s="37"/>
      <c r="C73" s="37"/>
      <c r="D73" s="37"/>
      <c r="E73" s="37"/>
      <c r="F73" s="37"/>
      <c r="G73" s="18"/>
      <c r="H73" s="45"/>
      <c r="I73" s="18"/>
      <c r="N73" s="18"/>
      <c r="O73" s="18"/>
      <c r="P73" s="18"/>
      <c r="Q73" s="18"/>
      <c r="R73" s="18"/>
    </row>
    <row r="74" spans="1:31" ht="17.649999999999999" customHeight="1" x14ac:dyDescent="0.2">
      <c r="A74" s="18"/>
      <c r="B74" s="18"/>
      <c r="C74" s="18"/>
      <c r="D74" s="18"/>
      <c r="E74" s="18"/>
      <c r="F74" s="18"/>
      <c r="G74" s="18"/>
      <c r="H74" s="45"/>
      <c r="I74" s="18"/>
      <c r="N74" s="18"/>
      <c r="O74" s="18"/>
      <c r="P74" s="18"/>
      <c r="Q74" s="18"/>
      <c r="R74" s="18"/>
    </row>
    <row r="75" spans="1:31" ht="17.100000000000001" customHeight="1" x14ac:dyDescent="0.2">
      <c r="A75" s="1" t="s">
        <v>746</v>
      </c>
      <c r="B75" s="18"/>
      <c r="C75" s="18"/>
      <c r="D75" s="18"/>
      <c r="E75" s="18"/>
      <c r="F75" s="18"/>
      <c r="N75" s="18"/>
      <c r="O75" s="18"/>
      <c r="P75" s="18"/>
      <c r="Q75" s="18"/>
      <c r="R75" s="18"/>
    </row>
    <row r="76" spans="1:31" ht="17.100000000000001" customHeight="1" x14ac:dyDescent="0.2">
      <c r="A76" s="428" t="s">
        <v>677</v>
      </c>
      <c r="B76" s="423" t="s">
        <v>90</v>
      </c>
      <c r="C76" s="424" t="s">
        <v>91</v>
      </c>
      <c r="D76" s="424" t="s">
        <v>92</v>
      </c>
      <c r="E76" s="424" t="s">
        <v>93</v>
      </c>
      <c r="F76" s="424" t="s">
        <v>94</v>
      </c>
      <c r="G76" s="424" t="s">
        <v>95</v>
      </c>
      <c r="H76" s="328" t="s">
        <v>96</v>
      </c>
      <c r="I76" s="429" t="s">
        <v>138</v>
      </c>
      <c r="J76" s="329" t="s">
        <v>97</v>
      </c>
      <c r="N76" s="18"/>
      <c r="O76" s="18"/>
      <c r="P76" s="18"/>
      <c r="Q76" s="18"/>
      <c r="R76" s="18"/>
    </row>
    <row r="77" spans="1:31" ht="17.100000000000001" customHeight="1" x14ac:dyDescent="0.2">
      <c r="A77" s="433"/>
      <c r="B77" s="431" t="s">
        <v>679</v>
      </c>
      <c r="C77" s="431" t="s">
        <v>679</v>
      </c>
      <c r="D77" s="431" t="s">
        <v>679</v>
      </c>
      <c r="E77" s="431" t="s">
        <v>679</v>
      </c>
      <c r="F77" s="431" t="s">
        <v>679</v>
      </c>
      <c r="G77" s="432" t="s">
        <v>680</v>
      </c>
      <c r="H77" s="432" t="s">
        <v>680</v>
      </c>
      <c r="I77" s="445"/>
      <c r="J77" s="334"/>
      <c r="N77" s="18"/>
      <c r="O77" s="18"/>
      <c r="P77" s="18"/>
      <c r="Q77" s="18"/>
      <c r="R77" s="18"/>
    </row>
    <row r="78" spans="1:31" ht="17.100000000000001" customHeight="1" x14ac:dyDescent="0.2">
      <c r="A78" s="3432" t="s">
        <v>540</v>
      </c>
      <c r="B78" s="3492">
        <v>8.25</v>
      </c>
      <c r="C78" s="3492">
        <v>8.25</v>
      </c>
      <c r="D78" s="3492">
        <v>8.25</v>
      </c>
      <c r="E78" s="3492">
        <v>8.25</v>
      </c>
      <c r="F78" s="3492">
        <v>8.25</v>
      </c>
      <c r="G78" s="3493">
        <v>12.25</v>
      </c>
      <c r="H78" s="3493">
        <v>12.25</v>
      </c>
      <c r="I78" s="3407">
        <f>SUM(B78:H78)</f>
        <v>65.75</v>
      </c>
      <c r="J78" s="3494" t="s">
        <v>683</v>
      </c>
      <c r="N78" s="18"/>
      <c r="O78" s="18"/>
      <c r="P78" s="18"/>
      <c r="Q78" s="18"/>
      <c r="R78" s="18"/>
    </row>
    <row r="79" spans="1:31" ht="17.100000000000001" customHeight="1" x14ac:dyDescent="0.2">
      <c r="A79" s="433"/>
      <c r="B79" s="572" t="s">
        <v>518</v>
      </c>
      <c r="C79" s="572" t="s">
        <v>518</v>
      </c>
      <c r="D79" s="572" t="s">
        <v>518</v>
      </c>
      <c r="E79" s="572" t="s">
        <v>518</v>
      </c>
      <c r="F79" s="572" t="s">
        <v>518</v>
      </c>
      <c r="G79" s="342"/>
      <c r="H79" s="343"/>
      <c r="I79" s="447"/>
      <c r="J79" s="334"/>
      <c r="L79" s="36"/>
      <c r="M79" s="36"/>
      <c r="N79" s="36"/>
      <c r="O79" s="18"/>
      <c r="P79" s="18"/>
      <c r="Q79" s="18"/>
      <c r="R79" s="18"/>
    </row>
    <row r="80" spans="1:31" ht="17.100000000000001" customHeight="1" x14ac:dyDescent="0.2">
      <c r="A80" s="3432" t="s">
        <v>747</v>
      </c>
      <c r="B80" s="3414"/>
      <c r="C80" s="3414"/>
      <c r="D80" s="3414"/>
      <c r="E80" s="3414"/>
      <c r="F80" s="3414"/>
      <c r="G80" s="3408"/>
      <c r="H80" s="3506"/>
      <c r="I80" s="3407">
        <f>SUM(B80:H80)</f>
        <v>0</v>
      </c>
      <c r="J80" s="3494" t="s">
        <v>697</v>
      </c>
      <c r="L80" s="37"/>
      <c r="M80" s="37"/>
      <c r="N80" s="37"/>
      <c r="O80" s="18"/>
      <c r="P80" s="18"/>
      <c r="Q80" s="18"/>
      <c r="R80" s="18"/>
    </row>
    <row r="81" spans="1:18" ht="17.100000000000001" customHeight="1" x14ac:dyDescent="0.2">
      <c r="A81" s="433"/>
      <c r="B81" s="440" t="s">
        <v>710</v>
      </c>
      <c r="C81" s="440" t="s">
        <v>710</v>
      </c>
      <c r="D81" s="440" t="s">
        <v>710</v>
      </c>
      <c r="E81" s="440" t="s">
        <v>710</v>
      </c>
      <c r="F81" s="440" t="s">
        <v>711</v>
      </c>
      <c r="G81" s="439" t="s">
        <v>712</v>
      </c>
      <c r="H81" s="337" t="s">
        <v>712</v>
      </c>
      <c r="I81" s="429"/>
      <c r="J81" s="334"/>
      <c r="N81" s="18"/>
      <c r="O81" s="18"/>
      <c r="P81" s="18"/>
      <c r="Q81" s="18"/>
      <c r="R81" s="18"/>
    </row>
    <row r="82" spans="1:18" ht="17.100000000000001" customHeight="1" x14ac:dyDescent="0.2">
      <c r="A82" s="3432" t="s">
        <v>558</v>
      </c>
      <c r="B82" s="3509">
        <v>7</v>
      </c>
      <c r="C82" s="3509">
        <v>7</v>
      </c>
      <c r="D82" s="3509">
        <v>7</v>
      </c>
      <c r="E82" s="3509">
        <v>7</v>
      </c>
      <c r="F82" s="3509">
        <v>6.5</v>
      </c>
      <c r="G82" s="3507">
        <v>12</v>
      </c>
      <c r="H82" s="3508">
        <v>12</v>
      </c>
      <c r="I82" s="3407">
        <f>SUM(B82:H82)</f>
        <v>58.5</v>
      </c>
      <c r="J82" s="3494" t="s">
        <v>715</v>
      </c>
      <c r="N82" s="18"/>
      <c r="O82" s="18"/>
      <c r="P82" s="18"/>
      <c r="Q82" s="18"/>
      <c r="R82" s="18"/>
    </row>
    <row r="83" spans="1:18" ht="17.100000000000001" customHeight="1" x14ac:dyDescent="0.2">
      <c r="A83" s="433"/>
      <c r="B83" s="572" t="s">
        <v>518</v>
      </c>
      <c r="C83" s="572" t="s">
        <v>518</v>
      </c>
      <c r="D83" s="572" t="s">
        <v>518</v>
      </c>
      <c r="E83" s="572" t="s">
        <v>518</v>
      </c>
      <c r="F83" s="572" t="s">
        <v>518</v>
      </c>
      <c r="G83" s="342"/>
      <c r="H83" s="343"/>
      <c r="I83" s="445"/>
      <c r="J83" s="334"/>
      <c r="N83" s="18"/>
      <c r="O83" s="18"/>
      <c r="P83" s="18"/>
      <c r="Q83" s="18"/>
      <c r="R83" s="18"/>
    </row>
    <row r="84" spans="1:18" ht="17.100000000000001" customHeight="1" x14ac:dyDescent="0.2">
      <c r="A84" s="3432" t="s">
        <v>730</v>
      </c>
      <c r="B84" s="3452"/>
      <c r="C84" s="3452"/>
      <c r="D84" s="3452"/>
      <c r="E84" s="3452"/>
      <c r="F84" s="3452"/>
      <c r="G84" s="3408"/>
      <c r="H84" s="3506"/>
      <c r="I84" s="3407">
        <f>SUM(B84:H84)</f>
        <v>0</v>
      </c>
      <c r="J84" s="3494" t="s">
        <v>155</v>
      </c>
      <c r="N84" s="18"/>
      <c r="O84" s="18"/>
      <c r="P84" s="18"/>
      <c r="Q84" s="18"/>
      <c r="R84" s="18"/>
    </row>
    <row r="85" spans="1:18" ht="17.100000000000001" customHeight="1" x14ac:dyDescent="0.2">
      <c r="A85" s="433"/>
      <c r="B85" s="444" t="s">
        <v>738</v>
      </c>
      <c r="C85" s="444" t="s">
        <v>738</v>
      </c>
      <c r="D85" s="444" t="s">
        <v>738</v>
      </c>
      <c r="E85" s="444" t="s">
        <v>738</v>
      </c>
      <c r="F85" s="444" t="s">
        <v>738</v>
      </c>
      <c r="G85" s="344"/>
      <c r="H85" s="345"/>
      <c r="I85" s="445"/>
      <c r="J85" s="334"/>
      <c r="N85" s="18"/>
      <c r="O85" s="18"/>
      <c r="P85" s="18"/>
      <c r="Q85" s="18"/>
      <c r="R85" s="18"/>
    </row>
    <row r="86" spans="1:18" ht="17.100000000000001" customHeight="1" x14ac:dyDescent="0.2">
      <c r="A86" s="3432" t="s">
        <v>568</v>
      </c>
      <c r="B86" s="3535">
        <v>7</v>
      </c>
      <c r="C86" s="3535">
        <v>7</v>
      </c>
      <c r="D86" s="3535">
        <v>7</v>
      </c>
      <c r="E86" s="3535">
        <v>7</v>
      </c>
      <c r="F86" s="3535">
        <v>7</v>
      </c>
      <c r="G86" s="3407"/>
      <c r="H86" s="3537"/>
      <c r="I86" s="3407">
        <f>SUM(B86:H86)</f>
        <v>35</v>
      </c>
      <c r="J86" s="3494" t="s">
        <v>739</v>
      </c>
      <c r="N86" s="18"/>
      <c r="O86" s="18"/>
      <c r="P86" s="18"/>
      <c r="Q86" s="18"/>
      <c r="R86" s="18"/>
    </row>
    <row r="87" spans="1:18" ht="17.100000000000001" customHeight="1" x14ac:dyDescent="0.2">
      <c r="A87" s="433"/>
      <c r="B87" s="434" t="s">
        <v>685</v>
      </c>
      <c r="C87" s="434" t="s">
        <v>685</v>
      </c>
      <c r="D87" s="434" t="s">
        <v>685</v>
      </c>
      <c r="E87" s="434" t="s">
        <v>685</v>
      </c>
      <c r="F87" s="434" t="s">
        <v>685</v>
      </c>
      <c r="G87" s="435" t="s">
        <v>686</v>
      </c>
      <c r="H87" s="333" t="s">
        <v>686</v>
      </c>
      <c r="I87" s="429"/>
      <c r="J87" s="334"/>
      <c r="N87" s="18"/>
      <c r="O87" s="18"/>
      <c r="P87" s="18"/>
      <c r="Q87" s="18"/>
      <c r="R87" s="18"/>
    </row>
    <row r="88" spans="1:18" ht="17.100000000000001" customHeight="1" x14ac:dyDescent="0.2">
      <c r="A88" s="3432" t="s">
        <v>688</v>
      </c>
      <c r="B88" s="3430">
        <v>7</v>
      </c>
      <c r="C88" s="3430">
        <v>7</v>
      </c>
      <c r="D88" s="3430">
        <v>7</v>
      </c>
      <c r="E88" s="3430">
        <v>7</v>
      </c>
      <c r="F88" s="3430">
        <v>7</v>
      </c>
      <c r="G88" s="3499">
        <v>11</v>
      </c>
      <c r="H88" s="3500">
        <v>11</v>
      </c>
      <c r="I88" s="3407">
        <f>SUM(B88:H88)</f>
        <v>57</v>
      </c>
      <c r="J88" s="3494" t="s">
        <v>689</v>
      </c>
      <c r="N88" s="18"/>
      <c r="O88" s="18"/>
      <c r="P88" s="18"/>
      <c r="Q88" s="18"/>
      <c r="R88" s="18"/>
    </row>
    <row r="89" spans="1:18" ht="17.100000000000001" customHeight="1" x14ac:dyDescent="0.2">
      <c r="A89" s="433"/>
      <c r="B89" s="572" t="s">
        <v>518</v>
      </c>
      <c r="C89" s="572" t="s">
        <v>518</v>
      </c>
      <c r="D89" s="572" t="s">
        <v>518</v>
      </c>
      <c r="E89" s="572" t="s">
        <v>518</v>
      </c>
      <c r="F89" s="572" t="s">
        <v>518</v>
      </c>
      <c r="G89" s="429"/>
      <c r="H89" s="336"/>
      <c r="I89" s="429"/>
      <c r="J89" s="334"/>
      <c r="N89" s="18"/>
      <c r="O89" s="18"/>
      <c r="P89" s="18"/>
      <c r="Q89" s="18"/>
      <c r="R89" s="18"/>
    </row>
    <row r="90" spans="1:18" ht="17.100000000000001" customHeight="1" x14ac:dyDescent="0.2">
      <c r="A90" s="3432" t="s">
        <v>701</v>
      </c>
      <c r="B90" s="3414"/>
      <c r="C90" s="3414"/>
      <c r="D90" s="3414"/>
      <c r="E90" s="3414"/>
      <c r="F90" s="3414"/>
      <c r="G90" s="3456"/>
      <c r="H90" s="3251"/>
      <c r="I90" s="3407">
        <f>SUM(B90:H90)</f>
        <v>0</v>
      </c>
      <c r="J90" s="3494" t="s">
        <v>698</v>
      </c>
      <c r="N90" s="18"/>
      <c r="O90" s="18"/>
      <c r="P90" s="18"/>
      <c r="Q90" s="18"/>
      <c r="R90" s="18"/>
    </row>
    <row r="91" spans="1:18" ht="17.100000000000001" customHeight="1" x14ac:dyDescent="0.2">
      <c r="A91" s="433"/>
      <c r="B91" s="441" t="s">
        <v>718</v>
      </c>
      <c r="C91" s="441" t="s">
        <v>718</v>
      </c>
      <c r="D91" s="441" t="s">
        <v>718</v>
      </c>
      <c r="E91" s="441" t="s">
        <v>718</v>
      </c>
      <c r="F91" s="441" t="s">
        <v>718</v>
      </c>
      <c r="G91" s="439" t="s">
        <v>719</v>
      </c>
      <c r="H91" s="337" t="s">
        <v>712</v>
      </c>
      <c r="I91" s="438"/>
      <c r="J91" s="334"/>
      <c r="N91" s="18"/>
      <c r="O91" s="18"/>
      <c r="P91" s="18"/>
      <c r="Q91" s="18"/>
      <c r="R91" s="18"/>
    </row>
    <row r="92" spans="1:18" ht="17.100000000000001" customHeight="1" x14ac:dyDescent="0.2">
      <c r="A92" s="3432" t="s">
        <v>722</v>
      </c>
      <c r="B92" s="3514">
        <v>7</v>
      </c>
      <c r="C92" s="3514">
        <v>7</v>
      </c>
      <c r="D92" s="3514">
        <v>7</v>
      </c>
      <c r="E92" s="3514">
        <v>7</v>
      </c>
      <c r="F92" s="3514">
        <v>7</v>
      </c>
      <c r="G92" s="3515">
        <v>9</v>
      </c>
      <c r="H92" s="3508">
        <v>12</v>
      </c>
      <c r="I92" s="3407">
        <f>SUM(B92:H92)</f>
        <v>56</v>
      </c>
      <c r="J92" s="3494" t="s">
        <v>699</v>
      </c>
      <c r="L92" s="36"/>
      <c r="M92" s="36"/>
      <c r="N92" s="36"/>
      <c r="O92" s="18"/>
      <c r="P92" s="18"/>
      <c r="Q92" s="18"/>
      <c r="R92" s="18"/>
    </row>
    <row r="93" spans="1:18" ht="17.100000000000001" customHeight="1" x14ac:dyDescent="0.2">
      <c r="A93" s="433"/>
      <c r="B93" s="572" t="s">
        <v>518</v>
      </c>
      <c r="C93" s="572" t="s">
        <v>518</v>
      </c>
      <c r="D93" s="572" t="s">
        <v>518</v>
      </c>
      <c r="E93" s="572" t="s">
        <v>518</v>
      </c>
      <c r="F93" s="572" t="s">
        <v>518</v>
      </c>
      <c r="G93" s="429"/>
      <c r="H93" s="336"/>
      <c r="I93" s="429"/>
      <c r="J93" s="334"/>
      <c r="L93" s="37"/>
      <c r="M93" s="37"/>
      <c r="N93" s="37"/>
      <c r="O93" s="18"/>
      <c r="P93" s="18"/>
      <c r="Q93" s="18"/>
      <c r="R93" s="18"/>
    </row>
    <row r="94" spans="1:18" ht="17.100000000000001" customHeight="1" x14ac:dyDescent="0.2">
      <c r="A94" s="33" t="s">
        <v>748</v>
      </c>
      <c r="B94" s="3452"/>
      <c r="C94" s="3452"/>
      <c r="D94" s="3414"/>
      <c r="E94" s="3414"/>
      <c r="F94" s="3414"/>
      <c r="G94" s="3527"/>
      <c r="H94" s="54"/>
      <c r="I94" s="3444">
        <f>SUM(B94:H94)</f>
        <v>0</v>
      </c>
      <c r="J94" s="58" t="s">
        <v>702</v>
      </c>
      <c r="N94" s="18"/>
      <c r="O94" s="18"/>
      <c r="P94" s="18"/>
      <c r="Q94" s="18"/>
      <c r="R94" s="18"/>
    </row>
    <row r="95" spans="1:18" ht="17.100000000000001" customHeight="1" x14ac:dyDescent="0.2">
      <c r="A95" s="433"/>
      <c r="B95" s="340" t="s">
        <v>741</v>
      </c>
      <c r="C95" s="340" t="s">
        <v>741</v>
      </c>
      <c r="D95" s="340" t="s">
        <v>741</v>
      </c>
      <c r="E95" s="340" t="s">
        <v>741</v>
      </c>
      <c r="F95" s="340" t="s">
        <v>741</v>
      </c>
      <c r="G95" s="423"/>
      <c r="H95" s="339"/>
      <c r="I95" s="309"/>
      <c r="J95" s="334"/>
      <c r="N95" s="59"/>
      <c r="O95" s="59"/>
      <c r="P95" s="18"/>
      <c r="Q95" s="18"/>
      <c r="R95" s="18"/>
    </row>
    <row r="96" spans="1:18" ht="17.100000000000001" customHeight="1" x14ac:dyDescent="0.2">
      <c r="A96" s="3439" t="s">
        <v>569</v>
      </c>
      <c r="B96" s="3536">
        <v>7.5</v>
      </c>
      <c r="C96" s="3536">
        <v>7.5</v>
      </c>
      <c r="D96" s="3536">
        <v>7.5</v>
      </c>
      <c r="E96" s="3536">
        <v>7.5</v>
      </c>
      <c r="F96" s="3536">
        <v>7.5</v>
      </c>
      <c r="G96" s="3407"/>
      <c r="H96" s="3537"/>
      <c r="I96" s="3416">
        <f>SUM(B96:H96)</f>
        <v>37.5</v>
      </c>
      <c r="J96" s="3543" t="s">
        <v>742</v>
      </c>
      <c r="L96" s="59"/>
      <c r="M96" s="59"/>
      <c r="N96" s="18"/>
      <c r="O96" s="18"/>
      <c r="P96" s="59"/>
      <c r="Q96" s="18"/>
      <c r="R96" s="18"/>
    </row>
    <row r="97" spans="1:19" ht="17.100000000000001" customHeight="1" x14ac:dyDescent="0.2">
      <c r="A97" s="433"/>
      <c r="B97" s="436" t="s">
        <v>691</v>
      </c>
      <c r="C97" s="436" t="s">
        <v>691</v>
      </c>
      <c r="D97" s="436" t="s">
        <v>691</v>
      </c>
      <c r="E97" s="436" t="s">
        <v>691</v>
      </c>
      <c r="F97" s="436" t="s">
        <v>691</v>
      </c>
      <c r="G97" s="333" t="s">
        <v>692</v>
      </c>
      <c r="H97" s="333" t="s">
        <v>692</v>
      </c>
      <c r="I97" s="429"/>
      <c r="J97" s="334"/>
      <c r="L97" s="18"/>
      <c r="M97" s="18"/>
      <c r="N97" s="18"/>
      <c r="O97" s="18"/>
      <c r="P97" s="18"/>
      <c r="Q97" s="18"/>
      <c r="R97" s="18"/>
    </row>
    <row r="98" spans="1:19" ht="17.100000000000001" customHeight="1" x14ac:dyDescent="0.2">
      <c r="A98" s="3432" t="s">
        <v>693</v>
      </c>
      <c r="B98" s="3503">
        <v>8</v>
      </c>
      <c r="C98" s="3503">
        <v>8</v>
      </c>
      <c r="D98" s="3503">
        <v>8</v>
      </c>
      <c r="E98" s="3503">
        <v>8</v>
      </c>
      <c r="F98" s="3503">
        <v>8</v>
      </c>
      <c r="G98" s="3499">
        <v>12</v>
      </c>
      <c r="H98" s="3499">
        <v>12</v>
      </c>
      <c r="I98" s="3407">
        <f>SUM(B98:H98)</f>
        <v>64</v>
      </c>
      <c r="J98" s="3494" t="s">
        <v>694</v>
      </c>
      <c r="N98" s="18"/>
      <c r="O98" s="18"/>
      <c r="P98" s="18"/>
      <c r="Q98" s="18"/>
      <c r="R98" s="18"/>
    </row>
    <row r="99" spans="1:19" ht="17.100000000000001" customHeight="1" x14ac:dyDescent="0.2">
      <c r="A99" s="428"/>
      <c r="B99" s="572" t="s">
        <v>518</v>
      </c>
      <c r="C99" s="572" t="s">
        <v>518</v>
      </c>
      <c r="D99" s="572" t="s">
        <v>518</v>
      </c>
      <c r="E99" s="572" t="s">
        <v>518</v>
      </c>
      <c r="F99" s="572" t="s">
        <v>518</v>
      </c>
      <c r="G99" s="439" t="s">
        <v>703</v>
      </c>
      <c r="H99" s="337" t="s">
        <v>704</v>
      </c>
      <c r="I99" s="429"/>
      <c r="J99" s="338"/>
      <c r="N99" s="18"/>
      <c r="O99" s="18"/>
      <c r="P99" s="18"/>
      <c r="Q99" s="18"/>
      <c r="R99" s="18"/>
    </row>
    <row r="100" spans="1:19" ht="17.100000000000001" customHeight="1" x14ac:dyDescent="0.2">
      <c r="A100" s="3432" t="s">
        <v>707</v>
      </c>
      <c r="B100" s="3414"/>
      <c r="C100" s="3414"/>
      <c r="D100" s="3414"/>
      <c r="E100" s="3414"/>
      <c r="F100" s="3414"/>
      <c r="G100" s="3507">
        <v>12.25</v>
      </c>
      <c r="H100" s="3508">
        <v>12.25</v>
      </c>
      <c r="I100" s="3407">
        <f>SUM(B100:H100)</f>
        <v>24.5</v>
      </c>
      <c r="J100" s="3494" t="s">
        <v>708</v>
      </c>
      <c r="N100" s="18"/>
      <c r="O100" s="18"/>
      <c r="P100" s="18"/>
      <c r="Q100" s="18"/>
      <c r="R100" s="18"/>
    </row>
    <row r="101" spans="1:19" ht="17.100000000000001" customHeight="1" x14ac:dyDescent="0.2">
      <c r="A101" s="433"/>
      <c r="B101" s="3519" t="s">
        <v>725</v>
      </c>
      <c r="C101" s="3519" t="s">
        <v>725</v>
      </c>
      <c r="D101" s="3519" t="s">
        <v>725</v>
      </c>
      <c r="E101" s="3519" t="s">
        <v>725</v>
      </c>
      <c r="F101" s="3519" t="s">
        <v>725</v>
      </c>
      <c r="G101" s="423"/>
      <c r="H101" s="339"/>
      <c r="I101" s="429"/>
      <c r="J101" s="334"/>
      <c r="N101" s="18"/>
      <c r="O101" s="18"/>
      <c r="P101" s="18"/>
      <c r="Q101" s="18"/>
      <c r="R101" s="18"/>
    </row>
    <row r="102" spans="1:19" ht="17.100000000000001" customHeight="1" x14ac:dyDescent="0.2">
      <c r="A102" s="3432" t="s">
        <v>727</v>
      </c>
      <c r="B102" s="3522">
        <v>8</v>
      </c>
      <c r="C102" s="3522">
        <v>8</v>
      </c>
      <c r="D102" s="3522">
        <v>8</v>
      </c>
      <c r="E102" s="3522">
        <v>8</v>
      </c>
      <c r="F102" s="3522">
        <v>8</v>
      </c>
      <c r="G102" s="3407"/>
      <c r="H102" s="3537"/>
      <c r="I102" s="3407">
        <f>SUM(B102:H102)</f>
        <v>40</v>
      </c>
      <c r="J102" s="3494" t="s">
        <v>716</v>
      </c>
      <c r="N102" s="18"/>
      <c r="O102" s="18"/>
      <c r="P102" s="18"/>
      <c r="Q102" s="18"/>
      <c r="R102" s="18"/>
    </row>
    <row r="103" spans="1:19" ht="17.100000000000001" customHeight="1" x14ac:dyDescent="0.2">
      <c r="A103" s="433" t="s">
        <v>0</v>
      </c>
      <c r="B103" s="442" t="s">
        <v>690</v>
      </c>
      <c r="C103" s="442" t="s">
        <v>690</v>
      </c>
      <c r="D103" s="442" t="s">
        <v>690</v>
      </c>
      <c r="E103" s="442" t="s">
        <v>690</v>
      </c>
      <c r="F103" s="442" t="s">
        <v>690</v>
      </c>
      <c r="G103" s="443"/>
      <c r="H103" s="336"/>
      <c r="I103" s="429"/>
      <c r="J103" s="334" t="s">
        <v>0</v>
      </c>
      <c r="N103" s="18"/>
      <c r="O103" s="18"/>
      <c r="P103" s="18"/>
      <c r="Q103" s="18"/>
      <c r="R103" s="18"/>
    </row>
    <row r="104" spans="1:19" ht="17.100000000000001" customHeight="1" x14ac:dyDescent="0.2">
      <c r="A104" s="39" t="s">
        <v>735</v>
      </c>
      <c r="B104" s="3544">
        <v>8</v>
      </c>
      <c r="C104" s="3544">
        <v>8</v>
      </c>
      <c r="D104" s="3544">
        <v>8</v>
      </c>
      <c r="E104" s="3544">
        <v>8</v>
      </c>
      <c r="F104" s="3544">
        <v>8</v>
      </c>
      <c r="G104" s="3527"/>
      <c r="H104" s="54"/>
      <c r="I104" s="3444">
        <f>SUM(B104:H104)</f>
        <v>40</v>
      </c>
      <c r="J104" s="55" t="s">
        <v>736</v>
      </c>
      <c r="N104" s="18"/>
      <c r="O104" s="18"/>
      <c r="P104" s="18"/>
      <c r="Q104" s="18"/>
      <c r="R104" s="18"/>
    </row>
    <row r="105" spans="1:19" ht="17.100000000000001" customHeight="1" x14ac:dyDescent="0.2">
      <c r="A105" s="433"/>
      <c r="B105" s="341" t="s">
        <v>744</v>
      </c>
      <c r="C105" s="446" t="s">
        <v>744</v>
      </c>
      <c r="D105" s="446" t="s">
        <v>744</v>
      </c>
      <c r="E105" s="446" t="s">
        <v>744</v>
      </c>
      <c r="F105" s="446" t="s">
        <v>744</v>
      </c>
      <c r="G105" s="423"/>
      <c r="H105" s="339"/>
      <c r="I105" s="447"/>
      <c r="J105" s="334"/>
      <c r="N105" s="18"/>
      <c r="O105" s="18"/>
      <c r="P105" s="18"/>
      <c r="Q105" s="18"/>
      <c r="R105" s="18"/>
    </row>
    <row r="106" spans="1:19" ht="17.100000000000001" customHeight="1" x14ac:dyDescent="0.2">
      <c r="A106" s="3432" t="s">
        <v>570</v>
      </c>
      <c r="B106" s="3542">
        <v>8</v>
      </c>
      <c r="C106" s="3542">
        <v>8</v>
      </c>
      <c r="D106" s="3542">
        <v>8</v>
      </c>
      <c r="E106" s="3542">
        <v>8</v>
      </c>
      <c r="F106" s="3542">
        <v>8</v>
      </c>
      <c r="G106" s="3407"/>
      <c r="H106" s="3407"/>
      <c r="I106" s="3538">
        <f>SUM(B106:H106)</f>
        <v>40</v>
      </c>
      <c r="J106" s="3494" t="s">
        <v>745</v>
      </c>
      <c r="N106" s="18"/>
      <c r="O106" s="18"/>
      <c r="P106" s="18"/>
      <c r="Q106" s="18"/>
      <c r="R106" s="18"/>
    </row>
    <row r="107" spans="1:19" ht="17.649999999999999" customHeight="1" x14ac:dyDescent="0.2">
      <c r="A107" s="46" t="s">
        <v>530</v>
      </c>
      <c r="B107" s="62">
        <f t="shared" ref="B107:I107" si="3">SUM(B78,B80,B82,B84,B86,B88,B90,B92,B94,B96,B98,B100,B102,B104,B106)</f>
        <v>75.75</v>
      </c>
      <c r="C107" s="62">
        <f t="shared" si="3"/>
        <v>75.75</v>
      </c>
      <c r="D107" s="62">
        <f t="shared" si="3"/>
        <v>75.75</v>
      </c>
      <c r="E107" s="62">
        <f t="shared" si="3"/>
        <v>75.75</v>
      </c>
      <c r="F107" s="62">
        <f t="shared" si="3"/>
        <v>75.25</v>
      </c>
      <c r="G107" s="62">
        <f t="shared" si="3"/>
        <v>68.5</v>
      </c>
      <c r="H107" s="62">
        <f t="shared" si="3"/>
        <v>71.5</v>
      </c>
      <c r="I107" s="62">
        <f t="shared" si="3"/>
        <v>518.25</v>
      </c>
      <c r="J107" s="48"/>
      <c r="N107" s="18"/>
      <c r="O107" s="18"/>
      <c r="P107" s="18"/>
      <c r="Q107" s="18"/>
      <c r="R107" s="18"/>
    </row>
    <row r="108" spans="1:19" ht="17.649999999999999" customHeight="1" x14ac:dyDescent="0.2">
      <c r="A108" s="18"/>
      <c r="B108" s="18"/>
      <c r="C108" s="18"/>
      <c r="D108" s="18"/>
      <c r="E108" s="18"/>
      <c r="F108" s="18"/>
      <c r="G108" s="3475" t="s">
        <v>642</v>
      </c>
      <c r="H108" s="3475" t="s">
        <v>643</v>
      </c>
      <c r="I108" s="3475" t="s">
        <v>644</v>
      </c>
      <c r="N108" s="18"/>
      <c r="O108" s="18"/>
      <c r="P108" s="18"/>
      <c r="Q108" s="18"/>
      <c r="R108" s="18"/>
    </row>
    <row r="109" spans="1:19" ht="17.649999999999999" customHeight="1" x14ac:dyDescent="0.2">
      <c r="A109" s="59"/>
      <c r="B109" s="59"/>
      <c r="C109" s="59"/>
      <c r="D109" s="59"/>
      <c r="E109" s="59"/>
      <c r="F109" s="18"/>
      <c r="G109" s="3449">
        <f>I107</f>
        <v>518.25</v>
      </c>
      <c r="H109" s="3476">
        <f>SUM(G109*13/3)</f>
        <v>2245.75</v>
      </c>
      <c r="I109" s="3449">
        <f>SUM(H109*12)</f>
        <v>26949</v>
      </c>
      <c r="N109" s="18"/>
      <c r="O109" s="18"/>
      <c r="P109" s="18"/>
      <c r="Q109" s="18"/>
      <c r="R109" s="18"/>
    </row>
    <row r="110" spans="1:19" ht="17.649999999999999" customHeight="1" x14ac:dyDescent="0.2">
      <c r="A110" s="80"/>
      <c r="B110" s="80"/>
      <c r="C110" s="80"/>
      <c r="D110" s="80"/>
      <c r="E110" s="80"/>
      <c r="F110" s="18"/>
      <c r="G110" s="18"/>
      <c r="H110" s="45"/>
      <c r="I110" s="18"/>
      <c r="N110" s="18"/>
      <c r="O110" s="18"/>
      <c r="P110" s="18"/>
      <c r="Q110" s="18"/>
      <c r="R110" s="18"/>
    </row>
    <row r="111" spans="1:19" ht="17.100000000000001" customHeight="1" x14ac:dyDescent="0.2">
      <c r="A111" s="1" t="s">
        <v>749</v>
      </c>
      <c r="B111" s="18"/>
      <c r="C111" s="18"/>
      <c r="D111" s="18"/>
      <c r="E111" s="18"/>
      <c r="F111" s="18"/>
      <c r="L111" s="18"/>
      <c r="M111" s="59"/>
      <c r="N111" s="59"/>
      <c r="O111" s="59"/>
      <c r="P111" s="59"/>
      <c r="Q111" s="59"/>
      <c r="R111" s="59"/>
      <c r="S111" s="81"/>
    </row>
    <row r="112" spans="1:19" ht="17.100000000000001" customHeight="1" x14ac:dyDescent="0.2">
      <c r="A112" s="312" t="s">
        <v>750</v>
      </c>
      <c r="B112" s="313" t="s">
        <v>90</v>
      </c>
      <c r="C112" s="314" t="s">
        <v>91</v>
      </c>
      <c r="D112" s="314" t="s">
        <v>92</v>
      </c>
      <c r="E112" s="314" t="s">
        <v>93</v>
      </c>
      <c r="F112" s="314" t="s">
        <v>94</v>
      </c>
      <c r="G112" s="314" t="s">
        <v>95</v>
      </c>
      <c r="H112" s="315" t="s">
        <v>96</v>
      </c>
      <c r="I112" s="316" t="s">
        <v>138</v>
      </c>
      <c r="J112" s="317" t="s">
        <v>97</v>
      </c>
      <c r="L112" s="59"/>
      <c r="M112" s="18"/>
      <c r="N112" s="18"/>
      <c r="O112" s="18"/>
      <c r="P112" s="18"/>
      <c r="Q112" s="18"/>
      <c r="R112" s="18"/>
      <c r="S112" s="82"/>
    </row>
    <row r="113" spans="1:20" ht="17.100000000000001" customHeight="1" x14ac:dyDescent="0.2">
      <c r="A113" s="575" t="s">
        <v>0</v>
      </c>
      <c r="B113" s="4" t="s">
        <v>751</v>
      </c>
      <c r="C113" s="4" t="s">
        <v>751</v>
      </c>
      <c r="D113" s="4" t="s">
        <v>751</v>
      </c>
      <c r="E113" s="4" t="s">
        <v>751</v>
      </c>
      <c r="F113" s="4" t="s">
        <v>752</v>
      </c>
      <c r="G113" s="561"/>
      <c r="H113" s="507"/>
      <c r="I113" s="505"/>
      <c r="J113" s="574" t="s">
        <v>753</v>
      </c>
      <c r="L113" s="18"/>
      <c r="M113" s="36"/>
      <c r="N113" s="36"/>
      <c r="O113" s="36"/>
      <c r="P113" s="36"/>
      <c r="Q113" s="36"/>
      <c r="R113" s="81"/>
      <c r="S113" s="81"/>
    </row>
    <row r="114" spans="1:20" ht="17.100000000000001" customHeight="1" x14ac:dyDescent="0.2">
      <c r="A114" s="3232" t="s">
        <v>611</v>
      </c>
      <c r="B114" s="3407">
        <v>7.75</v>
      </c>
      <c r="C114" s="3407">
        <v>7.75</v>
      </c>
      <c r="D114" s="3407">
        <v>7.75</v>
      </c>
      <c r="E114" s="3407">
        <v>7.75</v>
      </c>
      <c r="F114" s="3407">
        <v>6</v>
      </c>
      <c r="G114" s="3409"/>
      <c r="H114" s="3410"/>
      <c r="I114" s="3416">
        <f>SUM(B114:H114)</f>
        <v>37</v>
      </c>
      <c r="J114" s="3417" t="s">
        <v>754</v>
      </c>
      <c r="L114" s="59"/>
      <c r="M114" s="37"/>
      <c r="N114" s="37"/>
      <c r="O114" s="37"/>
      <c r="P114" s="37"/>
      <c r="Q114" s="37"/>
      <c r="R114" s="82"/>
      <c r="S114" s="82"/>
    </row>
    <row r="115" spans="1:20" ht="17.100000000000001" customHeight="1" x14ac:dyDescent="0.2">
      <c r="A115" s="312" t="s">
        <v>638</v>
      </c>
      <c r="B115" s="313" t="s">
        <v>90</v>
      </c>
      <c r="C115" s="314" t="s">
        <v>91</v>
      </c>
      <c r="D115" s="314" t="s">
        <v>92</v>
      </c>
      <c r="E115" s="314" t="s">
        <v>93</v>
      </c>
      <c r="F115" s="314" t="s">
        <v>94</v>
      </c>
      <c r="G115" s="314" t="s">
        <v>95</v>
      </c>
      <c r="H115" s="315" t="s">
        <v>96</v>
      </c>
      <c r="I115" s="316" t="s">
        <v>138</v>
      </c>
      <c r="J115" s="317" t="s">
        <v>97</v>
      </c>
      <c r="L115" s="59"/>
      <c r="M115" s="37"/>
      <c r="N115" s="37"/>
      <c r="O115" s="37"/>
      <c r="P115" s="37"/>
      <c r="Q115" s="37"/>
      <c r="R115" s="82"/>
      <c r="S115" s="82"/>
    </row>
    <row r="116" spans="1:20" ht="17.100000000000001" customHeight="1" x14ac:dyDescent="0.2">
      <c r="A116" s="575" t="s">
        <v>0</v>
      </c>
      <c r="B116" s="4" t="s">
        <v>755</v>
      </c>
      <c r="C116" s="4" t="s">
        <v>755</v>
      </c>
      <c r="D116" s="4" t="s">
        <v>755</v>
      </c>
      <c r="E116" s="4" t="s">
        <v>755</v>
      </c>
      <c r="F116" s="4" t="s">
        <v>756</v>
      </c>
      <c r="G116" s="561"/>
      <c r="H116" s="507"/>
      <c r="I116" s="505"/>
      <c r="J116" s="574" t="s">
        <v>753</v>
      </c>
      <c r="L116" s="59"/>
      <c r="M116" s="37"/>
      <c r="N116" s="37"/>
      <c r="O116" s="37"/>
      <c r="P116" s="37"/>
      <c r="Q116" s="37"/>
      <c r="R116" s="82"/>
      <c r="S116" s="82"/>
    </row>
    <row r="117" spans="1:20" ht="17.100000000000001" customHeight="1" x14ac:dyDescent="0.2">
      <c r="A117" s="3232" t="s">
        <v>757</v>
      </c>
      <c r="B117" s="3407">
        <v>7.75</v>
      </c>
      <c r="C117" s="3407">
        <v>7.75</v>
      </c>
      <c r="D117" s="3407">
        <v>7.75</v>
      </c>
      <c r="E117" s="3407">
        <v>7.75</v>
      </c>
      <c r="F117" s="3407">
        <v>6</v>
      </c>
      <c r="G117" s="3409"/>
      <c r="H117" s="3410"/>
      <c r="I117" s="3416">
        <f>SUM(B117:H117)</f>
        <v>37</v>
      </c>
      <c r="J117" s="3417" t="s">
        <v>754</v>
      </c>
      <c r="L117" s="59"/>
      <c r="M117" s="37"/>
      <c r="N117" s="37"/>
      <c r="O117" s="37"/>
      <c r="P117" s="37"/>
      <c r="Q117" s="37"/>
      <c r="R117" s="82"/>
      <c r="S117" s="82"/>
    </row>
    <row r="118" spans="1:20" ht="17.100000000000001" customHeight="1" x14ac:dyDescent="0.2">
      <c r="A118" s="59"/>
      <c r="B118" s="18"/>
      <c r="C118" s="18"/>
      <c r="D118" s="18"/>
      <c r="E118" s="18"/>
      <c r="F118" s="37"/>
      <c r="G118" s="3475" t="s">
        <v>642</v>
      </c>
      <c r="H118" s="3475" t="s">
        <v>643</v>
      </c>
      <c r="I118" s="3475" t="s">
        <v>644</v>
      </c>
      <c r="J118" s="19"/>
      <c r="L118" s="18"/>
      <c r="M118" s="36"/>
      <c r="N118" s="36"/>
      <c r="O118" s="36"/>
      <c r="P118" s="36"/>
      <c r="Q118" s="36"/>
      <c r="R118" s="81"/>
      <c r="S118" s="81"/>
    </row>
    <row r="119" spans="1:20" ht="17.100000000000001" customHeight="1" x14ac:dyDescent="0.2">
      <c r="A119" s="59"/>
      <c r="B119" s="18"/>
      <c r="C119" s="18"/>
      <c r="D119" s="18"/>
      <c r="E119" s="18"/>
      <c r="F119" s="37"/>
      <c r="G119" s="3449">
        <f>SUM(I114,I117)</f>
        <v>74</v>
      </c>
      <c r="H119" s="3476">
        <f>SUM(G119*13/3)</f>
        <v>320.66666666666669</v>
      </c>
      <c r="I119" s="3449">
        <f>SUM(H119*12)</f>
        <v>3848</v>
      </c>
      <c r="J119" s="19"/>
      <c r="M119" s="37"/>
      <c r="N119" s="37"/>
      <c r="O119" s="37"/>
      <c r="P119" s="37"/>
      <c r="Q119" s="37"/>
      <c r="R119" s="82"/>
      <c r="S119" s="82"/>
    </row>
    <row r="120" spans="1:20" ht="17.100000000000001" customHeight="1" x14ac:dyDescent="0.2">
      <c r="A120" s="1" t="s">
        <v>758</v>
      </c>
      <c r="B120" s="18"/>
      <c r="C120" s="18"/>
      <c r="D120" s="18"/>
      <c r="E120" s="18"/>
      <c r="F120" s="18"/>
    </row>
    <row r="121" spans="1:20" ht="17.100000000000001" customHeight="1" x14ac:dyDescent="0.2">
      <c r="A121" s="312" t="s">
        <v>759</v>
      </c>
      <c r="B121" s="313" t="s">
        <v>90</v>
      </c>
      <c r="C121" s="314" t="s">
        <v>91</v>
      </c>
      <c r="D121" s="314" t="s">
        <v>92</v>
      </c>
      <c r="E121" s="314" t="s">
        <v>93</v>
      </c>
      <c r="F121" s="314" t="s">
        <v>94</v>
      </c>
      <c r="G121" s="314" t="s">
        <v>95</v>
      </c>
      <c r="H121" s="315" t="s">
        <v>96</v>
      </c>
      <c r="I121" s="316" t="s">
        <v>138</v>
      </c>
      <c r="J121" s="317" t="s">
        <v>97</v>
      </c>
    </row>
    <row r="122" spans="1:20" ht="17.100000000000001" customHeight="1" x14ac:dyDescent="0.2">
      <c r="A122" s="575" t="s">
        <v>0</v>
      </c>
      <c r="B122" s="4" t="s">
        <v>760</v>
      </c>
      <c r="C122" s="4" t="s">
        <v>760</v>
      </c>
      <c r="D122" s="4" t="s">
        <v>760</v>
      </c>
      <c r="E122" s="4" t="s">
        <v>760</v>
      </c>
      <c r="F122" s="4" t="s">
        <v>761</v>
      </c>
      <c r="G122" s="561"/>
      <c r="H122" s="507"/>
      <c r="I122" s="505"/>
      <c r="J122" s="574"/>
    </row>
    <row r="123" spans="1:20" ht="17.100000000000001" customHeight="1" x14ac:dyDescent="0.2">
      <c r="A123" s="3232" t="s">
        <v>613</v>
      </c>
      <c r="B123" s="3407">
        <v>8</v>
      </c>
      <c r="C123" s="3407">
        <v>8</v>
      </c>
      <c r="D123" s="3407">
        <v>8</v>
      </c>
      <c r="E123" s="3407">
        <v>8</v>
      </c>
      <c r="F123" s="3407">
        <v>5</v>
      </c>
      <c r="G123" s="3409"/>
      <c r="H123" s="3410"/>
      <c r="I123" s="3416">
        <f>SUM(B123:H123)</f>
        <v>37</v>
      </c>
      <c r="J123" s="3417"/>
      <c r="L123" s="59"/>
      <c r="M123" s="59"/>
      <c r="N123" s="59"/>
      <c r="O123" s="59"/>
      <c r="P123" s="59"/>
    </row>
    <row r="124" spans="1:20" ht="17.100000000000001" customHeight="1" x14ac:dyDescent="0.2">
      <c r="A124" s="59"/>
      <c r="B124" s="18"/>
      <c r="C124" s="18"/>
      <c r="D124" s="18"/>
      <c r="E124" s="18"/>
      <c r="F124" s="37"/>
      <c r="G124" s="3475" t="s">
        <v>642</v>
      </c>
      <c r="H124" s="3475" t="s">
        <v>643</v>
      </c>
      <c r="I124" s="3475" t="s">
        <v>644</v>
      </c>
      <c r="J124" s="19"/>
      <c r="L124" s="18"/>
      <c r="M124" s="18"/>
      <c r="N124" s="18"/>
      <c r="O124" s="18"/>
      <c r="P124" s="18"/>
    </row>
    <row r="125" spans="1:20" ht="17.100000000000001" customHeight="1" x14ac:dyDescent="0.2">
      <c r="A125" s="59"/>
      <c r="B125" s="18"/>
      <c r="C125" s="18"/>
      <c r="D125" s="18"/>
      <c r="E125" s="18"/>
      <c r="F125" s="37"/>
      <c r="G125" s="3449">
        <f>I123</f>
        <v>37</v>
      </c>
      <c r="H125" s="3476">
        <f>SUM(G125*13/3)</f>
        <v>160.33333333333334</v>
      </c>
      <c r="I125" s="3449">
        <f>SUM(H125*12)</f>
        <v>1924</v>
      </c>
      <c r="J125" s="19"/>
      <c r="L125" s="59"/>
      <c r="M125" s="59"/>
      <c r="N125" s="59"/>
      <c r="O125" s="59"/>
      <c r="P125" s="59"/>
    </row>
    <row r="126" spans="1:20" ht="17.100000000000001" customHeight="1" x14ac:dyDescent="0.2">
      <c r="A126" s="1" t="s">
        <v>762</v>
      </c>
      <c r="B126" s="18"/>
      <c r="C126" s="18"/>
      <c r="D126" s="18"/>
      <c r="E126" s="18"/>
      <c r="F126" s="18"/>
    </row>
    <row r="127" spans="1:20" ht="17.100000000000001" customHeight="1" x14ac:dyDescent="0.2">
      <c r="A127" s="304" t="s">
        <v>617</v>
      </c>
      <c r="B127" s="423" t="s">
        <v>90</v>
      </c>
      <c r="C127" s="424" t="s">
        <v>91</v>
      </c>
      <c r="D127" s="424" t="s">
        <v>92</v>
      </c>
      <c r="E127" s="424" t="s">
        <v>93</v>
      </c>
      <c r="F127" s="424" t="s">
        <v>94</v>
      </c>
      <c r="G127" s="424" t="s">
        <v>95</v>
      </c>
      <c r="H127" s="308" t="s">
        <v>96</v>
      </c>
      <c r="I127" s="309" t="s">
        <v>138</v>
      </c>
      <c r="J127" s="425" t="s">
        <v>97</v>
      </c>
      <c r="M127" s="427"/>
      <c r="N127" s="324" t="s">
        <v>648</v>
      </c>
      <c r="O127">
        <v>37</v>
      </c>
      <c r="P127" t="s">
        <v>763</v>
      </c>
      <c r="Q127">
        <v>2</v>
      </c>
      <c r="R127" t="s">
        <v>764</v>
      </c>
      <c r="S127">
        <f>O127*Q127</f>
        <v>74</v>
      </c>
      <c r="T127" t="s">
        <v>765</v>
      </c>
    </row>
    <row r="128" spans="1:20" ht="17.100000000000001" customHeight="1" x14ac:dyDescent="0.2">
      <c r="A128" s="571" t="s">
        <v>583</v>
      </c>
      <c r="B128" s="572" t="s">
        <v>766</v>
      </c>
      <c r="C128" s="572" t="s">
        <v>766</v>
      </c>
      <c r="D128" s="572" t="s">
        <v>766</v>
      </c>
      <c r="E128" s="572" t="s">
        <v>766</v>
      </c>
      <c r="F128" s="600" t="s">
        <v>767</v>
      </c>
      <c r="G128" s="561"/>
      <c r="H128" s="561"/>
      <c r="I128" s="572"/>
      <c r="J128" s="574" t="s">
        <v>768</v>
      </c>
      <c r="M128" s="3481"/>
      <c r="N128" s="3482" t="s">
        <v>650</v>
      </c>
      <c r="O128" t="s">
        <v>0</v>
      </c>
    </row>
    <row r="129" spans="1:22" ht="17.100000000000001" customHeight="1" x14ac:dyDescent="0.2">
      <c r="A129" s="3545"/>
      <c r="B129" s="3452">
        <v>0</v>
      </c>
      <c r="C129" s="3452">
        <v>0</v>
      </c>
      <c r="D129" s="3452">
        <v>0</v>
      </c>
      <c r="E129" s="3452">
        <v>0</v>
      </c>
      <c r="F129" s="3546">
        <v>0</v>
      </c>
      <c r="G129" s="3547"/>
      <c r="H129" s="3547"/>
      <c r="I129" s="3452">
        <f>SUM(B129:H129)</f>
        <v>0</v>
      </c>
      <c r="J129" s="3548"/>
      <c r="M129" s="3481" t="s">
        <v>139</v>
      </c>
      <c r="N129" s="3482">
        <v>0</v>
      </c>
      <c r="O129" t="s">
        <v>769</v>
      </c>
      <c r="Q129">
        <f>I131</f>
        <v>0</v>
      </c>
    </row>
    <row r="130" spans="1:22" ht="17.100000000000001" customHeight="1" x14ac:dyDescent="0.2">
      <c r="A130" s="571" t="s">
        <v>586</v>
      </c>
      <c r="B130" s="572" t="s">
        <v>770</v>
      </c>
      <c r="C130" s="572" t="s">
        <v>770</v>
      </c>
      <c r="D130" s="572" t="s">
        <v>770</v>
      </c>
      <c r="E130" s="572" t="s">
        <v>770</v>
      </c>
      <c r="F130" s="572" t="s">
        <v>771</v>
      </c>
      <c r="G130" s="601"/>
      <c r="H130" s="601"/>
      <c r="I130" s="572"/>
      <c r="J130" s="574" t="s">
        <v>772</v>
      </c>
      <c r="M130" s="3481" t="s">
        <v>143</v>
      </c>
      <c r="N130" s="3482">
        <f>I131</f>
        <v>0</v>
      </c>
    </row>
    <row r="131" spans="1:22" ht="17.100000000000001" customHeight="1" x14ac:dyDescent="0.2">
      <c r="A131" s="3549"/>
      <c r="B131" s="3414">
        <v>0</v>
      </c>
      <c r="C131" s="3414">
        <v>0</v>
      </c>
      <c r="D131" s="3414">
        <v>0</v>
      </c>
      <c r="E131" s="3414">
        <v>0</v>
      </c>
      <c r="F131" s="3414">
        <v>0</v>
      </c>
      <c r="G131" s="3457"/>
      <c r="H131" s="3457"/>
      <c r="I131" s="3414">
        <f>SUM(B131:H131)</f>
        <v>0</v>
      </c>
      <c r="J131" s="3459"/>
      <c r="M131" s="3481" t="s">
        <v>153</v>
      </c>
      <c r="N131" s="3482">
        <v>0</v>
      </c>
      <c r="O131">
        <f>Q129</f>
        <v>0</v>
      </c>
      <c r="P131" t="s">
        <v>773</v>
      </c>
      <c r="Q131" s="42">
        <f>SUM(O131/37)</f>
        <v>0</v>
      </c>
    </row>
    <row r="132" spans="1:22" ht="17.100000000000001" customHeight="1" x14ac:dyDescent="0.2">
      <c r="A132" s="46" t="s">
        <v>530</v>
      </c>
      <c r="B132" s="46">
        <f t="shared" ref="B132:I132" si="4">SUM(B129,B131)</f>
        <v>0</v>
      </c>
      <c r="C132" s="46">
        <f t="shared" si="4"/>
        <v>0</v>
      </c>
      <c r="D132" s="46">
        <f t="shared" si="4"/>
        <v>0</v>
      </c>
      <c r="E132" s="46">
        <f t="shared" si="4"/>
        <v>0</v>
      </c>
      <c r="F132" s="46">
        <f t="shared" si="4"/>
        <v>0</v>
      </c>
      <c r="G132" s="46">
        <f t="shared" si="4"/>
        <v>0</v>
      </c>
      <c r="H132" s="46">
        <f t="shared" si="4"/>
        <v>0</v>
      </c>
      <c r="I132" s="46">
        <f t="shared" si="4"/>
        <v>0</v>
      </c>
      <c r="J132" s="48"/>
      <c r="O132" t="s">
        <v>774</v>
      </c>
      <c r="Q132" s="42"/>
    </row>
    <row r="133" spans="1:22" ht="17.100000000000001" customHeight="1" x14ac:dyDescent="0.2">
      <c r="A133" s="18"/>
      <c r="B133" s="18"/>
      <c r="C133" s="18"/>
      <c r="D133" s="18"/>
      <c r="E133" s="18"/>
      <c r="F133" s="18"/>
      <c r="G133" s="3475" t="s">
        <v>642</v>
      </c>
      <c r="H133" s="3475" t="s">
        <v>643</v>
      </c>
      <c r="I133" s="3475" t="s">
        <v>644</v>
      </c>
      <c r="Q133" s="42"/>
      <c r="V133" s="83"/>
    </row>
    <row r="134" spans="1:22" ht="17.100000000000001" customHeight="1" x14ac:dyDescent="0.2">
      <c r="A134" s="18"/>
      <c r="B134" s="18"/>
      <c r="C134" s="18"/>
      <c r="D134" s="18"/>
      <c r="E134" s="18"/>
      <c r="F134" s="18"/>
      <c r="G134" s="3449">
        <f>I132</f>
        <v>0</v>
      </c>
      <c r="H134" s="3476">
        <f>SUM(G134*13/3)</f>
        <v>0</v>
      </c>
      <c r="I134" s="3449">
        <f>SUM(H134*12)</f>
        <v>0</v>
      </c>
      <c r="O134" t="s">
        <v>775</v>
      </c>
      <c r="Q134" s="42"/>
    </row>
    <row r="135" spans="1:22" ht="17.100000000000001" customHeight="1" x14ac:dyDescent="0.2">
      <c r="A135" s="18"/>
      <c r="B135" s="18"/>
      <c r="C135" s="18"/>
      <c r="D135" s="18"/>
      <c r="E135" s="18"/>
      <c r="F135" s="18"/>
      <c r="G135" s="18"/>
      <c r="H135" s="45"/>
      <c r="I135" s="18"/>
      <c r="O135" t="s">
        <v>776</v>
      </c>
      <c r="Q135" s="72"/>
      <c r="S135" s="42"/>
      <c r="U135" s="84"/>
    </row>
    <row r="136" spans="1:22" ht="18" customHeight="1" x14ac:dyDescent="0.2">
      <c r="A136" s="1" t="s">
        <v>598</v>
      </c>
      <c r="B136" s="18"/>
      <c r="C136" s="18"/>
      <c r="D136" s="18"/>
      <c r="E136" s="18"/>
      <c r="F136" s="18"/>
    </row>
    <row r="137" spans="1:22" ht="18" customHeight="1" x14ac:dyDescent="0.2">
      <c r="A137" s="312" t="s">
        <v>599</v>
      </c>
      <c r="B137" s="313" t="s">
        <v>90</v>
      </c>
      <c r="C137" s="314" t="s">
        <v>91</v>
      </c>
      <c r="D137" s="314" t="s">
        <v>92</v>
      </c>
      <c r="E137" s="314" t="s">
        <v>93</v>
      </c>
      <c r="F137" s="314" t="s">
        <v>94</v>
      </c>
      <c r="G137" s="314" t="s">
        <v>95</v>
      </c>
      <c r="H137" s="315" t="s">
        <v>96</v>
      </c>
      <c r="I137" s="316" t="s">
        <v>138</v>
      </c>
      <c r="J137" s="317" t="s">
        <v>97</v>
      </c>
      <c r="M137" s="427"/>
      <c r="N137" s="324" t="s">
        <v>648</v>
      </c>
      <c r="O137" t="s">
        <v>777</v>
      </c>
    </row>
    <row r="138" spans="1:22" ht="18" customHeight="1" x14ac:dyDescent="0.2">
      <c r="A138" s="575" t="s">
        <v>600</v>
      </c>
      <c r="B138" s="505" t="s">
        <v>301</v>
      </c>
      <c r="C138" s="505" t="s">
        <v>301</v>
      </c>
      <c r="D138" s="505" t="s">
        <v>301</v>
      </c>
      <c r="E138" s="505" t="s">
        <v>301</v>
      </c>
      <c r="F138" s="505" t="s">
        <v>302</v>
      </c>
      <c r="G138" s="561"/>
      <c r="H138" s="507"/>
      <c r="I138" s="505"/>
      <c r="J138" s="574"/>
      <c r="M138" s="3481"/>
      <c r="N138" s="3482" t="s">
        <v>650</v>
      </c>
      <c r="O138" t="s">
        <v>0</v>
      </c>
    </row>
    <row r="139" spans="1:22" ht="18" customHeight="1" x14ac:dyDescent="0.2">
      <c r="A139" s="3442"/>
      <c r="B139" s="3407">
        <v>7.5</v>
      </c>
      <c r="C139" s="3407">
        <v>7.5</v>
      </c>
      <c r="D139" s="3407">
        <v>7.5</v>
      </c>
      <c r="E139" s="3407">
        <v>7.5</v>
      </c>
      <c r="F139" s="3408">
        <v>7</v>
      </c>
      <c r="G139" s="3409"/>
      <c r="H139" s="3410"/>
      <c r="I139" s="3416">
        <f>SUM(B139:H139)</f>
        <v>37</v>
      </c>
      <c r="J139" s="3417"/>
      <c r="M139" s="3481" t="s">
        <v>139</v>
      </c>
      <c r="N139" s="3482">
        <v>0</v>
      </c>
      <c r="O139" t="s">
        <v>778</v>
      </c>
    </row>
    <row r="140" spans="1:22" ht="18" customHeight="1" x14ac:dyDescent="0.2">
      <c r="A140" s="3448" t="s">
        <v>601</v>
      </c>
      <c r="B140" s="572" t="s">
        <v>779</v>
      </c>
      <c r="C140" s="572" t="s">
        <v>779</v>
      </c>
      <c r="D140" s="572" t="s">
        <v>779</v>
      </c>
      <c r="E140" s="572" t="s">
        <v>779</v>
      </c>
      <c r="F140" s="572" t="s">
        <v>780</v>
      </c>
      <c r="G140" s="6"/>
      <c r="H140" s="7"/>
      <c r="I140" s="34"/>
      <c r="J140" s="12"/>
      <c r="M140" s="3481" t="s">
        <v>143</v>
      </c>
      <c r="N140" s="3482">
        <v>34</v>
      </c>
    </row>
    <row r="141" spans="1:22" ht="18" customHeight="1" x14ac:dyDescent="0.2">
      <c r="A141" s="35"/>
      <c r="B141" s="3449">
        <v>7</v>
      </c>
      <c r="C141" s="3449">
        <v>7</v>
      </c>
      <c r="D141" s="3449">
        <v>7</v>
      </c>
      <c r="E141" s="3449">
        <v>7</v>
      </c>
      <c r="F141" s="3445">
        <v>6</v>
      </c>
      <c r="G141" s="3446"/>
      <c r="H141" s="36"/>
      <c r="I141" s="3416">
        <f>SUM(B141:H141)</f>
        <v>34</v>
      </c>
      <c r="J141" s="3429"/>
      <c r="M141" s="3481" t="s">
        <v>153</v>
      </c>
      <c r="N141" s="3482">
        <v>0</v>
      </c>
      <c r="O141" t="s">
        <v>781</v>
      </c>
    </row>
    <row r="142" spans="1:22" ht="18" customHeight="1" x14ac:dyDescent="0.2">
      <c r="A142" s="571" t="s">
        <v>603</v>
      </c>
      <c r="B142" s="505" t="s">
        <v>604</v>
      </c>
      <c r="C142" s="505" t="s">
        <v>604</v>
      </c>
      <c r="D142" s="505" t="s">
        <v>604</v>
      </c>
      <c r="E142" s="505" t="s">
        <v>604</v>
      </c>
      <c r="F142" s="505" t="s">
        <v>605</v>
      </c>
      <c r="G142" s="505"/>
      <c r="H142" s="505"/>
      <c r="I142" s="505"/>
      <c r="J142" s="574"/>
      <c r="M142" s="3485" t="s">
        <v>659</v>
      </c>
      <c r="N142" s="3486">
        <f>SUM(N139:N141)</f>
        <v>34</v>
      </c>
    </row>
    <row r="143" spans="1:22" ht="18" customHeight="1" x14ac:dyDescent="0.2">
      <c r="A143" s="3232"/>
      <c r="B143" s="3407" t="s">
        <v>782</v>
      </c>
      <c r="C143" s="3407" t="s">
        <v>782</v>
      </c>
      <c r="D143" s="3407" t="s">
        <v>782</v>
      </c>
      <c r="E143" s="3407" t="s">
        <v>782</v>
      </c>
      <c r="F143" s="3407" t="s">
        <v>782</v>
      </c>
      <c r="G143" s="3408"/>
      <c r="H143" s="3415"/>
      <c r="I143" s="3416">
        <f>SUM(B143:H143)</f>
        <v>0</v>
      </c>
      <c r="J143" s="3417"/>
      <c r="O143" t="s">
        <v>783</v>
      </c>
    </row>
    <row r="144" spans="1:22" ht="18" customHeight="1" x14ac:dyDescent="0.2">
      <c r="A144" s="310" t="s">
        <v>530</v>
      </c>
      <c r="B144" s="310">
        <f t="shared" ref="B144:I144" si="5">SUM(B139,B141,B143)</f>
        <v>14.5</v>
      </c>
      <c r="C144" s="310">
        <f t="shared" si="5"/>
        <v>14.5</v>
      </c>
      <c r="D144" s="310">
        <f t="shared" si="5"/>
        <v>14.5</v>
      </c>
      <c r="E144" s="310">
        <f t="shared" si="5"/>
        <v>14.5</v>
      </c>
      <c r="F144" s="310">
        <f t="shared" si="5"/>
        <v>13</v>
      </c>
      <c r="G144" s="310">
        <f t="shared" si="5"/>
        <v>0</v>
      </c>
      <c r="H144" s="310">
        <f t="shared" si="5"/>
        <v>0</v>
      </c>
      <c r="I144" s="318">
        <f t="shared" si="5"/>
        <v>71</v>
      </c>
      <c r="J144" s="319"/>
    </row>
    <row r="145" spans="1:20" ht="18" customHeight="1" x14ac:dyDescent="0.2">
      <c r="A145" s="18"/>
      <c r="B145" s="18"/>
      <c r="C145" s="18"/>
      <c r="D145" s="18"/>
      <c r="E145" s="18"/>
      <c r="F145" s="37"/>
      <c r="G145" s="3475" t="s">
        <v>642</v>
      </c>
      <c r="H145" s="3475" t="s">
        <v>643</v>
      </c>
      <c r="I145" s="3475" t="s">
        <v>644</v>
      </c>
      <c r="J145" s="19"/>
      <c r="O145" t="s">
        <v>784</v>
      </c>
      <c r="P145" s="18"/>
      <c r="T145" t="s">
        <v>674</v>
      </c>
    </row>
    <row r="146" spans="1:20" ht="18" customHeight="1" x14ac:dyDescent="0.2">
      <c r="A146" s="18"/>
      <c r="B146" s="18"/>
      <c r="C146" s="18"/>
      <c r="D146" s="18"/>
      <c r="E146" s="18"/>
      <c r="F146" s="18"/>
      <c r="G146" s="3449">
        <f>I144</f>
        <v>71</v>
      </c>
      <c r="H146" s="3476">
        <f>SUM(G146*13/3)</f>
        <v>307.66666666666669</v>
      </c>
      <c r="I146" s="3449">
        <f>SUM(H146*12)</f>
        <v>3692</v>
      </c>
      <c r="J146" s="19"/>
    </row>
    <row r="147" spans="1:20" ht="18" customHeight="1" x14ac:dyDescent="0.2">
      <c r="A147" s="18"/>
      <c r="B147" s="18"/>
      <c r="C147" s="18"/>
      <c r="D147" s="18"/>
      <c r="E147" s="18"/>
      <c r="F147" s="18"/>
      <c r="G147" s="18"/>
      <c r="H147" s="45"/>
      <c r="I147" s="18"/>
      <c r="J147" s="19"/>
      <c r="O147" t="s">
        <v>785</v>
      </c>
    </row>
    <row r="148" spans="1:20" ht="18" customHeight="1" x14ac:dyDescent="0.2">
      <c r="A148" s="64" t="s">
        <v>786</v>
      </c>
      <c r="B148" s="18"/>
      <c r="C148" s="18"/>
      <c r="D148" s="18"/>
      <c r="E148" s="18"/>
      <c r="F148" s="37"/>
      <c r="G148" s="37"/>
      <c r="H148" s="37"/>
      <c r="I148" s="18"/>
      <c r="J148" s="19"/>
      <c r="N148" s="18"/>
    </row>
    <row r="149" spans="1:20" ht="18" customHeight="1" x14ac:dyDescent="0.2">
      <c r="A149" s="312" t="s">
        <v>620</v>
      </c>
      <c r="B149" s="313" t="s">
        <v>90</v>
      </c>
      <c r="C149" s="314" t="s">
        <v>91</v>
      </c>
      <c r="D149" s="314" t="s">
        <v>92</v>
      </c>
      <c r="E149" s="314" t="s">
        <v>93</v>
      </c>
      <c r="F149" s="314" t="s">
        <v>94</v>
      </c>
      <c r="G149" s="314" t="s">
        <v>95</v>
      </c>
      <c r="H149" s="315" t="s">
        <v>96</v>
      </c>
      <c r="I149" s="316" t="s">
        <v>138</v>
      </c>
      <c r="J149" s="317" t="s">
        <v>97</v>
      </c>
      <c r="N149" s="18"/>
    </row>
    <row r="150" spans="1:20" ht="18" customHeight="1" x14ac:dyDescent="0.2">
      <c r="A150" s="571" t="s">
        <v>0</v>
      </c>
      <c r="B150" s="572" t="s">
        <v>269</v>
      </c>
      <c r="C150" s="572" t="s">
        <v>269</v>
      </c>
      <c r="D150" s="572" t="s">
        <v>269</v>
      </c>
      <c r="E150" s="572" t="s">
        <v>269</v>
      </c>
      <c r="F150" s="573" t="s">
        <v>270</v>
      </c>
      <c r="G150" s="569"/>
      <c r="H150" s="506" t="s">
        <v>0</v>
      </c>
      <c r="I150" s="500"/>
      <c r="J150" s="574" t="s">
        <v>0</v>
      </c>
      <c r="N150" s="18"/>
    </row>
    <row r="151" spans="1:20" ht="18" customHeight="1" x14ac:dyDescent="0.2">
      <c r="A151" s="3550">
        <v>1</v>
      </c>
      <c r="B151" s="3414">
        <v>7.75</v>
      </c>
      <c r="C151" s="3414">
        <v>7.75</v>
      </c>
      <c r="D151" s="3414">
        <v>7.75</v>
      </c>
      <c r="E151" s="3414">
        <v>7.75</v>
      </c>
      <c r="F151" s="3457">
        <v>6</v>
      </c>
      <c r="G151" s="3407"/>
      <c r="H151" s="3537" t="s">
        <v>0</v>
      </c>
      <c r="I151" s="3414">
        <f>SUM(B151:H151)</f>
        <v>37</v>
      </c>
      <c r="J151" s="3417"/>
      <c r="N151" s="18"/>
    </row>
    <row r="152" spans="1:20" ht="18" customHeight="1" x14ac:dyDescent="0.2">
      <c r="A152" s="40" t="s">
        <v>0</v>
      </c>
      <c r="B152" s="572" t="s">
        <v>269</v>
      </c>
      <c r="C152" s="572" t="s">
        <v>269</v>
      </c>
      <c r="D152" s="572" t="s">
        <v>269</v>
      </c>
      <c r="E152" s="572" t="s">
        <v>269</v>
      </c>
      <c r="F152" s="573" t="s">
        <v>270</v>
      </c>
      <c r="G152" s="501"/>
      <c r="H152" s="5"/>
      <c r="I152" s="13"/>
      <c r="J152" s="12"/>
      <c r="N152" s="18"/>
    </row>
    <row r="153" spans="1:20" ht="18" customHeight="1" x14ac:dyDescent="0.2">
      <c r="A153" s="3550">
        <v>2</v>
      </c>
      <c r="B153" s="3414">
        <v>7.75</v>
      </c>
      <c r="C153" s="3414">
        <v>7.75</v>
      </c>
      <c r="D153" s="3414">
        <v>7.75</v>
      </c>
      <c r="E153" s="3414">
        <v>7.75</v>
      </c>
      <c r="F153" s="3457">
        <v>6</v>
      </c>
      <c r="G153" s="3408"/>
      <c r="H153" s="3457"/>
      <c r="I153" s="3414">
        <f>SUM(B153:H153)</f>
        <v>37</v>
      </c>
      <c r="J153" s="3459"/>
      <c r="N153" s="18"/>
    </row>
    <row r="154" spans="1:20" ht="18" customHeight="1" x14ac:dyDescent="0.2">
      <c r="A154" s="571"/>
      <c r="B154" s="572" t="s">
        <v>269</v>
      </c>
      <c r="C154" s="572" t="s">
        <v>269</v>
      </c>
      <c r="D154" s="572" t="s">
        <v>269</v>
      </c>
      <c r="E154" s="572" t="s">
        <v>269</v>
      </c>
      <c r="F154" s="573" t="s">
        <v>270</v>
      </c>
      <c r="G154" s="505"/>
      <c r="H154" s="573"/>
      <c r="I154" s="500"/>
      <c r="J154" s="574"/>
      <c r="N154" s="18"/>
    </row>
    <row r="155" spans="1:20" ht="18" customHeight="1" x14ac:dyDescent="0.2">
      <c r="A155" s="3550">
        <v>3</v>
      </c>
      <c r="B155" s="3414">
        <v>7.75</v>
      </c>
      <c r="C155" s="3414">
        <v>7.75</v>
      </c>
      <c r="D155" s="3414">
        <v>7.75</v>
      </c>
      <c r="E155" s="3414">
        <v>7.75</v>
      </c>
      <c r="F155" s="3457">
        <v>6</v>
      </c>
      <c r="G155" s="3407"/>
      <c r="H155" s="3457"/>
      <c r="I155" s="3414">
        <f>SUM(B155:H155)</f>
        <v>37</v>
      </c>
      <c r="J155" s="3417"/>
    </row>
    <row r="156" spans="1:20" ht="18" customHeight="1" x14ac:dyDescent="0.2">
      <c r="A156" s="85"/>
      <c r="B156" s="572" t="s">
        <v>269</v>
      </c>
      <c r="C156" s="572" t="s">
        <v>269</v>
      </c>
      <c r="D156" s="572" t="s">
        <v>269</v>
      </c>
      <c r="E156" s="572" t="s">
        <v>269</v>
      </c>
      <c r="F156" s="573" t="s">
        <v>270</v>
      </c>
      <c r="G156" s="5"/>
      <c r="H156" s="5"/>
      <c r="I156" s="8"/>
      <c r="J156" s="12"/>
      <c r="P156" s="18"/>
    </row>
    <row r="157" spans="1:20" ht="18" customHeight="1" x14ac:dyDescent="0.2">
      <c r="A157" s="3550">
        <v>4</v>
      </c>
      <c r="B157" s="3414">
        <v>7.75</v>
      </c>
      <c r="C157" s="3414">
        <v>7.75</v>
      </c>
      <c r="D157" s="3414">
        <v>7.75</v>
      </c>
      <c r="E157" s="3414">
        <v>7.75</v>
      </c>
      <c r="F157" s="3457">
        <v>6</v>
      </c>
      <c r="G157" s="3457"/>
      <c r="H157" s="3457"/>
      <c r="I157" s="3414">
        <f>SUM(B157:H157)</f>
        <v>37</v>
      </c>
      <c r="J157" s="3417"/>
      <c r="P157" s="18"/>
    </row>
    <row r="158" spans="1:20" ht="18" customHeight="1" x14ac:dyDescent="0.2">
      <c r="A158" s="346"/>
      <c r="B158" s="572" t="s">
        <v>269</v>
      </c>
      <c r="C158" s="572" t="s">
        <v>269</v>
      </c>
      <c r="D158" s="572" t="s">
        <v>269</v>
      </c>
      <c r="E158" s="572" t="s">
        <v>269</v>
      </c>
      <c r="F158" s="573" t="s">
        <v>270</v>
      </c>
      <c r="G158" s="437"/>
      <c r="H158" s="437"/>
      <c r="I158" s="347"/>
      <c r="J158" s="448"/>
      <c r="P158" s="18"/>
    </row>
    <row r="159" spans="1:20" ht="18" customHeight="1" x14ac:dyDescent="0.2">
      <c r="A159" s="3550">
        <v>5</v>
      </c>
      <c r="B159" s="3414">
        <v>7.75</v>
      </c>
      <c r="C159" s="3414">
        <v>7.75</v>
      </c>
      <c r="D159" s="3414">
        <v>7.75</v>
      </c>
      <c r="E159" s="3414">
        <v>7.75</v>
      </c>
      <c r="F159" s="3457">
        <v>6</v>
      </c>
      <c r="G159" s="3408"/>
      <c r="H159" s="3408"/>
      <c r="I159" s="3414">
        <f>SUM(B159:H159)</f>
        <v>37</v>
      </c>
      <c r="J159" s="3417"/>
    </row>
    <row r="160" spans="1:20" ht="18" customHeight="1" x14ac:dyDescent="0.2">
      <c r="A160" s="40"/>
      <c r="B160" s="572" t="s">
        <v>269</v>
      </c>
      <c r="C160" s="572" t="s">
        <v>269</v>
      </c>
      <c r="D160" s="572" t="s">
        <v>269</v>
      </c>
      <c r="E160" s="572" t="s">
        <v>269</v>
      </c>
      <c r="F160" s="573" t="s">
        <v>270</v>
      </c>
      <c r="G160" s="5"/>
      <c r="H160" s="5"/>
      <c r="I160" s="8"/>
      <c r="J160" s="12"/>
    </row>
    <row r="161" spans="1:20" ht="18" customHeight="1" x14ac:dyDescent="0.2">
      <c r="A161" s="3550">
        <v>6</v>
      </c>
      <c r="B161" s="3414">
        <v>7.75</v>
      </c>
      <c r="C161" s="3414">
        <v>7.75</v>
      </c>
      <c r="D161" s="3414">
        <v>7.75</v>
      </c>
      <c r="E161" s="3414">
        <v>7.75</v>
      </c>
      <c r="F161" s="3457">
        <v>6</v>
      </c>
      <c r="G161" s="3457"/>
      <c r="H161" s="3457"/>
      <c r="I161" s="3414">
        <f>SUM(B161:H161)</f>
        <v>37</v>
      </c>
      <c r="J161" s="3417"/>
    </row>
    <row r="162" spans="1:20" ht="18" customHeight="1" x14ac:dyDescent="0.2">
      <c r="A162" s="310" t="s">
        <v>530</v>
      </c>
      <c r="B162" s="310">
        <f t="shared" ref="B162:H162" si="6">SUM(B151,B153,B155,B157,B159,B161)</f>
        <v>46.5</v>
      </c>
      <c r="C162" s="310">
        <f t="shared" si="6"/>
        <v>46.5</v>
      </c>
      <c r="D162" s="310">
        <f t="shared" si="6"/>
        <v>46.5</v>
      </c>
      <c r="E162" s="310">
        <f t="shared" si="6"/>
        <v>46.5</v>
      </c>
      <c r="F162" s="310">
        <f t="shared" si="6"/>
        <v>36</v>
      </c>
      <c r="G162" s="310">
        <f t="shared" si="6"/>
        <v>0</v>
      </c>
      <c r="H162" s="310">
        <f t="shared" si="6"/>
        <v>0</v>
      </c>
      <c r="I162" s="318">
        <f>SUM(I151,I153,I155,I157,I161)</f>
        <v>185</v>
      </c>
      <c r="J162" s="319"/>
      <c r="M162" s="18"/>
      <c r="N162" s="18"/>
    </row>
    <row r="163" spans="1:20" ht="18" customHeight="1" x14ac:dyDescent="0.2">
      <c r="A163" s="64"/>
      <c r="B163" s="18"/>
      <c r="C163" s="18"/>
      <c r="D163" s="18"/>
      <c r="E163" s="18"/>
      <c r="F163" s="37"/>
      <c r="G163" s="3475" t="s">
        <v>642</v>
      </c>
      <c r="H163" s="3475" t="s">
        <v>643</v>
      </c>
      <c r="I163" s="3475" t="s">
        <v>644</v>
      </c>
      <c r="J163" s="19"/>
      <c r="M163" s="18"/>
      <c r="N163" s="18"/>
    </row>
    <row r="164" spans="1:20" ht="18" customHeight="1" x14ac:dyDescent="0.2">
      <c r="A164" s="64"/>
      <c r="B164" s="18"/>
      <c r="C164" s="18"/>
      <c r="D164" s="18"/>
      <c r="E164" s="18"/>
      <c r="F164" s="37"/>
      <c r="G164" s="3449">
        <f>I162</f>
        <v>185</v>
      </c>
      <c r="H164" s="3476">
        <f>SUM(G164*13/3)</f>
        <v>801.66666666666663</v>
      </c>
      <c r="I164" s="3449">
        <f>SUM(H164*12)</f>
        <v>9620</v>
      </c>
      <c r="J164" s="19"/>
      <c r="M164" s="18"/>
      <c r="N164" s="18"/>
    </row>
    <row r="165" spans="1:20" ht="18" customHeight="1" x14ac:dyDescent="0.2">
      <c r="A165" s="59"/>
      <c r="B165" s="18"/>
      <c r="C165" s="18"/>
      <c r="D165" s="18"/>
      <c r="E165" s="18"/>
      <c r="F165" s="37"/>
      <c r="G165" s="18"/>
      <c r="H165" s="45"/>
      <c r="I165" s="18"/>
      <c r="J165" s="19"/>
      <c r="M165" s="18"/>
      <c r="N165" s="18"/>
    </row>
    <row r="166" spans="1:20" ht="17.100000000000001" customHeight="1" x14ac:dyDescent="0.2">
      <c r="A166" s="152" t="s">
        <v>787</v>
      </c>
      <c r="B166" s="18"/>
      <c r="C166" s="18"/>
      <c r="D166" s="18"/>
      <c r="E166" s="18"/>
      <c r="F166" s="18"/>
      <c r="O166">
        <v>37</v>
      </c>
      <c r="P166" t="s">
        <v>763</v>
      </c>
      <c r="Q166">
        <v>4</v>
      </c>
      <c r="R166" t="s">
        <v>764</v>
      </c>
      <c r="S166">
        <f>O166*Q166</f>
        <v>148</v>
      </c>
      <c r="T166" t="s">
        <v>765</v>
      </c>
    </row>
    <row r="167" spans="1:20" ht="17.100000000000001" customHeight="1" x14ac:dyDescent="0.2">
      <c r="A167" s="428" t="s">
        <v>788</v>
      </c>
      <c r="B167" s="423" t="s">
        <v>90</v>
      </c>
      <c r="C167" s="424" t="s">
        <v>91</v>
      </c>
      <c r="D167" s="424" t="s">
        <v>92</v>
      </c>
      <c r="E167" s="424" t="s">
        <v>93</v>
      </c>
      <c r="F167" s="424" t="s">
        <v>94</v>
      </c>
      <c r="G167" s="424" t="s">
        <v>95</v>
      </c>
      <c r="H167" s="308" t="s">
        <v>96</v>
      </c>
      <c r="I167" s="309" t="s">
        <v>138</v>
      </c>
      <c r="J167" s="425" t="s">
        <v>97</v>
      </c>
      <c r="M167" s="427"/>
      <c r="N167" s="324" t="s">
        <v>648</v>
      </c>
      <c r="O167" t="s">
        <v>0</v>
      </c>
    </row>
    <row r="168" spans="1:20" ht="17.100000000000001" customHeight="1" x14ac:dyDescent="0.2">
      <c r="A168" s="449"/>
      <c r="B168" s="561" t="s">
        <v>789</v>
      </c>
      <c r="C168" s="561" t="s">
        <v>790</v>
      </c>
      <c r="D168" s="561" t="s">
        <v>790</v>
      </c>
      <c r="E168" s="561" t="s">
        <v>791</v>
      </c>
      <c r="F168" s="561" t="s">
        <v>792</v>
      </c>
      <c r="G168" s="561"/>
      <c r="H168" s="561"/>
      <c r="I168" s="594"/>
      <c r="J168" s="574"/>
      <c r="M168" s="3481"/>
      <c r="N168" s="3482" t="s">
        <v>650</v>
      </c>
      <c r="O168" t="s">
        <v>769</v>
      </c>
      <c r="Q168">
        <f>N174</f>
        <v>105.25</v>
      </c>
    </row>
    <row r="169" spans="1:20" ht="17.100000000000001" customHeight="1" x14ac:dyDescent="0.2">
      <c r="A169" s="3551">
        <v>1</v>
      </c>
      <c r="B169" s="3457">
        <v>8.5</v>
      </c>
      <c r="C169" s="3457">
        <v>8.5</v>
      </c>
      <c r="D169" s="3457">
        <v>8.5</v>
      </c>
      <c r="E169" s="3457">
        <v>0</v>
      </c>
      <c r="F169" s="3457">
        <v>0</v>
      </c>
      <c r="G169" s="3457"/>
      <c r="H169" s="3457"/>
      <c r="I169" s="3457">
        <v>37</v>
      </c>
      <c r="J169" s="3417"/>
      <c r="M169" s="3481" t="s">
        <v>139</v>
      </c>
      <c r="N169" s="3482">
        <v>37</v>
      </c>
    </row>
    <row r="170" spans="1:20" ht="17.100000000000001" customHeight="1" x14ac:dyDescent="0.2">
      <c r="A170" s="449"/>
      <c r="B170" s="561" t="s">
        <v>793</v>
      </c>
      <c r="C170" s="561" t="s">
        <v>793</v>
      </c>
      <c r="D170" s="561" t="s">
        <v>793</v>
      </c>
      <c r="E170" s="561" t="s">
        <v>793</v>
      </c>
      <c r="F170" s="561" t="s">
        <v>794</v>
      </c>
      <c r="G170" s="561" t="s">
        <v>795</v>
      </c>
      <c r="H170" s="561" t="s">
        <v>795</v>
      </c>
      <c r="I170" s="594"/>
      <c r="J170" s="574"/>
      <c r="M170" s="3481" t="s">
        <v>143</v>
      </c>
      <c r="N170" s="3482">
        <v>68.25</v>
      </c>
      <c r="O170">
        <f>Q168</f>
        <v>105.25</v>
      </c>
      <c r="P170" t="s">
        <v>773</v>
      </c>
      <c r="Q170" s="42">
        <f>SUM(O170/37)</f>
        <v>2.8445945945945947</v>
      </c>
    </row>
    <row r="171" spans="1:20" ht="17.100000000000001" customHeight="1" x14ac:dyDescent="0.2">
      <c r="A171" s="3551">
        <v>2</v>
      </c>
      <c r="B171" s="3457">
        <v>9.25</v>
      </c>
      <c r="C171" s="3457">
        <v>9.25</v>
      </c>
      <c r="D171" s="3457">
        <v>9.25</v>
      </c>
      <c r="E171" s="3457">
        <v>9.25</v>
      </c>
      <c r="F171" s="3457">
        <v>10.25</v>
      </c>
      <c r="G171" s="3457">
        <v>10.5</v>
      </c>
      <c r="H171" s="3457">
        <v>10.5</v>
      </c>
      <c r="I171" s="3457">
        <f>SUM(B171:H171)</f>
        <v>68.25</v>
      </c>
      <c r="J171" s="3417"/>
      <c r="M171" s="3481" t="s">
        <v>153</v>
      </c>
      <c r="N171" s="3482">
        <f>I173</f>
        <v>0</v>
      </c>
    </row>
    <row r="172" spans="1:20" ht="17.100000000000001" customHeight="1" x14ac:dyDescent="0.2">
      <c r="A172" s="449"/>
      <c r="B172" s="573" t="s">
        <v>154</v>
      </c>
      <c r="C172" s="573" t="s">
        <v>154</v>
      </c>
      <c r="D172" s="573" t="s">
        <v>154</v>
      </c>
      <c r="E172" s="573" t="s">
        <v>154</v>
      </c>
      <c r="F172" s="573" t="s">
        <v>154</v>
      </c>
      <c r="G172" s="573"/>
      <c r="H172" s="573"/>
      <c r="I172" s="594"/>
      <c r="J172" s="574"/>
      <c r="M172" s="3481" t="s">
        <v>155</v>
      </c>
      <c r="N172" s="3482"/>
      <c r="O172" s="42">
        <f>Q170</f>
        <v>2.8445945945945947</v>
      </c>
      <c r="P172" t="s">
        <v>796</v>
      </c>
      <c r="S172" s="86">
        <f>SUM(O172*3)</f>
        <v>8.5337837837837842</v>
      </c>
      <c r="T172" t="s">
        <v>797</v>
      </c>
    </row>
    <row r="173" spans="1:20" ht="17.100000000000001" customHeight="1" x14ac:dyDescent="0.2">
      <c r="A173" s="3551">
        <v>3</v>
      </c>
      <c r="B173" s="3457">
        <v>0</v>
      </c>
      <c r="C173" s="3457">
        <v>0</v>
      </c>
      <c r="D173" s="3457">
        <v>0</v>
      </c>
      <c r="E173" s="3457">
        <v>0</v>
      </c>
      <c r="F173" s="3457">
        <v>0</v>
      </c>
      <c r="G173" s="3457"/>
      <c r="H173" s="3457"/>
      <c r="I173" s="3457">
        <f>SUM(B173:H173)</f>
        <v>0</v>
      </c>
      <c r="J173" s="3417"/>
      <c r="M173" s="3552" t="s">
        <v>0</v>
      </c>
      <c r="N173" s="3553">
        <f>I177</f>
        <v>0</v>
      </c>
    </row>
    <row r="174" spans="1:20" ht="17.100000000000001" customHeight="1" x14ac:dyDescent="0.2">
      <c r="A174" s="449"/>
      <c r="B174" s="561"/>
      <c r="C174" s="561"/>
      <c r="D174" s="561"/>
      <c r="E174" s="561"/>
      <c r="F174" s="561"/>
      <c r="G174" s="573"/>
      <c r="H174" s="573"/>
      <c r="I174" s="594"/>
      <c r="J174" s="574"/>
      <c r="M174" s="3485" t="s">
        <v>659</v>
      </c>
      <c r="N174" s="3486">
        <f>SUM(N169:N173)</f>
        <v>105.25</v>
      </c>
      <c r="O174" t="s">
        <v>0</v>
      </c>
      <c r="P174" s="69"/>
      <c r="Q174" s="69" t="s">
        <v>798</v>
      </c>
      <c r="S174" s="42">
        <f>S166-S172</f>
        <v>139.46621621621622</v>
      </c>
      <c r="T174" t="s">
        <v>799</v>
      </c>
    </row>
    <row r="175" spans="1:20" ht="17.100000000000001" customHeight="1" x14ac:dyDescent="0.2">
      <c r="A175" s="3551">
        <v>4</v>
      </c>
      <c r="B175" s="3457"/>
      <c r="C175" s="3457"/>
      <c r="D175" s="3457"/>
      <c r="E175" s="3457"/>
      <c r="F175" s="3457"/>
      <c r="G175" s="3457"/>
      <c r="H175" s="3457"/>
      <c r="I175" s="3457"/>
      <c r="J175" s="3417"/>
      <c r="S175" s="42"/>
    </row>
    <row r="176" spans="1:20" ht="17.100000000000001" customHeight="1" x14ac:dyDescent="0.2">
      <c r="A176" s="449"/>
      <c r="B176" s="561"/>
      <c r="C176" s="561"/>
      <c r="D176" s="561"/>
      <c r="E176" s="573"/>
      <c r="F176" s="573"/>
      <c r="G176" s="573"/>
      <c r="H176" s="573"/>
      <c r="I176" s="594"/>
      <c r="J176" s="574"/>
      <c r="S176" s="42"/>
    </row>
    <row r="177" spans="1:22" ht="17.100000000000001" customHeight="1" x14ac:dyDescent="0.2">
      <c r="A177" s="3551"/>
      <c r="B177" s="3457"/>
      <c r="C177" s="3457"/>
      <c r="D177" s="3457"/>
      <c r="E177" s="3457"/>
      <c r="F177" s="3457"/>
      <c r="G177" s="3457"/>
      <c r="H177" s="3457"/>
      <c r="I177" s="3457"/>
      <c r="J177" s="3417"/>
      <c r="S177" s="42"/>
    </row>
    <row r="178" spans="1:22" ht="17.100000000000001" customHeight="1" x14ac:dyDescent="0.2">
      <c r="A178" s="449"/>
      <c r="B178" s="573"/>
      <c r="C178" s="573"/>
      <c r="D178" s="573"/>
      <c r="E178" s="573"/>
      <c r="F178" s="573"/>
      <c r="G178" s="573"/>
      <c r="H178" s="573"/>
      <c r="I178" s="594"/>
      <c r="J178" s="574"/>
      <c r="S178" s="42"/>
    </row>
    <row r="179" spans="1:22" ht="17.100000000000001" customHeight="1" x14ac:dyDescent="0.2">
      <c r="A179" s="3551"/>
      <c r="B179" s="3457"/>
      <c r="C179" s="3457"/>
      <c r="D179" s="3457"/>
      <c r="E179" s="3457"/>
      <c r="F179" s="3457"/>
      <c r="G179" s="3457"/>
      <c r="H179" s="3457"/>
      <c r="I179" s="3457"/>
      <c r="J179" s="3417"/>
      <c r="S179" s="42"/>
    </row>
    <row r="180" spans="1:22" ht="17.100000000000001" customHeight="1" x14ac:dyDescent="0.2">
      <c r="A180" s="449"/>
      <c r="B180" s="561"/>
      <c r="C180" s="561"/>
      <c r="D180" s="561"/>
      <c r="E180" s="561"/>
      <c r="F180" s="561"/>
      <c r="G180" s="573"/>
      <c r="H180" s="573"/>
      <c r="I180" s="594"/>
      <c r="J180" s="574" t="s">
        <v>0</v>
      </c>
      <c r="S180" s="42"/>
    </row>
    <row r="181" spans="1:22" ht="17.100000000000001" customHeight="1" x14ac:dyDescent="0.2">
      <c r="A181" s="3551" t="s">
        <v>0</v>
      </c>
      <c r="B181" s="3457"/>
      <c r="C181" s="3457"/>
      <c r="D181" s="3457"/>
      <c r="E181" s="3457"/>
      <c r="F181" s="3457"/>
      <c r="G181" s="3457"/>
      <c r="H181" s="3457"/>
      <c r="I181" s="3457">
        <f>SUM(B181:H181)</f>
        <v>0</v>
      </c>
      <c r="J181" s="3417"/>
      <c r="S181" s="42"/>
    </row>
    <row r="182" spans="1:22" ht="17.100000000000001" customHeight="1" x14ac:dyDescent="0.2">
      <c r="A182" s="46" t="s">
        <v>530</v>
      </c>
      <c r="B182" s="46">
        <f t="shared" ref="B182:H182" si="7">SUM(B169,B171,B173,B175)</f>
        <v>17.75</v>
      </c>
      <c r="C182" s="46">
        <f t="shared" si="7"/>
        <v>17.75</v>
      </c>
      <c r="D182" s="46">
        <f t="shared" si="7"/>
        <v>17.75</v>
      </c>
      <c r="E182" s="46">
        <f t="shared" si="7"/>
        <v>9.25</v>
      </c>
      <c r="F182" s="46">
        <f t="shared" si="7"/>
        <v>10.25</v>
      </c>
      <c r="G182" s="46">
        <f t="shared" si="7"/>
        <v>10.5</v>
      </c>
      <c r="H182" s="46">
        <f t="shared" si="7"/>
        <v>10.5</v>
      </c>
      <c r="I182" s="46">
        <f>SUM(I169,I171,I173,I175,I177,I179,I181)</f>
        <v>105.25</v>
      </c>
      <c r="J182" s="48"/>
      <c r="O182" t="s">
        <v>800</v>
      </c>
      <c r="P182">
        <f>I182</f>
        <v>105.25</v>
      </c>
      <c r="Q182" s="72" t="s">
        <v>801</v>
      </c>
      <c r="S182" s="42">
        <f>S174</f>
        <v>139.46621621621622</v>
      </c>
      <c r="T182" t="s">
        <v>802</v>
      </c>
      <c r="U182" s="84">
        <f>P182-S182</f>
        <v>-34.216216216216225</v>
      </c>
    </row>
    <row r="183" spans="1:22" ht="17.100000000000001" customHeight="1" x14ac:dyDescent="0.2">
      <c r="A183" s="18"/>
      <c r="B183" s="18"/>
      <c r="C183" s="18"/>
      <c r="D183" s="18"/>
      <c r="E183" s="18"/>
      <c r="F183" s="18"/>
      <c r="G183" s="3475" t="s">
        <v>642</v>
      </c>
      <c r="H183" s="3475" t="s">
        <v>643</v>
      </c>
      <c r="I183" s="3475" t="s">
        <v>644</v>
      </c>
      <c r="V183" s="83"/>
    </row>
    <row r="184" spans="1:22" ht="17.100000000000001" customHeight="1" x14ac:dyDescent="0.2">
      <c r="A184" s="18"/>
      <c r="B184" s="18"/>
      <c r="C184" s="18"/>
      <c r="D184" s="18"/>
      <c r="E184" s="18"/>
      <c r="F184" s="18"/>
      <c r="G184" s="3449">
        <f>I182</f>
        <v>105.25</v>
      </c>
      <c r="H184" s="3476">
        <f>SUM(G184*13/3)</f>
        <v>456.08333333333331</v>
      </c>
      <c r="I184" s="3449">
        <f>SUM(H184*12)</f>
        <v>5473</v>
      </c>
    </row>
    <row r="185" spans="1:22" ht="17.100000000000001" customHeight="1" x14ac:dyDescent="0.2">
      <c r="A185" s="18"/>
      <c r="B185" s="18"/>
      <c r="C185" s="18"/>
      <c r="D185" s="18"/>
      <c r="E185" s="18"/>
      <c r="F185" s="18"/>
      <c r="G185" s="18"/>
      <c r="H185" s="45"/>
      <c r="I185" s="18"/>
    </row>
    <row r="186" spans="1:22" ht="17.100000000000001" customHeight="1" x14ac:dyDescent="0.2">
      <c r="A186" s="18"/>
      <c r="B186" s="18"/>
      <c r="C186" s="18"/>
      <c r="D186" s="18"/>
      <c r="E186" s="18"/>
      <c r="F186" s="18"/>
      <c r="G186" s="18"/>
      <c r="H186" s="45"/>
      <c r="I186" s="18"/>
    </row>
    <row r="187" spans="1:22" ht="17.100000000000001" customHeight="1" x14ac:dyDescent="0.2">
      <c r="A187" s="1" t="s">
        <v>803</v>
      </c>
      <c r="B187" s="18"/>
      <c r="C187" s="18"/>
      <c r="D187" s="18"/>
      <c r="E187" s="18"/>
      <c r="F187" s="18"/>
      <c r="O187">
        <v>37</v>
      </c>
      <c r="P187" t="s">
        <v>763</v>
      </c>
      <c r="Q187">
        <v>4</v>
      </c>
      <c r="R187" t="s">
        <v>764</v>
      </c>
      <c r="S187">
        <f>O187*Q187</f>
        <v>148</v>
      </c>
      <c r="T187" t="s">
        <v>765</v>
      </c>
    </row>
    <row r="188" spans="1:22" ht="17.100000000000001" customHeight="1" x14ac:dyDescent="0.2">
      <c r="A188" s="428" t="s">
        <v>788</v>
      </c>
      <c r="B188" s="423" t="s">
        <v>90</v>
      </c>
      <c r="C188" s="424" t="s">
        <v>91</v>
      </c>
      <c r="D188" s="424" t="s">
        <v>92</v>
      </c>
      <c r="E188" s="424" t="s">
        <v>93</v>
      </c>
      <c r="F188" s="424" t="s">
        <v>94</v>
      </c>
      <c r="G188" s="424" t="s">
        <v>95</v>
      </c>
      <c r="H188" s="308" t="s">
        <v>96</v>
      </c>
      <c r="I188" s="309" t="s">
        <v>138</v>
      </c>
      <c r="J188" s="425" t="s">
        <v>97</v>
      </c>
      <c r="M188" s="427"/>
      <c r="N188" s="324" t="s">
        <v>648</v>
      </c>
      <c r="O188" t="s">
        <v>0</v>
      </c>
    </row>
    <row r="189" spans="1:22" ht="17.100000000000001" customHeight="1" x14ac:dyDescent="0.2">
      <c r="A189" s="449"/>
      <c r="B189" s="561" t="s">
        <v>154</v>
      </c>
      <c r="C189" s="561" t="s">
        <v>154</v>
      </c>
      <c r="D189" s="561" t="s">
        <v>804</v>
      </c>
      <c r="E189" s="561" t="s">
        <v>804</v>
      </c>
      <c r="F189" s="561" t="s">
        <v>804</v>
      </c>
      <c r="G189" s="561" t="s">
        <v>805</v>
      </c>
      <c r="H189" s="561" t="s">
        <v>806</v>
      </c>
      <c r="I189" s="594"/>
      <c r="J189" s="574"/>
      <c r="M189" s="3481"/>
      <c r="N189" s="3482" t="s">
        <v>650</v>
      </c>
      <c r="O189" t="s">
        <v>769</v>
      </c>
      <c r="Q189">
        <f>N195</f>
        <v>102</v>
      </c>
    </row>
    <row r="190" spans="1:22" ht="17.100000000000001" customHeight="1" x14ac:dyDescent="0.2">
      <c r="A190" s="3551" t="s">
        <v>807</v>
      </c>
      <c r="B190" s="3457"/>
      <c r="C190" s="3457"/>
      <c r="D190" s="3457">
        <v>12</v>
      </c>
      <c r="E190" s="3457">
        <v>12</v>
      </c>
      <c r="F190" s="3457">
        <v>12</v>
      </c>
      <c r="G190" s="3457">
        <v>12</v>
      </c>
      <c r="H190" s="3457">
        <v>8</v>
      </c>
      <c r="I190" s="3457">
        <f>SUM(B190:H190)</f>
        <v>56</v>
      </c>
      <c r="J190" s="3417"/>
      <c r="M190" s="3481" t="s">
        <v>139</v>
      </c>
      <c r="N190" s="3482">
        <f>I190</f>
        <v>56</v>
      </c>
    </row>
    <row r="191" spans="1:22" ht="17.100000000000001" customHeight="1" x14ac:dyDescent="0.2">
      <c r="A191" s="449"/>
      <c r="B191" s="561" t="s">
        <v>154</v>
      </c>
      <c r="C191" s="561" t="s">
        <v>154</v>
      </c>
      <c r="D191" s="561" t="s">
        <v>154</v>
      </c>
      <c r="E191" s="561" t="s">
        <v>154</v>
      </c>
      <c r="F191" s="561" t="s">
        <v>154</v>
      </c>
      <c r="G191" s="561"/>
      <c r="H191" s="561"/>
      <c r="I191" s="594"/>
      <c r="J191" s="574"/>
      <c r="M191" s="3481" t="s">
        <v>143</v>
      </c>
      <c r="N191" s="3482">
        <f>I192</f>
        <v>0</v>
      </c>
      <c r="O191">
        <f>Q189</f>
        <v>102</v>
      </c>
      <c r="P191" t="s">
        <v>773</v>
      </c>
      <c r="Q191" s="42">
        <f>SUM(O191/37)</f>
        <v>2.7567567567567566</v>
      </c>
    </row>
    <row r="192" spans="1:22" ht="17.100000000000001" customHeight="1" x14ac:dyDescent="0.2">
      <c r="A192" s="3551" t="s">
        <v>808</v>
      </c>
      <c r="B192" s="3457"/>
      <c r="C192" s="3457"/>
      <c r="D192" s="3457"/>
      <c r="E192" s="3457"/>
      <c r="F192" s="3457"/>
      <c r="G192" s="3457"/>
      <c r="H192" s="3457"/>
      <c r="I192" s="3457">
        <f>SUM(B192:H192)</f>
        <v>0</v>
      </c>
      <c r="J192" s="3417"/>
      <c r="M192" s="3481" t="s">
        <v>153</v>
      </c>
      <c r="N192" s="3482">
        <f>I194</f>
        <v>46</v>
      </c>
    </row>
    <row r="193" spans="1:22" ht="17.100000000000001" customHeight="1" x14ac:dyDescent="0.2">
      <c r="A193" s="449"/>
      <c r="B193" s="561" t="s">
        <v>804</v>
      </c>
      <c r="C193" s="561" t="s">
        <v>804</v>
      </c>
      <c r="D193" s="561" t="s">
        <v>154</v>
      </c>
      <c r="E193" s="561" t="s">
        <v>154</v>
      </c>
      <c r="F193" s="561" t="s">
        <v>154</v>
      </c>
      <c r="G193" s="561" t="s">
        <v>809</v>
      </c>
      <c r="H193" s="561" t="s">
        <v>810</v>
      </c>
      <c r="I193" s="594"/>
      <c r="J193" s="574"/>
      <c r="M193" s="3481" t="s">
        <v>155</v>
      </c>
      <c r="N193" s="3482">
        <v>0</v>
      </c>
      <c r="O193" s="42">
        <f>Q191</f>
        <v>2.7567567567567566</v>
      </c>
      <c r="P193" t="s">
        <v>796</v>
      </c>
      <c r="S193" s="86">
        <f>SUM(O193*3)</f>
        <v>8.2702702702702702</v>
      </c>
      <c r="T193" t="s">
        <v>797</v>
      </c>
    </row>
    <row r="194" spans="1:22" ht="17.100000000000001" customHeight="1" x14ac:dyDescent="0.2">
      <c r="A194" s="3551" t="s">
        <v>811</v>
      </c>
      <c r="B194" s="3457">
        <v>12</v>
      </c>
      <c r="C194" s="3457">
        <v>12</v>
      </c>
      <c r="D194" s="3457"/>
      <c r="E194" s="3457"/>
      <c r="F194" s="3457"/>
      <c r="G194" s="3457">
        <v>12</v>
      </c>
      <c r="H194" s="3457">
        <v>10</v>
      </c>
      <c r="I194" s="3457">
        <f>SUM(B194:H194)</f>
        <v>46</v>
      </c>
      <c r="J194" s="3417"/>
      <c r="M194" s="3552"/>
      <c r="N194" s="3553"/>
    </row>
    <row r="195" spans="1:22" ht="17.100000000000001" customHeight="1" x14ac:dyDescent="0.2">
      <c r="A195" s="602"/>
      <c r="B195" s="519" t="s">
        <v>812</v>
      </c>
      <c r="C195" s="519" t="s">
        <v>813</v>
      </c>
      <c r="D195" s="519" t="s">
        <v>813</v>
      </c>
      <c r="E195" s="519" t="s">
        <v>813</v>
      </c>
      <c r="F195" s="600" t="s">
        <v>814</v>
      </c>
      <c r="G195" s="573"/>
      <c r="H195" s="573"/>
      <c r="I195" s="594"/>
      <c r="J195" s="574"/>
      <c r="M195" s="3485" t="s">
        <v>659</v>
      </c>
      <c r="N195" s="3486">
        <f>SUM(N190:N194)</f>
        <v>102</v>
      </c>
      <c r="O195" t="s">
        <v>0</v>
      </c>
      <c r="P195" s="69"/>
      <c r="Q195" s="69" t="s">
        <v>798</v>
      </c>
      <c r="S195" s="42">
        <f>S187-S193</f>
        <v>139.72972972972974</v>
      </c>
      <c r="T195" t="s">
        <v>799</v>
      </c>
    </row>
    <row r="196" spans="1:22" ht="17.100000000000001" customHeight="1" x14ac:dyDescent="0.2">
      <c r="A196" s="3551" t="s">
        <v>815</v>
      </c>
      <c r="B196" s="3408">
        <v>6.75</v>
      </c>
      <c r="C196" s="3408">
        <v>7.75</v>
      </c>
      <c r="D196" s="3408">
        <v>7.75</v>
      </c>
      <c r="E196" s="3408">
        <v>7.75</v>
      </c>
      <c r="F196" s="3408">
        <v>7.5</v>
      </c>
      <c r="G196" s="3457"/>
      <c r="H196" s="3457"/>
      <c r="I196" s="3457">
        <f>SUM(B196:H196)</f>
        <v>37.5</v>
      </c>
      <c r="J196" s="3417"/>
      <c r="S196" s="42"/>
    </row>
    <row r="197" spans="1:22" ht="17.100000000000001" customHeight="1" x14ac:dyDescent="0.2">
      <c r="A197" s="449"/>
      <c r="B197" s="561"/>
      <c r="C197" s="561"/>
      <c r="D197" s="561"/>
      <c r="E197" s="573"/>
      <c r="F197" s="573"/>
      <c r="G197" s="573"/>
      <c r="H197" s="573"/>
      <c r="I197" s="594"/>
      <c r="J197" s="574"/>
      <c r="S197" s="42"/>
    </row>
    <row r="198" spans="1:22" ht="17.100000000000001" customHeight="1" x14ac:dyDescent="0.2">
      <c r="A198" s="3554" t="s">
        <v>816</v>
      </c>
      <c r="C198" s="3457"/>
      <c r="D198" s="3457"/>
      <c r="E198" s="3457"/>
      <c r="F198" s="3457"/>
      <c r="G198" s="3457"/>
      <c r="H198" s="3457"/>
      <c r="I198" s="3457">
        <f>SUM(A198:H198)</f>
        <v>0</v>
      </c>
      <c r="J198" s="3417"/>
      <c r="S198" s="42"/>
    </row>
    <row r="199" spans="1:22" ht="17.100000000000001" customHeight="1" x14ac:dyDescent="0.2">
      <c r="A199" s="450"/>
      <c r="B199" s="603"/>
      <c r="C199" s="603"/>
      <c r="D199" s="603"/>
      <c r="E199" s="603"/>
      <c r="F199" s="603"/>
      <c r="G199" s="603"/>
      <c r="H199" s="603"/>
      <c r="I199" s="604"/>
      <c r="J199" s="605"/>
      <c r="S199" s="42"/>
    </row>
    <row r="200" spans="1:22" ht="17.100000000000001" customHeight="1" x14ac:dyDescent="0.2">
      <c r="A200" s="3555"/>
      <c r="B200" s="3556"/>
      <c r="C200" s="3556"/>
      <c r="D200" s="3556"/>
      <c r="E200" s="3556"/>
      <c r="F200" s="3556"/>
      <c r="G200" s="3556"/>
      <c r="H200" s="3556"/>
      <c r="I200" s="3556">
        <f>SUM(B200:H200)</f>
        <v>0</v>
      </c>
      <c r="J200" s="3557"/>
      <c r="S200" s="42"/>
    </row>
    <row r="201" spans="1:22" ht="17.100000000000001" customHeight="1" x14ac:dyDescent="0.2">
      <c r="A201" s="450"/>
      <c r="B201" s="606"/>
      <c r="C201" s="606"/>
      <c r="D201" s="606"/>
      <c r="E201" s="606"/>
      <c r="F201" s="606"/>
      <c r="G201" s="603"/>
      <c r="H201" s="603"/>
      <c r="I201" s="604"/>
      <c r="J201" s="605" t="s">
        <v>0</v>
      </c>
      <c r="S201" s="42"/>
    </row>
    <row r="202" spans="1:22" ht="17.100000000000001" customHeight="1" x14ac:dyDescent="0.2">
      <c r="A202" s="3555" t="s">
        <v>0</v>
      </c>
      <c r="B202" s="3556"/>
      <c r="C202" s="3556"/>
      <c r="D202" s="3556"/>
      <c r="E202" s="3556"/>
      <c r="F202" s="3556"/>
      <c r="G202" s="3556"/>
      <c r="H202" s="3556"/>
      <c r="I202" s="3556">
        <f>SUM(B202:H202)</f>
        <v>0</v>
      </c>
      <c r="J202" s="3557"/>
      <c r="S202" s="42"/>
    </row>
    <row r="203" spans="1:22" ht="17.100000000000001" customHeight="1" x14ac:dyDescent="0.2">
      <c r="A203" s="46" t="s">
        <v>530</v>
      </c>
      <c r="B203" s="46">
        <f t="shared" ref="B203:H203" si="8">SUM(B190,B192,B194,B196)</f>
        <v>18.75</v>
      </c>
      <c r="C203" s="46">
        <f t="shared" si="8"/>
        <v>19.75</v>
      </c>
      <c r="D203" s="46">
        <f t="shared" si="8"/>
        <v>19.75</v>
      </c>
      <c r="E203" s="46">
        <f t="shared" si="8"/>
        <v>19.75</v>
      </c>
      <c r="F203" s="46">
        <f t="shared" si="8"/>
        <v>19.5</v>
      </c>
      <c r="G203" s="46">
        <f t="shared" si="8"/>
        <v>24</v>
      </c>
      <c r="H203" s="46">
        <f t="shared" si="8"/>
        <v>18</v>
      </c>
      <c r="I203" s="46">
        <f>SUM(I190,I192,I194,I196,I198,I200,I202)</f>
        <v>139.5</v>
      </c>
      <c r="J203" s="48"/>
      <c r="O203" t="s">
        <v>800</v>
      </c>
      <c r="P203">
        <f>I203</f>
        <v>139.5</v>
      </c>
      <c r="Q203" s="72" t="s">
        <v>801</v>
      </c>
      <c r="S203" s="42">
        <f>S195</f>
        <v>139.72972972972974</v>
      </c>
      <c r="T203" t="s">
        <v>802</v>
      </c>
      <c r="U203" s="84">
        <f>P203-S203</f>
        <v>-0.22972972972974048</v>
      </c>
    </row>
    <row r="204" spans="1:22" ht="17.100000000000001" customHeight="1" x14ac:dyDescent="0.2">
      <c r="A204" s="18"/>
      <c r="B204" s="18"/>
      <c r="C204" s="18"/>
      <c r="D204" s="18"/>
      <c r="E204" s="18"/>
      <c r="F204" s="18"/>
      <c r="G204" s="3475" t="s">
        <v>642</v>
      </c>
      <c r="H204" s="3475" t="s">
        <v>643</v>
      </c>
      <c r="I204" s="3475" t="s">
        <v>644</v>
      </c>
      <c r="V204" s="83"/>
    </row>
    <row r="205" spans="1:22" ht="17.100000000000001" customHeight="1" x14ac:dyDescent="0.2">
      <c r="A205" s="18"/>
      <c r="B205" s="18"/>
      <c r="C205" s="18"/>
      <c r="D205" s="18"/>
      <c r="E205" s="18"/>
      <c r="F205" s="18"/>
      <c r="G205" s="3449">
        <f>I203</f>
        <v>139.5</v>
      </c>
      <c r="H205" s="3476">
        <f>SUM(G205*13/3)</f>
        <v>604.5</v>
      </c>
      <c r="I205" s="3449">
        <f>SUM(H205*12)</f>
        <v>7254</v>
      </c>
    </row>
    <row r="206" spans="1:22" ht="18" customHeight="1" x14ac:dyDescent="0.2">
      <c r="A206" s="3252" t="s">
        <v>619</v>
      </c>
      <c r="B206" s="18"/>
      <c r="C206" s="18"/>
      <c r="D206" s="18"/>
      <c r="E206" s="18"/>
      <c r="F206" s="37"/>
      <c r="G206" s="37"/>
      <c r="H206" s="37"/>
      <c r="I206" s="18"/>
      <c r="J206" s="19"/>
      <c r="K206" s="59"/>
    </row>
    <row r="207" spans="1:22" ht="18" customHeight="1" x14ac:dyDescent="0.2">
      <c r="A207" s="35" t="s">
        <v>620</v>
      </c>
      <c r="B207" s="423" t="s">
        <v>90</v>
      </c>
      <c r="C207" s="424" t="s">
        <v>91</v>
      </c>
      <c r="D207" s="424" t="s">
        <v>92</v>
      </c>
      <c r="E207" s="424" t="s">
        <v>93</v>
      </c>
      <c r="F207" s="424" t="s">
        <v>94</v>
      </c>
      <c r="G207" s="424" t="s">
        <v>95</v>
      </c>
      <c r="H207" s="308" t="s">
        <v>96</v>
      </c>
      <c r="I207" s="309" t="s">
        <v>138</v>
      </c>
      <c r="J207" s="425" t="s">
        <v>97</v>
      </c>
      <c r="K207" s="18"/>
    </row>
    <row r="208" spans="1:22" ht="18" customHeight="1" x14ac:dyDescent="0.2">
      <c r="A208" s="571" t="s">
        <v>0</v>
      </c>
      <c r="B208" s="572" t="s">
        <v>269</v>
      </c>
      <c r="C208" s="572" t="s">
        <v>269</v>
      </c>
      <c r="D208" s="572" t="s">
        <v>269</v>
      </c>
      <c r="E208" s="572" t="s">
        <v>269</v>
      </c>
      <c r="F208" s="573" t="s">
        <v>270</v>
      </c>
      <c r="G208" s="573"/>
      <c r="H208" s="573"/>
      <c r="I208" s="500"/>
      <c r="J208" s="574"/>
    </row>
    <row r="209" spans="1:10" ht="18" customHeight="1" x14ac:dyDescent="0.2">
      <c r="A209" s="3413" t="s">
        <v>0</v>
      </c>
      <c r="B209" s="3414">
        <v>0</v>
      </c>
      <c r="C209" s="3414">
        <v>0</v>
      </c>
      <c r="D209" s="3414">
        <v>0</v>
      </c>
      <c r="E209" s="3414">
        <v>0</v>
      </c>
      <c r="F209" s="3414">
        <v>0</v>
      </c>
      <c r="G209" s="3457"/>
      <c r="H209" s="3457"/>
      <c r="I209" s="3414">
        <f>SUM(B209:H209)</f>
        <v>0</v>
      </c>
      <c r="J209" s="3417"/>
    </row>
    <row r="210" spans="1:10" ht="18" customHeight="1" x14ac:dyDescent="0.2">
      <c r="A210" s="571"/>
      <c r="B210" s="572" t="s">
        <v>269</v>
      </c>
      <c r="C210" s="572" t="s">
        <v>269</v>
      </c>
      <c r="D210" s="572" t="s">
        <v>269</v>
      </c>
      <c r="E210" s="572" t="s">
        <v>269</v>
      </c>
      <c r="F210" s="573" t="s">
        <v>270</v>
      </c>
      <c r="G210" s="573"/>
      <c r="H210" s="573"/>
      <c r="I210" s="500"/>
      <c r="J210" s="574"/>
    </row>
    <row r="211" spans="1:10" ht="18" customHeight="1" x14ac:dyDescent="0.2">
      <c r="A211" s="3413" t="s">
        <v>0</v>
      </c>
      <c r="B211" s="3414">
        <v>0</v>
      </c>
      <c r="C211" s="3414">
        <v>0</v>
      </c>
      <c r="D211" s="3414">
        <v>0</v>
      </c>
      <c r="E211" s="3414">
        <v>0</v>
      </c>
      <c r="F211" s="3414">
        <v>0</v>
      </c>
      <c r="G211" s="3457"/>
      <c r="H211" s="3457"/>
      <c r="I211" s="3414">
        <f>SUM(B211:H211)</f>
        <v>0</v>
      </c>
      <c r="J211" s="3417"/>
    </row>
    <row r="212" spans="1:10" ht="18" customHeight="1" x14ac:dyDescent="0.2">
      <c r="A212" s="571"/>
      <c r="B212" s="572" t="s">
        <v>269</v>
      </c>
      <c r="C212" s="572" t="s">
        <v>269</v>
      </c>
      <c r="D212" s="572" t="s">
        <v>269</v>
      </c>
      <c r="E212" s="572" t="s">
        <v>269</v>
      </c>
      <c r="F212" s="573" t="s">
        <v>270</v>
      </c>
      <c r="G212" s="573"/>
      <c r="H212" s="573"/>
      <c r="I212" s="500"/>
      <c r="J212" s="574"/>
    </row>
    <row r="213" spans="1:10" ht="18" customHeight="1" x14ac:dyDescent="0.2">
      <c r="A213" s="3413"/>
      <c r="B213" s="3414"/>
      <c r="C213" s="3414"/>
      <c r="D213" s="3414"/>
      <c r="E213" s="3414"/>
      <c r="F213" s="3414"/>
      <c r="G213" s="3457"/>
      <c r="H213" s="3457"/>
      <c r="I213" s="3414">
        <f>SUM(B213:H213)</f>
        <v>0</v>
      </c>
      <c r="J213" s="3417"/>
    </row>
    <row r="214" spans="1:10" ht="18" customHeight="1" x14ac:dyDescent="0.2">
      <c r="A214" s="310" t="s">
        <v>530</v>
      </c>
      <c r="B214" s="310">
        <f t="shared" ref="B214:I214" si="9">SUM(B209,B211,B213)</f>
        <v>0</v>
      </c>
      <c r="C214" s="310">
        <f t="shared" si="9"/>
        <v>0</v>
      </c>
      <c r="D214" s="310">
        <f t="shared" si="9"/>
        <v>0</v>
      </c>
      <c r="E214" s="310">
        <f t="shared" si="9"/>
        <v>0</v>
      </c>
      <c r="F214" s="310">
        <f t="shared" si="9"/>
        <v>0</v>
      </c>
      <c r="G214" s="310">
        <f t="shared" si="9"/>
        <v>0</v>
      </c>
      <c r="H214" s="310">
        <f t="shared" si="9"/>
        <v>0</v>
      </c>
      <c r="I214" s="310">
        <f t="shared" si="9"/>
        <v>0</v>
      </c>
      <c r="J214" s="319"/>
    </row>
    <row r="215" spans="1:10" ht="18" customHeight="1" x14ac:dyDescent="0.2">
      <c r="A215" s="18"/>
      <c r="B215" s="18"/>
      <c r="C215" s="18"/>
      <c r="D215" s="18"/>
      <c r="E215" s="18"/>
      <c r="F215" s="18"/>
      <c r="G215" s="3475" t="s">
        <v>642</v>
      </c>
      <c r="H215" s="3475" t="s">
        <v>643</v>
      </c>
      <c r="I215" s="3475" t="s">
        <v>644</v>
      </c>
      <c r="J215" s="19"/>
    </row>
    <row r="216" spans="1:10" ht="18" customHeight="1" x14ac:dyDescent="0.2">
      <c r="A216" s="18"/>
      <c r="B216" s="18"/>
      <c r="C216" s="18"/>
      <c r="D216" s="18"/>
      <c r="E216" s="18"/>
      <c r="F216" s="37"/>
      <c r="G216" s="3449">
        <f>I214</f>
        <v>0</v>
      </c>
      <c r="H216" s="3476">
        <f>SUM(G216*13/3)</f>
        <v>0</v>
      </c>
      <c r="I216" s="3449">
        <f>SUM(H216*12)</f>
        <v>0</v>
      </c>
      <c r="J216" s="19"/>
    </row>
    <row r="217" spans="1:10" ht="18" customHeight="1" x14ac:dyDescent="0.2">
      <c r="A217" s="18"/>
      <c r="B217" s="18"/>
      <c r="C217" s="18"/>
      <c r="D217" s="18"/>
      <c r="E217" s="18"/>
      <c r="F217" s="37"/>
      <c r="G217" s="18"/>
      <c r="H217" s="45"/>
      <c r="I217" s="18"/>
      <c r="J217" s="19"/>
    </row>
    <row r="218" spans="1:10" ht="18" customHeight="1" x14ac:dyDescent="0.2">
      <c r="A218" s="18"/>
      <c r="B218" s="18"/>
      <c r="C218" s="18"/>
      <c r="D218" s="18"/>
      <c r="E218" s="18"/>
      <c r="F218" s="37"/>
      <c r="G218" s="37"/>
      <c r="H218" s="37"/>
      <c r="I218" s="18"/>
      <c r="J218" s="19"/>
    </row>
    <row r="219" spans="1:10" ht="18" customHeight="1" x14ac:dyDescent="0.2">
      <c r="A219" s="607"/>
      <c r="B219" s="320" t="s">
        <v>90</v>
      </c>
      <c r="C219" s="314" t="s">
        <v>91</v>
      </c>
      <c r="D219" s="314" t="s">
        <v>92</v>
      </c>
      <c r="E219" s="314" t="s">
        <v>93</v>
      </c>
      <c r="F219" s="314" t="s">
        <v>94</v>
      </c>
      <c r="G219" s="314" t="s">
        <v>95</v>
      </c>
      <c r="H219" s="321" t="s">
        <v>96</v>
      </c>
      <c r="I219" s="322" t="s">
        <v>629</v>
      </c>
      <c r="J219" s="37" t="s">
        <v>0</v>
      </c>
    </row>
    <row r="220" spans="1:10" ht="18" customHeight="1" x14ac:dyDescent="0.2">
      <c r="A220" s="3481" t="s">
        <v>630</v>
      </c>
      <c r="B220" s="68">
        <f t="shared" ref="B220:I220" si="10">SUM(B4,B8,B25,B34,B70,B114,B117,B123,B132,B144,B162,B182,B203,B214)</f>
        <v>267.25</v>
      </c>
      <c r="C220" s="68">
        <f t="shared" si="10"/>
        <v>268.25</v>
      </c>
      <c r="D220" s="68">
        <f t="shared" si="10"/>
        <v>268.25</v>
      </c>
      <c r="E220" s="68">
        <f t="shared" si="10"/>
        <v>259.75</v>
      </c>
      <c r="F220" s="68">
        <f t="shared" si="10"/>
        <v>232.75</v>
      </c>
      <c r="G220" s="68">
        <f t="shared" si="10"/>
        <v>127.5</v>
      </c>
      <c r="H220" s="68">
        <f t="shared" si="10"/>
        <v>124.5</v>
      </c>
      <c r="I220" s="68">
        <f t="shared" si="10"/>
        <v>1526.75</v>
      </c>
      <c r="J220" s="18" t="s">
        <v>0</v>
      </c>
    </row>
    <row r="221" spans="1:10" ht="20.100000000000001" customHeight="1" x14ac:dyDescent="0.2">
      <c r="A221" s="3485" t="s">
        <v>632</v>
      </c>
      <c r="B221" s="3407">
        <f t="shared" ref="B221:I221" si="11">SUM(B220*52)</f>
        <v>13897</v>
      </c>
      <c r="C221" s="3407">
        <f t="shared" si="11"/>
        <v>13949</v>
      </c>
      <c r="D221" s="3407">
        <f t="shared" si="11"/>
        <v>13949</v>
      </c>
      <c r="E221" s="3407">
        <f t="shared" si="11"/>
        <v>13507</v>
      </c>
      <c r="F221" s="3407">
        <f t="shared" si="11"/>
        <v>12103</v>
      </c>
      <c r="G221" s="3407">
        <f t="shared" si="11"/>
        <v>6630</v>
      </c>
      <c r="H221" s="3407">
        <f t="shared" si="11"/>
        <v>6474</v>
      </c>
      <c r="I221" s="3407">
        <f t="shared" si="11"/>
        <v>79391</v>
      </c>
    </row>
    <row r="222" spans="1:10" ht="20.100000000000001" customHeight="1" x14ac:dyDescent="0.2">
      <c r="A222" t="s">
        <v>817</v>
      </c>
      <c r="I222" s="42"/>
      <c r="J222" s="87">
        <f>SUM(I221/12)</f>
        <v>6615.916666666667</v>
      </c>
    </row>
    <row r="223" spans="1:10" ht="20.100000000000001" customHeight="1" x14ac:dyDescent="0.2">
      <c r="A223" s="608" t="s">
        <v>818</v>
      </c>
      <c r="B223" s="565"/>
      <c r="C223" s="565"/>
      <c r="D223" s="565"/>
      <c r="E223" s="572">
        <v>56</v>
      </c>
      <c r="F223" s="565"/>
      <c r="G223" s="565"/>
      <c r="H223" s="500"/>
      <c r="I223" s="609">
        <f>SUM(E223)*26</f>
        <v>1456</v>
      </c>
    </row>
    <row r="224" spans="1:10" ht="20.100000000000001" customHeight="1" x14ac:dyDescent="0.2">
      <c r="A224" s="3558" t="s">
        <v>819</v>
      </c>
      <c r="B224" s="3466"/>
      <c r="C224" s="3466"/>
      <c r="D224" s="3466"/>
      <c r="E224" s="3466"/>
      <c r="F224" s="3466"/>
      <c r="G224" s="3466"/>
      <c r="H224" s="3466"/>
      <c r="I224" s="3559">
        <f>SUM(I223*2)</f>
        <v>2912</v>
      </c>
    </row>
    <row r="225" spans="1:10" ht="20.100000000000001" customHeight="1" x14ac:dyDescent="0.2">
      <c r="A225" s="3481" t="s">
        <v>635</v>
      </c>
      <c r="B225" s="3463"/>
      <c r="C225" s="3464"/>
      <c r="D225" s="3466"/>
      <c r="E225" s="3466"/>
      <c r="F225" s="3466"/>
      <c r="G225" s="3466"/>
      <c r="H225" s="3466"/>
      <c r="I225" s="3559">
        <f>48*12</f>
        <v>576</v>
      </c>
    </row>
    <row r="226" spans="1:10" ht="20.100000000000001" customHeight="1" x14ac:dyDescent="0.2">
      <c r="A226" s="3560" t="s">
        <v>629</v>
      </c>
      <c r="B226" s="3421"/>
      <c r="C226" s="3421"/>
      <c r="D226" s="3421"/>
      <c r="E226" s="3421"/>
      <c r="F226" s="3421"/>
      <c r="G226" s="3421"/>
      <c r="H226" s="3421"/>
      <c r="I226" s="3561">
        <f>SUM(I223:I225)</f>
        <v>4944</v>
      </c>
    </row>
    <row r="227" spans="1:10" ht="20.100000000000001" customHeight="1" x14ac:dyDescent="0.2">
      <c r="I227" s="42"/>
    </row>
    <row r="228" spans="1:10" ht="20.100000000000001" customHeight="1" x14ac:dyDescent="0.2">
      <c r="I228" s="42"/>
    </row>
    <row r="229" spans="1:10" x14ac:dyDescent="0.2">
      <c r="A229" s="3467" t="s">
        <v>636</v>
      </c>
      <c r="B229" s="3467"/>
      <c r="C229" s="3467"/>
      <c r="D229" s="3467"/>
      <c r="E229" s="3467"/>
      <c r="F229" s="3467"/>
      <c r="G229" s="3467"/>
      <c r="H229" s="3467"/>
      <c r="I229" s="3469">
        <f>SUM(I221,I226)</f>
        <v>84335</v>
      </c>
      <c r="J229" t="s">
        <v>820</v>
      </c>
    </row>
    <row r="233" spans="1:10" ht="12.75" x14ac:dyDescent="0.2">
      <c r="A233" s="1" t="s">
        <v>821</v>
      </c>
      <c r="B233" s="18"/>
      <c r="C233" s="18"/>
      <c r="D233" s="18"/>
      <c r="E233" s="18"/>
      <c r="F233" s="37"/>
      <c r="G233" s="37"/>
      <c r="H233" s="37"/>
      <c r="I233" s="18"/>
      <c r="J233" s="19"/>
    </row>
    <row r="234" spans="1:10" ht="12.75" x14ac:dyDescent="0.2">
      <c r="A234" s="312" t="s">
        <v>822</v>
      </c>
      <c r="B234" s="313" t="s">
        <v>90</v>
      </c>
      <c r="C234" s="314" t="s">
        <v>91</v>
      </c>
      <c r="D234" s="314" t="s">
        <v>92</v>
      </c>
      <c r="E234" s="314" t="s">
        <v>93</v>
      </c>
      <c r="F234" s="314" t="s">
        <v>94</v>
      </c>
      <c r="G234" s="314" t="s">
        <v>95</v>
      </c>
      <c r="H234" s="315" t="s">
        <v>96</v>
      </c>
      <c r="I234" s="316" t="s">
        <v>138</v>
      </c>
      <c r="J234" s="317" t="s">
        <v>97</v>
      </c>
    </row>
    <row r="235" spans="1:10" ht="12.75" x14ac:dyDescent="0.2">
      <c r="A235" s="610">
        <v>3700</v>
      </c>
      <c r="B235" s="572" t="s">
        <v>823</v>
      </c>
      <c r="C235" s="572" t="s">
        <v>823</v>
      </c>
      <c r="D235" s="572" t="s">
        <v>823</v>
      </c>
      <c r="E235" s="572" t="s">
        <v>823</v>
      </c>
      <c r="F235" s="573" t="s">
        <v>824</v>
      </c>
      <c r="G235" s="569"/>
      <c r="H235" s="506" t="s">
        <v>0</v>
      </c>
      <c r="I235" s="500"/>
      <c r="J235" s="574" t="s">
        <v>0</v>
      </c>
    </row>
    <row r="236" spans="1:10" ht="12.75" x14ac:dyDescent="0.2">
      <c r="A236" s="3562"/>
      <c r="B236" s="3414"/>
      <c r="C236" s="3414"/>
      <c r="D236" s="3414"/>
      <c r="E236" s="3414"/>
      <c r="F236" s="3457"/>
      <c r="G236" s="3407"/>
      <c r="H236" s="3537" t="s">
        <v>0</v>
      </c>
      <c r="I236" s="3414">
        <f>SUM(B236:H236)</f>
        <v>0</v>
      </c>
      <c r="J236" s="3417"/>
    </row>
    <row r="237" spans="1:10" ht="12.75" x14ac:dyDescent="0.2">
      <c r="A237" s="88">
        <v>3700</v>
      </c>
      <c r="B237" s="4" t="s">
        <v>269</v>
      </c>
      <c r="C237" s="4" t="s">
        <v>269</v>
      </c>
      <c r="D237" s="4" t="s">
        <v>269</v>
      </c>
      <c r="E237" s="4" t="s">
        <v>269</v>
      </c>
      <c r="F237" s="5" t="s">
        <v>270</v>
      </c>
      <c r="G237" s="89"/>
      <c r="H237" s="90" t="s">
        <v>0</v>
      </c>
      <c r="I237" s="8"/>
      <c r="J237" s="12" t="s">
        <v>0</v>
      </c>
    </row>
    <row r="238" spans="1:10" x14ac:dyDescent="0.2">
      <c r="A238" s="3563" t="s">
        <v>281</v>
      </c>
      <c r="B238" s="3414">
        <v>7.75</v>
      </c>
      <c r="C238" s="3414">
        <v>7.75</v>
      </c>
      <c r="D238" s="3414">
        <v>7.75</v>
      </c>
      <c r="E238" s="3414">
        <v>7.75</v>
      </c>
      <c r="F238" s="3457">
        <v>6</v>
      </c>
      <c r="G238" s="3407"/>
      <c r="H238" s="3537" t="s">
        <v>0</v>
      </c>
      <c r="I238" s="3414">
        <f>SUM(B238:H238)</f>
        <v>37</v>
      </c>
      <c r="J238" s="3417"/>
    </row>
    <row r="239" spans="1:10" ht="12.75" x14ac:dyDescent="0.2">
      <c r="A239" s="610">
        <v>3701</v>
      </c>
      <c r="B239" s="572" t="s">
        <v>269</v>
      </c>
      <c r="C239" s="572" t="s">
        <v>269</v>
      </c>
      <c r="D239" s="572" t="s">
        <v>269</v>
      </c>
      <c r="E239" s="572" t="s">
        <v>269</v>
      </c>
      <c r="F239" s="573" t="s">
        <v>270</v>
      </c>
      <c r="G239" s="569"/>
      <c r="H239" s="506" t="s">
        <v>0</v>
      </c>
      <c r="I239" s="500"/>
      <c r="J239" s="574" t="s">
        <v>0</v>
      </c>
    </row>
    <row r="240" spans="1:10" ht="12.75" x14ac:dyDescent="0.2">
      <c r="A240" s="3562" t="s">
        <v>825</v>
      </c>
      <c r="B240" s="3414">
        <v>7.75</v>
      </c>
      <c r="C240" s="3414">
        <v>7.75</v>
      </c>
      <c r="D240" s="3414">
        <v>7.75</v>
      </c>
      <c r="E240" s="3414">
        <v>7.75</v>
      </c>
      <c r="F240" s="3457">
        <v>6</v>
      </c>
      <c r="G240" s="3407"/>
      <c r="H240" s="3537" t="s">
        <v>0</v>
      </c>
      <c r="I240" s="3414">
        <f>SUM(B240:H240)</f>
        <v>37</v>
      </c>
      <c r="J240" s="3417"/>
    </row>
    <row r="241" spans="1:10" ht="12.75" x14ac:dyDescent="0.2">
      <c r="A241" s="610">
        <v>3701</v>
      </c>
      <c r="B241" s="572" t="s">
        <v>269</v>
      </c>
      <c r="C241" s="572" t="s">
        <v>269</v>
      </c>
      <c r="D241" s="572" t="s">
        <v>269</v>
      </c>
      <c r="E241" s="572" t="s">
        <v>269</v>
      </c>
      <c r="F241" s="573" t="s">
        <v>270</v>
      </c>
      <c r="G241" s="569"/>
      <c r="H241" s="506" t="s">
        <v>0</v>
      </c>
      <c r="I241" s="500"/>
      <c r="J241" s="574" t="s">
        <v>0</v>
      </c>
    </row>
    <row r="242" spans="1:10" ht="12.75" x14ac:dyDescent="0.2">
      <c r="A242" s="3562" t="s">
        <v>826</v>
      </c>
      <c r="B242" s="3414">
        <v>7.75</v>
      </c>
      <c r="C242" s="3414">
        <v>7.75</v>
      </c>
      <c r="D242" s="3414">
        <v>7.75</v>
      </c>
      <c r="E242" s="3414">
        <v>7.75</v>
      </c>
      <c r="F242" s="3457">
        <v>6</v>
      </c>
      <c r="G242" s="3407"/>
      <c r="H242" s="3537" t="s">
        <v>0</v>
      </c>
      <c r="I242" s="3414">
        <f>SUM(B242:H242)</f>
        <v>37</v>
      </c>
      <c r="J242" s="3417"/>
    </row>
    <row r="243" spans="1:10" ht="12.75" x14ac:dyDescent="0.2">
      <c r="A243" s="88">
        <v>3701</v>
      </c>
      <c r="B243" s="4" t="s">
        <v>269</v>
      </c>
      <c r="C243" s="4" t="s">
        <v>269</v>
      </c>
      <c r="D243" s="4" t="s">
        <v>269</v>
      </c>
      <c r="E243" s="4" t="s">
        <v>269</v>
      </c>
      <c r="F243" s="5" t="s">
        <v>270</v>
      </c>
      <c r="G243" s="89"/>
      <c r="H243" s="90" t="s">
        <v>0</v>
      </c>
      <c r="I243" s="8"/>
      <c r="J243" s="12" t="s">
        <v>0</v>
      </c>
    </row>
    <row r="244" spans="1:10" x14ac:dyDescent="0.2">
      <c r="A244" s="3563" t="s">
        <v>292</v>
      </c>
      <c r="B244" s="3414">
        <v>7.75</v>
      </c>
      <c r="C244" s="3414">
        <v>7.75</v>
      </c>
      <c r="D244" s="3414">
        <v>7.75</v>
      </c>
      <c r="E244" s="3414">
        <v>7.75</v>
      </c>
      <c r="F244" s="3457">
        <v>6</v>
      </c>
      <c r="G244" s="3407"/>
      <c r="H244" s="3537" t="s">
        <v>0</v>
      </c>
      <c r="I244" s="3414">
        <f>SUM(B244:H244)</f>
        <v>37</v>
      </c>
      <c r="J244" s="3417"/>
    </row>
    <row r="245" spans="1:10" ht="12.75" x14ac:dyDescent="0.2">
      <c r="A245" s="3564">
        <v>3701</v>
      </c>
      <c r="B245" s="572" t="s">
        <v>269</v>
      </c>
      <c r="C245" s="572" t="s">
        <v>269</v>
      </c>
      <c r="D245" s="572" t="s">
        <v>269</v>
      </c>
      <c r="E245" s="572" t="s">
        <v>269</v>
      </c>
      <c r="F245" s="573" t="s">
        <v>270</v>
      </c>
      <c r="G245" s="569"/>
      <c r="H245" s="506" t="s">
        <v>0</v>
      </c>
      <c r="I245" s="500"/>
      <c r="J245" s="574" t="s">
        <v>0</v>
      </c>
    </row>
    <row r="246" spans="1:10" x14ac:dyDescent="0.2">
      <c r="A246" s="3563"/>
      <c r="B246" s="3414">
        <v>7.75</v>
      </c>
      <c r="C246" s="3414">
        <v>7.75</v>
      </c>
      <c r="D246" s="3414">
        <v>7.75</v>
      </c>
      <c r="E246" s="3414">
        <v>7.75</v>
      </c>
      <c r="F246" s="3457">
        <v>6</v>
      </c>
      <c r="G246" s="3407"/>
      <c r="H246" s="3537" t="s">
        <v>0</v>
      </c>
      <c r="I246" s="3414">
        <f>SUM(B246:H246)</f>
        <v>37</v>
      </c>
      <c r="J246" s="3417"/>
    </row>
    <row r="247" spans="1:10" ht="12.75" x14ac:dyDescent="0.2">
      <c r="A247" s="3564">
        <v>3701</v>
      </c>
      <c r="B247" s="572" t="s">
        <v>269</v>
      </c>
      <c r="C247" s="572" t="s">
        <v>269</v>
      </c>
      <c r="D247" s="572" t="s">
        <v>269</v>
      </c>
      <c r="E247" s="572" t="s">
        <v>269</v>
      </c>
      <c r="F247" s="573" t="s">
        <v>270</v>
      </c>
      <c r="G247" s="569"/>
      <c r="H247" s="506" t="s">
        <v>0</v>
      </c>
      <c r="I247" s="500"/>
      <c r="J247" s="574" t="s">
        <v>0</v>
      </c>
    </row>
    <row r="248" spans="1:10" x14ac:dyDescent="0.2">
      <c r="A248" s="3563" t="s">
        <v>827</v>
      </c>
      <c r="B248" s="3414">
        <v>7.75</v>
      </c>
      <c r="C248" s="3414">
        <v>7.75</v>
      </c>
      <c r="D248" s="3414">
        <v>7.75</v>
      </c>
      <c r="E248" s="3414">
        <v>7.75</v>
      </c>
      <c r="F248" s="3457">
        <v>6</v>
      </c>
      <c r="G248" s="3407"/>
      <c r="H248" s="3537" t="s">
        <v>0</v>
      </c>
      <c r="I248" s="3414">
        <f>SUM(B248:H248)</f>
        <v>37</v>
      </c>
      <c r="J248" s="3417"/>
    </row>
    <row r="249" spans="1:10" ht="12.75" x14ac:dyDescent="0.2">
      <c r="A249" s="3564">
        <v>3701</v>
      </c>
      <c r="B249" s="572" t="s">
        <v>269</v>
      </c>
      <c r="C249" s="572" t="s">
        <v>269</v>
      </c>
      <c r="D249" s="572" t="s">
        <v>269</v>
      </c>
      <c r="E249" s="572" t="s">
        <v>269</v>
      </c>
      <c r="F249" s="573" t="s">
        <v>270</v>
      </c>
      <c r="G249" s="569"/>
      <c r="H249" s="506" t="s">
        <v>0</v>
      </c>
      <c r="I249" s="500"/>
      <c r="J249" s="574" t="s">
        <v>0</v>
      </c>
    </row>
    <row r="250" spans="1:10" x14ac:dyDescent="0.2">
      <c r="A250" s="3563" t="s">
        <v>283</v>
      </c>
      <c r="B250" s="3414">
        <v>7.75</v>
      </c>
      <c r="C250" s="3414">
        <v>7.75</v>
      </c>
      <c r="D250" s="3414">
        <v>7.75</v>
      </c>
      <c r="E250" s="3414">
        <v>7.75</v>
      </c>
      <c r="F250" s="3457">
        <v>6</v>
      </c>
      <c r="G250" s="3407"/>
      <c r="H250" s="3537" t="s">
        <v>0</v>
      </c>
      <c r="I250" s="3414">
        <f>SUM(B250:H250)</f>
        <v>37</v>
      </c>
      <c r="J250" s="3417"/>
    </row>
    <row r="251" spans="1:10" ht="12.75" x14ac:dyDescent="0.2">
      <c r="A251" s="3564">
        <v>3701</v>
      </c>
      <c r="B251" s="572" t="s">
        <v>269</v>
      </c>
      <c r="C251" s="572" t="s">
        <v>269</v>
      </c>
      <c r="D251" s="572" t="s">
        <v>269</v>
      </c>
      <c r="E251" s="572" t="s">
        <v>269</v>
      </c>
      <c r="F251" s="573" t="s">
        <v>270</v>
      </c>
      <c r="G251" s="569"/>
      <c r="H251" s="506" t="s">
        <v>0</v>
      </c>
      <c r="I251" s="500"/>
      <c r="J251" s="574" t="s">
        <v>0</v>
      </c>
    </row>
    <row r="252" spans="1:10" x14ac:dyDescent="0.2">
      <c r="A252" s="3563" t="s">
        <v>284</v>
      </c>
      <c r="B252" s="3414">
        <v>7.75</v>
      </c>
      <c r="C252" s="3414">
        <v>7.75</v>
      </c>
      <c r="D252" s="3414">
        <v>7.75</v>
      </c>
      <c r="E252" s="3414">
        <v>7.75</v>
      </c>
      <c r="F252" s="3457">
        <v>6</v>
      </c>
      <c r="G252" s="3407"/>
      <c r="H252" s="3537" t="s">
        <v>0</v>
      </c>
      <c r="I252" s="3414">
        <f>SUM(B252:H252)</f>
        <v>37</v>
      </c>
      <c r="J252" s="3417"/>
    </row>
    <row r="253" spans="1:10" ht="12.75" x14ac:dyDescent="0.2">
      <c r="A253" s="3564">
        <v>3701</v>
      </c>
      <c r="B253" s="572" t="s">
        <v>269</v>
      </c>
      <c r="C253" s="572" t="s">
        <v>269</v>
      </c>
      <c r="D253" s="572" t="s">
        <v>269</v>
      </c>
      <c r="E253" s="572" t="s">
        <v>269</v>
      </c>
      <c r="F253" s="573" t="s">
        <v>270</v>
      </c>
      <c r="G253" s="569"/>
      <c r="H253" s="506" t="s">
        <v>0</v>
      </c>
      <c r="I253" s="500"/>
      <c r="J253" s="574" t="s">
        <v>0</v>
      </c>
    </row>
    <row r="254" spans="1:10" x14ac:dyDescent="0.2">
      <c r="A254" s="3563" t="s">
        <v>828</v>
      </c>
      <c r="B254" s="3414">
        <v>7.75</v>
      </c>
      <c r="C254" s="3414">
        <v>7.75</v>
      </c>
      <c r="D254" s="3414">
        <v>7.75</v>
      </c>
      <c r="E254" s="3414">
        <v>7.75</v>
      </c>
      <c r="F254" s="3457">
        <v>6</v>
      </c>
      <c r="G254" s="3407"/>
      <c r="H254" s="3537" t="s">
        <v>0</v>
      </c>
      <c r="I254" s="3414">
        <f>SUM(B254:H254)</f>
        <v>37</v>
      </c>
      <c r="J254" s="3417"/>
    </row>
    <row r="255" spans="1:10" ht="12.75" x14ac:dyDescent="0.2">
      <c r="A255" s="3564">
        <v>3701</v>
      </c>
      <c r="B255" s="572" t="s">
        <v>269</v>
      </c>
      <c r="C255" s="572" t="s">
        <v>269</v>
      </c>
      <c r="D255" s="572" t="s">
        <v>269</v>
      </c>
      <c r="E255" s="572" t="s">
        <v>269</v>
      </c>
      <c r="F255" s="573" t="s">
        <v>270</v>
      </c>
      <c r="G255" s="569"/>
      <c r="H255" s="506" t="s">
        <v>0</v>
      </c>
      <c r="I255" s="500"/>
      <c r="J255" s="574" t="s">
        <v>0</v>
      </c>
    </row>
    <row r="256" spans="1:10" x14ac:dyDescent="0.2">
      <c r="A256" s="3563" t="s">
        <v>829</v>
      </c>
      <c r="B256" s="3414">
        <v>7.75</v>
      </c>
      <c r="C256" s="3414">
        <v>7.75</v>
      </c>
      <c r="D256" s="3414">
        <v>7.75</v>
      </c>
      <c r="E256" s="3414">
        <v>7.75</v>
      </c>
      <c r="F256" s="3457">
        <v>6</v>
      </c>
      <c r="G256" s="3407"/>
      <c r="H256" s="3537" t="s">
        <v>0</v>
      </c>
      <c r="I256" s="3414">
        <f>SUM(B256:H256)</f>
        <v>37</v>
      </c>
      <c r="J256" s="3417"/>
    </row>
    <row r="257" spans="1:10" ht="12.75" x14ac:dyDescent="0.2">
      <c r="A257" s="3564">
        <v>3701</v>
      </c>
      <c r="B257" s="572" t="s">
        <v>269</v>
      </c>
      <c r="C257" s="572" t="s">
        <v>269</v>
      </c>
      <c r="D257" s="572" t="s">
        <v>269</v>
      </c>
      <c r="E257" s="572" t="s">
        <v>269</v>
      </c>
      <c r="F257" s="573" t="s">
        <v>270</v>
      </c>
      <c r="G257" s="569"/>
      <c r="H257" s="506" t="s">
        <v>0</v>
      </c>
      <c r="I257" s="500"/>
      <c r="J257" s="574" t="s">
        <v>0</v>
      </c>
    </row>
    <row r="258" spans="1:10" x14ac:dyDescent="0.2">
      <c r="A258" s="3563" t="s">
        <v>830</v>
      </c>
      <c r="B258" s="3414">
        <v>7.75</v>
      </c>
      <c r="C258" s="3414">
        <v>7.75</v>
      </c>
      <c r="D258" s="3414">
        <v>7.75</v>
      </c>
      <c r="E258" s="3414">
        <v>7.75</v>
      </c>
      <c r="F258" s="3457">
        <v>6</v>
      </c>
      <c r="G258" s="3407"/>
      <c r="H258" s="3537" t="s">
        <v>0</v>
      </c>
      <c r="I258" s="3414">
        <f>SUM(B258:H258)</f>
        <v>37</v>
      </c>
      <c r="J258" s="3417"/>
    </row>
    <row r="259" spans="1:10" ht="12.75" x14ac:dyDescent="0.2">
      <c r="A259" s="3564">
        <v>3701</v>
      </c>
      <c r="B259" s="572" t="s">
        <v>269</v>
      </c>
      <c r="C259" s="572" t="s">
        <v>269</v>
      </c>
      <c r="D259" s="572" t="s">
        <v>269</v>
      </c>
      <c r="E259" s="572" t="s">
        <v>269</v>
      </c>
      <c r="F259" s="573" t="s">
        <v>270</v>
      </c>
      <c r="G259" s="569"/>
      <c r="H259" s="506" t="s">
        <v>0</v>
      </c>
      <c r="I259" s="500"/>
      <c r="J259" s="574" t="s">
        <v>0</v>
      </c>
    </row>
    <row r="260" spans="1:10" x14ac:dyDescent="0.2">
      <c r="A260" s="3563" t="s">
        <v>831</v>
      </c>
      <c r="B260" s="3414">
        <v>7.75</v>
      </c>
      <c r="C260" s="3414">
        <v>7.75</v>
      </c>
      <c r="D260" s="3414">
        <v>7.75</v>
      </c>
      <c r="E260" s="3414">
        <v>7.75</v>
      </c>
      <c r="F260" s="3457">
        <v>6</v>
      </c>
      <c r="G260" s="3407"/>
      <c r="H260" s="3537" t="s">
        <v>0</v>
      </c>
      <c r="I260" s="3414">
        <f>SUM(B260:H260)</f>
        <v>37</v>
      </c>
      <c r="J260" s="3417"/>
    </row>
    <row r="261" spans="1:10" ht="12.75" x14ac:dyDescent="0.2">
      <c r="A261" s="3564">
        <v>3701</v>
      </c>
      <c r="B261" s="572" t="s">
        <v>269</v>
      </c>
      <c r="C261" s="572" t="s">
        <v>269</v>
      </c>
      <c r="D261" s="572" t="s">
        <v>269</v>
      </c>
      <c r="E261" s="572" t="s">
        <v>269</v>
      </c>
      <c r="F261" s="573" t="s">
        <v>270</v>
      </c>
      <c r="G261" s="569"/>
      <c r="H261" s="506" t="s">
        <v>0</v>
      </c>
      <c r="I261" s="500"/>
      <c r="J261" s="574" t="s">
        <v>0</v>
      </c>
    </row>
    <row r="262" spans="1:10" x14ac:dyDescent="0.2">
      <c r="A262" s="3563"/>
      <c r="B262" s="3414"/>
      <c r="C262" s="3414"/>
      <c r="D262" s="3414"/>
      <c r="E262" s="3414"/>
      <c r="F262" s="3457"/>
      <c r="G262" s="3407"/>
      <c r="H262" s="3537" t="s">
        <v>0</v>
      </c>
      <c r="I262" s="3414">
        <f>SUM(B262:H262)</f>
        <v>0</v>
      </c>
      <c r="J262" s="3417"/>
    </row>
    <row r="263" spans="1:10" ht="12.75" x14ac:dyDescent="0.2">
      <c r="A263" s="3564">
        <v>3701</v>
      </c>
      <c r="B263" s="572" t="s">
        <v>272</v>
      </c>
      <c r="C263" s="572" t="s">
        <v>272</v>
      </c>
      <c r="D263" s="572" t="s">
        <v>272</v>
      </c>
      <c r="E263" s="572" t="s">
        <v>272</v>
      </c>
      <c r="F263" s="573" t="s">
        <v>273</v>
      </c>
      <c r="G263" s="569"/>
      <c r="H263" s="506" t="s">
        <v>0</v>
      </c>
      <c r="I263" s="500"/>
      <c r="J263" s="574" t="s">
        <v>0</v>
      </c>
    </row>
    <row r="264" spans="1:10" x14ac:dyDescent="0.2">
      <c r="A264" s="3563"/>
      <c r="B264" s="3414"/>
      <c r="C264" s="3414"/>
      <c r="D264" s="3414"/>
      <c r="E264" s="3414"/>
      <c r="F264" s="3457"/>
      <c r="G264" s="3407"/>
      <c r="H264" s="3537" t="s">
        <v>0</v>
      </c>
      <c r="I264" s="3414">
        <f>SUM(B264:H264)</f>
        <v>0</v>
      </c>
      <c r="J264" s="3417"/>
    </row>
    <row r="265" spans="1:10" x14ac:dyDescent="0.2">
      <c r="A265" s="310" t="s">
        <v>530</v>
      </c>
      <c r="B265" s="310">
        <f t="shared" ref="B265:H265" si="12">SUM(B254,B256,B258,B260,B262,B264)</f>
        <v>31</v>
      </c>
      <c r="C265" s="310">
        <f t="shared" si="12"/>
        <v>31</v>
      </c>
      <c r="D265" s="310">
        <f t="shared" si="12"/>
        <v>31</v>
      </c>
      <c r="E265" s="310">
        <f t="shared" si="12"/>
        <v>31</v>
      </c>
      <c r="F265" s="310">
        <f t="shared" si="12"/>
        <v>24</v>
      </c>
      <c r="G265" s="310">
        <f t="shared" si="12"/>
        <v>0</v>
      </c>
      <c r="H265" s="310">
        <f t="shared" si="12"/>
        <v>0</v>
      </c>
      <c r="I265" s="318">
        <f>SUM(I236,I238,I240,I242,I244,I246,I248,I250,I252,I254,I256,I258,I260,I262,I264)</f>
        <v>444</v>
      </c>
      <c r="J265" s="319"/>
    </row>
    <row r="266" spans="1:10" ht="12.75" x14ac:dyDescent="0.2">
      <c r="A266" s="64"/>
      <c r="B266" s="18"/>
      <c r="C266" s="18"/>
      <c r="D266" s="18"/>
      <c r="E266" s="18"/>
      <c r="F266" s="37"/>
      <c r="G266" s="3475" t="s">
        <v>642</v>
      </c>
      <c r="H266" s="3475" t="s">
        <v>643</v>
      </c>
      <c r="I266" s="3475" t="s">
        <v>644</v>
      </c>
      <c r="J266" s="19"/>
    </row>
    <row r="267" spans="1:10" ht="12.75" x14ac:dyDescent="0.2">
      <c r="A267" s="64"/>
      <c r="B267" s="18"/>
      <c r="C267" s="18"/>
      <c r="D267" s="18"/>
      <c r="E267" s="18"/>
      <c r="F267" s="37"/>
      <c r="G267" s="3449">
        <f>I265</f>
        <v>444</v>
      </c>
      <c r="H267" s="3476">
        <f>SUM(G267*13/3)</f>
        <v>1924</v>
      </c>
      <c r="I267" s="3449">
        <f>SUM(H267*12)</f>
        <v>23088</v>
      </c>
      <c r="J267" s="19"/>
    </row>
  </sheetData>
  <phoneticPr fontId="7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"/>
  <dimension ref="A1:J297"/>
  <sheetViews>
    <sheetView topLeftCell="A49" zoomScale="67" zoomScaleNormal="67" workbookViewId="0">
      <selection activeCell="P43" sqref="P42:P43"/>
    </sheetView>
  </sheetViews>
  <sheetFormatPr defaultRowHeight="12" x14ac:dyDescent="0.2"/>
  <cols>
    <col min="1" max="1" width="26.28515625" customWidth="1"/>
    <col min="2" max="2" width="13" customWidth="1"/>
    <col min="3" max="3" width="12.85546875" customWidth="1"/>
    <col min="4" max="4" width="12.28515625" customWidth="1"/>
    <col min="5" max="5" width="12.140625" customWidth="1"/>
    <col min="6" max="6" width="12.28515625" customWidth="1"/>
    <col min="7" max="8" width="13.140625" customWidth="1"/>
    <col min="9" max="9" width="12.5703125" customWidth="1"/>
    <col min="10" max="10" width="26" customWidth="1"/>
  </cols>
  <sheetData>
    <row r="1" spans="1:10" ht="20.100000000000001" customHeight="1" x14ac:dyDescent="0.2">
      <c r="A1" s="1" t="s">
        <v>514</v>
      </c>
      <c r="B1" s="1"/>
      <c r="D1" s="2"/>
      <c r="E1" s="2"/>
    </row>
    <row r="2" spans="1:10" ht="20.100000000000001" customHeight="1" x14ac:dyDescent="0.2">
      <c r="A2" s="568" t="s">
        <v>638</v>
      </c>
      <c r="B2" s="569" t="s">
        <v>90</v>
      </c>
      <c r="C2" s="561" t="s">
        <v>91</v>
      </c>
      <c r="D2" s="561" t="s">
        <v>92</v>
      </c>
      <c r="E2" s="561" t="s">
        <v>93</v>
      </c>
      <c r="F2" s="561" t="s">
        <v>94</v>
      </c>
      <c r="G2" s="561" t="s">
        <v>95</v>
      </c>
      <c r="H2" s="503" t="s">
        <v>96</v>
      </c>
      <c r="I2" s="500" t="s">
        <v>138</v>
      </c>
      <c r="J2" s="570" t="s">
        <v>97</v>
      </c>
    </row>
    <row r="3" spans="1:10" ht="20.100000000000001" customHeight="1" x14ac:dyDescent="0.2">
      <c r="A3" s="3"/>
      <c r="B3" s="4" t="s">
        <v>176</v>
      </c>
      <c r="C3" s="4" t="s">
        <v>176</v>
      </c>
      <c r="D3" s="4" t="s">
        <v>176</v>
      </c>
      <c r="E3" s="4" t="s">
        <v>176</v>
      </c>
      <c r="F3" s="5" t="s">
        <v>639</v>
      </c>
      <c r="G3" s="6"/>
      <c r="H3" s="7"/>
      <c r="I3" s="8"/>
      <c r="J3" s="9"/>
    </row>
    <row r="4" spans="1:10" ht="20.100000000000001" customHeight="1" x14ac:dyDescent="0.2">
      <c r="A4" s="38" t="s">
        <v>516</v>
      </c>
      <c r="B4" s="3444">
        <v>7.75</v>
      </c>
      <c r="C4" s="3444">
        <v>7.75</v>
      </c>
      <c r="D4" s="3444">
        <v>7.75</v>
      </c>
      <c r="E4" s="3444">
        <v>7.75</v>
      </c>
      <c r="F4" s="3445">
        <v>6</v>
      </c>
      <c r="G4" s="3446"/>
      <c r="H4" s="36"/>
      <c r="I4" s="3460">
        <f>SUM(B4:H4)</f>
        <v>37</v>
      </c>
      <c r="J4" s="3565"/>
    </row>
    <row r="5" spans="1:10" ht="20.100000000000001" customHeight="1" x14ac:dyDescent="0.2">
      <c r="A5" s="3549" t="s">
        <v>832</v>
      </c>
      <c r="B5" s="3566" t="s">
        <v>833</v>
      </c>
      <c r="C5" s="3566" t="s">
        <v>833</v>
      </c>
      <c r="D5" s="3566" t="s">
        <v>833</v>
      </c>
      <c r="E5" s="3566" t="s">
        <v>833</v>
      </c>
      <c r="F5" s="3566" t="s">
        <v>834</v>
      </c>
      <c r="G5" s="3567"/>
      <c r="H5" s="3567"/>
      <c r="I5" s="3414"/>
      <c r="J5" s="3568"/>
    </row>
    <row r="6" spans="1:10" ht="20.100000000000001" customHeight="1" x14ac:dyDescent="0.2">
      <c r="A6" s="18"/>
      <c r="E6" s="18"/>
      <c r="F6" s="37"/>
      <c r="G6" s="43" t="s">
        <v>642</v>
      </c>
      <c r="H6" s="43" t="s">
        <v>643</v>
      </c>
      <c r="I6" s="43" t="s">
        <v>644</v>
      </c>
      <c r="J6" s="44"/>
    </row>
    <row r="7" spans="1:10" ht="20.100000000000001" customHeight="1" x14ac:dyDescent="0.2">
      <c r="A7" s="18"/>
      <c r="E7" s="18"/>
      <c r="F7" s="37"/>
      <c r="G7" s="3449">
        <f>I4</f>
        <v>37</v>
      </c>
      <c r="H7" s="3476">
        <f>SUM(G7*13/3)</f>
        <v>160.33333333333334</v>
      </c>
      <c r="I7" s="3449">
        <f>SUM(H7*12)</f>
        <v>1924</v>
      </c>
      <c r="J7" s="44"/>
    </row>
    <row r="8" spans="1:10" ht="20.100000000000001" customHeight="1" x14ac:dyDescent="0.2">
      <c r="A8" s="16" t="s">
        <v>641</v>
      </c>
      <c r="D8" s="2"/>
      <c r="E8" s="2"/>
    </row>
    <row r="9" spans="1:10" ht="20.100000000000001" customHeight="1" x14ac:dyDescent="0.2">
      <c r="A9" s="304" t="s">
        <v>532</v>
      </c>
      <c r="B9" s="423" t="s">
        <v>90</v>
      </c>
      <c r="C9" s="424" t="s">
        <v>91</v>
      </c>
      <c r="D9" s="424" t="s">
        <v>92</v>
      </c>
      <c r="E9" s="424" t="s">
        <v>93</v>
      </c>
      <c r="F9" s="424" t="s">
        <v>94</v>
      </c>
      <c r="G9" s="424" t="s">
        <v>95</v>
      </c>
      <c r="H9" s="308" t="s">
        <v>96</v>
      </c>
      <c r="I9" s="309" t="s">
        <v>138</v>
      </c>
      <c r="J9" s="425" t="s">
        <v>97</v>
      </c>
    </row>
    <row r="10" spans="1:10" ht="20.100000000000001" customHeight="1" x14ac:dyDescent="0.2">
      <c r="A10" s="571"/>
      <c r="B10" s="573" t="s">
        <v>319</v>
      </c>
      <c r="C10" s="573" t="s">
        <v>319</v>
      </c>
      <c r="D10" s="573" t="s">
        <v>319</v>
      </c>
      <c r="E10" s="573" t="s">
        <v>319</v>
      </c>
      <c r="F10" s="573" t="s">
        <v>320</v>
      </c>
      <c r="G10" s="573"/>
      <c r="H10" s="573"/>
      <c r="I10" s="513"/>
      <c r="J10" s="574"/>
    </row>
    <row r="11" spans="1:10" ht="20.100000000000001" customHeight="1" x14ac:dyDescent="0.2">
      <c r="A11" s="3569" t="s">
        <v>30</v>
      </c>
      <c r="B11" s="3472">
        <v>7.75</v>
      </c>
      <c r="C11" s="3472">
        <v>7.75</v>
      </c>
      <c r="D11" s="3472">
        <v>7.75</v>
      </c>
      <c r="E11" s="3472">
        <v>7.75</v>
      </c>
      <c r="F11" s="3472">
        <v>6</v>
      </c>
      <c r="G11" s="3472"/>
      <c r="H11" s="3472"/>
      <c r="I11" s="3472">
        <f>SUM(B11:H11)</f>
        <v>37</v>
      </c>
      <c r="J11" s="3570"/>
    </row>
    <row r="12" spans="1:10" ht="20.100000000000001" customHeight="1" x14ac:dyDescent="0.2">
      <c r="A12" s="3549" t="s">
        <v>832</v>
      </c>
      <c r="B12" s="3566" t="s">
        <v>835</v>
      </c>
      <c r="C12" s="3566" t="s">
        <v>835</v>
      </c>
      <c r="D12" s="3566" t="s">
        <v>835</v>
      </c>
      <c r="E12" s="3566" t="s">
        <v>835</v>
      </c>
      <c r="F12" s="3566" t="s">
        <v>836</v>
      </c>
      <c r="G12" s="3457"/>
      <c r="H12" s="3457"/>
      <c r="I12" s="3457"/>
      <c r="J12" s="3459"/>
    </row>
    <row r="13" spans="1:10" ht="20.100000000000001" customHeight="1" x14ac:dyDescent="0.2">
      <c r="A13" s="18"/>
      <c r="E13" s="18"/>
      <c r="F13" s="37"/>
      <c r="G13" s="43" t="s">
        <v>642</v>
      </c>
      <c r="H13" s="43" t="s">
        <v>643</v>
      </c>
      <c r="I13" s="43" t="s">
        <v>644</v>
      </c>
      <c r="J13" s="44"/>
    </row>
    <row r="14" spans="1:10" ht="20.100000000000001" customHeight="1" x14ac:dyDescent="0.2">
      <c r="A14" s="18"/>
      <c r="E14" s="18"/>
      <c r="F14" s="37"/>
      <c r="G14" s="3449">
        <f>I11</f>
        <v>37</v>
      </c>
      <c r="H14" s="3476">
        <f>SUM(G14*13/3)</f>
        <v>160.33333333333334</v>
      </c>
      <c r="I14" s="3449">
        <f>SUM(H14*12)</f>
        <v>1924</v>
      </c>
      <c r="J14" s="44"/>
    </row>
    <row r="15" spans="1:10" ht="20.100000000000001" customHeight="1" x14ac:dyDescent="0.2">
      <c r="A15" s="18"/>
      <c r="E15" s="18"/>
      <c r="F15" s="37"/>
      <c r="G15" s="18"/>
      <c r="H15" s="45"/>
      <c r="I15" s="18"/>
      <c r="J15" s="44"/>
    </row>
    <row r="16" spans="1:10" ht="20.100000000000001" customHeight="1" x14ac:dyDescent="0.2">
      <c r="A16" s="18"/>
      <c r="E16" s="18"/>
      <c r="F16" s="37"/>
      <c r="G16" s="18"/>
      <c r="H16" s="45"/>
      <c r="I16" s="18"/>
      <c r="J16" s="44"/>
    </row>
    <row r="17" spans="1:10" ht="20.100000000000001" customHeight="1" x14ac:dyDescent="0.2">
      <c r="A17" s="18"/>
      <c r="E17" s="18"/>
      <c r="F17" s="37"/>
      <c r="G17" s="18"/>
      <c r="H17" s="45"/>
      <c r="I17" s="18"/>
      <c r="J17" s="44"/>
    </row>
    <row r="18" spans="1:10" ht="20.100000000000001" customHeight="1" x14ac:dyDescent="0.2">
      <c r="A18" s="18"/>
      <c r="E18" s="18"/>
      <c r="F18" s="37"/>
      <c r="G18" s="18"/>
      <c r="H18" s="45"/>
      <c r="I18" s="18"/>
      <c r="J18" s="44"/>
    </row>
    <row r="19" spans="1:10" ht="20.100000000000001" customHeight="1" x14ac:dyDescent="0.2">
      <c r="A19" s="18"/>
      <c r="E19" s="18"/>
      <c r="F19" s="37"/>
      <c r="G19" s="18"/>
      <c r="H19" s="45"/>
      <c r="I19" s="18"/>
      <c r="J19" s="44"/>
    </row>
    <row r="20" spans="1:10" ht="20.100000000000001" customHeight="1" x14ac:dyDescent="0.2">
      <c r="A20" s="18"/>
      <c r="E20" s="18"/>
      <c r="F20" s="37"/>
      <c r="G20" s="18"/>
      <c r="H20" s="45"/>
      <c r="I20" s="18"/>
      <c r="J20" s="44"/>
    </row>
    <row r="21" spans="1:10" ht="20.100000000000001" customHeight="1" x14ac:dyDescent="0.2">
      <c r="A21" s="18"/>
      <c r="E21" s="18"/>
      <c r="F21" s="37"/>
      <c r="G21" s="18"/>
      <c r="H21" s="45"/>
      <c r="I21" s="18"/>
      <c r="J21" s="44"/>
    </row>
    <row r="22" spans="1:10" ht="20.100000000000001" customHeight="1" x14ac:dyDescent="0.2">
      <c r="A22" s="18"/>
      <c r="E22" s="18"/>
      <c r="F22" s="37"/>
      <c r="G22" s="18"/>
      <c r="H22" s="45"/>
      <c r="I22" s="18"/>
      <c r="J22" s="44"/>
    </row>
    <row r="23" spans="1:10" ht="20.100000000000001" customHeight="1" x14ac:dyDescent="0.2">
      <c r="A23" s="18"/>
      <c r="E23" s="18"/>
      <c r="F23" s="37"/>
      <c r="G23" s="18"/>
      <c r="H23" s="45"/>
      <c r="I23" s="18"/>
      <c r="J23" s="44"/>
    </row>
    <row r="24" spans="1:10" ht="20.100000000000001" customHeight="1" x14ac:dyDescent="0.2">
      <c r="A24" s="18"/>
      <c r="E24" s="18"/>
      <c r="F24" s="37"/>
      <c r="G24" s="18"/>
      <c r="H24" s="45"/>
      <c r="I24" s="18"/>
      <c r="J24" s="44"/>
    </row>
    <row r="25" spans="1:10" ht="20.100000000000001" customHeight="1" x14ac:dyDescent="0.2">
      <c r="A25" s="18"/>
      <c r="E25" s="18"/>
      <c r="F25" s="37"/>
      <c r="G25" s="18"/>
      <c r="H25" s="45"/>
      <c r="I25" s="18"/>
      <c r="J25" s="44"/>
    </row>
    <row r="26" spans="1:10" ht="20.100000000000001" customHeight="1" x14ac:dyDescent="0.2">
      <c r="A26" s="18"/>
      <c r="E26" s="18"/>
      <c r="F26" s="37"/>
      <c r="G26" s="18"/>
      <c r="H26" s="45"/>
      <c r="I26" s="18"/>
      <c r="J26" s="44"/>
    </row>
    <row r="27" spans="1:10" ht="20.100000000000001" customHeight="1" x14ac:dyDescent="0.2">
      <c r="A27" s="18"/>
      <c r="E27" s="18"/>
      <c r="F27" s="37"/>
      <c r="G27" s="18"/>
      <c r="H27" s="45"/>
      <c r="I27" s="18"/>
      <c r="J27" s="44"/>
    </row>
    <row r="28" spans="1:10" ht="20.100000000000001" customHeight="1" x14ac:dyDescent="0.2">
      <c r="A28" s="18"/>
      <c r="E28" s="18"/>
      <c r="F28" s="37"/>
      <c r="G28" s="18"/>
      <c r="H28" s="45"/>
      <c r="I28" s="18"/>
      <c r="J28" s="44"/>
    </row>
    <row r="29" spans="1:10" ht="20.100000000000001" customHeight="1" x14ac:dyDescent="0.2">
      <c r="A29" s="18"/>
      <c r="E29" s="18"/>
      <c r="F29" s="37"/>
      <c r="G29" s="18"/>
      <c r="H29" s="45"/>
      <c r="I29" s="18"/>
      <c r="J29" s="44"/>
    </row>
    <row r="30" spans="1:10" ht="20.100000000000001" customHeight="1" x14ac:dyDescent="0.2">
      <c r="A30" s="18"/>
      <c r="E30" s="18"/>
      <c r="F30" s="37"/>
      <c r="G30" s="18"/>
      <c r="H30" s="45"/>
      <c r="I30" s="18"/>
      <c r="J30" s="44"/>
    </row>
    <row r="31" spans="1:10" ht="20.100000000000001" customHeight="1" x14ac:dyDescent="0.2">
      <c r="A31" s="18"/>
      <c r="E31" s="18"/>
      <c r="F31" s="37"/>
      <c r="G31" s="18"/>
      <c r="H31" s="45"/>
      <c r="I31" s="18"/>
      <c r="J31" s="44"/>
    </row>
    <row r="32" spans="1:10" ht="20.100000000000001" customHeight="1" x14ac:dyDescent="0.2">
      <c r="A32" s="18"/>
      <c r="E32" s="18"/>
      <c r="F32" s="37"/>
      <c r="G32" s="18"/>
      <c r="H32" s="45"/>
      <c r="I32" s="18"/>
      <c r="J32" s="44"/>
    </row>
    <row r="33" spans="1:10" ht="20.100000000000001" customHeight="1" x14ac:dyDescent="0.2">
      <c r="A33" s="1" t="s">
        <v>19</v>
      </c>
      <c r="B33" s="1"/>
      <c r="D33" s="2"/>
      <c r="E33" s="2"/>
    </row>
    <row r="34" spans="1:10" ht="18" customHeight="1" x14ac:dyDescent="0.2">
      <c r="A34" s="304" t="s">
        <v>517</v>
      </c>
      <c r="B34" s="423" t="s">
        <v>90</v>
      </c>
      <c r="C34" s="424" t="s">
        <v>91</v>
      </c>
      <c r="D34" s="424" t="s">
        <v>92</v>
      </c>
      <c r="E34" s="424" t="s">
        <v>93</v>
      </c>
      <c r="F34" s="424" t="s">
        <v>94</v>
      </c>
      <c r="G34" s="424" t="s">
        <v>95</v>
      </c>
      <c r="H34" s="308" t="s">
        <v>96</v>
      </c>
      <c r="I34" s="309" t="s">
        <v>138</v>
      </c>
      <c r="J34" s="425" t="s">
        <v>97</v>
      </c>
    </row>
    <row r="35" spans="1:10" ht="18" customHeight="1" x14ac:dyDescent="0.2">
      <c r="A35" s="593" t="s">
        <v>0</v>
      </c>
      <c r="B35" s="561" t="s">
        <v>645</v>
      </c>
      <c r="C35" s="561" t="s">
        <v>645</v>
      </c>
      <c r="D35" s="561" t="s">
        <v>645</v>
      </c>
      <c r="E35" s="561" t="s">
        <v>645</v>
      </c>
      <c r="F35" s="561" t="s">
        <v>645</v>
      </c>
      <c r="G35" s="561" t="s">
        <v>646</v>
      </c>
      <c r="H35" s="561" t="s">
        <v>646</v>
      </c>
      <c r="I35" s="513"/>
      <c r="J35" s="323" t="s">
        <v>647</v>
      </c>
    </row>
    <row r="36" spans="1:10" ht="18" customHeight="1" x14ac:dyDescent="0.2">
      <c r="A36" s="3571" t="s">
        <v>39</v>
      </c>
      <c r="B36" s="3546">
        <v>8.25</v>
      </c>
      <c r="C36" s="3546">
        <v>8.25</v>
      </c>
      <c r="D36" s="3445">
        <v>8.25</v>
      </c>
      <c r="E36" s="3445">
        <v>8.25</v>
      </c>
      <c r="F36" s="3445">
        <v>8.25</v>
      </c>
      <c r="G36" s="3445">
        <v>12.25</v>
      </c>
      <c r="H36" s="3445">
        <v>12.25</v>
      </c>
      <c r="I36" s="3480">
        <f>SUM(B36:H36)</f>
        <v>65.75</v>
      </c>
      <c r="J36" s="3572" t="s">
        <v>649</v>
      </c>
    </row>
    <row r="37" spans="1:10" ht="18" customHeight="1" x14ac:dyDescent="0.2">
      <c r="A37" s="3545" t="s">
        <v>832</v>
      </c>
      <c r="B37" s="3547" t="s">
        <v>837</v>
      </c>
      <c r="C37" s="3547" t="s">
        <v>837</v>
      </c>
      <c r="D37" s="3547" t="s">
        <v>837</v>
      </c>
      <c r="E37" s="3547" t="s">
        <v>837</v>
      </c>
      <c r="F37" s="3547" t="s">
        <v>837</v>
      </c>
      <c r="G37" s="3547" t="s">
        <v>838</v>
      </c>
      <c r="H37" s="3547" t="s">
        <v>839</v>
      </c>
      <c r="I37" s="3546"/>
      <c r="J37" s="3573"/>
    </row>
    <row r="38" spans="1:10" ht="18" customHeight="1" x14ac:dyDescent="0.2">
      <c r="A38" s="593" t="s">
        <v>0</v>
      </c>
      <c r="B38" s="572" t="s">
        <v>154</v>
      </c>
      <c r="C38" s="572" t="s">
        <v>154</v>
      </c>
      <c r="D38" s="572" t="s">
        <v>154</v>
      </c>
      <c r="E38" s="572" t="s">
        <v>154</v>
      </c>
      <c r="F38" s="572" t="s">
        <v>154</v>
      </c>
      <c r="G38" s="513"/>
      <c r="H38" s="513"/>
      <c r="I38" s="513"/>
      <c r="J38" s="595" t="s">
        <v>651</v>
      </c>
    </row>
    <row r="39" spans="1:10" ht="18" customHeight="1" x14ac:dyDescent="0.2">
      <c r="A39" s="3574" t="s">
        <v>652</v>
      </c>
      <c r="B39" s="3472"/>
      <c r="C39" s="3472"/>
      <c r="D39" s="3472"/>
      <c r="E39" s="3472"/>
      <c r="F39" s="3472"/>
      <c r="G39" s="3575"/>
      <c r="H39" s="3575"/>
      <c r="I39" s="3472">
        <f>SUM(B39:H39)</f>
        <v>0</v>
      </c>
      <c r="J39" s="3576" t="s">
        <v>22</v>
      </c>
    </row>
    <row r="40" spans="1:10" ht="18" customHeight="1" x14ac:dyDescent="0.2">
      <c r="A40" s="3545" t="s">
        <v>832</v>
      </c>
      <c r="B40" s="3547" t="s">
        <v>840</v>
      </c>
      <c r="C40" s="3547" t="s">
        <v>840</v>
      </c>
      <c r="D40" s="3547" t="s">
        <v>840</v>
      </c>
      <c r="E40" s="3547" t="s">
        <v>840</v>
      </c>
      <c r="F40" s="3547" t="s">
        <v>840</v>
      </c>
      <c r="G40" s="3577"/>
      <c r="H40" s="3577"/>
      <c r="I40" s="3546"/>
      <c r="J40" s="3573"/>
    </row>
    <row r="41" spans="1:10" ht="18" customHeight="1" x14ac:dyDescent="0.2">
      <c r="A41" s="593" t="s">
        <v>0</v>
      </c>
      <c r="B41" s="561" t="s">
        <v>653</v>
      </c>
      <c r="C41" s="561" t="s">
        <v>653</v>
      </c>
      <c r="D41" s="561" t="s">
        <v>653</v>
      </c>
      <c r="E41" s="561" t="s">
        <v>653</v>
      </c>
      <c r="F41" s="561" t="s">
        <v>653</v>
      </c>
      <c r="G41" s="596"/>
      <c r="H41" s="596"/>
      <c r="I41" s="513"/>
      <c r="J41" s="595" t="s">
        <v>654</v>
      </c>
    </row>
    <row r="42" spans="1:10" ht="18" customHeight="1" x14ac:dyDescent="0.2">
      <c r="A42" s="3578" t="s">
        <v>655</v>
      </c>
      <c r="B42" s="3472">
        <v>8.25</v>
      </c>
      <c r="C42" s="3472">
        <v>8.25</v>
      </c>
      <c r="D42" s="3472">
        <v>8.25</v>
      </c>
      <c r="E42" s="3472">
        <v>8.25</v>
      </c>
      <c r="F42" s="3472">
        <v>8.25</v>
      </c>
      <c r="G42" s="3472"/>
      <c r="H42" s="3472"/>
      <c r="I42" s="3472">
        <f>SUM(B42:H42)</f>
        <v>41.25</v>
      </c>
      <c r="J42" s="3576"/>
    </row>
    <row r="43" spans="1:10" ht="18" customHeight="1" x14ac:dyDescent="0.2">
      <c r="A43" s="3545" t="s">
        <v>832</v>
      </c>
      <c r="B43" s="3547" t="s">
        <v>841</v>
      </c>
      <c r="C43" s="3547" t="s">
        <v>841</v>
      </c>
      <c r="D43" s="3547" t="s">
        <v>841</v>
      </c>
      <c r="E43" s="3547" t="s">
        <v>841</v>
      </c>
      <c r="F43" s="3547" t="s">
        <v>841</v>
      </c>
      <c r="G43" s="3546"/>
      <c r="H43" s="3546"/>
      <c r="I43" s="3546"/>
      <c r="J43" s="3573" t="s">
        <v>656</v>
      </c>
    </row>
    <row r="44" spans="1:10" ht="18" customHeight="1" x14ac:dyDescent="0.2">
      <c r="A44" s="593" t="s">
        <v>0</v>
      </c>
      <c r="B44" s="561" t="s">
        <v>657</v>
      </c>
      <c r="C44" s="561" t="s">
        <v>657</v>
      </c>
      <c r="D44" s="561" t="s">
        <v>657</v>
      </c>
      <c r="E44" s="561" t="s">
        <v>657</v>
      </c>
      <c r="F44" s="561" t="s">
        <v>657</v>
      </c>
      <c r="G44" s="596" t="s">
        <v>658</v>
      </c>
      <c r="H44" s="596" t="s">
        <v>658</v>
      </c>
      <c r="I44" s="513"/>
      <c r="J44" s="562"/>
    </row>
    <row r="45" spans="1:10" ht="18" customHeight="1" x14ac:dyDescent="0.2">
      <c r="A45" s="3574" t="s">
        <v>34</v>
      </c>
      <c r="B45" s="3472">
        <v>8</v>
      </c>
      <c r="C45" s="3472">
        <v>8</v>
      </c>
      <c r="D45" s="3472">
        <v>8</v>
      </c>
      <c r="E45" s="3472">
        <v>8</v>
      </c>
      <c r="F45" s="3472">
        <v>8</v>
      </c>
      <c r="G45" s="3472">
        <v>12.25</v>
      </c>
      <c r="H45" s="3472">
        <v>12.25</v>
      </c>
      <c r="I45" s="3472">
        <f>SUM(B45:H45)</f>
        <v>64.5</v>
      </c>
      <c r="J45" s="3579"/>
    </row>
    <row r="46" spans="1:10" ht="18" customHeight="1" x14ac:dyDescent="0.2">
      <c r="A46" s="3545" t="s">
        <v>832</v>
      </c>
      <c r="B46" s="3547" t="s">
        <v>842</v>
      </c>
      <c r="C46" s="3547" t="s">
        <v>842</v>
      </c>
      <c r="D46" s="3547" t="s">
        <v>842</v>
      </c>
      <c r="E46" s="3547" t="s">
        <v>842</v>
      </c>
      <c r="F46" s="3547" t="s">
        <v>842</v>
      </c>
      <c r="G46" s="3547" t="s">
        <v>843</v>
      </c>
      <c r="H46" s="3547" t="s">
        <v>843</v>
      </c>
      <c r="I46" s="3546"/>
      <c r="J46" s="3455"/>
    </row>
    <row r="47" spans="1:10" ht="18" customHeight="1" x14ac:dyDescent="0.2">
      <c r="A47" s="593" t="s">
        <v>0</v>
      </c>
      <c r="B47" s="572" t="s">
        <v>154</v>
      </c>
      <c r="C47" s="572" t="s">
        <v>154</v>
      </c>
      <c r="D47" s="572" t="s">
        <v>154</v>
      </c>
      <c r="E47" s="572" t="s">
        <v>154</v>
      </c>
      <c r="F47" s="572" t="s">
        <v>154</v>
      </c>
      <c r="G47" s="598"/>
      <c r="H47" s="513"/>
      <c r="I47" s="513"/>
      <c r="J47" s="562"/>
    </row>
    <row r="48" spans="1:10" ht="18" customHeight="1" x14ac:dyDescent="0.2">
      <c r="A48" s="3574" t="s">
        <v>660</v>
      </c>
      <c r="B48" s="3449"/>
      <c r="C48" s="3449"/>
      <c r="D48" s="3449"/>
      <c r="E48" s="3449"/>
      <c r="F48" s="3449"/>
      <c r="G48" s="3580"/>
      <c r="H48" s="3575"/>
      <c r="I48" s="3472">
        <f>SUM(B48:H48)</f>
        <v>0</v>
      </c>
      <c r="J48" s="3579"/>
    </row>
    <row r="49" spans="1:10" ht="18" customHeight="1" x14ac:dyDescent="0.2">
      <c r="A49" s="3545" t="s">
        <v>832</v>
      </c>
      <c r="B49" s="3547" t="s">
        <v>840</v>
      </c>
      <c r="C49" s="3547" t="s">
        <v>840</v>
      </c>
      <c r="D49" s="3547" t="s">
        <v>840</v>
      </c>
      <c r="E49" s="3547" t="s">
        <v>840</v>
      </c>
      <c r="F49" s="3547" t="s">
        <v>840</v>
      </c>
      <c r="G49" s="3577"/>
      <c r="H49" s="3577"/>
      <c r="I49" s="3546" t="s">
        <v>0</v>
      </c>
      <c r="J49" s="3455"/>
    </row>
    <row r="50" spans="1:10" ht="18" customHeight="1" x14ac:dyDescent="0.2">
      <c r="A50" s="593" t="s">
        <v>0</v>
      </c>
      <c r="B50" s="561" t="s">
        <v>844</v>
      </c>
      <c r="C50" s="561" t="s">
        <v>844</v>
      </c>
      <c r="D50" s="561" t="s">
        <v>844</v>
      </c>
      <c r="E50" s="561" t="s">
        <v>844</v>
      </c>
      <c r="F50" s="561" t="s">
        <v>844</v>
      </c>
      <c r="G50" s="513"/>
      <c r="H50" s="513"/>
      <c r="I50" s="513"/>
      <c r="J50" s="562"/>
    </row>
    <row r="51" spans="1:10" ht="18" customHeight="1" x14ac:dyDescent="0.2">
      <c r="A51" s="3574" t="s">
        <v>845</v>
      </c>
      <c r="B51" s="3472">
        <v>7.25</v>
      </c>
      <c r="C51" s="3472">
        <v>7.25</v>
      </c>
      <c r="D51" s="3472">
        <v>7.25</v>
      </c>
      <c r="E51" s="3472">
        <v>7.25</v>
      </c>
      <c r="F51" s="3472">
        <v>7.25</v>
      </c>
      <c r="G51" s="3575"/>
      <c r="H51" s="3580"/>
      <c r="I51" s="3472">
        <f>SUM(B51:H51)</f>
        <v>36.25</v>
      </c>
      <c r="J51" s="3579"/>
    </row>
    <row r="52" spans="1:10" ht="18" customHeight="1" x14ac:dyDescent="0.2">
      <c r="A52" s="3549" t="s">
        <v>832</v>
      </c>
      <c r="B52" s="3567" t="s">
        <v>846</v>
      </c>
      <c r="C52" s="3567" t="s">
        <v>846</v>
      </c>
      <c r="D52" s="3567" t="s">
        <v>846</v>
      </c>
      <c r="E52" s="3567" t="s">
        <v>846</v>
      </c>
      <c r="F52" s="3567" t="s">
        <v>846</v>
      </c>
      <c r="G52" s="3483"/>
      <c r="H52" s="3581"/>
      <c r="I52" s="3457"/>
      <c r="J52" s="3371"/>
    </row>
    <row r="53" spans="1:10" ht="18" customHeight="1" x14ac:dyDescent="0.2">
      <c r="A53" s="46" t="s">
        <v>530</v>
      </c>
      <c r="B53" s="47">
        <f t="shared" ref="B53:I53" si="0">SUM(B36,B39,B42,B45,B48,B51)</f>
        <v>31.75</v>
      </c>
      <c r="C53" s="47">
        <f t="shared" si="0"/>
        <v>31.75</v>
      </c>
      <c r="D53" s="47">
        <f t="shared" si="0"/>
        <v>31.75</v>
      </c>
      <c r="E53" s="47">
        <f t="shared" si="0"/>
        <v>31.75</v>
      </c>
      <c r="F53" s="47">
        <f t="shared" si="0"/>
        <v>31.75</v>
      </c>
      <c r="G53" s="47">
        <f t="shared" si="0"/>
        <v>24.5</v>
      </c>
      <c r="H53" s="47">
        <f t="shared" si="0"/>
        <v>24.5</v>
      </c>
      <c r="I53" s="47">
        <f t="shared" si="0"/>
        <v>207.75</v>
      </c>
      <c r="J53" s="48"/>
    </row>
    <row r="54" spans="1:10" ht="18" customHeight="1" x14ac:dyDescent="0.2">
      <c r="A54" s="16" t="s">
        <v>531</v>
      </c>
      <c r="D54" s="2"/>
      <c r="E54" s="2"/>
    </row>
    <row r="55" spans="1:10" ht="18" customHeight="1" x14ac:dyDescent="0.2">
      <c r="A55" s="304" t="s">
        <v>532</v>
      </c>
      <c r="B55" s="423" t="s">
        <v>90</v>
      </c>
      <c r="C55" s="424" t="s">
        <v>91</v>
      </c>
      <c r="D55" s="424" t="s">
        <v>92</v>
      </c>
      <c r="E55" s="424" t="s">
        <v>93</v>
      </c>
      <c r="F55" s="424" t="s">
        <v>94</v>
      </c>
      <c r="G55" s="424" t="s">
        <v>95</v>
      </c>
      <c r="H55" s="308" t="s">
        <v>96</v>
      </c>
      <c r="I55" s="309" t="s">
        <v>138</v>
      </c>
      <c r="J55" s="425" t="s">
        <v>97</v>
      </c>
    </row>
    <row r="56" spans="1:10" ht="18" customHeight="1" x14ac:dyDescent="0.2">
      <c r="A56" s="571"/>
      <c r="B56" s="573" t="s">
        <v>319</v>
      </c>
      <c r="C56" s="573" t="s">
        <v>319</v>
      </c>
      <c r="D56" s="573" t="s">
        <v>319</v>
      </c>
      <c r="E56" s="573" t="s">
        <v>319</v>
      </c>
      <c r="F56" s="573" t="s">
        <v>320</v>
      </c>
      <c r="G56" s="573"/>
      <c r="H56" s="573"/>
      <c r="I56" s="513"/>
      <c r="J56" s="574"/>
    </row>
    <row r="57" spans="1:10" ht="18" customHeight="1" x14ac:dyDescent="0.2">
      <c r="A57" s="3569" t="s">
        <v>669</v>
      </c>
      <c r="B57" s="3472">
        <v>7.75</v>
      </c>
      <c r="C57" s="3472">
        <v>7.75</v>
      </c>
      <c r="D57" s="3472">
        <v>7.75</v>
      </c>
      <c r="E57" s="3472">
        <v>7.75</v>
      </c>
      <c r="F57" s="3472">
        <v>6</v>
      </c>
      <c r="G57" s="3472"/>
      <c r="H57" s="3472"/>
      <c r="I57" s="3472">
        <f>SUM(B57:H57)</f>
        <v>37</v>
      </c>
      <c r="J57" s="3570"/>
    </row>
    <row r="58" spans="1:10" ht="18" customHeight="1" x14ac:dyDescent="0.2">
      <c r="A58" s="3545" t="s">
        <v>832</v>
      </c>
      <c r="B58" s="3582" t="s">
        <v>835</v>
      </c>
      <c r="C58" s="3582" t="s">
        <v>835</v>
      </c>
      <c r="D58" s="3582" t="s">
        <v>835</v>
      </c>
      <c r="E58" s="3582" t="s">
        <v>835</v>
      </c>
      <c r="F58" s="3582" t="s">
        <v>836</v>
      </c>
      <c r="G58" s="3546"/>
      <c r="H58" s="3546"/>
      <c r="I58" s="3546"/>
      <c r="J58" s="3548"/>
    </row>
    <row r="59" spans="1:10" ht="18" customHeight="1" x14ac:dyDescent="0.2">
      <c r="A59" s="571"/>
      <c r="B59" s="573" t="s">
        <v>319</v>
      </c>
      <c r="C59" s="573" t="s">
        <v>319</v>
      </c>
      <c r="D59" s="573" t="s">
        <v>319</v>
      </c>
      <c r="E59" s="573" t="s">
        <v>319</v>
      </c>
      <c r="F59" s="573" t="s">
        <v>320</v>
      </c>
      <c r="G59" s="573"/>
      <c r="H59" s="573"/>
      <c r="I59" s="513"/>
      <c r="J59" s="574"/>
    </row>
    <row r="60" spans="1:10" ht="18" customHeight="1" x14ac:dyDescent="0.2">
      <c r="A60" s="3569" t="s">
        <v>671</v>
      </c>
      <c r="B60" s="3472">
        <v>7.75</v>
      </c>
      <c r="C60" s="3472">
        <v>7.75</v>
      </c>
      <c r="D60" s="3472">
        <v>7.75</v>
      </c>
      <c r="E60" s="3472">
        <v>7.75</v>
      </c>
      <c r="F60" s="3472">
        <v>6</v>
      </c>
      <c r="G60" s="3472"/>
      <c r="H60" s="3472"/>
      <c r="I60" s="3472">
        <f>SUM(B60:H60)</f>
        <v>37</v>
      </c>
      <c r="J60" s="3570"/>
    </row>
    <row r="61" spans="1:10" ht="18" customHeight="1" x14ac:dyDescent="0.2">
      <c r="A61" s="3545" t="s">
        <v>832</v>
      </c>
      <c r="B61" s="3582" t="s">
        <v>835</v>
      </c>
      <c r="C61" s="3582" t="s">
        <v>835</v>
      </c>
      <c r="D61" s="3582" t="s">
        <v>835</v>
      </c>
      <c r="E61" s="3582" t="s">
        <v>835</v>
      </c>
      <c r="F61" s="3582" t="s">
        <v>836</v>
      </c>
      <c r="G61" s="3546"/>
      <c r="H61" s="3546"/>
      <c r="I61" s="3577"/>
      <c r="J61" s="3548"/>
    </row>
    <row r="62" spans="1:10" ht="18" customHeight="1" x14ac:dyDescent="0.2">
      <c r="A62" s="530"/>
      <c r="B62" s="573" t="s">
        <v>319</v>
      </c>
      <c r="C62" s="573" t="s">
        <v>319</v>
      </c>
      <c r="D62" s="573" t="s">
        <v>319</v>
      </c>
      <c r="E62" s="573" t="s">
        <v>319</v>
      </c>
      <c r="F62" s="573" t="s">
        <v>320</v>
      </c>
      <c r="G62" s="573"/>
      <c r="H62" s="573"/>
      <c r="I62" s="513"/>
      <c r="J62" s="574"/>
    </row>
    <row r="63" spans="1:10" ht="18" customHeight="1" x14ac:dyDescent="0.2">
      <c r="A63" s="3569" t="s">
        <v>338</v>
      </c>
      <c r="B63" s="3472">
        <v>7.75</v>
      </c>
      <c r="C63" s="3472">
        <v>7.75</v>
      </c>
      <c r="D63" s="3472">
        <v>7.75</v>
      </c>
      <c r="E63" s="3472">
        <v>7.75</v>
      </c>
      <c r="F63" s="3472">
        <v>6</v>
      </c>
      <c r="G63" s="3472"/>
      <c r="H63" s="3472"/>
      <c r="I63" s="3472">
        <f>SUM(B63:H63)</f>
        <v>37</v>
      </c>
      <c r="J63" s="3570"/>
    </row>
    <row r="64" spans="1:10" ht="18" customHeight="1" x14ac:dyDescent="0.2">
      <c r="A64" s="3549" t="s">
        <v>832</v>
      </c>
      <c r="B64" s="3566" t="s">
        <v>835</v>
      </c>
      <c r="C64" s="3566" t="s">
        <v>835</v>
      </c>
      <c r="D64" s="3566" t="s">
        <v>835</v>
      </c>
      <c r="E64" s="3566" t="s">
        <v>835</v>
      </c>
      <c r="F64" s="3566" t="s">
        <v>836</v>
      </c>
      <c r="G64" s="3457"/>
      <c r="H64" s="3457"/>
      <c r="I64" s="3483"/>
      <c r="J64" s="3459"/>
    </row>
    <row r="65" spans="1:10" ht="18" customHeight="1" x14ac:dyDescent="0.2">
      <c r="A65" s="46" t="s">
        <v>530</v>
      </c>
      <c r="B65" s="49">
        <f t="shared" ref="B65:I65" si="1">SUM(B57,B60,B63)</f>
        <v>23.25</v>
      </c>
      <c r="C65" s="49">
        <f t="shared" si="1"/>
        <v>23.25</v>
      </c>
      <c r="D65" s="49">
        <f t="shared" si="1"/>
        <v>23.25</v>
      </c>
      <c r="E65" s="49">
        <f t="shared" si="1"/>
        <v>23.25</v>
      </c>
      <c r="F65" s="49">
        <f t="shared" si="1"/>
        <v>18</v>
      </c>
      <c r="G65" s="49">
        <f t="shared" si="1"/>
        <v>0</v>
      </c>
      <c r="H65" s="49">
        <f t="shared" si="1"/>
        <v>0</v>
      </c>
      <c r="I65" s="47">
        <f t="shared" si="1"/>
        <v>111</v>
      </c>
      <c r="J65" s="50"/>
    </row>
    <row r="66" spans="1:10" ht="18" customHeight="1" x14ac:dyDescent="0.2">
      <c r="A66" s="18"/>
      <c r="B66" s="18"/>
      <c r="C66" s="18"/>
      <c r="D66" s="18"/>
      <c r="E66" s="18"/>
      <c r="F66" s="18"/>
      <c r="G66" s="3475" t="s">
        <v>642</v>
      </c>
      <c r="H66" s="3475" t="s">
        <v>643</v>
      </c>
      <c r="I66" s="3475" t="s">
        <v>644</v>
      </c>
      <c r="J66" s="19"/>
    </row>
    <row r="67" spans="1:10" ht="18" customHeight="1" x14ac:dyDescent="0.2">
      <c r="A67" s="18"/>
      <c r="B67" s="18"/>
      <c r="C67" s="18"/>
      <c r="D67" s="18"/>
      <c r="E67" s="18"/>
      <c r="F67" s="18"/>
      <c r="G67" s="3449">
        <f>I53+I65</f>
        <v>318.75</v>
      </c>
      <c r="H67" s="3476">
        <f>SUM(G67*13/3)</f>
        <v>1381.25</v>
      </c>
      <c r="I67" s="3449">
        <f>SUM(H67*12)</f>
        <v>16575</v>
      </c>
      <c r="J67" s="19"/>
    </row>
    <row r="68" spans="1:10" ht="18" customHeight="1" x14ac:dyDescent="0.2">
      <c r="A68" s="18"/>
      <c r="B68" s="18"/>
      <c r="C68" s="18"/>
      <c r="D68" s="18"/>
      <c r="E68" s="18"/>
      <c r="F68" s="18"/>
      <c r="G68" s="18"/>
      <c r="H68" s="45"/>
      <c r="I68" s="18"/>
      <c r="J68" s="19"/>
    </row>
    <row r="69" spans="1:10" ht="17.649999999999999" customHeight="1" x14ac:dyDescent="0.2">
      <c r="A69" s="1" t="s">
        <v>676</v>
      </c>
      <c r="B69" s="18"/>
      <c r="C69" s="18"/>
      <c r="D69" s="18"/>
      <c r="E69" s="18"/>
      <c r="F69" s="18"/>
    </row>
    <row r="70" spans="1:10" ht="17.649999999999999" customHeight="1" x14ac:dyDescent="0.2">
      <c r="A70" s="428" t="s">
        <v>677</v>
      </c>
      <c r="B70" s="423" t="s">
        <v>90</v>
      </c>
      <c r="C70" s="424" t="s">
        <v>91</v>
      </c>
      <c r="D70" s="424" t="s">
        <v>92</v>
      </c>
      <c r="E70" s="424" t="s">
        <v>93</v>
      </c>
      <c r="F70" s="424" t="s">
        <v>94</v>
      </c>
      <c r="G70" s="424" t="s">
        <v>95</v>
      </c>
      <c r="H70" s="328" t="s">
        <v>96</v>
      </c>
      <c r="I70" s="429" t="s">
        <v>138</v>
      </c>
      <c r="J70" s="329" t="s">
        <v>97</v>
      </c>
    </row>
    <row r="71" spans="1:10" ht="17.649999999999999" customHeight="1" x14ac:dyDescent="0.2">
      <c r="A71" s="433"/>
      <c r="B71" s="431" t="s">
        <v>679</v>
      </c>
      <c r="C71" s="431" t="s">
        <v>679</v>
      </c>
      <c r="D71" s="431" t="s">
        <v>679</v>
      </c>
      <c r="E71" s="431" t="s">
        <v>679</v>
      </c>
      <c r="F71" s="431" t="s">
        <v>679</v>
      </c>
      <c r="G71" s="432" t="s">
        <v>680</v>
      </c>
      <c r="H71" s="432" t="s">
        <v>680</v>
      </c>
      <c r="I71" s="445"/>
      <c r="J71" s="334"/>
    </row>
    <row r="72" spans="1:10" ht="17.649999999999999" customHeight="1" x14ac:dyDescent="0.2">
      <c r="A72" s="51" t="s">
        <v>847</v>
      </c>
      <c r="B72" s="3583" t="s">
        <v>848</v>
      </c>
      <c r="C72" s="3583" t="s">
        <v>848</v>
      </c>
      <c r="D72" s="3583" t="s">
        <v>848</v>
      </c>
      <c r="E72" s="3583" t="s">
        <v>848</v>
      </c>
      <c r="F72" s="3583" t="s">
        <v>848</v>
      </c>
      <c r="G72" s="3584" t="s">
        <v>849</v>
      </c>
      <c r="H72" s="3584" t="s">
        <v>849</v>
      </c>
      <c r="I72" s="3585"/>
      <c r="J72" s="52"/>
    </row>
    <row r="73" spans="1:10" ht="17.649999999999999" customHeight="1" x14ac:dyDescent="0.2">
      <c r="A73" s="3432" t="s">
        <v>540</v>
      </c>
      <c r="B73" s="3492">
        <v>8.25</v>
      </c>
      <c r="C73" s="3492">
        <v>8.25</v>
      </c>
      <c r="D73" s="3492">
        <v>8.25</v>
      </c>
      <c r="E73" s="3492">
        <v>8.25</v>
      </c>
      <c r="F73" s="3492">
        <v>8.25</v>
      </c>
      <c r="G73" s="3493">
        <v>12.25</v>
      </c>
      <c r="H73" s="3493">
        <v>12.25</v>
      </c>
      <c r="I73" s="3407">
        <f>SUM(B73:H73)</f>
        <v>65.75</v>
      </c>
      <c r="J73" s="3494" t="s">
        <v>683</v>
      </c>
    </row>
    <row r="74" spans="1:10" ht="17.649999999999999" customHeight="1" x14ac:dyDescent="0.2">
      <c r="A74" s="433"/>
      <c r="B74" s="434" t="s">
        <v>685</v>
      </c>
      <c r="C74" s="434" t="s">
        <v>685</v>
      </c>
      <c r="D74" s="434" t="s">
        <v>685</v>
      </c>
      <c r="E74" s="434" t="s">
        <v>685</v>
      </c>
      <c r="F74" s="434" t="s">
        <v>685</v>
      </c>
      <c r="G74" s="435" t="s">
        <v>686</v>
      </c>
      <c r="H74" s="333" t="s">
        <v>686</v>
      </c>
      <c r="I74" s="429"/>
      <c r="J74" s="334"/>
    </row>
    <row r="75" spans="1:10" ht="17.649999999999999" customHeight="1" x14ac:dyDescent="0.2">
      <c r="A75" s="51" t="s">
        <v>847</v>
      </c>
      <c r="B75" s="3586" t="s">
        <v>850</v>
      </c>
      <c r="C75" s="3586" t="s">
        <v>850</v>
      </c>
      <c r="D75" s="3586" t="s">
        <v>850</v>
      </c>
      <c r="E75" s="3586" t="s">
        <v>850</v>
      </c>
      <c r="F75" s="3586" t="s">
        <v>850</v>
      </c>
      <c r="G75" s="3587" t="s">
        <v>851</v>
      </c>
      <c r="H75" s="3587" t="s">
        <v>851</v>
      </c>
      <c r="I75" s="3527"/>
      <c r="J75" s="52"/>
    </row>
    <row r="76" spans="1:10" ht="17.649999999999999" customHeight="1" x14ac:dyDescent="0.2">
      <c r="A76" s="3432" t="s">
        <v>688</v>
      </c>
      <c r="B76" s="3430">
        <v>7</v>
      </c>
      <c r="C76" s="3430">
        <v>7</v>
      </c>
      <c r="D76" s="3430">
        <v>7</v>
      </c>
      <c r="E76" s="3430">
        <v>7</v>
      </c>
      <c r="F76" s="3430">
        <v>7</v>
      </c>
      <c r="G76" s="3499">
        <v>11</v>
      </c>
      <c r="H76" s="3500">
        <v>11</v>
      </c>
      <c r="I76" s="3407">
        <f>SUM(B76:H76)</f>
        <v>57</v>
      </c>
      <c r="J76" s="3494" t="s">
        <v>689</v>
      </c>
    </row>
    <row r="77" spans="1:10" ht="17.649999999999999" customHeight="1" x14ac:dyDescent="0.2">
      <c r="A77" s="433"/>
      <c r="B77" s="436" t="s">
        <v>691</v>
      </c>
      <c r="C77" s="436" t="s">
        <v>691</v>
      </c>
      <c r="D77" s="436" t="s">
        <v>691</v>
      </c>
      <c r="E77" s="436" t="s">
        <v>691</v>
      </c>
      <c r="F77" s="436" t="s">
        <v>691</v>
      </c>
      <c r="G77" s="333" t="s">
        <v>692</v>
      </c>
      <c r="H77" s="333" t="s">
        <v>692</v>
      </c>
      <c r="I77" s="429"/>
      <c r="J77" s="334"/>
    </row>
    <row r="78" spans="1:10" ht="17.649999999999999" customHeight="1" x14ac:dyDescent="0.2">
      <c r="A78" s="51" t="s">
        <v>847</v>
      </c>
      <c r="B78" s="3588" t="s">
        <v>852</v>
      </c>
      <c r="C78" s="3588" t="s">
        <v>852</v>
      </c>
      <c r="D78" s="3588" t="s">
        <v>852</v>
      </c>
      <c r="E78" s="3588" t="s">
        <v>852</v>
      </c>
      <c r="F78" s="3588" t="s">
        <v>852</v>
      </c>
      <c r="G78" s="53" t="s">
        <v>853</v>
      </c>
      <c r="H78" s="53" t="s">
        <v>853</v>
      </c>
      <c r="I78" s="3527"/>
      <c r="J78" s="52"/>
    </row>
    <row r="79" spans="1:10" ht="17.649999999999999" customHeight="1" x14ac:dyDescent="0.2">
      <c r="A79" s="3432" t="s">
        <v>693</v>
      </c>
      <c r="B79" s="3503">
        <v>8</v>
      </c>
      <c r="C79" s="3503">
        <v>8</v>
      </c>
      <c r="D79" s="3503">
        <v>8</v>
      </c>
      <c r="E79" s="3503">
        <v>8</v>
      </c>
      <c r="F79" s="3503">
        <v>8</v>
      </c>
      <c r="G79" s="3499">
        <v>12</v>
      </c>
      <c r="H79" s="3499">
        <v>12</v>
      </c>
      <c r="I79" s="3407">
        <f>SUM(B79:H79)</f>
        <v>64</v>
      </c>
      <c r="J79" s="3494" t="s">
        <v>694</v>
      </c>
    </row>
    <row r="80" spans="1:10" ht="17.649999999999999" customHeight="1" x14ac:dyDescent="0.2">
      <c r="A80" s="433"/>
      <c r="B80" s="572" t="s">
        <v>518</v>
      </c>
      <c r="C80" s="572" t="s">
        <v>518</v>
      </c>
      <c r="D80" s="572" t="s">
        <v>518</v>
      </c>
      <c r="E80" s="572" t="s">
        <v>518</v>
      </c>
      <c r="F80" s="572" t="s">
        <v>518</v>
      </c>
      <c r="G80" s="342"/>
      <c r="H80" s="343"/>
      <c r="I80" s="447"/>
      <c r="J80" s="334"/>
    </row>
    <row r="81" spans="1:10" ht="17.649999999999999" customHeight="1" x14ac:dyDescent="0.2">
      <c r="A81" s="51" t="s">
        <v>847</v>
      </c>
      <c r="B81" s="3444"/>
      <c r="C81" s="3444"/>
      <c r="D81" s="3444"/>
      <c r="E81" s="3444"/>
      <c r="F81" s="3444"/>
      <c r="G81" s="37"/>
      <c r="H81" s="37"/>
      <c r="I81" s="3460"/>
      <c r="J81" s="52"/>
    </row>
    <row r="82" spans="1:10" ht="17.649999999999999" customHeight="1" x14ac:dyDescent="0.2">
      <c r="A82" s="3432" t="s">
        <v>854</v>
      </c>
      <c r="B82" s="3414"/>
      <c r="C82" s="3414"/>
      <c r="D82" s="3414"/>
      <c r="E82" s="3414"/>
      <c r="F82" s="3414"/>
      <c r="G82" s="3408"/>
      <c r="H82" s="3506"/>
      <c r="I82" s="3407">
        <f>SUM(B82:H82)</f>
        <v>0</v>
      </c>
      <c r="J82" s="3494" t="s">
        <v>697</v>
      </c>
    </row>
    <row r="83" spans="1:10" ht="17.649999999999999" customHeight="1" x14ac:dyDescent="0.2">
      <c r="A83" s="433"/>
      <c r="B83" s="572" t="s">
        <v>518</v>
      </c>
      <c r="C83" s="572" t="s">
        <v>518</v>
      </c>
      <c r="D83" s="572" t="s">
        <v>518</v>
      </c>
      <c r="E83" s="572" t="s">
        <v>518</v>
      </c>
      <c r="F83" s="572" t="s">
        <v>518</v>
      </c>
      <c r="G83" s="429"/>
      <c r="H83" s="336"/>
      <c r="I83" s="429"/>
      <c r="J83" s="334"/>
    </row>
    <row r="84" spans="1:10" ht="17.649999999999999" customHeight="1" x14ac:dyDescent="0.2">
      <c r="A84" s="51" t="s">
        <v>847</v>
      </c>
      <c r="B84" s="3444"/>
      <c r="C84" s="3444"/>
      <c r="D84" s="3444"/>
      <c r="E84" s="3444"/>
      <c r="F84" s="3444"/>
      <c r="G84" s="3527"/>
      <c r="H84" s="54"/>
      <c r="I84" s="3527"/>
      <c r="J84" s="52"/>
    </row>
    <row r="85" spans="1:10" ht="17.649999999999999" customHeight="1" x14ac:dyDescent="0.2">
      <c r="A85" s="3432" t="s">
        <v>701</v>
      </c>
      <c r="B85" s="3414"/>
      <c r="C85" s="3414"/>
      <c r="D85" s="3414"/>
      <c r="E85" s="3414"/>
      <c r="F85" s="3414"/>
      <c r="G85" s="3456"/>
      <c r="H85" s="3251"/>
      <c r="I85" s="3407">
        <f>SUM(B85:H85)</f>
        <v>0</v>
      </c>
      <c r="J85" s="3494" t="s">
        <v>698</v>
      </c>
    </row>
    <row r="86" spans="1:10" ht="17.649999999999999" customHeight="1" x14ac:dyDescent="0.2">
      <c r="A86" s="428"/>
      <c r="B86" s="572" t="s">
        <v>518</v>
      </c>
      <c r="C86" s="572" t="s">
        <v>518</v>
      </c>
      <c r="D86" s="572" t="s">
        <v>518</v>
      </c>
      <c r="E86" s="572" t="s">
        <v>518</v>
      </c>
      <c r="F86" s="572" t="s">
        <v>518</v>
      </c>
      <c r="G86" s="439" t="s">
        <v>703</v>
      </c>
      <c r="H86" s="337" t="s">
        <v>704</v>
      </c>
      <c r="I86" s="429"/>
      <c r="J86" s="338"/>
    </row>
    <row r="87" spans="1:10" ht="17.649999999999999" customHeight="1" x14ac:dyDescent="0.2">
      <c r="A87" s="51" t="s">
        <v>847</v>
      </c>
      <c r="B87" s="3444"/>
      <c r="C87" s="3444"/>
      <c r="D87" s="3444"/>
      <c r="E87" s="3444"/>
      <c r="F87" s="3444"/>
      <c r="G87" s="3589" t="s">
        <v>855</v>
      </c>
      <c r="H87" s="3589" t="s">
        <v>855</v>
      </c>
      <c r="I87" s="3527"/>
      <c r="J87" s="55"/>
    </row>
    <row r="88" spans="1:10" ht="17.649999999999999" customHeight="1" x14ac:dyDescent="0.2">
      <c r="A88" s="3432" t="s">
        <v>707</v>
      </c>
      <c r="B88" s="3414"/>
      <c r="C88" s="3414"/>
      <c r="D88" s="3414"/>
      <c r="E88" s="3414"/>
      <c r="F88" s="3414"/>
      <c r="G88" s="3507">
        <v>12.25</v>
      </c>
      <c r="H88" s="3508">
        <v>12.25</v>
      </c>
      <c r="I88" s="3407">
        <f>SUM(B88:H88)</f>
        <v>24.5</v>
      </c>
      <c r="J88" s="3494" t="s">
        <v>708</v>
      </c>
    </row>
    <row r="89" spans="1:10" ht="17.649999999999999" customHeight="1" x14ac:dyDescent="0.2">
      <c r="A89" s="433"/>
      <c r="B89" s="440" t="s">
        <v>710</v>
      </c>
      <c r="C89" s="440" t="s">
        <v>710</v>
      </c>
      <c r="D89" s="440" t="s">
        <v>710</v>
      </c>
      <c r="E89" s="440" t="s">
        <v>710</v>
      </c>
      <c r="F89" s="440" t="s">
        <v>711</v>
      </c>
      <c r="G89" s="439" t="s">
        <v>712</v>
      </c>
      <c r="H89" s="337" t="s">
        <v>712</v>
      </c>
      <c r="I89" s="429"/>
      <c r="J89" s="334"/>
    </row>
    <row r="90" spans="1:10" ht="17.649999999999999" customHeight="1" x14ac:dyDescent="0.2">
      <c r="A90" s="51" t="s">
        <v>847</v>
      </c>
      <c r="B90" s="3590" t="s">
        <v>856</v>
      </c>
      <c r="C90" s="3590" t="s">
        <v>856</v>
      </c>
      <c r="D90" s="3590" t="s">
        <v>856</v>
      </c>
      <c r="E90" s="3590" t="s">
        <v>856</v>
      </c>
      <c r="F90" s="3590" t="s">
        <v>857</v>
      </c>
      <c r="G90" s="3589" t="s">
        <v>858</v>
      </c>
      <c r="H90" s="3589" t="s">
        <v>858</v>
      </c>
      <c r="I90" s="3527"/>
      <c r="J90" s="52"/>
    </row>
    <row r="91" spans="1:10" ht="17.649999999999999" customHeight="1" x14ac:dyDescent="0.2">
      <c r="A91" s="3432" t="s">
        <v>558</v>
      </c>
      <c r="B91" s="3509">
        <v>7</v>
      </c>
      <c r="C91" s="3509">
        <v>7</v>
      </c>
      <c r="D91" s="3509">
        <v>7</v>
      </c>
      <c r="E91" s="3509">
        <v>7</v>
      </c>
      <c r="F91" s="3509">
        <v>6.5</v>
      </c>
      <c r="G91" s="3507">
        <v>12</v>
      </c>
      <c r="H91" s="3508">
        <v>12</v>
      </c>
      <c r="I91" s="3407">
        <f>SUM(B91:H91)</f>
        <v>58.5</v>
      </c>
      <c r="J91" s="3494" t="s">
        <v>715</v>
      </c>
    </row>
    <row r="92" spans="1:10" ht="17.649999999999999" customHeight="1" x14ac:dyDescent="0.2">
      <c r="A92" s="433"/>
      <c r="B92" s="441" t="s">
        <v>718</v>
      </c>
      <c r="C92" s="441" t="s">
        <v>718</v>
      </c>
      <c r="D92" s="441" t="s">
        <v>718</v>
      </c>
      <c r="E92" s="441" t="s">
        <v>718</v>
      </c>
      <c r="F92" s="441" t="s">
        <v>718</v>
      </c>
      <c r="G92" s="439" t="s">
        <v>719</v>
      </c>
      <c r="H92" s="337" t="s">
        <v>712</v>
      </c>
      <c r="I92" s="438"/>
      <c r="J92" s="334"/>
    </row>
    <row r="93" spans="1:10" ht="17.649999999999999" customHeight="1" x14ac:dyDescent="0.2">
      <c r="A93" s="51" t="s">
        <v>847</v>
      </c>
      <c r="B93" s="3591" t="s">
        <v>859</v>
      </c>
      <c r="C93" s="3591" t="s">
        <v>859</v>
      </c>
      <c r="D93" s="3591" t="s">
        <v>859</v>
      </c>
      <c r="E93" s="3591" t="s">
        <v>859</v>
      </c>
      <c r="F93" s="3591" t="s">
        <v>859</v>
      </c>
      <c r="G93" s="3589" t="s">
        <v>860</v>
      </c>
      <c r="H93" s="56" t="s">
        <v>858</v>
      </c>
      <c r="I93" s="3444"/>
      <c r="J93" s="52"/>
    </row>
    <row r="94" spans="1:10" ht="17.649999999999999" customHeight="1" x14ac:dyDescent="0.2">
      <c r="A94" s="3432" t="s">
        <v>722</v>
      </c>
      <c r="B94" s="3514">
        <v>7</v>
      </c>
      <c r="C94" s="3514">
        <v>7</v>
      </c>
      <c r="D94" s="3514">
        <v>7</v>
      </c>
      <c r="E94" s="3514">
        <v>7</v>
      </c>
      <c r="F94" s="3514">
        <v>7</v>
      </c>
      <c r="G94" s="3515">
        <v>9</v>
      </c>
      <c r="H94" s="3508">
        <v>12</v>
      </c>
      <c r="I94" s="3407">
        <f>SUM(B94:H94)</f>
        <v>56</v>
      </c>
      <c r="J94" s="3494" t="s">
        <v>699</v>
      </c>
    </row>
    <row r="95" spans="1:10" ht="17.649999999999999" customHeight="1" x14ac:dyDescent="0.2">
      <c r="A95" s="433"/>
      <c r="B95" s="3519" t="s">
        <v>725</v>
      </c>
      <c r="C95" s="3519" t="s">
        <v>725</v>
      </c>
      <c r="D95" s="3519" t="s">
        <v>725</v>
      </c>
      <c r="E95" s="3519" t="s">
        <v>725</v>
      </c>
      <c r="F95" s="3519" t="s">
        <v>725</v>
      </c>
      <c r="G95" s="423"/>
      <c r="H95" s="339"/>
      <c r="I95" s="429"/>
      <c r="J95" s="334"/>
    </row>
    <row r="96" spans="1:10" ht="17.649999999999999" customHeight="1" x14ac:dyDescent="0.2">
      <c r="A96" s="51" t="s">
        <v>847</v>
      </c>
      <c r="B96" s="3592" t="s">
        <v>861</v>
      </c>
      <c r="C96" s="3592" t="s">
        <v>861</v>
      </c>
      <c r="D96" s="3592" t="s">
        <v>861</v>
      </c>
      <c r="E96" s="3592" t="s">
        <v>861</v>
      </c>
      <c r="F96" s="3592" t="s">
        <v>861</v>
      </c>
      <c r="G96" s="3593"/>
      <c r="H96" s="57"/>
      <c r="I96" s="3527"/>
      <c r="J96" s="52"/>
    </row>
    <row r="97" spans="1:10" ht="17.649999999999999" customHeight="1" x14ac:dyDescent="0.2">
      <c r="A97" s="3432" t="s">
        <v>727</v>
      </c>
      <c r="B97" s="3522">
        <v>8</v>
      </c>
      <c r="C97" s="3522">
        <v>8</v>
      </c>
      <c r="D97" s="3522">
        <v>8</v>
      </c>
      <c r="E97" s="3522">
        <v>8</v>
      </c>
      <c r="F97" s="3522">
        <v>8</v>
      </c>
      <c r="G97" s="3407"/>
      <c r="H97" s="3537"/>
      <c r="I97" s="3407">
        <f>SUM(B97:H97)</f>
        <v>40</v>
      </c>
      <c r="J97" s="3494" t="s">
        <v>716</v>
      </c>
    </row>
    <row r="98" spans="1:10" ht="17.649999999999999" customHeight="1" x14ac:dyDescent="0.2">
      <c r="A98" s="433"/>
      <c r="B98" s="572" t="s">
        <v>518</v>
      </c>
      <c r="C98" s="572" t="s">
        <v>518</v>
      </c>
      <c r="D98" s="572" t="s">
        <v>518</v>
      </c>
      <c r="E98" s="572" t="s">
        <v>518</v>
      </c>
      <c r="F98" s="572" t="s">
        <v>518</v>
      </c>
      <c r="G98" s="342"/>
      <c r="H98" s="343"/>
      <c r="I98" s="445"/>
      <c r="J98" s="334"/>
    </row>
    <row r="99" spans="1:10" ht="17.649999999999999" customHeight="1" x14ac:dyDescent="0.2">
      <c r="A99" s="51" t="s">
        <v>847</v>
      </c>
      <c r="B99" s="3444"/>
      <c r="C99" s="3444"/>
      <c r="D99" s="3444"/>
      <c r="E99" s="3444"/>
      <c r="F99" s="3444"/>
      <c r="G99" s="37"/>
      <c r="H99" s="3445"/>
      <c r="I99" s="3585"/>
      <c r="J99" s="52"/>
    </row>
    <row r="100" spans="1:10" ht="17.649999999999999" customHeight="1" x14ac:dyDescent="0.2">
      <c r="A100" s="3432" t="s">
        <v>730</v>
      </c>
      <c r="B100" s="3452"/>
      <c r="C100" s="3452"/>
      <c r="D100" s="3452"/>
      <c r="E100" s="3452"/>
      <c r="F100" s="3452"/>
      <c r="G100" s="3408"/>
      <c r="H100" s="3506"/>
      <c r="I100" s="3407">
        <f>SUM(B100:H100)</f>
        <v>0</v>
      </c>
      <c r="J100" s="3494" t="s">
        <v>155</v>
      </c>
    </row>
    <row r="101" spans="1:10" ht="17.649999999999999" customHeight="1" x14ac:dyDescent="0.2">
      <c r="A101" s="433"/>
      <c r="B101" s="572" t="s">
        <v>518</v>
      </c>
      <c r="C101" s="572" t="s">
        <v>518</v>
      </c>
      <c r="D101" s="572" t="s">
        <v>518</v>
      </c>
      <c r="E101" s="572" t="s">
        <v>518</v>
      </c>
      <c r="F101" s="572" t="s">
        <v>518</v>
      </c>
      <c r="G101" s="429"/>
      <c r="H101" s="336"/>
      <c r="I101" s="429"/>
      <c r="J101" s="334"/>
    </row>
    <row r="102" spans="1:10" ht="17.649999999999999" customHeight="1" x14ac:dyDescent="0.2">
      <c r="A102" s="51" t="s">
        <v>847</v>
      </c>
      <c r="B102" s="3444"/>
      <c r="C102" s="3444"/>
      <c r="D102" s="3444"/>
      <c r="E102" s="3444"/>
      <c r="F102" s="3444"/>
      <c r="G102" s="3527"/>
      <c r="H102" s="54"/>
      <c r="I102" s="3527"/>
      <c r="J102" s="52"/>
    </row>
    <row r="103" spans="1:10" ht="17.649999999999999" customHeight="1" x14ac:dyDescent="0.2">
      <c r="A103" s="33" t="s">
        <v>748</v>
      </c>
      <c r="B103" s="3452"/>
      <c r="C103" s="3452"/>
      <c r="D103" s="3414"/>
      <c r="E103" s="3414"/>
      <c r="F103" s="3414"/>
      <c r="G103" s="3527"/>
      <c r="H103" s="54"/>
      <c r="I103" s="3444">
        <f>SUM(B103:H103)</f>
        <v>0</v>
      </c>
      <c r="J103" s="58" t="s">
        <v>702</v>
      </c>
    </row>
    <row r="104" spans="1:10" ht="17.649999999999999" customHeight="1" x14ac:dyDescent="0.2">
      <c r="A104" s="433" t="s">
        <v>0</v>
      </c>
      <c r="B104" s="442" t="s">
        <v>690</v>
      </c>
      <c r="C104" s="442" t="s">
        <v>690</v>
      </c>
      <c r="D104" s="442" t="s">
        <v>690</v>
      </c>
      <c r="E104" s="442" t="s">
        <v>690</v>
      </c>
      <c r="F104" s="442" t="s">
        <v>690</v>
      </c>
      <c r="G104" s="443"/>
      <c r="H104" s="336"/>
      <c r="I104" s="429"/>
      <c r="J104" s="334" t="s">
        <v>0</v>
      </c>
    </row>
    <row r="105" spans="1:10" ht="17.649999999999999" customHeight="1" x14ac:dyDescent="0.2">
      <c r="A105" s="51" t="s">
        <v>847</v>
      </c>
      <c r="B105" s="3594" t="s">
        <v>862</v>
      </c>
      <c r="C105" s="3594" t="s">
        <v>862</v>
      </c>
      <c r="D105" s="3594" t="s">
        <v>862</v>
      </c>
      <c r="E105" s="3594" t="s">
        <v>862</v>
      </c>
      <c r="F105" s="3594" t="s">
        <v>862</v>
      </c>
      <c r="G105" s="3595"/>
      <c r="H105" s="54"/>
      <c r="I105" s="3527"/>
      <c r="J105" s="52"/>
    </row>
    <row r="106" spans="1:10" ht="17.649999999999999" customHeight="1" x14ac:dyDescent="0.2">
      <c r="A106" s="39" t="s">
        <v>735</v>
      </c>
      <c r="B106" s="3544">
        <v>8</v>
      </c>
      <c r="C106" s="3544">
        <v>8</v>
      </c>
      <c r="D106" s="3544">
        <v>8</v>
      </c>
      <c r="E106" s="3544">
        <v>8</v>
      </c>
      <c r="F106" s="3544">
        <v>8</v>
      </c>
      <c r="G106" s="3527"/>
      <c r="H106" s="54"/>
      <c r="I106" s="3444">
        <f>SUM(B106:H106)</f>
        <v>40</v>
      </c>
      <c r="J106" s="55" t="s">
        <v>736</v>
      </c>
    </row>
    <row r="107" spans="1:10" ht="17.649999999999999" customHeight="1" x14ac:dyDescent="0.2">
      <c r="A107" s="433"/>
      <c r="B107" s="444" t="s">
        <v>738</v>
      </c>
      <c r="C107" s="444" t="s">
        <v>738</v>
      </c>
      <c r="D107" s="444" t="s">
        <v>738</v>
      </c>
      <c r="E107" s="444" t="s">
        <v>738</v>
      </c>
      <c r="F107" s="444" t="s">
        <v>738</v>
      </c>
      <c r="G107" s="344"/>
      <c r="H107" s="345"/>
      <c r="I107" s="445"/>
      <c r="J107" s="334"/>
    </row>
    <row r="108" spans="1:10" ht="17.649999999999999" customHeight="1" x14ac:dyDescent="0.2">
      <c r="A108" s="51" t="s">
        <v>847</v>
      </c>
      <c r="B108" s="3596" t="s">
        <v>863</v>
      </c>
      <c r="C108" s="3596" t="s">
        <v>863</v>
      </c>
      <c r="D108" s="3596" t="s">
        <v>863</v>
      </c>
      <c r="E108" s="3596" t="s">
        <v>863</v>
      </c>
      <c r="F108" s="3596" t="s">
        <v>863</v>
      </c>
      <c r="G108" s="59"/>
      <c r="H108" s="3593"/>
      <c r="I108" s="3585"/>
      <c r="J108" s="52"/>
    </row>
    <row r="109" spans="1:10" ht="17.649999999999999" customHeight="1" x14ac:dyDescent="0.2">
      <c r="A109" s="3432" t="s">
        <v>568</v>
      </c>
      <c r="B109" s="3535">
        <v>7</v>
      </c>
      <c r="C109" s="3535">
        <v>7</v>
      </c>
      <c r="D109" s="3535">
        <v>7</v>
      </c>
      <c r="E109" s="3535">
        <v>7</v>
      </c>
      <c r="F109" s="3535">
        <v>7</v>
      </c>
      <c r="G109" s="3407"/>
      <c r="H109" s="3537"/>
      <c r="I109" s="3407">
        <f>SUM(B109:H109)</f>
        <v>35</v>
      </c>
      <c r="J109" s="3494" t="s">
        <v>739</v>
      </c>
    </row>
    <row r="110" spans="1:10" ht="17.649999999999999" customHeight="1" x14ac:dyDescent="0.2">
      <c r="A110" s="433"/>
      <c r="B110" s="340" t="s">
        <v>741</v>
      </c>
      <c r="C110" s="340" t="s">
        <v>741</v>
      </c>
      <c r="D110" s="340" t="s">
        <v>741</v>
      </c>
      <c r="E110" s="340" t="s">
        <v>741</v>
      </c>
      <c r="F110" s="340" t="s">
        <v>741</v>
      </c>
      <c r="G110" s="423"/>
      <c r="H110" s="339"/>
      <c r="I110" s="309"/>
      <c r="J110" s="334"/>
    </row>
    <row r="111" spans="1:10" ht="17.649999999999999" customHeight="1" x14ac:dyDescent="0.2">
      <c r="A111" s="51" t="s">
        <v>847</v>
      </c>
      <c r="B111" s="60" t="s">
        <v>864</v>
      </c>
      <c r="C111" s="60" t="s">
        <v>864</v>
      </c>
      <c r="D111" s="60" t="s">
        <v>864</v>
      </c>
      <c r="E111" s="60" t="s">
        <v>864</v>
      </c>
      <c r="F111" s="60" t="s">
        <v>864</v>
      </c>
      <c r="G111" s="3593"/>
      <c r="H111" s="57"/>
      <c r="I111" s="3585"/>
      <c r="J111" s="52"/>
    </row>
    <row r="112" spans="1:10" ht="17.649999999999999" customHeight="1" x14ac:dyDescent="0.2">
      <c r="A112" s="3439" t="s">
        <v>569</v>
      </c>
      <c r="B112" s="3536">
        <v>7.5</v>
      </c>
      <c r="C112" s="3536">
        <v>7.5</v>
      </c>
      <c r="D112" s="3536">
        <v>7.5</v>
      </c>
      <c r="E112" s="3536">
        <v>7.5</v>
      </c>
      <c r="F112" s="3536">
        <v>7.5</v>
      </c>
      <c r="G112" s="3407"/>
      <c r="H112" s="3537"/>
      <c r="I112" s="3416">
        <f>SUM(B112:H112)</f>
        <v>37.5</v>
      </c>
      <c r="J112" s="3543" t="s">
        <v>742</v>
      </c>
    </row>
    <row r="113" spans="1:10" ht="17.649999999999999" customHeight="1" x14ac:dyDescent="0.2">
      <c r="A113" s="433"/>
      <c r="B113" s="341" t="s">
        <v>744</v>
      </c>
      <c r="C113" s="446" t="s">
        <v>744</v>
      </c>
      <c r="D113" s="446" t="s">
        <v>744</v>
      </c>
      <c r="E113" s="446" t="s">
        <v>744</v>
      </c>
      <c r="F113" s="446" t="s">
        <v>744</v>
      </c>
      <c r="G113" s="423"/>
      <c r="H113" s="339"/>
      <c r="I113" s="447"/>
      <c r="J113" s="334"/>
    </row>
    <row r="114" spans="1:10" ht="17.649999999999999" customHeight="1" x14ac:dyDescent="0.2">
      <c r="A114" s="51" t="s">
        <v>847</v>
      </c>
      <c r="B114" s="61" t="s">
        <v>865</v>
      </c>
      <c r="C114" s="61" t="s">
        <v>865</v>
      </c>
      <c r="D114" s="61" t="s">
        <v>865</v>
      </c>
      <c r="E114" s="61" t="s">
        <v>865</v>
      </c>
      <c r="F114" s="61" t="s">
        <v>865</v>
      </c>
      <c r="G114" s="3593"/>
      <c r="H114" s="57"/>
      <c r="I114" s="3597"/>
      <c r="J114" s="52"/>
    </row>
    <row r="115" spans="1:10" ht="17.649999999999999" customHeight="1" x14ac:dyDescent="0.2">
      <c r="A115" s="3432" t="s">
        <v>570</v>
      </c>
      <c r="B115" s="3542">
        <v>8</v>
      </c>
      <c r="C115" s="3542">
        <v>8</v>
      </c>
      <c r="D115" s="3542">
        <v>8</v>
      </c>
      <c r="E115" s="3542">
        <v>8</v>
      </c>
      <c r="F115" s="3542">
        <v>8</v>
      </c>
      <c r="G115" s="3407"/>
      <c r="H115" s="3407"/>
      <c r="I115" s="3538">
        <f>SUM(B115:H115)</f>
        <v>40</v>
      </c>
      <c r="J115" s="3494" t="s">
        <v>745</v>
      </c>
    </row>
    <row r="116" spans="1:10" ht="17.649999999999999" customHeight="1" x14ac:dyDescent="0.2">
      <c r="A116" s="46" t="s">
        <v>530</v>
      </c>
      <c r="B116" s="62">
        <f t="shared" ref="B116:I116" si="2">SUM(B73,B76,B79,B82,B85,B88,B91,B94,B97,B100,B103,B106,B109,B112,B115)</f>
        <v>75.75</v>
      </c>
      <c r="C116" s="62">
        <f t="shared" si="2"/>
        <v>75.75</v>
      </c>
      <c r="D116" s="62">
        <f t="shared" si="2"/>
        <v>75.75</v>
      </c>
      <c r="E116" s="62">
        <f t="shared" si="2"/>
        <v>75.75</v>
      </c>
      <c r="F116" s="62">
        <f t="shared" si="2"/>
        <v>75.25</v>
      </c>
      <c r="G116" s="62">
        <f t="shared" si="2"/>
        <v>68.5</v>
      </c>
      <c r="H116" s="62">
        <f t="shared" si="2"/>
        <v>71.5</v>
      </c>
      <c r="I116" s="62">
        <f t="shared" si="2"/>
        <v>518.25</v>
      </c>
      <c r="J116" s="48"/>
    </row>
    <row r="117" spans="1:10" ht="17.649999999999999" customHeight="1" x14ac:dyDescent="0.2">
      <c r="A117" s="18"/>
      <c r="B117" s="18"/>
      <c r="C117" s="18"/>
      <c r="D117" s="18"/>
      <c r="E117" s="18"/>
      <c r="F117" s="18"/>
      <c r="G117" s="3475" t="s">
        <v>642</v>
      </c>
      <c r="H117" s="3475" t="s">
        <v>643</v>
      </c>
      <c r="I117" s="3475" t="s">
        <v>644</v>
      </c>
    </row>
    <row r="118" spans="1:10" ht="17.649999999999999" customHeight="1" x14ac:dyDescent="0.2">
      <c r="A118" s="59"/>
      <c r="B118" s="59"/>
      <c r="C118" s="59"/>
      <c r="D118" s="59"/>
      <c r="E118" s="59"/>
      <c r="F118" s="18"/>
      <c r="G118" s="3449">
        <f>I116</f>
        <v>518.25</v>
      </c>
      <c r="H118" s="3476">
        <f>SUM(G118*13/3)</f>
        <v>2245.75</v>
      </c>
      <c r="I118" s="3449">
        <f>SUM(H118*12)</f>
        <v>26949</v>
      </c>
    </row>
    <row r="119" spans="1:10" ht="17.649999999999999" customHeight="1" x14ac:dyDescent="0.2">
      <c r="A119" s="18"/>
      <c r="B119" s="18"/>
      <c r="C119" s="18"/>
      <c r="D119" s="18"/>
      <c r="E119" s="18"/>
      <c r="F119" s="18"/>
      <c r="G119" s="18"/>
      <c r="H119" s="45"/>
      <c r="I119" s="18"/>
    </row>
    <row r="120" spans="1:10" ht="17.649999999999999" customHeight="1" x14ac:dyDescent="0.2">
      <c r="A120" s="18"/>
      <c r="B120" s="18"/>
      <c r="C120" s="18"/>
      <c r="D120" s="18"/>
      <c r="E120" s="18"/>
      <c r="F120" s="18"/>
      <c r="G120" s="18"/>
      <c r="H120" s="45"/>
      <c r="I120" s="18"/>
    </row>
    <row r="121" spans="1:10" ht="17.649999999999999" customHeight="1" x14ac:dyDescent="0.2">
      <c r="A121" s="18"/>
      <c r="B121" s="18"/>
      <c r="C121" s="18"/>
      <c r="D121" s="18" t="s">
        <v>866</v>
      </c>
      <c r="E121" s="18"/>
      <c r="F121" s="18"/>
      <c r="G121" s="18"/>
      <c r="H121" s="45"/>
      <c r="I121" s="18"/>
    </row>
    <row r="122" spans="1:10" ht="17.649999999999999" customHeight="1" x14ac:dyDescent="0.2">
      <c r="A122" s="611"/>
      <c r="B122" s="431" t="s">
        <v>679</v>
      </c>
      <c r="C122" s="431" t="s">
        <v>679</v>
      </c>
      <c r="D122" s="431" t="s">
        <v>679</v>
      </c>
      <c r="E122" s="431" t="s">
        <v>679</v>
      </c>
      <c r="F122" s="431" t="s">
        <v>679</v>
      </c>
      <c r="G122" s="612" t="s">
        <v>680</v>
      </c>
      <c r="H122" s="613" t="s">
        <v>680</v>
      </c>
      <c r="I122" s="18"/>
    </row>
    <row r="123" spans="1:10" ht="17.649999999999999" customHeight="1" x14ac:dyDescent="0.2">
      <c r="A123" s="3432" t="s">
        <v>540</v>
      </c>
      <c r="B123" s="3492">
        <v>8.25</v>
      </c>
      <c r="C123" s="3492">
        <v>8.25</v>
      </c>
      <c r="D123" s="3492">
        <v>8.25</v>
      </c>
      <c r="E123" s="3492">
        <v>8.25</v>
      </c>
      <c r="F123" s="3492">
        <v>8.25</v>
      </c>
      <c r="G123" s="3598">
        <v>12.25</v>
      </c>
      <c r="H123" s="3599">
        <v>12.25</v>
      </c>
      <c r="I123" s="18"/>
    </row>
    <row r="124" spans="1:10" ht="17.649999999999999" customHeight="1" x14ac:dyDescent="0.2">
      <c r="A124" s="611"/>
      <c r="B124" s="572" t="s">
        <v>518</v>
      </c>
      <c r="C124" s="572" t="s">
        <v>518</v>
      </c>
      <c r="D124" s="572" t="s">
        <v>518</v>
      </c>
      <c r="E124" s="572" t="s">
        <v>518</v>
      </c>
      <c r="F124" s="572" t="s">
        <v>518</v>
      </c>
      <c r="G124" s="573"/>
      <c r="H124" s="614"/>
      <c r="I124" s="18"/>
    </row>
    <row r="125" spans="1:10" ht="17.649999999999999" customHeight="1" x14ac:dyDescent="0.2">
      <c r="A125" s="3432" t="s">
        <v>854</v>
      </c>
      <c r="B125" s="3414"/>
      <c r="C125" s="3414"/>
      <c r="D125" s="3414"/>
      <c r="E125" s="3414"/>
      <c r="F125" s="3414"/>
      <c r="G125" s="3457"/>
      <c r="H125" s="3600"/>
      <c r="I125" s="18"/>
    </row>
    <row r="126" spans="1:10" ht="17.649999999999999" customHeight="1" x14ac:dyDescent="0.2">
      <c r="A126" s="611"/>
      <c r="B126" s="440" t="s">
        <v>710</v>
      </c>
      <c r="C126" s="440" t="s">
        <v>710</v>
      </c>
      <c r="D126" s="440" t="s">
        <v>710</v>
      </c>
      <c r="E126" s="440" t="s">
        <v>710</v>
      </c>
      <c r="F126" s="440" t="s">
        <v>711</v>
      </c>
      <c r="G126" s="439" t="s">
        <v>712</v>
      </c>
      <c r="H126" s="337" t="s">
        <v>712</v>
      </c>
      <c r="I126" s="18"/>
    </row>
    <row r="127" spans="1:10" ht="17.649999999999999" customHeight="1" x14ac:dyDescent="0.2">
      <c r="A127" s="3432" t="s">
        <v>558</v>
      </c>
      <c r="B127" s="3509">
        <v>7</v>
      </c>
      <c r="C127" s="3509">
        <v>7</v>
      </c>
      <c r="D127" s="3509">
        <v>7</v>
      </c>
      <c r="E127" s="3509">
        <v>7</v>
      </c>
      <c r="F127" s="3509">
        <v>6.5</v>
      </c>
      <c r="G127" s="3507">
        <v>12</v>
      </c>
      <c r="H127" s="3508">
        <v>12</v>
      </c>
      <c r="I127" s="18"/>
    </row>
    <row r="128" spans="1:10" ht="17.649999999999999" customHeight="1" x14ac:dyDescent="0.2">
      <c r="A128" s="611"/>
      <c r="B128" s="572" t="s">
        <v>518</v>
      </c>
      <c r="C128" s="572" t="s">
        <v>518</v>
      </c>
      <c r="D128" s="572" t="s">
        <v>518</v>
      </c>
      <c r="E128" s="572" t="s">
        <v>518</v>
      </c>
      <c r="F128" s="572" t="s">
        <v>518</v>
      </c>
      <c r="G128" s="573"/>
      <c r="H128" s="614"/>
      <c r="I128" s="18"/>
    </row>
    <row r="129" spans="1:9" ht="17.649999999999999" customHeight="1" x14ac:dyDescent="0.2">
      <c r="A129" s="3432" t="s">
        <v>730</v>
      </c>
      <c r="B129" s="3414"/>
      <c r="C129" s="3414"/>
      <c r="D129" s="3414"/>
      <c r="E129" s="3414"/>
      <c r="F129" s="3414"/>
      <c r="G129" s="3457"/>
      <c r="H129" s="3600"/>
      <c r="I129" s="18"/>
    </row>
    <row r="130" spans="1:9" ht="17.649999999999999" customHeight="1" x14ac:dyDescent="0.2">
      <c r="A130" s="611"/>
      <c r="B130" s="444" t="s">
        <v>738</v>
      </c>
      <c r="C130" s="444" t="s">
        <v>738</v>
      </c>
      <c r="D130" s="444" t="s">
        <v>738</v>
      </c>
      <c r="E130" s="444" t="s">
        <v>738</v>
      </c>
      <c r="F130" s="444" t="s">
        <v>738</v>
      </c>
      <c r="G130" s="569"/>
      <c r="H130" s="615"/>
      <c r="I130" s="18"/>
    </row>
    <row r="131" spans="1:9" ht="17.649999999999999" customHeight="1" x14ac:dyDescent="0.2">
      <c r="A131" s="3432" t="s">
        <v>568</v>
      </c>
      <c r="B131" s="3535">
        <v>7</v>
      </c>
      <c r="C131" s="3535">
        <v>7</v>
      </c>
      <c r="D131" s="3535">
        <v>7</v>
      </c>
      <c r="E131" s="3535">
        <v>7</v>
      </c>
      <c r="F131" s="3535">
        <v>7</v>
      </c>
      <c r="G131" s="3414"/>
      <c r="H131" s="3601"/>
      <c r="I131" s="18"/>
    </row>
    <row r="132" spans="1:9" ht="17.649999999999999" customHeight="1" x14ac:dyDescent="0.2">
      <c r="A132" s="611"/>
      <c r="B132" s="434" t="s">
        <v>685</v>
      </c>
      <c r="C132" s="434" t="s">
        <v>685</v>
      </c>
      <c r="D132" s="434" t="s">
        <v>685</v>
      </c>
      <c r="E132" s="434" t="s">
        <v>685</v>
      </c>
      <c r="F132" s="434" t="s">
        <v>685</v>
      </c>
      <c r="G132" s="435" t="s">
        <v>686</v>
      </c>
      <c r="H132" s="333" t="s">
        <v>686</v>
      </c>
      <c r="I132" s="18"/>
    </row>
    <row r="133" spans="1:9" ht="17.649999999999999" customHeight="1" x14ac:dyDescent="0.2">
      <c r="A133" s="3432" t="s">
        <v>688</v>
      </c>
      <c r="B133" s="3430">
        <v>7</v>
      </c>
      <c r="C133" s="3430">
        <v>7</v>
      </c>
      <c r="D133" s="3430">
        <v>7</v>
      </c>
      <c r="E133" s="3430">
        <v>7</v>
      </c>
      <c r="F133" s="3430">
        <v>7</v>
      </c>
      <c r="G133" s="3499">
        <v>11</v>
      </c>
      <c r="H133" s="3500">
        <v>11</v>
      </c>
      <c r="I133" s="18"/>
    </row>
    <row r="134" spans="1:9" ht="17.649999999999999" customHeight="1" x14ac:dyDescent="0.2">
      <c r="A134" s="611"/>
      <c r="B134" s="572" t="s">
        <v>518</v>
      </c>
      <c r="C134" s="572" t="s">
        <v>518</v>
      </c>
      <c r="D134" s="572" t="s">
        <v>518</v>
      </c>
      <c r="E134" s="572" t="s">
        <v>518</v>
      </c>
      <c r="F134" s="572" t="s">
        <v>518</v>
      </c>
      <c r="G134" s="565"/>
      <c r="H134" s="562"/>
      <c r="I134" s="18"/>
    </row>
    <row r="135" spans="1:9" ht="17.649999999999999" customHeight="1" x14ac:dyDescent="0.2">
      <c r="A135" s="3432" t="s">
        <v>701</v>
      </c>
      <c r="B135" s="3414"/>
      <c r="C135" s="3414"/>
      <c r="D135" s="3414"/>
      <c r="E135" s="3414"/>
      <c r="F135" s="3414"/>
      <c r="G135" s="3420"/>
      <c r="H135" s="3371"/>
      <c r="I135" s="18"/>
    </row>
    <row r="136" spans="1:9" ht="17.649999999999999" customHeight="1" x14ac:dyDescent="0.2">
      <c r="A136" s="611"/>
      <c r="B136" s="441" t="s">
        <v>718</v>
      </c>
      <c r="C136" s="441" t="s">
        <v>718</v>
      </c>
      <c r="D136" s="441" t="s">
        <v>718</v>
      </c>
      <c r="E136" s="441" t="s">
        <v>718</v>
      </c>
      <c r="F136" s="441" t="s">
        <v>718</v>
      </c>
      <c r="G136" s="439" t="s">
        <v>719</v>
      </c>
      <c r="H136" s="337" t="s">
        <v>712</v>
      </c>
      <c r="I136" s="18"/>
    </row>
    <row r="137" spans="1:9" ht="17.649999999999999" customHeight="1" x14ac:dyDescent="0.2">
      <c r="A137" s="3432" t="s">
        <v>722</v>
      </c>
      <c r="B137" s="3514">
        <v>7</v>
      </c>
      <c r="C137" s="3514">
        <v>7</v>
      </c>
      <c r="D137" s="3514">
        <v>7</v>
      </c>
      <c r="E137" s="3514">
        <v>7</v>
      </c>
      <c r="F137" s="3514">
        <v>7</v>
      </c>
      <c r="G137" s="3515">
        <v>9</v>
      </c>
      <c r="H137" s="3508">
        <v>12</v>
      </c>
      <c r="I137" s="18"/>
    </row>
    <row r="138" spans="1:9" ht="17.649999999999999" customHeight="1" x14ac:dyDescent="0.2">
      <c r="A138" s="611"/>
      <c r="B138" s="572" t="s">
        <v>518</v>
      </c>
      <c r="C138" s="572" t="s">
        <v>518</v>
      </c>
      <c r="D138" s="572" t="s">
        <v>518</v>
      </c>
      <c r="E138" s="572" t="s">
        <v>518</v>
      </c>
      <c r="F138" s="572" t="s">
        <v>518</v>
      </c>
      <c r="G138" s="565"/>
      <c r="H138" s="562"/>
      <c r="I138" s="18"/>
    </row>
    <row r="139" spans="1:9" ht="17.649999999999999" customHeight="1" x14ac:dyDescent="0.2">
      <c r="A139" s="33" t="s">
        <v>748</v>
      </c>
      <c r="B139" s="3414"/>
      <c r="C139" s="3414"/>
      <c r="D139" s="3414"/>
      <c r="E139" s="3414"/>
      <c r="F139" s="3414"/>
      <c r="G139" s="3420"/>
      <c r="H139" s="3371"/>
      <c r="I139" s="18"/>
    </row>
    <row r="140" spans="1:9" ht="17.649999999999999" customHeight="1" x14ac:dyDescent="0.2">
      <c r="A140" s="611"/>
      <c r="B140" s="340" t="s">
        <v>741</v>
      </c>
      <c r="C140" s="340" t="s">
        <v>741</v>
      </c>
      <c r="D140" s="340" t="s">
        <v>741</v>
      </c>
      <c r="E140" s="340" t="s">
        <v>741</v>
      </c>
      <c r="F140" s="340" t="s">
        <v>741</v>
      </c>
      <c r="G140" s="569"/>
      <c r="H140" s="615"/>
      <c r="I140" s="18"/>
    </row>
    <row r="141" spans="1:9" ht="17.649999999999999" customHeight="1" x14ac:dyDescent="0.2">
      <c r="A141" s="3439" t="s">
        <v>569</v>
      </c>
      <c r="B141" s="3536">
        <v>7.5</v>
      </c>
      <c r="C141" s="3536">
        <v>7.5</v>
      </c>
      <c r="D141" s="3536">
        <v>7.5</v>
      </c>
      <c r="E141" s="3536">
        <v>7.5</v>
      </c>
      <c r="F141" s="3536">
        <v>7.5</v>
      </c>
      <c r="G141" s="3414"/>
      <c r="H141" s="3601"/>
      <c r="I141" s="18"/>
    </row>
    <row r="142" spans="1:9" ht="17.649999999999999" customHeight="1" x14ac:dyDescent="0.2">
      <c r="A142" s="611"/>
      <c r="B142" s="436" t="s">
        <v>691</v>
      </c>
      <c r="C142" s="436" t="s">
        <v>691</v>
      </c>
      <c r="D142" s="436" t="s">
        <v>691</v>
      </c>
      <c r="E142" s="436" t="s">
        <v>691</v>
      </c>
      <c r="F142" s="436" t="s">
        <v>691</v>
      </c>
      <c r="G142" s="333" t="s">
        <v>692</v>
      </c>
      <c r="H142" s="333" t="s">
        <v>692</v>
      </c>
      <c r="I142" s="18"/>
    </row>
    <row r="143" spans="1:9" ht="17.649999999999999" customHeight="1" x14ac:dyDescent="0.2">
      <c r="A143" s="3432" t="s">
        <v>693</v>
      </c>
      <c r="B143" s="3503">
        <v>8</v>
      </c>
      <c r="C143" s="3503">
        <v>8</v>
      </c>
      <c r="D143" s="3503">
        <v>8</v>
      </c>
      <c r="E143" s="3503">
        <v>8</v>
      </c>
      <c r="F143" s="3503">
        <v>8</v>
      </c>
      <c r="G143" s="3499">
        <v>12</v>
      </c>
      <c r="H143" s="3499">
        <v>12</v>
      </c>
      <c r="I143" s="18"/>
    </row>
    <row r="144" spans="1:9" ht="17.649999999999999" customHeight="1" x14ac:dyDescent="0.2">
      <c r="A144" s="616"/>
      <c r="B144" s="572" t="s">
        <v>518</v>
      </c>
      <c r="C144" s="572" t="s">
        <v>518</v>
      </c>
      <c r="D144" s="572" t="s">
        <v>518</v>
      </c>
      <c r="E144" s="572" t="s">
        <v>518</v>
      </c>
      <c r="F144" s="572" t="s">
        <v>518</v>
      </c>
      <c r="G144" s="439" t="s">
        <v>703</v>
      </c>
      <c r="H144" s="337" t="s">
        <v>704</v>
      </c>
      <c r="I144" s="18"/>
    </row>
    <row r="145" spans="1:10" ht="17.649999999999999" customHeight="1" x14ac:dyDescent="0.2">
      <c r="A145" s="3432" t="s">
        <v>707</v>
      </c>
      <c r="B145" s="3414"/>
      <c r="C145" s="3414"/>
      <c r="D145" s="3414"/>
      <c r="E145" s="3414"/>
      <c r="F145" s="3414"/>
      <c r="G145" s="3507">
        <v>12.25</v>
      </c>
      <c r="H145" s="3508">
        <v>12.25</v>
      </c>
      <c r="I145" s="18"/>
    </row>
    <row r="146" spans="1:10" ht="17.649999999999999" customHeight="1" x14ac:dyDescent="0.2">
      <c r="A146" s="611"/>
      <c r="B146" s="3519" t="s">
        <v>725</v>
      </c>
      <c r="C146" s="3519" t="s">
        <v>725</v>
      </c>
      <c r="D146" s="3519" t="s">
        <v>725</v>
      </c>
      <c r="E146" s="3519" t="s">
        <v>725</v>
      </c>
      <c r="F146" s="3519" t="s">
        <v>725</v>
      </c>
      <c r="G146" s="423"/>
      <c r="H146" s="339"/>
      <c r="I146" s="18"/>
    </row>
    <row r="147" spans="1:10" ht="17.649999999999999" customHeight="1" x14ac:dyDescent="0.2">
      <c r="A147" s="3432" t="s">
        <v>727</v>
      </c>
      <c r="B147" s="3522">
        <v>8</v>
      </c>
      <c r="C147" s="3522">
        <v>8</v>
      </c>
      <c r="D147" s="3522">
        <v>8</v>
      </c>
      <c r="E147" s="3522">
        <v>8</v>
      </c>
      <c r="F147" s="3522">
        <v>8</v>
      </c>
      <c r="G147" s="3407"/>
      <c r="H147" s="3537"/>
      <c r="I147" s="18"/>
    </row>
    <row r="148" spans="1:10" ht="17.649999999999999" customHeight="1" x14ac:dyDescent="0.2">
      <c r="A148" s="611" t="s">
        <v>0</v>
      </c>
      <c r="B148" s="442" t="s">
        <v>690</v>
      </c>
      <c r="C148" s="442" t="s">
        <v>690</v>
      </c>
      <c r="D148" s="442" t="s">
        <v>690</v>
      </c>
      <c r="E148" s="442" t="s">
        <v>690</v>
      </c>
      <c r="F148" s="442" t="s">
        <v>690</v>
      </c>
      <c r="G148" s="579"/>
      <c r="H148" s="562"/>
      <c r="I148" s="18"/>
    </row>
    <row r="149" spans="1:10" ht="17.649999999999999" customHeight="1" x14ac:dyDescent="0.2">
      <c r="A149" s="39" t="s">
        <v>735</v>
      </c>
      <c r="B149" s="3544">
        <v>8</v>
      </c>
      <c r="C149" s="3544">
        <v>8</v>
      </c>
      <c r="D149" s="3544">
        <v>8</v>
      </c>
      <c r="E149" s="3544">
        <v>8</v>
      </c>
      <c r="F149" s="3544">
        <v>8</v>
      </c>
      <c r="G149" s="3420"/>
      <c r="H149" s="3371"/>
      <c r="I149" s="18"/>
    </row>
    <row r="150" spans="1:10" ht="17.649999999999999" customHeight="1" x14ac:dyDescent="0.2">
      <c r="A150" s="611"/>
      <c r="B150" s="341" t="s">
        <v>744</v>
      </c>
      <c r="C150" s="446" t="s">
        <v>744</v>
      </c>
      <c r="D150" s="446" t="s">
        <v>744</v>
      </c>
      <c r="E150" s="446" t="s">
        <v>744</v>
      </c>
      <c r="F150" s="446" t="s">
        <v>744</v>
      </c>
      <c r="G150" s="569"/>
      <c r="H150" s="615"/>
      <c r="I150" s="18"/>
    </row>
    <row r="151" spans="1:10" ht="17.649999999999999" customHeight="1" x14ac:dyDescent="0.2">
      <c r="A151" s="3432" t="s">
        <v>570</v>
      </c>
      <c r="B151" s="3542">
        <v>8</v>
      </c>
      <c r="C151" s="3542">
        <v>8</v>
      </c>
      <c r="D151" s="3542">
        <v>8</v>
      </c>
      <c r="E151" s="3542">
        <v>8</v>
      </c>
      <c r="F151" s="3542">
        <v>8</v>
      </c>
      <c r="G151" s="3414"/>
      <c r="H151" s="3601"/>
      <c r="I151" s="18"/>
    </row>
    <row r="152" spans="1:10" ht="17.649999999999999" customHeight="1" x14ac:dyDescent="0.2">
      <c r="A152" s="18"/>
      <c r="B152" s="18"/>
      <c r="C152" s="18"/>
      <c r="D152" s="18"/>
      <c r="E152" s="18"/>
      <c r="F152" s="18"/>
      <c r="G152" s="18"/>
      <c r="H152" s="45"/>
      <c r="I152" s="18"/>
    </row>
    <row r="153" spans="1:10" ht="17.649999999999999" customHeight="1" x14ac:dyDescent="0.2">
      <c r="A153" s="18"/>
      <c r="B153" s="18"/>
      <c r="C153" s="18"/>
      <c r="D153" s="18"/>
      <c r="E153" s="18"/>
      <c r="F153" s="18"/>
      <c r="G153" s="18"/>
      <c r="H153" s="45"/>
      <c r="I153" s="18"/>
    </row>
    <row r="154" spans="1:10" ht="17.100000000000001" customHeight="1" x14ac:dyDescent="0.2">
      <c r="A154" s="1" t="s">
        <v>749</v>
      </c>
      <c r="B154" s="18"/>
      <c r="C154" s="18"/>
      <c r="D154" s="18"/>
      <c r="E154" s="18"/>
      <c r="F154" s="18"/>
    </row>
    <row r="155" spans="1:10" ht="17.100000000000001" customHeight="1" x14ac:dyDescent="0.2">
      <c r="A155" s="304" t="s">
        <v>750</v>
      </c>
      <c r="B155" s="423" t="s">
        <v>90</v>
      </c>
      <c r="C155" s="424" t="s">
        <v>91</v>
      </c>
      <c r="D155" s="424" t="s">
        <v>92</v>
      </c>
      <c r="E155" s="424" t="s">
        <v>93</v>
      </c>
      <c r="F155" s="424" t="s">
        <v>94</v>
      </c>
      <c r="G155" s="424" t="s">
        <v>95</v>
      </c>
      <c r="H155" s="308" t="s">
        <v>96</v>
      </c>
      <c r="I155" s="309" t="s">
        <v>138</v>
      </c>
      <c r="J155" s="425" t="s">
        <v>97</v>
      </c>
    </row>
    <row r="156" spans="1:10" ht="17.100000000000001" customHeight="1" x14ac:dyDescent="0.2">
      <c r="A156" s="571" t="s">
        <v>0</v>
      </c>
      <c r="B156" s="569" t="s">
        <v>867</v>
      </c>
      <c r="C156" s="569" t="s">
        <v>867</v>
      </c>
      <c r="D156" s="569" t="s">
        <v>867</v>
      </c>
      <c r="E156" s="569" t="s">
        <v>867</v>
      </c>
      <c r="F156" s="569" t="s">
        <v>868</v>
      </c>
      <c r="G156" s="561"/>
      <c r="H156" s="561"/>
      <c r="I156" s="572"/>
      <c r="J156" s="574"/>
    </row>
    <row r="157" spans="1:10" ht="17.100000000000001" customHeight="1" x14ac:dyDescent="0.2">
      <c r="A157" s="3569" t="s">
        <v>611</v>
      </c>
      <c r="B157" s="3449">
        <v>7.75</v>
      </c>
      <c r="C157" s="3449">
        <v>7.75</v>
      </c>
      <c r="D157" s="3449">
        <v>7.75</v>
      </c>
      <c r="E157" s="3449">
        <v>7.75</v>
      </c>
      <c r="F157" s="3449">
        <v>6</v>
      </c>
      <c r="G157" s="3473"/>
      <c r="H157" s="3473"/>
      <c r="I157" s="3449">
        <f>SUM(B157:H157)</f>
        <v>37</v>
      </c>
      <c r="J157" s="3570"/>
    </row>
    <row r="158" spans="1:10" ht="17.100000000000001" customHeight="1" x14ac:dyDescent="0.2">
      <c r="A158" s="3602"/>
      <c r="B158" s="3582" t="s">
        <v>869</v>
      </c>
      <c r="C158" s="3582" t="s">
        <v>869</v>
      </c>
      <c r="D158" s="3582" t="s">
        <v>869</v>
      </c>
      <c r="E158" s="3582" t="s">
        <v>869</v>
      </c>
      <c r="F158" s="3582" t="s">
        <v>870</v>
      </c>
      <c r="G158" s="3547"/>
      <c r="H158" s="3547"/>
      <c r="I158" s="3452"/>
      <c r="J158" s="3548"/>
    </row>
    <row r="159" spans="1:10" ht="17.100000000000001" customHeight="1" x14ac:dyDescent="0.2">
      <c r="A159" s="530" t="s">
        <v>638</v>
      </c>
      <c r="B159" s="569" t="s">
        <v>90</v>
      </c>
      <c r="C159" s="561" t="s">
        <v>91</v>
      </c>
      <c r="D159" s="561" t="s">
        <v>92</v>
      </c>
      <c r="E159" s="561" t="s">
        <v>93</v>
      </c>
      <c r="F159" s="561" t="s">
        <v>94</v>
      </c>
      <c r="G159" s="561" t="s">
        <v>95</v>
      </c>
      <c r="H159" s="561" t="s">
        <v>96</v>
      </c>
      <c r="I159" s="565" t="s">
        <v>138</v>
      </c>
      <c r="J159" s="570" t="s">
        <v>97</v>
      </c>
    </row>
    <row r="160" spans="1:10" ht="17.100000000000001" customHeight="1" x14ac:dyDescent="0.2">
      <c r="A160" s="3569" t="s">
        <v>0</v>
      </c>
      <c r="B160" s="3603" t="s">
        <v>871</v>
      </c>
      <c r="C160" s="3603" t="s">
        <v>871</v>
      </c>
      <c r="D160" s="3603" t="s">
        <v>871</v>
      </c>
      <c r="E160" s="3603" t="s">
        <v>871</v>
      </c>
      <c r="F160" s="3603" t="s">
        <v>872</v>
      </c>
      <c r="G160" s="3473"/>
      <c r="H160" s="3473"/>
      <c r="I160" s="3449"/>
      <c r="J160" s="3570"/>
    </row>
    <row r="161" spans="1:10" ht="17.100000000000001" customHeight="1" x14ac:dyDescent="0.2">
      <c r="A161" s="3449" t="s">
        <v>757</v>
      </c>
      <c r="B161" s="3603" t="s">
        <v>833</v>
      </c>
      <c r="C161" s="3603" t="s">
        <v>833</v>
      </c>
      <c r="D161" s="3603" t="s">
        <v>833</v>
      </c>
      <c r="E161" s="3603" t="s">
        <v>833</v>
      </c>
      <c r="F161" s="3603" t="s">
        <v>834</v>
      </c>
      <c r="G161" s="3473"/>
      <c r="H161" s="3473"/>
      <c r="I161" s="3449"/>
      <c r="J161" s="3570"/>
    </row>
    <row r="162" spans="1:10" ht="17.100000000000001" customHeight="1" x14ac:dyDescent="0.2">
      <c r="A162" s="3444"/>
      <c r="B162" s="3444">
        <v>7.75</v>
      </c>
      <c r="C162" s="3444">
        <v>7.75</v>
      </c>
      <c r="D162" s="3444">
        <v>7.75</v>
      </c>
      <c r="E162" s="3444">
        <v>7.75</v>
      </c>
      <c r="F162" s="3444">
        <v>6</v>
      </c>
      <c r="G162" s="3446"/>
      <c r="H162" s="36"/>
      <c r="I162" s="3460">
        <f>SUM(B162:H162)</f>
        <v>37</v>
      </c>
      <c r="J162" s="3429"/>
    </row>
    <row r="163" spans="1:10" ht="17.100000000000001" customHeight="1" x14ac:dyDescent="0.2">
      <c r="A163" s="348" t="s">
        <v>530</v>
      </c>
      <c r="B163" s="349">
        <f>SUM(B157,B162)</f>
        <v>15.5</v>
      </c>
      <c r="C163" s="349">
        <f>SUM(C157,C162)</f>
        <v>15.5</v>
      </c>
      <c r="D163" s="349">
        <f>SUM(D157,D162)</f>
        <v>15.5</v>
      </c>
      <c r="E163" s="349">
        <f>SUM(E157,E162)</f>
        <v>15.5</v>
      </c>
      <c r="F163" s="349">
        <f>SUM(F157,F162)</f>
        <v>12</v>
      </c>
      <c r="G163" s="314"/>
      <c r="H163" s="350"/>
      <c r="I163" s="351">
        <f>SUM(B163:H163)</f>
        <v>74</v>
      </c>
      <c r="J163" s="352"/>
    </row>
    <row r="164" spans="1:10" ht="17.100000000000001" customHeight="1" x14ac:dyDescent="0.2">
      <c r="A164" s="59"/>
      <c r="B164" s="18"/>
      <c r="C164" s="18"/>
      <c r="D164" s="18"/>
      <c r="E164" s="18"/>
      <c r="F164" s="37"/>
      <c r="G164" s="3475" t="s">
        <v>642</v>
      </c>
      <c r="H164" s="3475" t="s">
        <v>643</v>
      </c>
      <c r="I164" s="3475" t="s">
        <v>644</v>
      </c>
      <c r="J164" s="19"/>
    </row>
    <row r="165" spans="1:10" ht="17.100000000000001" customHeight="1" x14ac:dyDescent="0.2">
      <c r="A165" s="59"/>
      <c r="B165" s="18"/>
      <c r="C165" s="18"/>
      <c r="D165" s="18"/>
      <c r="E165" s="18"/>
      <c r="F165" s="37"/>
      <c r="G165" s="3449">
        <f>SUM(I163)</f>
        <v>74</v>
      </c>
      <c r="H165" s="3476">
        <f>SUM(G165*13/3)</f>
        <v>320.66666666666669</v>
      </c>
      <c r="I165" s="3449">
        <f>SUM(H165*12)</f>
        <v>3848</v>
      </c>
      <c r="J165" s="19"/>
    </row>
    <row r="166" spans="1:10" ht="17.100000000000001" customHeight="1" x14ac:dyDescent="0.2">
      <c r="A166" s="1" t="s">
        <v>758</v>
      </c>
      <c r="B166" s="18"/>
      <c r="C166" s="18"/>
      <c r="D166" s="18"/>
      <c r="E166" s="18"/>
      <c r="F166" s="18"/>
    </row>
    <row r="167" spans="1:10" ht="17.100000000000001" customHeight="1" x14ac:dyDescent="0.2">
      <c r="A167" s="530" t="s">
        <v>759</v>
      </c>
      <c r="B167" s="569" t="s">
        <v>90</v>
      </c>
      <c r="C167" s="561" t="s">
        <v>91</v>
      </c>
      <c r="D167" s="561" t="s">
        <v>92</v>
      </c>
      <c r="E167" s="561" t="s">
        <v>93</v>
      </c>
      <c r="F167" s="561" t="s">
        <v>94</v>
      </c>
      <c r="G167" s="561" t="s">
        <v>95</v>
      </c>
      <c r="H167" s="561" t="s">
        <v>96</v>
      </c>
      <c r="I167" s="565" t="s">
        <v>138</v>
      </c>
      <c r="J167" s="570" t="s">
        <v>97</v>
      </c>
    </row>
    <row r="168" spans="1:10" ht="17.100000000000001" customHeight="1" x14ac:dyDescent="0.2">
      <c r="A168" s="3569" t="s">
        <v>0</v>
      </c>
      <c r="B168" s="3449" t="s">
        <v>760</v>
      </c>
      <c r="C168" s="3449" t="s">
        <v>760</v>
      </c>
      <c r="D168" s="3449" t="s">
        <v>760</v>
      </c>
      <c r="E168" s="3449" t="s">
        <v>760</v>
      </c>
      <c r="F168" s="3449" t="s">
        <v>761</v>
      </c>
      <c r="G168" s="3473"/>
      <c r="H168" s="3473"/>
      <c r="I168" s="3449"/>
      <c r="J168" s="3570"/>
    </row>
    <row r="169" spans="1:10" ht="17.100000000000001" customHeight="1" x14ac:dyDescent="0.2">
      <c r="A169" s="3569" t="s">
        <v>613</v>
      </c>
      <c r="B169" s="3449">
        <v>8</v>
      </c>
      <c r="C169" s="3449">
        <v>8</v>
      </c>
      <c r="D169" s="3449">
        <v>8</v>
      </c>
      <c r="E169" s="3449">
        <v>8</v>
      </c>
      <c r="F169" s="3449">
        <v>5</v>
      </c>
      <c r="G169" s="3473"/>
      <c r="H169" s="3473"/>
      <c r="I169" s="3449">
        <f>SUM(B169:H169)</f>
        <v>37</v>
      </c>
      <c r="J169" s="3570"/>
    </row>
    <row r="170" spans="1:10" ht="17.100000000000001" customHeight="1" x14ac:dyDescent="0.2">
      <c r="A170" s="3413"/>
      <c r="B170" s="3566" t="s">
        <v>873</v>
      </c>
      <c r="C170" s="3566" t="s">
        <v>873</v>
      </c>
      <c r="D170" s="3566" t="s">
        <v>873</v>
      </c>
      <c r="E170" s="3566" t="s">
        <v>873</v>
      </c>
      <c r="F170" s="3566" t="s">
        <v>874</v>
      </c>
      <c r="G170" s="3567"/>
      <c r="H170" s="3567"/>
      <c r="I170" s="3414"/>
      <c r="J170" s="3459"/>
    </row>
    <row r="171" spans="1:10" ht="17.100000000000001" customHeight="1" x14ac:dyDescent="0.2">
      <c r="A171" s="59"/>
      <c r="B171" s="18"/>
      <c r="C171" s="18"/>
      <c r="D171" s="18"/>
      <c r="E171" s="18"/>
      <c r="F171" s="37"/>
      <c r="G171" s="43" t="s">
        <v>642</v>
      </c>
      <c r="H171" s="43" t="s">
        <v>643</v>
      </c>
      <c r="I171" s="43" t="s">
        <v>644</v>
      </c>
      <c r="J171" s="19"/>
    </row>
    <row r="172" spans="1:10" ht="15.75" customHeight="1" x14ac:dyDescent="0.2">
      <c r="A172" s="59"/>
      <c r="B172" s="18"/>
      <c r="C172" s="18"/>
      <c r="D172" s="18"/>
      <c r="E172" s="18"/>
      <c r="F172" s="37"/>
      <c r="G172" s="3449">
        <f>I169</f>
        <v>37</v>
      </c>
      <c r="H172" s="3476">
        <f>SUM(G172*13/3)</f>
        <v>160.33333333333334</v>
      </c>
      <c r="I172" s="3449">
        <f>SUM(H172*12)</f>
        <v>1924</v>
      </c>
      <c r="J172" s="19"/>
    </row>
    <row r="173" spans="1:10" ht="15.75" customHeight="1" x14ac:dyDescent="0.2">
      <c r="A173" s="59"/>
      <c r="B173" s="18"/>
      <c r="C173" s="18"/>
      <c r="D173" s="18"/>
      <c r="E173" s="18"/>
      <c r="F173" s="37"/>
      <c r="G173" s="18"/>
      <c r="H173" s="45"/>
      <c r="I173" s="18"/>
      <c r="J173" s="19"/>
    </row>
    <row r="174" spans="1:10" ht="15.75" customHeight="1" x14ac:dyDescent="0.2">
      <c r="A174" s="59"/>
      <c r="B174" s="18"/>
      <c r="C174" s="18"/>
      <c r="D174" s="18"/>
      <c r="E174" s="18"/>
      <c r="F174" s="37"/>
      <c r="G174" s="18"/>
      <c r="H174" s="45"/>
      <c r="I174" s="18"/>
      <c r="J174" s="19"/>
    </row>
    <row r="175" spans="1:10" ht="15.75" customHeight="1" x14ac:dyDescent="0.2">
      <c r="A175" s="59"/>
      <c r="B175" s="18"/>
      <c r="C175" s="18"/>
      <c r="D175" s="18"/>
      <c r="E175" s="18"/>
      <c r="F175" s="37"/>
      <c r="G175" s="18"/>
      <c r="H175" s="45"/>
      <c r="I175" s="18"/>
      <c r="J175" s="19"/>
    </row>
    <row r="176" spans="1:10" ht="15.75" customHeight="1" x14ac:dyDescent="0.2">
      <c r="A176" s="59"/>
      <c r="B176" s="18"/>
      <c r="C176" s="18"/>
      <c r="D176" s="18"/>
      <c r="E176" s="18"/>
      <c r="F176" s="37"/>
      <c r="G176" s="18"/>
      <c r="H176" s="45"/>
      <c r="I176" s="18"/>
      <c r="J176" s="19"/>
    </row>
    <row r="177" spans="1:10" ht="15.75" customHeight="1" x14ac:dyDescent="0.2">
      <c r="A177" s="59"/>
      <c r="B177" s="18"/>
      <c r="C177" s="18"/>
      <c r="D177" s="18"/>
      <c r="E177" s="18"/>
      <c r="F177" s="37"/>
      <c r="G177" s="18"/>
      <c r="H177" s="45"/>
      <c r="I177" s="18"/>
      <c r="J177" s="19"/>
    </row>
    <row r="178" spans="1:10" ht="15.75" customHeight="1" x14ac:dyDescent="0.2">
      <c r="A178" s="59"/>
      <c r="B178" s="18"/>
      <c r="C178" s="18"/>
      <c r="D178" s="18"/>
      <c r="E178" s="18"/>
      <c r="F178" s="37"/>
      <c r="G178" s="18"/>
      <c r="H178" s="45"/>
      <c r="I178" s="18"/>
      <c r="J178" s="19"/>
    </row>
    <row r="179" spans="1:10" ht="15.75" customHeight="1" x14ac:dyDescent="0.2">
      <c r="A179" s="59"/>
      <c r="B179" s="18"/>
      <c r="C179" s="18"/>
      <c r="D179" s="18"/>
      <c r="E179" s="18"/>
      <c r="F179" s="37"/>
      <c r="G179" s="18"/>
      <c r="H179" s="45"/>
      <c r="I179" s="18"/>
      <c r="J179" s="19"/>
    </row>
    <row r="180" spans="1:10" ht="17.100000000000001" customHeight="1" x14ac:dyDescent="0.2">
      <c r="A180" s="18"/>
      <c r="B180" s="18"/>
      <c r="C180" s="18"/>
      <c r="D180" s="18"/>
      <c r="E180" s="18"/>
      <c r="F180" s="18"/>
      <c r="G180" s="18"/>
      <c r="H180" s="45"/>
      <c r="I180" s="18"/>
      <c r="J180" s="19"/>
    </row>
    <row r="181" spans="1:10" ht="17.100000000000001" customHeight="1" x14ac:dyDescent="0.2">
      <c r="A181" s="1" t="s">
        <v>875</v>
      </c>
      <c r="B181" s="18"/>
      <c r="C181" s="18"/>
      <c r="D181" s="18"/>
      <c r="E181" s="18"/>
      <c r="F181" s="18"/>
    </row>
    <row r="182" spans="1:10" ht="17.100000000000001" customHeight="1" x14ac:dyDescent="0.2">
      <c r="A182" s="304" t="s">
        <v>617</v>
      </c>
      <c r="B182" s="423" t="s">
        <v>90</v>
      </c>
      <c r="C182" s="424" t="s">
        <v>91</v>
      </c>
      <c r="D182" s="424" t="s">
        <v>92</v>
      </c>
      <c r="E182" s="424" t="s">
        <v>93</v>
      </c>
      <c r="F182" s="424" t="s">
        <v>94</v>
      </c>
      <c r="G182" s="424" t="s">
        <v>95</v>
      </c>
      <c r="H182" s="308" t="s">
        <v>96</v>
      </c>
      <c r="I182" s="309" t="s">
        <v>138</v>
      </c>
      <c r="J182" s="425" t="s">
        <v>97</v>
      </c>
    </row>
    <row r="183" spans="1:10" ht="17.100000000000001" customHeight="1" x14ac:dyDescent="0.2">
      <c r="A183" s="571" t="s">
        <v>583</v>
      </c>
      <c r="B183" s="572" t="s">
        <v>766</v>
      </c>
      <c r="C183" s="572" t="s">
        <v>766</v>
      </c>
      <c r="D183" s="572" t="s">
        <v>766</v>
      </c>
      <c r="E183" s="572" t="s">
        <v>766</v>
      </c>
      <c r="F183" s="617" t="s">
        <v>767</v>
      </c>
      <c r="G183" s="561"/>
      <c r="H183" s="561"/>
      <c r="I183" s="572"/>
      <c r="J183" s="574" t="s">
        <v>0</v>
      </c>
    </row>
    <row r="184" spans="1:10" ht="17.100000000000001" customHeight="1" x14ac:dyDescent="0.2">
      <c r="A184" s="3471"/>
      <c r="B184" s="3449">
        <v>8</v>
      </c>
      <c r="C184" s="3449">
        <v>8</v>
      </c>
      <c r="D184" s="3449">
        <v>8</v>
      </c>
      <c r="E184" s="3449">
        <v>8</v>
      </c>
      <c r="F184" s="3604">
        <v>7</v>
      </c>
      <c r="G184" s="3473"/>
      <c r="H184" s="3473"/>
      <c r="I184" s="3449">
        <f>SUM(B184:H184)</f>
        <v>39</v>
      </c>
      <c r="J184" s="3570"/>
    </row>
    <row r="185" spans="1:10" ht="17.100000000000001" customHeight="1" x14ac:dyDescent="0.2">
      <c r="A185" s="3545"/>
      <c r="B185" s="3582" t="s">
        <v>876</v>
      </c>
      <c r="C185" s="3582" t="s">
        <v>876</v>
      </c>
      <c r="D185" s="3582" t="s">
        <v>876</v>
      </c>
      <c r="E185" s="3582" t="s">
        <v>876</v>
      </c>
      <c r="F185" s="3605" t="s">
        <v>877</v>
      </c>
      <c r="G185" s="3547"/>
      <c r="H185" s="3547"/>
      <c r="I185" s="3452"/>
      <c r="J185" s="3548"/>
    </row>
    <row r="186" spans="1:10" ht="17.100000000000001" customHeight="1" x14ac:dyDescent="0.2">
      <c r="A186" s="571" t="s">
        <v>586</v>
      </c>
      <c r="B186" s="572" t="s">
        <v>770</v>
      </c>
      <c r="C186" s="572" t="s">
        <v>770</v>
      </c>
      <c r="D186" s="572" t="s">
        <v>770</v>
      </c>
      <c r="E186" s="572" t="s">
        <v>770</v>
      </c>
      <c r="F186" s="588" t="s">
        <v>771</v>
      </c>
      <c r="G186" s="561"/>
      <c r="H186" s="561"/>
      <c r="I186" s="572"/>
      <c r="J186" s="574"/>
    </row>
    <row r="187" spans="1:10" ht="17.100000000000001" customHeight="1" x14ac:dyDescent="0.2">
      <c r="A187" s="3471"/>
      <c r="B187" s="3449">
        <v>6.5</v>
      </c>
      <c r="C187" s="3449">
        <v>6.5</v>
      </c>
      <c r="D187" s="3449">
        <v>6.5</v>
      </c>
      <c r="E187" s="3449">
        <v>6.5</v>
      </c>
      <c r="F187" s="3606">
        <v>6.25</v>
      </c>
      <c r="G187" s="3473"/>
      <c r="H187" s="3473"/>
      <c r="I187" s="3449">
        <f>SUM(B187:H187)</f>
        <v>32.25</v>
      </c>
      <c r="J187" s="3570"/>
    </row>
    <row r="188" spans="1:10" ht="17.100000000000001" customHeight="1" x14ac:dyDescent="0.2">
      <c r="A188" s="3549"/>
      <c r="B188" s="3566" t="s">
        <v>878</v>
      </c>
      <c r="C188" s="3566" t="s">
        <v>878</v>
      </c>
      <c r="D188" s="3566" t="s">
        <v>878</v>
      </c>
      <c r="E188" s="3566" t="s">
        <v>878</v>
      </c>
      <c r="F188" s="3607" t="s">
        <v>879</v>
      </c>
      <c r="G188" s="3567"/>
      <c r="H188" s="3567"/>
      <c r="I188" s="3414"/>
      <c r="J188" s="3459"/>
    </row>
    <row r="189" spans="1:10" ht="17.100000000000001" customHeight="1" x14ac:dyDescent="0.2">
      <c r="A189" s="46" t="s">
        <v>530</v>
      </c>
      <c r="B189" s="46">
        <f t="shared" ref="B189:I189" si="3">SUM(B184,B187)</f>
        <v>14.5</v>
      </c>
      <c r="C189" s="46">
        <f t="shared" si="3"/>
        <v>14.5</v>
      </c>
      <c r="D189" s="46">
        <f t="shared" si="3"/>
        <v>14.5</v>
      </c>
      <c r="E189" s="46">
        <f t="shared" si="3"/>
        <v>14.5</v>
      </c>
      <c r="F189" s="46">
        <f t="shared" si="3"/>
        <v>13.25</v>
      </c>
      <c r="G189" s="46">
        <f t="shared" si="3"/>
        <v>0</v>
      </c>
      <c r="H189" s="46">
        <f t="shared" si="3"/>
        <v>0</v>
      </c>
      <c r="I189" s="46">
        <f t="shared" si="3"/>
        <v>71.25</v>
      </c>
      <c r="J189" s="48"/>
    </row>
    <row r="190" spans="1:10" ht="17.100000000000001" customHeight="1" x14ac:dyDescent="0.2">
      <c r="A190" s="18"/>
      <c r="B190" s="18"/>
      <c r="C190" s="18"/>
      <c r="D190" s="18"/>
      <c r="E190" s="18"/>
      <c r="F190" s="18"/>
      <c r="G190" s="3475" t="s">
        <v>642</v>
      </c>
      <c r="H190" s="3475" t="s">
        <v>643</v>
      </c>
      <c r="I190" s="3475" t="s">
        <v>644</v>
      </c>
    </row>
    <row r="191" spans="1:10" ht="17.100000000000001" customHeight="1" x14ac:dyDescent="0.2">
      <c r="A191" s="18"/>
      <c r="B191" s="18"/>
      <c r="C191" s="18"/>
      <c r="D191" s="18"/>
      <c r="E191" s="18"/>
      <c r="F191" s="18"/>
      <c r="G191" s="3449">
        <f>I189</f>
        <v>71.25</v>
      </c>
      <c r="H191" s="3476">
        <f>SUM(G191*13/3)</f>
        <v>308.75</v>
      </c>
      <c r="I191" s="3449">
        <f>SUM(H191*12)</f>
        <v>3705</v>
      </c>
    </row>
    <row r="192" spans="1:10" ht="17.100000000000001" customHeight="1" x14ac:dyDescent="0.2">
      <c r="A192" s="18"/>
      <c r="B192" s="18"/>
      <c r="C192" s="18"/>
      <c r="D192" s="18"/>
      <c r="E192" s="18"/>
      <c r="F192" s="18"/>
      <c r="G192" s="18"/>
      <c r="H192" s="45"/>
      <c r="I192" s="18"/>
    </row>
    <row r="193" spans="1:10" ht="18" customHeight="1" x14ac:dyDescent="0.2">
      <c r="A193" s="1" t="s">
        <v>598</v>
      </c>
      <c r="B193" s="18"/>
      <c r="C193" s="18"/>
      <c r="D193" s="18"/>
      <c r="E193" s="18"/>
      <c r="F193" s="18"/>
    </row>
    <row r="194" spans="1:10" ht="18" customHeight="1" x14ac:dyDescent="0.2">
      <c r="A194" s="304" t="s">
        <v>599</v>
      </c>
      <c r="B194" s="423" t="s">
        <v>90</v>
      </c>
      <c r="C194" s="424" t="s">
        <v>91</v>
      </c>
      <c r="D194" s="424" t="s">
        <v>92</v>
      </c>
      <c r="E194" s="424" t="s">
        <v>93</v>
      </c>
      <c r="F194" s="424" t="s">
        <v>94</v>
      </c>
      <c r="G194" s="424" t="s">
        <v>95</v>
      </c>
      <c r="H194" s="308" t="s">
        <v>96</v>
      </c>
      <c r="I194" s="309" t="s">
        <v>138</v>
      </c>
      <c r="J194" s="425" t="s">
        <v>97</v>
      </c>
    </row>
    <row r="195" spans="1:10" ht="18" customHeight="1" x14ac:dyDescent="0.2">
      <c r="A195" s="571" t="s">
        <v>600</v>
      </c>
      <c r="B195" s="572" t="s">
        <v>301</v>
      </c>
      <c r="C195" s="572" t="s">
        <v>301</v>
      </c>
      <c r="D195" s="572" t="s">
        <v>301</v>
      </c>
      <c r="E195" s="572" t="s">
        <v>301</v>
      </c>
      <c r="F195" s="572" t="s">
        <v>302</v>
      </c>
      <c r="G195" s="561"/>
      <c r="H195" s="561"/>
      <c r="I195" s="572"/>
      <c r="J195" s="574"/>
    </row>
    <row r="196" spans="1:10" ht="18" customHeight="1" x14ac:dyDescent="0.2">
      <c r="A196" s="3471"/>
      <c r="B196" s="3449">
        <v>7.5</v>
      </c>
      <c r="C196" s="3449">
        <v>7.5</v>
      </c>
      <c r="D196" s="3449">
        <v>7.5</v>
      </c>
      <c r="E196" s="3449">
        <v>7.5</v>
      </c>
      <c r="F196" s="3472">
        <v>7</v>
      </c>
      <c r="G196" s="3473"/>
      <c r="H196" s="3473"/>
      <c r="I196" s="3449">
        <f>SUM(B196:H196)</f>
        <v>37</v>
      </c>
      <c r="J196" s="3570"/>
    </row>
    <row r="197" spans="1:10" ht="18" customHeight="1" x14ac:dyDescent="0.2">
      <c r="A197" s="3545"/>
      <c r="B197" s="3582" t="s">
        <v>880</v>
      </c>
      <c r="C197" s="3582" t="s">
        <v>880</v>
      </c>
      <c r="D197" s="3582" t="s">
        <v>880</v>
      </c>
      <c r="E197" s="3582" t="s">
        <v>880</v>
      </c>
      <c r="F197" s="3582" t="s">
        <v>881</v>
      </c>
      <c r="G197" s="3547"/>
      <c r="H197" s="3547"/>
      <c r="I197" s="3452"/>
      <c r="J197" s="3548"/>
    </row>
    <row r="198" spans="1:10" ht="18" customHeight="1" x14ac:dyDescent="0.2">
      <c r="A198" s="571" t="s">
        <v>601</v>
      </c>
      <c r="B198" s="572" t="s">
        <v>779</v>
      </c>
      <c r="C198" s="572" t="s">
        <v>779</v>
      </c>
      <c r="D198" s="572" t="s">
        <v>779</v>
      </c>
      <c r="E198" s="572" t="s">
        <v>779</v>
      </c>
      <c r="F198" s="572" t="s">
        <v>780</v>
      </c>
      <c r="G198" s="561"/>
      <c r="H198" s="561"/>
      <c r="I198" s="572"/>
      <c r="J198" s="574"/>
    </row>
    <row r="199" spans="1:10" ht="18" customHeight="1" x14ac:dyDescent="0.2">
      <c r="A199" s="3471"/>
      <c r="B199" s="3449">
        <v>7</v>
      </c>
      <c r="C199" s="3449">
        <v>7</v>
      </c>
      <c r="D199" s="3449">
        <v>7</v>
      </c>
      <c r="E199" s="3449">
        <v>7</v>
      </c>
      <c r="F199" s="3472">
        <v>6</v>
      </c>
      <c r="G199" s="3473"/>
      <c r="H199" s="3473"/>
      <c r="I199" s="3449">
        <f>SUM(B199:H199)</f>
        <v>34</v>
      </c>
      <c r="J199" s="3570"/>
    </row>
    <row r="200" spans="1:10" ht="18" customHeight="1" x14ac:dyDescent="0.2">
      <c r="A200" s="3545"/>
      <c r="B200" s="3582" t="s">
        <v>882</v>
      </c>
      <c r="C200" s="3582" t="s">
        <v>882</v>
      </c>
      <c r="D200" s="3582" t="s">
        <v>882</v>
      </c>
      <c r="E200" s="3582" t="s">
        <v>882</v>
      </c>
      <c r="F200" s="3582" t="s">
        <v>883</v>
      </c>
      <c r="G200" s="3547"/>
      <c r="H200" s="3547"/>
      <c r="I200" s="3452"/>
      <c r="J200" s="3548"/>
    </row>
    <row r="201" spans="1:10" ht="18" customHeight="1" x14ac:dyDescent="0.2">
      <c r="A201" s="571" t="s">
        <v>603</v>
      </c>
      <c r="B201" s="572" t="s">
        <v>604</v>
      </c>
      <c r="C201" s="572" t="s">
        <v>604</v>
      </c>
      <c r="D201" s="572" t="s">
        <v>604</v>
      </c>
      <c r="E201" s="572" t="s">
        <v>604</v>
      </c>
      <c r="F201" s="572" t="s">
        <v>605</v>
      </c>
      <c r="G201" s="572"/>
      <c r="H201" s="572"/>
      <c r="I201" s="572"/>
      <c r="J201" s="574"/>
    </row>
    <row r="202" spans="1:10" ht="18" customHeight="1" x14ac:dyDescent="0.2">
      <c r="A202" s="3569"/>
      <c r="B202" s="3449" t="s">
        <v>782</v>
      </c>
      <c r="C202" s="3449" t="s">
        <v>782</v>
      </c>
      <c r="D202" s="3449" t="s">
        <v>782</v>
      </c>
      <c r="E202" s="3449" t="s">
        <v>782</v>
      </c>
      <c r="F202" s="3449" t="s">
        <v>782</v>
      </c>
      <c r="G202" s="3472"/>
      <c r="H202" s="3472"/>
      <c r="I202" s="3449">
        <f>SUM(B202:H202)</f>
        <v>0</v>
      </c>
      <c r="J202" s="3570"/>
    </row>
    <row r="203" spans="1:10" ht="18" customHeight="1" x14ac:dyDescent="0.2">
      <c r="A203" s="3413"/>
      <c r="B203" s="3566" t="s">
        <v>884</v>
      </c>
      <c r="C203" s="3566" t="s">
        <v>884</v>
      </c>
      <c r="D203" s="3566" t="s">
        <v>884</v>
      </c>
      <c r="E203" s="3566" t="s">
        <v>884</v>
      </c>
      <c r="F203" s="3566" t="s">
        <v>885</v>
      </c>
      <c r="G203" s="3457"/>
      <c r="H203" s="3457"/>
      <c r="I203" s="3414"/>
      <c r="J203" s="3459"/>
    </row>
    <row r="204" spans="1:10" ht="18" customHeight="1" x14ac:dyDescent="0.2">
      <c r="A204" s="46" t="s">
        <v>530</v>
      </c>
      <c r="B204" s="46">
        <f t="shared" ref="B204:I204" si="4">SUM(B196,B199,B202)</f>
        <v>14.5</v>
      </c>
      <c r="C204" s="46">
        <f t="shared" si="4"/>
        <v>14.5</v>
      </c>
      <c r="D204" s="46">
        <f t="shared" si="4"/>
        <v>14.5</v>
      </c>
      <c r="E204" s="46">
        <f t="shared" si="4"/>
        <v>14.5</v>
      </c>
      <c r="F204" s="46">
        <f t="shared" si="4"/>
        <v>13</v>
      </c>
      <c r="G204" s="46">
        <f t="shared" si="4"/>
        <v>0</v>
      </c>
      <c r="H204" s="46">
        <f t="shared" si="4"/>
        <v>0</v>
      </c>
      <c r="I204" s="63">
        <f t="shared" si="4"/>
        <v>71</v>
      </c>
      <c r="J204" s="50"/>
    </row>
    <row r="205" spans="1:10" ht="18" customHeight="1" x14ac:dyDescent="0.2">
      <c r="A205" s="18"/>
      <c r="B205" s="18"/>
      <c r="C205" s="18"/>
      <c r="D205" s="18"/>
      <c r="E205" s="18"/>
      <c r="F205" s="37"/>
      <c r="G205" s="3475" t="s">
        <v>642</v>
      </c>
      <c r="H205" s="3475" t="s">
        <v>643</v>
      </c>
      <c r="I205" s="3475" t="s">
        <v>644</v>
      </c>
      <c r="J205" s="19"/>
    </row>
    <row r="206" spans="1:10" ht="18" customHeight="1" x14ac:dyDescent="0.2">
      <c r="A206" s="18"/>
      <c r="B206" s="18"/>
      <c r="C206" s="18"/>
      <c r="D206" s="18"/>
      <c r="E206" s="18"/>
      <c r="F206" s="18"/>
      <c r="G206" s="3449">
        <f>I204</f>
        <v>71</v>
      </c>
      <c r="H206" s="3476">
        <f>SUM(G206*13/3)</f>
        <v>307.66666666666669</v>
      </c>
      <c r="I206" s="3449">
        <f>SUM(H206*12)</f>
        <v>3692</v>
      </c>
      <c r="J206" s="19"/>
    </row>
    <row r="207" spans="1:10" ht="18" customHeight="1" x14ac:dyDescent="0.2">
      <c r="A207" s="18"/>
      <c r="B207" s="18"/>
      <c r="C207" s="18"/>
      <c r="D207" s="18"/>
      <c r="E207" s="18"/>
      <c r="F207" s="18"/>
      <c r="G207" s="18"/>
      <c r="H207" s="45"/>
      <c r="I207" s="18"/>
      <c r="J207" s="19"/>
    </row>
    <row r="208" spans="1:10" ht="18" customHeight="1" x14ac:dyDescent="0.2">
      <c r="A208" s="18"/>
      <c r="B208" s="18"/>
      <c r="C208" s="18"/>
      <c r="D208" s="18"/>
      <c r="E208" s="18"/>
      <c r="F208" s="18"/>
      <c r="G208" s="18"/>
      <c r="H208" s="45"/>
      <c r="I208" s="18"/>
      <c r="J208" s="19"/>
    </row>
    <row r="209" spans="1:10" ht="18" customHeight="1" x14ac:dyDescent="0.2">
      <c r="A209" s="18"/>
      <c r="B209" s="18"/>
      <c r="C209" s="18"/>
      <c r="D209" s="18"/>
      <c r="E209" s="18"/>
      <c r="F209" s="18"/>
      <c r="G209" s="18"/>
      <c r="H209" s="45"/>
      <c r="I209" s="18"/>
      <c r="J209" s="19"/>
    </row>
    <row r="210" spans="1:10" ht="18" customHeight="1" x14ac:dyDescent="0.2">
      <c r="A210" s="18"/>
      <c r="B210" s="18"/>
      <c r="C210" s="18"/>
      <c r="D210" s="18"/>
      <c r="E210" s="18"/>
      <c r="F210" s="18"/>
      <c r="G210" s="18"/>
      <c r="H210" s="45"/>
      <c r="I210" s="18"/>
      <c r="J210" s="19"/>
    </row>
    <row r="211" spans="1:10" ht="18" customHeight="1" x14ac:dyDescent="0.2">
      <c r="A211" s="18"/>
      <c r="B211" s="18"/>
      <c r="C211" s="18"/>
      <c r="D211" s="18"/>
      <c r="E211" s="18"/>
      <c r="F211" s="18"/>
      <c r="G211" s="18"/>
      <c r="H211" s="45"/>
      <c r="I211" s="18"/>
      <c r="J211" s="19"/>
    </row>
    <row r="212" spans="1:10" ht="18" customHeight="1" x14ac:dyDescent="0.2">
      <c r="A212" s="18"/>
      <c r="B212" s="18"/>
      <c r="C212" s="18"/>
      <c r="D212" s="18"/>
      <c r="E212" s="18"/>
      <c r="F212" s="18"/>
      <c r="G212" s="18"/>
      <c r="H212" s="45"/>
      <c r="I212" s="18"/>
      <c r="J212" s="19"/>
    </row>
    <row r="213" spans="1:10" ht="18" customHeight="1" x14ac:dyDescent="0.2">
      <c r="A213" s="18"/>
      <c r="B213" s="18"/>
      <c r="C213" s="18"/>
      <c r="D213" s="18"/>
      <c r="E213" s="18"/>
      <c r="F213" s="18"/>
      <c r="G213" s="18"/>
      <c r="H213" s="45"/>
      <c r="I213" s="18"/>
      <c r="J213" s="19"/>
    </row>
    <row r="214" spans="1:10" ht="18" customHeight="1" x14ac:dyDescent="0.2">
      <c r="A214" s="18"/>
      <c r="B214" s="18"/>
      <c r="C214" s="18"/>
      <c r="D214" s="18"/>
      <c r="E214" s="18"/>
      <c r="F214" s="18"/>
      <c r="G214" s="18"/>
      <c r="H214" s="45"/>
      <c r="I214" s="18"/>
      <c r="J214" s="19"/>
    </row>
    <row r="215" spans="1:10" ht="18" customHeight="1" x14ac:dyDescent="0.2">
      <c r="A215" s="18"/>
      <c r="B215" s="18"/>
      <c r="C215" s="18"/>
      <c r="D215" s="18"/>
      <c r="E215" s="18"/>
      <c r="F215" s="18"/>
      <c r="G215" s="18"/>
      <c r="H215" s="45"/>
      <c r="I215" s="18"/>
      <c r="J215" s="19"/>
    </row>
    <row r="216" spans="1:10" ht="18" customHeight="1" x14ac:dyDescent="0.2">
      <c r="A216" s="18"/>
      <c r="B216" s="18"/>
      <c r="C216" s="18"/>
      <c r="D216" s="18"/>
      <c r="E216" s="18"/>
      <c r="F216" s="18"/>
      <c r="G216" s="18"/>
      <c r="H216" s="45"/>
      <c r="I216" s="18"/>
      <c r="J216" s="19"/>
    </row>
    <row r="217" spans="1:10" ht="18" customHeight="1" x14ac:dyDescent="0.2">
      <c r="A217" s="18"/>
      <c r="B217" s="18"/>
      <c r="C217" s="18"/>
      <c r="D217" s="18"/>
      <c r="E217" s="18"/>
      <c r="F217" s="18"/>
      <c r="G217" s="18"/>
      <c r="H217" s="45"/>
      <c r="I217" s="18"/>
      <c r="J217" s="19"/>
    </row>
    <row r="218" spans="1:10" ht="18" customHeight="1" x14ac:dyDescent="0.2">
      <c r="A218" s="64" t="s">
        <v>786</v>
      </c>
      <c r="B218" s="18"/>
      <c r="C218" s="18"/>
      <c r="D218" s="18"/>
      <c r="E218" s="18"/>
      <c r="F218" s="37"/>
      <c r="G218" s="37"/>
      <c r="H218" s="37"/>
      <c r="I218" s="18"/>
      <c r="J218" s="19"/>
    </row>
    <row r="219" spans="1:10" ht="18" customHeight="1" x14ac:dyDescent="0.2">
      <c r="A219" s="304" t="s">
        <v>620</v>
      </c>
      <c r="B219" s="423" t="s">
        <v>90</v>
      </c>
      <c r="C219" s="424" t="s">
        <v>91</v>
      </c>
      <c r="D219" s="424" t="s">
        <v>92</v>
      </c>
      <c r="E219" s="424" t="s">
        <v>93</v>
      </c>
      <c r="F219" s="424" t="s">
        <v>94</v>
      </c>
      <c r="G219" s="424" t="s">
        <v>95</v>
      </c>
      <c r="H219" s="308" t="s">
        <v>96</v>
      </c>
      <c r="I219" s="309" t="s">
        <v>138</v>
      </c>
      <c r="J219" s="425" t="s">
        <v>97</v>
      </c>
    </row>
    <row r="220" spans="1:10" ht="18" customHeight="1" x14ac:dyDescent="0.2">
      <c r="A220" s="571" t="s">
        <v>0</v>
      </c>
      <c r="B220" s="572" t="s">
        <v>269</v>
      </c>
      <c r="C220" s="572" t="s">
        <v>269</v>
      </c>
      <c r="D220" s="572" t="s">
        <v>269</v>
      </c>
      <c r="E220" s="572" t="s">
        <v>269</v>
      </c>
      <c r="F220" s="573" t="s">
        <v>270</v>
      </c>
      <c r="G220" s="569"/>
      <c r="H220" s="569" t="s">
        <v>0</v>
      </c>
      <c r="I220" s="565"/>
      <c r="J220" s="574" t="s">
        <v>0</v>
      </c>
    </row>
    <row r="221" spans="1:10" ht="18" customHeight="1" x14ac:dyDescent="0.2">
      <c r="A221" s="3608">
        <v>1</v>
      </c>
      <c r="B221" s="3449">
        <v>7.75</v>
      </c>
      <c r="C221" s="3449">
        <v>7.75</v>
      </c>
      <c r="D221" s="3449">
        <v>7.75</v>
      </c>
      <c r="E221" s="3449">
        <v>7.75</v>
      </c>
      <c r="F221" s="3472">
        <v>6</v>
      </c>
      <c r="G221" s="3449"/>
      <c r="H221" s="3449" t="s">
        <v>0</v>
      </c>
      <c r="I221" s="3449">
        <f>SUM(B221:H221)</f>
        <v>37</v>
      </c>
      <c r="J221" s="3570"/>
    </row>
    <row r="222" spans="1:10" ht="18" customHeight="1" x14ac:dyDescent="0.2">
      <c r="A222" s="3609"/>
      <c r="B222" s="3582" t="s">
        <v>886</v>
      </c>
      <c r="C222" s="3582" t="s">
        <v>886</v>
      </c>
      <c r="D222" s="3582" t="s">
        <v>886</v>
      </c>
      <c r="E222" s="3582" t="s">
        <v>886</v>
      </c>
      <c r="F222" s="3582" t="s">
        <v>887</v>
      </c>
      <c r="G222" s="3582"/>
      <c r="H222" s="3582" t="s">
        <v>0</v>
      </c>
      <c r="I222" s="3452"/>
      <c r="J222" s="3548"/>
    </row>
    <row r="223" spans="1:10" ht="18" customHeight="1" x14ac:dyDescent="0.2">
      <c r="A223" s="571" t="s">
        <v>0</v>
      </c>
      <c r="B223" s="572" t="s">
        <v>269</v>
      </c>
      <c r="C223" s="572" t="s">
        <v>269</v>
      </c>
      <c r="D223" s="572" t="s">
        <v>269</v>
      </c>
      <c r="E223" s="572" t="s">
        <v>269</v>
      </c>
      <c r="F223" s="573" t="s">
        <v>270</v>
      </c>
      <c r="G223" s="572"/>
      <c r="H223" s="573"/>
      <c r="I223" s="565"/>
      <c r="J223" s="574"/>
    </row>
    <row r="224" spans="1:10" ht="18" customHeight="1" x14ac:dyDescent="0.2">
      <c r="A224" s="3608">
        <v>2</v>
      </c>
      <c r="B224" s="3449">
        <v>7.75</v>
      </c>
      <c r="C224" s="3449">
        <v>7.75</v>
      </c>
      <c r="D224" s="3449">
        <v>7.75</v>
      </c>
      <c r="E224" s="3449">
        <v>7.75</v>
      </c>
      <c r="F224" s="3472">
        <v>6</v>
      </c>
      <c r="G224" s="3472"/>
      <c r="H224" s="3472"/>
      <c r="I224" s="3449">
        <f>SUM(B224:H224)</f>
        <v>37</v>
      </c>
      <c r="J224" s="3570"/>
    </row>
    <row r="225" spans="1:10" ht="18" customHeight="1" x14ac:dyDescent="0.2">
      <c r="A225" s="3609"/>
      <c r="B225" s="3582" t="s">
        <v>886</v>
      </c>
      <c r="C225" s="3582" t="s">
        <v>886</v>
      </c>
      <c r="D225" s="3582" t="s">
        <v>886</v>
      </c>
      <c r="E225" s="3582" t="s">
        <v>886</v>
      </c>
      <c r="F225" s="3582" t="s">
        <v>887</v>
      </c>
      <c r="G225" s="3547"/>
      <c r="H225" s="3546"/>
      <c r="I225" s="3452"/>
      <c r="J225" s="3548"/>
    </row>
    <row r="226" spans="1:10" ht="18" customHeight="1" x14ac:dyDescent="0.2">
      <c r="A226" s="571"/>
      <c r="B226" s="572" t="s">
        <v>269</v>
      </c>
      <c r="C226" s="572" t="s">
        <v>269</v>
      </c>
      <c r="D226" s="572" t="s">
        <v>269</v>
      </c>
      <c r="E226" s="572" t="s">
        <v>269</v>
      </c>
      <c r="F226" s="573" t="s">
        <v>270</v>
      </c>
      <c r="G226" s="572"/>
      <c r="H226" s="573"/>
      <c r="I226" s="565"/>
      <c r="J226" s="574"/>
    </row>
    <row r="227" spans="1:10" ht="18" customHeight="1" x14ac:dyDescent="0.2">
      <c r="A227" s="3608">
        <v>3</v>
      </c>
      <c r="B227" s="3449">
        <v>7.75</v>
      </c>
      <c r="C227" s="3449">
        <v>7.75</v>
      </c>
      <c r="D227" s="3449">
        <v>7.75</v>
      </c>
      <c r="E227" s="3449">
        <v>7.75</v>
      </c>
      <c r="F227" s="3472">
        <v>6</v>
      </c>
      <c r="G227" s="3449"/>
      <c r="H227" s="3472"/>
      <c r="I227" s="3449">
        <f>SUM(B227:H227)</f>
        <v>37</v>
      </c>
      <c r="J227" s="3570"/>
    </row>
    <row r="228" spans="1:10" ht="18" customHeight="1" x14ac:dyDescent="0.2">
      <c r="A228" s="3609"/>
      <c r="B228" s="3582" t="s">
        <v>886</v>
      </c>
      <c r="C228" s="3582" t="s">
        <v>886</v>
      </c>
      <c r="D228" s="3582" t="s">
        <v>886</v>
      </c>
      <c r="E228" s="3582" t="s">
        <v>886</v>
      </c>
      <c r="F228" s="3582" t="s">
        <v>887</v>
      </c>
      <c r="G228" s="3452"/>
      <c r="H228" s="3546"/>
      <c r="I228" s="3452"/>
      <c r="J228" s="3548"/>
    </row>
    <row r="229" spans="1:10" ht="18" customHeight="1" x14ac:dyDescent="0.2">
      <c r="A229" s="611"/>
      <c r="B229" s="572" t="s">
        <v>269</v>
      </c>
      <c r="C229" s="572" t="s">
        <v>269</v>
      </c>
      <c r="D229" s="572" t="s">
        <v>269</v>
      </c>
      <c r="E229" s="572" t="s">
        <v>269</v>
      </c>
      <c r="F229" s="573" t="s">
        <v>270</v>
      </c>
      <c r="G229" s="573"/>
      <c r="H229" s="573"/>
      <c r="I229" s="565"/>
      <c r="J229" s="574"/>
    </row>
    <row r="230" spans="1:10" ht="18" customHeight="1" x14ac:dyDescent="0.2">
      <c r="A230" s="3608">
        <v>4</v>
      </c>
      <c r="B230" s="3449">
        <v>7.75</v>
      </c>
      <c r="C230" s="3449">
        <v>7.75</v>
      </c>
      <c r="D230" s="3449">
        <v>7.75</v>
      </c>
      <c r="E230" s="3449">
        <v>7.75</v>
      </c>
      <c r="F230" s="3472">
        <v>6</v>
      </c>
      <c r="G230" s="3472"/>
      <c r="H230" s="3472"/>
      <c r="I230" s="3449">
        <f>SUM(B230:H230)</f>
        <v>37</v>
      </c>
      <c r="J230" s="3570"/>
    </row>
    <row r="231" spans="1:10" ht="18" customHeight="1" x14ac:dyDescent="0.2">
      <c r="A231" s="3609"/>
      <c r="B231" s="3582" t="s">
        <v>886</v>
      </c>
      <c r="C231" s="3582" t="s">
        <v>886</v>
      </c>
      <c r="D231" s="3582" t="s">
        <v>886</v>
      </c>
      <c r="E231" s="3582" t="s">
        <v>886</v>
      </c>
      <c r="F231" s="3582" t="s">
        <v>887</v>
      </c>
      <c r="G231" s="3546"/>
      <c r="H231" s="3546"/>
      <c r="I231" s="3452"/>
      <c r="J231" s="3548"/>
    </row>
    <row r="232" spans="1:10" ht="18" customHeight="1" x14ac:dyDescent="0.2">
      <c r="A232" s="571"/>
      <c r="B232" s="572" t="s">
        <v>269</v>
      </c>
      <c r="C232" s="572" t="s">
        <v>269</v>
      </c>
      <c r="D232" s="572" t="s">
        <v>269</v>
      </c>
      <c r="E232" s="572" t="s">
        <v>269</v>
      </c>
      <c r="F232" s="573" t="s">
        <v>270</v>
      </c>
      <c r="G232" s="573"/>
      <c r="H232" s="573"/>
      <c r="I232" s="565"/>
      <c r="J232" s="574"/>
    </row>
    <row r="233" spans="1:10" ht="18" customHeight="1" x14ac:dyDescent="0.2">
      <c r="A233" s="3608">
        <v>5</v>
      </c>
      <c r="B233" s="3449">
        <v>7.75</v>
      </c>
      <c r="C233" s="3449">
        <v>7.75</v>
      </c>
      <c r="D233" s="3449">
        <v>7.75</v>
      </c>
      <c r="E233" s="3449">
        <v>7.75</v>
      </c>
      <c r="F233" s="3472">
        <v>6</v>
      </c>
      <c r="G233" s="3472"/>
      <c r="H233" s="3472"/>
      <c r="I233" s="3449">
        <f>SUM(B233:H233)</f>
        <v>37</v>
      </c>
      <c r="J233" s="3570"/>
    </row>
    <row r="234" spans="1:10" ht="18" customHeight="1" x14ac:dyDescent="0.2">
      <c r="A234" s="3550"/>
      <c r="B234" s="3566" t="s">
        <v>886</v>
      </c>
      <c r="C234" s="3566" t="s">
        <v>886</v>
      </c>
      <c r="D234" s="3566" t="s">
        <v>886</v>
      </c>
      <c r="E234" s="3566" t="s">
        <v>886</v>
      </c>
      <c r="F234" s="3566" t="s">
        <v>887</v>
      </c>
      <c r="G234" s="3457"/>
      <c r="H234" s="3457"/>
      <c r="I234" s="3414"/>
      <c r="J234" s="3459"/>
    </row>
    <row r="235" spans="1:10" ht="18" customHeight="1" x14ac:dyDescent="0.2">
      <c r="A235" s="571"/>
      <c r="B235" s="572" t="s">
        <v>269</v>
      </c>
      <c r="C235" s="572" t="s">
        <v>269</v>
      </c>
      <c r="D235" s="572" t="s">
        <v>269</v>
      </c>
      <c r="E235" s="572" t="s">
        <v>269</v>
      </c>
      <c r="F235" s="573" t="s">
        <v>270</v>
      </c>
      <c r="G235" s="573"/>
      <c r="H235" s="573"/>
      <c r="I235" s="565"/>
      <c r="J235" s="574"/>
    </row>
    <row r="236" spans="1:10" ht="18" customHeight="1" x14ac:dyDescent="0.2">
      <c r="A236" s="3608">
        <v>6</v>
      </c>
      <c r="B236" s="3449">
        <v>7.75</v>
      </c>
      <c r="C236" s="3449">
        <v>7.75</v>
      </c>
      <c r="D236" s="3449">
        <v>7.75</v>
      </c>
      <c r="E236" s="3449">
        <v>7.75</v>
      </c>
      <c r="F236" s="3472">
        <v>6</v>
      </c>
      <c r="G236" s="3472"/>
      <c r="H236" s="3472"/>
      <c r="I236" s="3449">
        <f>SUM(B236:H236)</f>
        <v>37</v>
      </c>
      <c r="J236" s="3570"/>
    </row>
    <row r="237" spans="1:10" ht="18" customHeight="1" x14ac:dyDescent="0.2">
      <c r="A237" s="3550"/>
      <c r="B237" s="3566" t="s">
        <v>886</v>
      </c>
      <c r="C237" s="3566" t="s">
        <v>886</v>
      </c>
      <c r="D237" s="3566" t="s">
        <v>886</v>
      </c>
      <c r="E237" s="3566" t="s">
        <v>886</v>
      </c>
      <c r="F237" s="3566" t="s">
        <v>887</v>
      </c>
      <c r="G237" s="3457"/>
      <c r="H237" s="3457"/>
      <c r="I237" s="3414"/>
      <c r="J237" s="3459"/>
    </row>
    <row r="238" spans="1:10" ht="18" customHeight="1" x14ac:dyDescent="0.2">
      <c r="A238" s="46" t="s">
        <v>530</v>
      </c>
      <c r="B238" s="46">
        <f t="shared" ref="B238:H238" si="5">SUM(B221,B224,B227,B230,B233,B236)</f>
        <v>46.5</v>
      </c>
      <c r="C238" s="46">
        <f t="shared" si="5"/>
        <v>46.5</v>
      </c>
      <c r="D238" s="46">
        <f t="shared" si="5"/>
        <v>46.5</v>
      </c>
      <c r="E238" s="46">
        <f t="shared" si="5"/>
        <v>46.5</v>
      </c>
      <c r="F238" s="46">
        <f t="shared" si="5"/>
        <v>36</v>
      </c>
      <c r="G238" s="46">
        <f t="shared" si="5"/>
        <v>0</v>
      </c>
      <c r="H238" s="46">
        <f t="shared" si="5"/>
        <v>0</v>
      </c>
      <c r="I238" s="63">
        <f>SUM(I221,I224,I227,I230,I236)</f>
        <v>185</v>
      </c>
      <c r="J238" s="50"/>
    </row>
    <row r="239" spans="1:10" ht="18" customHeight="1" x14ac:dyDescent="0.2">
      <c r="A239" s="64"/>
      <c r="B239" s="18"/>
      <c r="C239" s="18"/>
      <c r="D239" s="18"/>
      <c r="E239" s="18"/>
      <c r="F239" s="37"/>
      <c r="G239" s="3475" t="s">
        <v>642</v>
      </c>
      <c r="H239" s="3475" t="s">
        <v>643</v>
      </c>
      <c r="I239" s="3475" t="s">
        <v>644</v>
      </c>
      <c r="J239" s="19"/>
    </row>
    <row r="240" spans="1:10" ht="18" customHeight="1" x14ac:dyDescent="0.2">
      <c r="A240" s="64"/>
      <c r="B240" s="18"/>
      <c r="C240" s="18"/>
      <c r="D240" s="18"/>
      <c r="E240" s="18"/>
      <c r="F240" s="37"/>
      <c r="G240" s="3449">
        <f>I238</f>
        <v>185</v>
      </c>
      <c r="H240" s="3476">
        <f>SUM(G240*13/3)</f>
        <v>801.66666666666663</v>
      </c>
      <c r="I240" s="3449">
        <f>SUM(H240*12)</f>
        <v>9620</v>
      </c>
      <c r="J240" s="19"/>
    </row>
    <row r="241" spans="1:10" ht="18" customHeight="1" x14ac:dyDescent="0.2">
      <c r="A241" s="64"/>
      <c r="B241" s="18"/>
      <c r="C241" s="18"/>
      <c r="D241" s="18"/>
      <c r="E241" s="18"/>
      <c r="F241" s="37"/>
      <c r="G241" s="18"/>
      <c r="H241" s="45"/>
      <c r="I241" s="18"/>
      <c r="J241" s="19"/>
    </row>
    <row r="242" spans="1:10" ht="18" customHeight="1" x14ac:dyDescent="0.2">
      <c r="A242" t="s">
        <v>888</v>
      </c>
      <c r="B242" s="18"/>
      <c r="C242" s="18"/>
      <c r="D242" s="18"/>
      <c r="E242" s="18"/>
      <c r="F242" s="37"/>
      <c r="G242" s="37"/>
      <c r="H242" s="37"/>
      <c r="I242" s="18"/>
      <c r="J242" s="19"/>
    </row>
    <row r="243" spans="1:10" ht="18" customHeight="1" x14ac:dyDescent="0.2">
      <c r="A243" s="353" t="s">
        <v>889</v>
      </c>
      <c r="B243" s="423" t="s">
        <v>90</v>
      </c>
      <c r="C243" s="424" t="s">
        <v>91</v>
      </c>
      <c r="D243" s="424" t="s">
        <v>92</v>
      </c>
      <c r="E243" s="424" t="s">
        <v>93</v>
      </c>
      <c r="F243" s="424" t="s">
        <v>94</v>
      </c>
      <c r="G243" s="424" t="s">
        <v>95</v>
      </c>
      <c r="H243" s="308" t="s">
        <v>96</v>
      </c>
      <c r="I243" s="309" t="s">
        <v>138</v>
      </c>
      <c r="J243" s="425" t="s">
        <v>97</v>
      </c>
    </row>
    <row r="244" spans="1:10" ht="18" customHeight="1" x14ac:dyDescent="0.2">
      <c r="A244" s="618" t="s">
        <v>351</v>
      </c>
      <c r="B244" s="579" t="s">
        <v>890</v>
      </c>
      <c r="C244" s="598" t="s">
        <v>891</v>
      </c>
      <c r="D244" s="579" t="s">
        <v>890</v>
      </c>
      <c r="E244" s="579" t="s">
        <v>890</v>
      </c>
      <c r="F244" s="565" t="s">
        <v>892</v>
      </c>
      <c r="G244" s="598"/>
      <c r="H244" s="579"/>
      <c r="I244" s="565"/>
      <c r="J244" s="574" t="s">
        <v>0</v>
      </c>
    </row>
    <row r="245" spans="1:10" ht="18" customHeight="1" x14ac:dyDescent="0.2">
      <c r="A245" s="3610" t="s">
        <v>0</v>
      </c>
      <c r="B245" s="3611" t="s">
        <v>893</v>
      </c>
      <c r="C245" s="3611" t="s">
        <v>893</v>
      </c>
      <c r="D245" s="3611" t="s">
        <v>893</v>
      </c>
      <c r="E245" s="3611" t="s">
        <v>893</v>
      </c>
      <c r="F245" s="3611" t="s">
        <v>894</v>
      </c>
      <c r="G245" s="3580"/>
      <c r="H245" s="3463"/>
      <c r="I245" s="3611"/>
      <c r="J245" s="3570"/>
    </row>
    <row r="246" spans="1:10" ht="18" customHeight="1" x14ac:dyDescent="0.2">
      <c r="A246" s="3612"/>
      <c r="B246" s="3613">
        <v>7.5</v>
      </c>
      <c r="C246" s="3613">
        <v>7.5</v>
      </c>
      <c r="D246" s="3613">
        <v>7.5</v>
      </c>
      <c r="E246" s="3613">
        <v>7.5</v>
      </c>
      <c r="F246" s="3613">
        <v>7</v>
      </c>
      <c r="G246" s="3614"/>
      <c r="H246" s="3420"/>
      <c r="I246" s="3613"/>
      <c r="J246" s="3615"/>
    </row>
    <row r="247" spans="1:10" ht="18" customHeight="1" x14ac:dyDescent="0.2">
      <c r="A247" s="46" t="s">
        <v>530</v>
      </c>
      <c r="B247" s="65">
        <f>B246</f>
        <v>7.5</v>
      </c>
      <c r="C247" s="65">
        <f>C246</f>
        <v>7.5</v>
      </c>
      <c r="D247" s="65">
        <f>D246</f>
        <v>7.5</v>
      </c>
      <c r="E247" s="65">
        <f>E246</f>
        <v>7.5</v>
      </c>
      <c r="F247" s="65">
        <f>F246</f>
        <v>7</v>
      </c>
      <c r="G247" s="46">
        <f>SUM(G230,G236,G239,G242,G245)</f>
        <v>0</v>
      </c>
      <c r="H247" s="46">
        <f>SUM(H230,H236,H239,H242,H245)</f>
        <v>0</v>
      </c>
      <c r="I247" s="66">
        <v>37</v>
      </c>
      <c r="J247" s="50"/>
    </row>
    <row r="248" spans="1:10" ht="18" customHeight="1" x14ac:dyDescent="0.2">
      <c r="A248" s="64"/>
      <c r="B248" s="18"/>
      <c r="C248" s="18"/>
      <c r="D248" s="18"/>
      <c r="E248" s="18"/>
      <c r="F248" s="37"/>
      <c r="G248" s="3475" t="s">
        <v>642</v>
      </c>
      <c r="H248" s="3475" t="s">
        <v>643</v>
      </c>
      <c r="I248" s="3475" t="s">
        <v>644</v>
      </c>
      <c r="J248" s="19"/>
    </row>
    <row r="249" spans="1:10" ht="18" customHeight="1" x14ac:dyDescent="0.2">
      <c r="A249" s="64"/>
      <c r="B249" s="18"/>
      <c r="C249" s="18"/>
      <c r="D249" s="18"/>
      <c r="E249" s="18"/>
      <c r="F249" s="37"/>
      <c r="G249" s="3449">
        <f>I247</f>
        <v>37</v>
      </c>
      <c r="H249" s="3476">
        <f>SUM(G249*13/3)</f>
        <v>160.33333333333334</v>
      </c>
      <c r="I249" s="3449">
        <f>SUM(H249*12)</f>
        <v>1924</v>
      </c>
      <c r="J249" s="19"/>
    </row>
    <row r="250" spans="1:10" ht="18" customHeight="1" x14ac:dyDescent="0.2">
      <c r="A250" s="64"/>
      <c r="B250" s="18"/>
      <c r="C250" s="18"/>
      <c r="D250" s="18"/>
      <c r="E250" s="18"/>
      <c r="F250" s="37"/>
      <c r="G250" s="37"/>
      <c r="H250" s="37"/>
      <c r="I250" s="18"/>
      <c r="J250" s="19"/>
    </row>
    <row r="251" spans="1:10" ht="18" customHeight="1" x14ac:dyDescent="0.2">
      <c r="A251" s="64"/>
      <c r="B251" s="18"/>
      <c r="C251" s="18"/>
      <c r="D251" s="18"/>
      <c r="E251" s="18"/>
      <c r="F251" s="37"/>
      <c r="G251" s="37"/>
      <c r="H251" s="37"/>
      <c r="I251" s="18"/>
      <c r="J251" s="19"/>
    </row>
    <row r="252" spans="1:10" ht="18" customHeight="1" x14ac:dyDescent="0.2">
      <c r="A252" s="64"/>
      <c r="B252" s="18"/>
      <c r="C252" s="18"/>
      <c r="D252" s="18"/>
      <c r="E252" s="18"/>
      <c r="F252" s="37"/>
      <c r="G252" s="37"/>
      <c r="H252" s="37"/>
      <c r="I252" s="18"/>
      <c r="J252" s="19"/>
    </row>
    <row r="253" spans="1:10" ht="18" customHeight="1" x14ac:dyDescent="0.2">
      <c r="A253" s="64"/>
      <c r="B253" s="18"/>
      <c r="C253" s="18"/>
      <c r="D253" s="18"/>
      <c r="E253" s="18"/>
      <c r="F253" s="37"/>
      <c r="G253" s="37"/>
      <c r="H253" s="37"/>
      <c r="I253" s="18"/>
      <c r="J253" s="19"/>
    </row>
    <row r="254" spans="1:10" ht="20.100000000000001" customHeight="1" x14ac:dyDescent="0.2">
      <c r="A254" s="64" t="s">
        <v>895</v>
      </c>
      <c r="B254" s="18"/>
      <c r="C254" s="18"/>
      <c r="D254" s="18"/>
      <c r="E254" s="18"/>
      <c r="F254" s="37"/>
      <c r="G254" s="37"/>
      <c r="H254" s="37"/>
      <c r="I254" s="18"/>
      <c r="J254" s="19"/>
    </row>
    <row r="255" spans="1:10" ht="20.100000000000001" customHeight="1" x14ac:dyDescent="0.2">
      <c r="A255" s="428" t="s">
        <v>896</v>
      </c>
      <c r="B255" s="423" t="s">
        <v>90</v>
      </c>
      <c r="C255" s="424" t="s">
        <v>91</v>
      </c>
      <c r="D255" s="424" t="s">
        <v>92</v>
      </c>
      <c r="E255" s="424" t="s">
        <v>93</v>
      </c>
      <c r="F255" s="424" t="s">
        <v>94</v>
      </c>
      <c r="G255" s="424" t="s">
        <v>95</v>
      </c>
      <c r="H255" s="308" t="s">
        <v>96</v>
      </c>
      <c r="I255" s="309" t="s">
        <v>138</v>
      </c>
      <c r="J255" s="425" t="s">
        <v>97</v>
      </c>
    </row>
    <row r="256" spans="1:10" ht="20.100000000000001" customHeight="1" x14ac:dyDescent="0.2">
      <c r="A256" s="571" t="s">
        <v>0</v>
      </c>
      <c r="B256" s="561" t="s">
        <v>897</v>
      </c>
      <c r="C256" s="561" t="s">
        <v>897</v>
      </c>
      <c r="D256" s="561" t="s">
        <v>897</v>
      </c>
      <c r="E256" s="561" t="s">
        <v>897</v>
      </c>
      <c r="F256" s="561" t="s">
        <v>897</v>
      </c>
      <c r="G256" s="561"/>
      <c r="H256" s="561"/>
      <c r="I256" s="500"/>
      <c r="J256" s="574"/>
    </row>
    <row r="257" spans="1:10" ht="20.100000000000001" customHeight="1" x14ac:dyDescent="0.2">
      <c r="A257" s="3608" t="s">
        <v>898</v>
      </c>
      <c r="B257" s="3472">
        <v>8.5</v>
      </c>
      <c r="C257" s="3472">
        <v>8.5</v>
      </c>
      <c r="D257" s="3472">
        <v>8.5</v>
      </c>
      <c r="E257" s="3472">
        <v>8.5</v>
      </c>
      <c r="F257" s="3472">
        <v>8.5</v>
      </c>
      <c r="G257" s="3472"/>
      <c r="H257" s="3472"/>
      <c r="I257" s="3449">
        <f>SUM(B257:H257)</f>
        <v>42.5</v>
      </c>
      <c r="J257" s="3570"/>
    </row>
    <row r="258" spans="1:10" ht="20.100000000000001" customHeight="1" x14ac:dyDescent="0.2">
      <c r="A258" s="3609"/>
      <c r="B258" s="3593" t="s">
        <v>899</v>
      </c>
      <c r="C258" s="3593" t="s">
        <v>899</v>
      </c>
      <c r="D258" s="3593" t="s">
        <v>899</v>
      </c>
      <c r="E258" s="3593" t="s">
        <v>899</v>
      </c>
      <c r="F258" s="3593" t="s">
        <v>899</v>
      </c>
      <c r="G258" s="3593"/>
      <c r="H258" s="3593"/>
      <c r="I258" s="3444"/>
      <c r="J258" s="3429"/>
    </row>
    <row r="259" spans="1:10" ht="20.100000000000001" customHeight="1" x14ac:dyDescent="0.2">
      <c r="A259" s="571" t="s">
        <v>0</v>
      </c>
      <c r="B259" s="561" t="s">
        <v>900</v>
      </c>
      <c r="C259" s="561" t="s">
        <v>900</v>
      </c>
      <c r="D259" s="561" t="s">
        <v>900</v>
      </c>
      <c r="E259" s="561" t="s">
        <v>900</v>
      </c>
      <c r="F259" s="561" t="s">
        <v>900</v>
      </c>
      <c r="G259" s="561" t="s">
        <v>901</v>
      </c>
      <c r="H259" s="561" t="s">
        <v>901</v>
      </c>
      <c r="I259" s="500"/>
      <c r="J259" s="574" t="s">
        <v>902</v>
      </c>
    </row>
    <row r="260" spans="1:10" ht="20.100000000000001" customHeight="1" x14ac:dyDescent="0.2">
      <c r="A260" s="3608" t="s">
        <v>903</v>
      </c>
      <c r="B260" s="3449">
        <v>7</v>
      </c>
      <c r="C260" s="3449">
        <v>7</v>
      </c>
      <c r="D260" s="3449">
        <v>7</v>
      </c>
      <c r="E260" s="3449">
        <v>7</v>
      </c>
      <c r="F260" s="3449">
        <v>7</v>
      </c>
      <c r="G260" s="3472">
        <v>12</v>
      </c>
      <c r="H260" s="3472">
        <v>12</v>
      </c>
      <c r="I260" s="3449">
        <f>SUM(B260:H260)</f>
        <v>59</v>
      </c>
      <c r="J260" s="3570" t="s">
        <v>904</v>
      </c>
    </row>
    <row r="261" spans="1:10" ht="20.100000000000001" customHeight="1" x14ac:dyDescent="0.2">
      <c r="A261" s="3609"/>
      <c r="B261" s="3593" t="s">
        <v>905</v>
      </c>
      <c r="C261" s="3593" t="s">
        <v>905</v>
      </c>
      <c r="D261" s="3593" t="s">
        <v>905</v>
      </c>
      <c r="E261" s="3593" t="s">
        <v>905</v>
      </c>
      <c r="F261" s="3593" t="s">
        <v>905</v>
      </c>
      <c r="G261" s="3593" t="s">
        <v>906</v>
      </c>
      <c r="H261" s="3593" t="s">
        <v>906</v>
      </c>
      <c r="I261" s="3444"/>
      <c r="J261" s="3429"/>
    </row>
    <row r="262" spans="1:10" ht="20.100000000000001" customHeight="1" x14ac:dyDescent="0.2">
      <c r="A262" s="571"/>
      <c r="B262" s="572" t="s">
        <v>154</v>
      </c>
      <c r="C262" s="572" t="s">
        <v>154</v>
      </c>
      <c r="D262" s="572" t="s">
        <v>154</v>
      </c>
      <c r="E262" s="572" t="s">
        <v>154</v>
      </c>
      <c r="F262" s="572" t="s">
        <v>154</v>
      </c>
      <c r="G262" s="573"/>
      <c r="H262" s="573"/>
      <c r="I262" s="500"/>
      <c r="J262" s="574"/>
    </row>
    <row r="263" spans="1:10" ht="20.100000000000001" customHeight="1" x14ac:dyDescent="0.2">
      <c r="A263" s="3608" t="s">
        <v>907</v>
      </c>
      <c r="B263" s="3449"/>
      <c r="C263" s="3449"/>
      <c r="D263" s="3449"/>
      <c r="E263" s="3449"/>
      <c r="F263" s="3449"/>
      <c r="G263" s="3472"/>
      <c r="H263" s="3472"/>
      <c r="I263" s="3449">
        <f>SUM(B263:H263)</f>
        <v>0</v>
      </c>
      <c r="J263" s="3570"/>
    </row>
    <row r="264" spans="1:10" ht="20.100000000000001" customHeight="1" x14ac:dyDescent="0.2">
      <c r="A264" s="3609"/>
      <c r="B264" s="3616" t="s">
        <v>908</v>
      </c>
      <c r="C264" s="3616" t="s">
        <v>908</v>
      </c>
      <c r="D264" s="3616" t="s">
        <v>908</v>
      </c>
      <c r="E264" s="3616" t="s">
        <v>908</v>
      </c>
      <c r="F264" s="3616" t="s">
        <v>908</v>
      </c>
      <c r="G264" s="3444"/>
      <c r="H264" s="3445"/>
      <c r="I264" s="3444"/>
      <c r="J264" s="3429"/>
    </row>
    <row r="265" spans="1:10" ht="20.100000000000001" customHeight="1" x14ac:dyDescent="0.2">
      <c r="A265" s="611"/>
      <c r="B265" s="561" t="s">
        <v>909</v>
      </c>
      <c r="C265" s="561" t="s">
        <v>909</v>
      </c>
      <c r="D265" s="561" t="s">
        <v>909</v>
      </c>
      <c r="E265" s="561" t="s">
        <v>909</v>
      </c>
      <c r="F265" s="561" t="s">
        <v>909</v>
      </c>
      <c r="G265" s="573"/>
      <c r="H265" s="573"/>
      <c r="I265" s="500"/>
      <c r="J265" s="574" t="s">
        <v>0</v>
      </c>
    </row>
    <row r="266" spans="1:10" ht="20.100000000000001" customHeight="1" x14ac:dyDescent="0.2">
      <c r="A266" s="3608" t="s">
        <v>910</v>
      </c>
      <c r="B266" s="3449">
        <v>7.75</v>
      </c>
      <c r="C266" s="3449">
        <v>7.75</v>
      </c>
      <c r="D266" s="3449">
        <v>7.75</v>
      </c>
      <c r="E266" s="3449">
        <v>7.75</v>
      </c>
      <c r="F266" s="3449">
        <v>7.75</v>
      </c>
      <c r="G266" s="3472"/>
      <c r="H266" s="3472"/>
      <c r="I266" s="3449">
        <f>SUM(B266:H266)</f>
        <v>38.75</v>
      </c>
      <c r="J266" s="3570"/>
    </row>
    <row r="267" spans="1:10" ht="20.100000000000001" customHeight="1" x14ac:dyDescent="0.2">
      <c r="A267" s="3609"/>
      <c r="B267" s="3593" t="s">
        <v>911</v>
      </c>
      <c r="C267" s="3593" t="s">
        <v>911</v>
      </c>
      <c r="D267" s="3593" t="s">
        <v>911</v>
      </c>
      <c r="E267" s="3593" t="s">
        <v>911</v>
      </c>
      <c r="F267" s="3593" t="s">
        <v>911</v>
      </c>
      <c r="G267" s="3445"/>
      <c r="H267" s="3445"/>
      <c r="I267" s="3444"/>
      <c r="J267" s="3429"/>
    </row>
    <row r="268" spans="1:10" ht="20.100000000000001" customHeight="1" x14ac:dyDescent="0.2">
      <c r="A268" s="571"/>
      <c r="B268" s="572"/>
      <c r="C268" s="572"/>
      <c r="D268" s="572"/>
      <c r="E268" s="572"/>
      <c r="F268" s="572"/>
      <c r="G268" s="572"/>
      <c r="H268" s="572"/>
      <c r="I268" s="500"/>
      <c r="J268" s="574" t="s">
        <v>0</v>
      </c>
    </row>
    <row r="269" spans="1:10" ht="20.100000000000001" customHeight="1" x14ac:dyDescent="0.2">
      <c r="A269" s="3608" t="s">
        <v>912</v>
      </c>
      <c r="B269" s="3449"/>
      <c r="C269" s="3449"/>
      <c r="D269" s="3449"/>
      <c r="E269" s="3449"/>
      <c r="F269" s="3449"/>
      <c r="G269" s="3472"/>
      <c r="H269" s="3472"/>
      <c r="I269" s="3449">
        <f>SUM(B269:H269)</f>
        <v>0</v>
      </c>
      <c r="J269" s="3570" t="s">
        <v>0</v>
      </c>
    </row>
    <row r="270" spans="1:10" ht="20.100000000000001" customHeight="1" x14ac:dyDescent="0.2">
      <c r="A270" s="3550"/>
      <c r="B270" s="3593" t="s">
        <v>913</v>
      </c>
      <c r="C270" s="3593" t="s">
        <v>913</v>
      </c>
      <c r="D270" s="3593" t="s">
        <v>913</v>
      </c>
      <c r="E270" s="3593" t="s">
        <v>913</v>
      </c>
      <c r="F270" s="3593" t="s">
        <v>913</v>
      </c>
      <c r="G270" s="3446"/>
      <c r="H270" s="3446"/>
      <c r="I270" s="3407"/>
      <c r="J270" s="3417"/>
    </row>
    <row r="271" spans="1:10" ht="20.100000000000001" customHeight="1" x14ac:dyDescent="0.2">
      <c r="A271" s="67"/>
      <c r="B271" s="572"/>
      <c r="C271" s="572"/>
      <c r="D271" s="572"/>
      <c r="E271" s="572"/>
      <c r="F271" s="572"/>
      <c r="G271" s="572"/>
      <c r="H271" s="572"/>
      <c r="I271" s="500"/>
      <c r="J271" s="574" t="s">
        <v>0</v>
      </c>
    </row>
    <row r="272" spans="1:10" ht="20.100000000000001" customHeight="1" x14ac:dyDescent="0.2">
      <c r="A272" s="67" t="s">
        <v>914</v>
      </c>
      <c r="B272" s="3449"/>
      <c r="C272" s="3449"/>
      <c r="D272" s="3449"/>
      <c r="E272" s="3449"/>
      <c r="F272" s="3449"/>
      <c r="G272" s="3472"/>
      <c r="H272" s="3472"/>
      <c r="I272" s="3449">
        <f>SUM(B272:H272)</f>
        <v>0</v>
      </c>
      <c r="J272" s="3570"/>
    </row>
    <row r="273" spans="1:10" ht="20.100000000000001" customHeight="1" x14ac:dyDescent="0.2">
      <c r="A273" s="67"/>
      <c r="B273" s="3616"/>
      <c r="C273" s="3616"/>
      <c r="D273" s="3616"/>
      <c r="E273" s="3616"/>
      <c r="F273" s="3616"/>
      <c r="G273" s="3446"/>
      <c r="H273" s="3446"/>
      <c r="I273" s="3444"/>
      <c r="J273" s="3429"/>
    </row>
    <row r="274" spans="1:10" ht="20.100000000000001" customHeight="1" x14ac:dyDescent="0.2">
      <c r="A274" s="571"/>
      <c r="B274" s="572"/>
      <c r="C274" s="572"/>
      <c r="D274" s="572"/>
      <c r="E274" s="572"/>
      <c r="F274" s="572"/>
      <c r="G274" s="573"/>
      <c r="H274" s="573"/>
      <c r="I274" s="500"/>
      <c r="J274" s="574"/>
    </row>
    <row r="275" spans="1:10" ht="20.100000000000001" customHeight="1" x14ac:dyDescent="0.2">
      <c r="A275" s="3608" t="s">
        <v>915</v>
      </c>
      <c r="B275" s="3449"/>
      <c r="C275" s="3449"/>
      <c r="D275" s="3449"/>
      <c r="E275" s="3449"/>
      <c r="F275" s="3449"/>
      <c r="G275" s="3472"/>
      <c r="H275" s="3472"/>
      <c r="I275" s="3449">
        <f>SUM(B275:H275)</f>
        <v>0</v>
      </c>
      <c r="J275" s="3570"/>
    </row>
    <row r="276" spans="1:10" ht="20.100000000000001" customHeight="1" x14ac:dyDescent="0.2">
      <c r="A276" s="3550"/>
      <c r="B276" s="3616"/>
      <c r="C276" s="3616"/>
      <c r="D276" s="3616"/>
      <c r="E276" s="3616"/>
      <c r="F276" s="3616"/>
      <c r="G276" s="3408"/>
      <c r="H276" s="3408"/>
      <c r="I276" s="3407"/>
      <c r="J276" s="3417"/>
    </row>
    <row r="277" spans="1:10" ht="20.100000000000001" customHeight="1" x14ac:dyDescent="0.2">
      <c r="A277" s="46" t="s">
        <v>530</v>
      </c>
      <c r="B277" s="46">
        <f t="shared" ref="B277:I277" si="6">SUM(B257,B260,B263,B266,B269,B272,B275)</f>
        <v>23.25</v>
      </c>
      <c r="C277" s="46">
        <f t="shared" si="6"/>
        <v>23.25</v>
      </c>
      <c r="D277" s="46">
        <f t="shared" si="6"/>
        <v>23.25</v>
      </c>
      <c r="E277" s="46">
        <f t="shared" si="6"/>
        <v>23.25</v>
      </c>
      <c r="F277" s="46">
        <f t="shared" si="6"/>
        <v>23.25</v>
      </c>
      <c r="G277" s="46">
        <f t="shared" si="6"/>
        <v>12</v>
      </c>
      <c r="H277" s="46">
        <f t="shared" si="6"/>
        <v>12</v>
      </c>
      <c r="I277" s="46">
        <f t="shared" si="6"/>
        <v>140.25</v>
      </c>
      <c r="J277" s="50"/>
    </row>
    <row r="278" spans="1:10" ht="20.100000000000001" customHeight="1" x14ac:dyDescent="0.2">
      <c r="A278" s="64"/>
      <c r="B278" s="18"/>
      <c r="C278" s="18"/>
      <c r="D278" s="18"/>
      <c r="E278" s="18"/>
      <c r="F278" s="37"/>
      <c r="G278" s="3475" t="s">
        <v>642</v>
      </c>
      <c r="H278" s="3475" t="s">
        <v>643</v>
      </c>
      <c r="I278" s="3475" t="s">
        <v>644</v>
      </c>
      <c r="J278" s="19"/>
    </row>
    <row r="279" spans="1:10" ht="20.100000000000001" customHeight="1" x14ac:dyDescent="0.2">
      <c r="A279" s="64"/>
      <c r="B279" s="18"/>
      <c r="C279" s="18"/>
      <c r="D279" s="18"/>
      <c r="E279" s="18"/>
      <c r="F279" s="37"/>
      <c r="G279" s="3449">
        <f>I277</f>
        <v>140.25</v>
      </c>
      <c r="H279" s="3476">
        <f>SUM(G279*13/3)</f>
        <v>607.75</v>
      </c>
      <c r="I279" s="3449">
        <f>SUM(H279*12)</f>
        <v>7293</v>
      </c>
      <c r="J279" s="19"/>
    </row>
    <row r="280" spans="1:10" ht="20.100000000000001" customHeight="1" x14ac:dyDescent="0.2">
      <c r="A280" s="18"/>
      <c r="B280" s="18"/>
      <c r="C280" s="18"/>
      <c r="D280" s="18"/>
      <c r="E280" s="18"/>
      <c r="F280" s="37"/>
      <c r="G280" s="37"/>
      <c r="H280" s="37"/>
      <c r="I280" s="18"/>
      <c r="J280" s="19"/>
    </row>
    <row r="281" spans="1:10" ht="20.100000000000001" customHeight="1" x14ac:dyDescent="0.2">
      <c r="A281" s="18"/>
      <c r="B281" s="18"/>
      <c r="C281" s="18"/>
      <c r="D281" s="18"/>
      <c r="E281" s="18"/>
      <c r="F281" s="37"/>
      <c r="G281" s="37"/>
      <c r="H281" s="37"/>
      <c r="I281" s="18"/>
      <c r="J281" s="19"/>
    </row>
    <row r="282" spans="1:10" ht="20.100000000000001" customHeight="1" x14ac:dyDescent="0.2">
      <c r="A282" s="18"/>
      <c r="B282" s="18"/>
      <c r="C282" s="18"/>
      <c r="D282" s="18"/>
      <c r="E282" s="18"/>
      <c r="F282" s="37"/>
      <c r="G282" s="37"/>
      <c r="H282" s="37"/>
      <c r="I282" s="18"/>
      <c r="J282" s="19"/>
    </row>
    <row r="283" spans="1:10" ht="20.100000000000001" customHeight="1" x14ac:dyDescent="0.2">
      <c r="A283" s="18"/>
      <c r="B283" s="18"/>
      <c r="C283" s="18"/>
      <c r="D283" s="18"/>
      <c r="E283" s="18"/>
      <c r="F283" s="37"/>
      <c r="G283" s="37"/>
      <c r="H283" s="37"/>
      <c r="I283" s="18"/>
      <c r="J283" s="19"/>
    </row>
    <row r="284" spans="1:10" ht="20.100000000000001" customHeight="1" x14ac:dyDescent="0.2">
      <c r="A284" s="18"/>
      <c r="B284" s="59"/>
      <c r="C284" s="59"/>
      <c r="D284" s="59"/>
      <c r="E284" s="59"/>
      <c r="F284" s="59"/>
      <c r="G284" s="37"/>
      <c r="H284" s="37"/>
      <c r="I284" s="18"/>
      <c r="J284" s="19"/>
    </row>
    <row r="285" spans="1:10" ht="20.100000000000001" customHeight="1" x14ac:dyDescent="0.2">
      <c r="A285" s="18"/>
      <c r="B285" s="18"/>
      <c r="C285" s="18"/>
      <c r="D285" s="18"/>
      <c r="E285" s="18"/>
      <c r="F285" s="37"/>
      <c r="G285" s="37"/>
      <c r="H285" s="37"/>
      <c r="I285" s="18"/>
      <c r="J285" s="19"/>
    </row>
    <row r="286" spans="1:10" ht="20.100000000000001" customHeight="1" x14ac:dyDescent="0.2">
      <c r="A286" s="607"/>
      <c r="B286" s="320" t="s">
        <v>90</v>
      </c>
      <c r="C286" s="314" t="s">
        <v>91</v>
      </c>
      <c r="D286" s="314" t="s">
        <v>92</v>
      </c>
      <c r="E286" s="314" t="s">
        <v>93</v>
      </c>
      <c r="F286" s="314" t="s">
        <v>94</v>
      </c>
      <c r="G286" s="314" t="s">
        <v>95</v>
      </c>
      <c r="H286" s="321" t="s">
        <v>96</v>
      </c>
      <c r="I286" s="322" t="s">
        <v>629</v>
      </c>
      <c r="J286" s="19"/>
    </row>
    <row r="287" spans="1:10" ht="20.100000000000001" customHeight="1" x14ac:dyDescent="0.2">
      <c r="A287" s="3481" t="s">
        <v>630</v>
      </c>
      <c r="B287" s="68">
        <f t="shared" ref="B287:I287" si="7">SUM(B4,B11,B53,B65,B116,B163,B169,B189,B204,B238,B247,B277)</f>
        <v>276</v>
      </c>
      <c r="C287" s="68">
        <f t="shared" si="7"/>
        <v>276</v>
      </c>
      <c r="D287" s="68">
        <f t="shared" si="7"/>
        <v>276</v>
      </c>
      <c r="E287" s="68">
        <f t="shared" si="7"/>
        <v>276</v>
      </c>
      <c r="F287" s="68">
        <f t="shared" si="7"/>
        <v>246.5</v>
      </c>
      <c r="G287" s="68">
        <f t="shared" si="7"/>
        <v>105</v>
      </c>
      <c r="H287" s="68">
        <f t="shared" si="7"/>
        <v>108</v>
      </c>
      <c r="I287" s="68">
        <f t="shared" si="7"/>
        <v>1526.5</v>
      </c>
      <c r="J287" s="19"/>
    </row>
    <row r="288" spans="1:10" ht="20.100000000000001" customHeight="1" x14ac:dyDescent="0.2">
      <c r="A288" s="3485" t="s">
        <v>632</v>
      </c>
      <c r="B288" s="3407">
        <f t="shared" ref="B288:I288" si="8">SUM(B287*52)</f>
        <v>14352</v>
      </c>
      <c r="C288" s="3407">
        <f t="shared" si="8"/>
        <v>14352</v>
      </c>
      <c r="D288" s="3407">
        <f t="shared" si="8"/>
        <v>14352</v>
      </c>
      <c r="E288" s="3407">
        <f t="shared" si="8"/>
        <v>14352</v>
      </c>
      <c r="F288" s="3407">
        <f t="shared" si="8"/>
        <v>12818</v>
      </c>
      <c r="G288" s="3407">
        <f t="shared" si="8"/>
        <v>5460</v>
      </c>
      <c r="H288" s="3407">
        <f t="shared" si="8"/>
        <v>5616</v>
      </c>
      <c r="I288" s="3407">
        <f t="shared" si="8"/>
        <v>79378</v>
      </c>
      <c r="J288" s="19"/>
    </row>
    <row r="289" spans="1:10" ht="20.100000000000001" customHeight="1" x14ac:dyDescent="0.2">
      <c r="J289" s="19"/>
    </row>
    <row r="290" spans="1:10" ht="20.100000000000001" customHeight="1" x14ac:dyDescent="0.2">
      <c r="J290" s="37" t="s">
        <v>0</v>
      </c>
    </row>
    <row r="291" spans="1:10" ht="20.100000000000001" customHeight="1" x14ac:dyDescent="0.2">
      <c r="A291" s="608" t="s">
        <v>818</v>
      </c>
      <c r="B291" s="565"/>
      <c r="C291" s="565"/>
      <c r="D291" s="565"/>
      <c r="E291" s="572">
        <v>56</v>
      </c>
      <c r="F291" s="565"/>
      <c r="G291" s="565"/>
      <c r="H291" s="500"/>
      <c r="I291" s="609">
        <f>SUM(E291)*26</f>
        <v>1456</v>
      </c>
      <c r="J291" s="18" t="s">
        <v>0</v>
      </c>
    </row>
    <row r="292" spans="1:10" ht="20.100000000000001" customHeight="1" x14ac:dyDescent="0.2">
      <c r="A292" s="3558" t="s">
        <v>819</v>
      </c>
      <c r="B292" s="3466"/>
      <c r="C292" s="3466"/>
      <c r="D292" s="3466"/>
      <c r="E292" s="3466"/>
      <c r="F292" s="3466"/>
      <c r="G292" s="3466"/>
      <c r="H292" s="3466"/>
      <c r="I292" s="3559">
        <f>SUM(I291*2)</f>
        <v>2912</v>
      </c>
    </row>
    <row r="293" spans="1:10" ht="20.100000000000001" customHeight="1" x14ac:dyDescent="0.2">
      <c r="A293" s="3481" t="s">
        <v>635</v>
      </c>
      <c r="B293" s="3463"/>
      <c r="C293" s="3464"/>
      <c r="D293" s="3466"/>
      <c r="E293" s="3466"/>
      <c r="F293" s="3466"/>
      <c r="G293" s="3466"/>
      <c r="H293" s="3466"/>
      <c r="I293" s="3559">
        <f>48*12</f>
        <v>576</v>
      </c>
    </row>
    <row r="294" spans="1:10" ht="20.100000000000001" customHeight="1" x14ac:dyDescent="0.2">
      <c r="A294" s="3560" t="s">
        <v>629</v>
      </c>
      <c r="B294" s="3421"/>
      <c r="C294" s="3421"/>
      <c r="D294" s="3421"/>
      <c r="E294" s="3421"/>
      <c r="F294" s="3421"/>
      <c r="G294" s="3421"/>
      <c r="H294" s="3421"/>
      <c r="I294" s="3561">
        <f>SUM(I291:I293)</f>
        <v>4944</v>
      </c>
    </row>
    <row r="295" spans="1:10" ht="20.100000000000001" customHeight="1" x14ac:dyDescent="0.2">
      <c r="I295" s="42"/>
    </row>
    <row r="296" spans="1:10" ht="20.100000000000001" customHeight="1" x14ac:dyDescent="0.2">
      <c r="I296" s="42"/>
    </row>
    <row r="297" spans="1:10" ht="20.100000000000001" customHeight="1" x14ac:dyDescent="0.2">
      <c r="A297" s="3467" t="s">
        <v>636</v>
      </c>
      <c r="B297" s="3467"/>
      <c r="C297" s="3467"/>
      <c r="D297" s="3467"/>
      <c r="E297" s="3467"/>
      <c r="F297" s="3467"/>
      <c r="G297" s="3467"/>
      <c r="H297" s="3467"/>
      <c r="I297" s="3469">
        <f>SUM(I288+I294)</f>
        <v>84322</v>
      </c>
      <c r="J297" t="s">
        <v>916</v>
      </c>
    </row>
  </sheetData>
  <phoneticPr fontId="7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21"/>
  <dimension ref="A1:N20"/>
  <sheetViews>
    <sheetView zoomScale="67" zoomScaleNormal="67" workbookViewId="0">
      <selection activeCell="AL192" sqref="AL192"/>
    </sheetView>
  </sheetViews>
  <sheetFormatPr defaultRowHeight="12" x14ac:dyDescent="0.2"/>
  <cols>
    <col min="1" max="1" width="10.140625" customWidth="1"/>
    <col min="2" max="2" width="17.85546875" customWidth="1"/>
    <col min="3" max="3" width="27.5703125" customWidth="1"/>
    <col min="4" max="4" width="8.28515625" customWidth="1"/>
    <col min="5" max="5" width="8.7109375" customWidth="1"/>
    <col min="6" max="6" width="8.42578125" customWidth="1"/>
    <col min="7" max="7" width="8.7109375" customWidth="1"/>
    <col min="8" max="8" width="9.7109375" customWidth="1"/>
    <col min="9" max="9" width="8.85546875" customWidth="1"/>
    <col min="10" max="12" width="10" customWidth="1"/>
    <col min="14" max="14" width="13.140625" customWidth="1"/>
    <col min="15" max="15" width="16" customWidth="1"/>
  </cols>
  <sheetData>
    <row r="1" spans="1:14" ht="18" x14ac:dyDescent="0.25">
      <c r="A1" s="3656" t="s">
        <v>917</v>
      </c>
      <c r="B1" s="3656"/>
      <c r="C1" s="3656"/>
      <c r="D1" s="3656"/>
      <c r="E1" s="3656"/>
      <c r="F1" s="3656"/>
      <c r="G1" s="3656"/>
      <c r="H1" s="3656"/>
      <c r="I1" s="3656"/>
      <c r="J1" s="3656"/>
      <c r="K1" s="3656"/>
      <c r="L1" s="3656"/>
      <c r="M1" s="3656"/>
      <c r="N1" s="3656"/>
    </row>
    <row r="2" spans="1:14" ht="32.25" customHeight="1" x14ac:dyDescent="0.2">
      <c r="A2" s="451"/>
      <c r="B2" s="354" t="s">
        <v>918</v>
      </c>
      <c r="C2" s="354" t="s">
        <v>919</v>
      </c>
      <c r="D2" s="355" t="s">
        <v>920</v>
      </c>
      <c r="E2" s="355" t="s">
        <v>921</v>
      </c>
      <c r="F2" s="451"/>
      <c r="G2" s="356" t="s">
        <v>922</v>
      </c>
      <c r="H2" s="356"/>
      <c r="I2" s="357"/>
      <c r="J2" s="451"/>
      <c r="K2" s="356" t="s">
        <v>923</v>
      </c>
      <c r="L2" s="356"/>
      <c r="M2" s="357"/>
      <c r="N2" s="357" t="s">
        <v>97</v>
      </c>
    </row>
    <row r="3" spans="1:14" ht="12.75" x14ac:dyDescent="0.2">
      <c r="A3" s="127"/>
      <c r="B3" s="128" t="s">
        <v>0</v>
      </c>
      <c r="C3" s="128"/>
      <c r="D3" s="129"/>
      <c r="E3" s="129"/>
      <c r="F3" s="130" t="s">
        <v>924</v>
      </c>
      <c r="G3" s="131" t="s">
        <v>925</v>
      </c>
      <c r="H3" s="131" t="s">
        <v>926</v>
      </c>
      <c r="I3" s="132" t="s">
        <v>927</v>
      </c>
      <c r="J3" s="130" t="s">
        <v>924</v>
      </c>
      <c r="K3" s="131" t="s">
        <v>925</v>
      </c>
      <c r="L3" s="131" t="s">
        <v>926</v>
      </c>
      <c r="M3" s="132" t="s">
        <v>927</v>
      </c>
      <c r="N3" s="133"/>
    </row>
    <row r="4" spans="1:14" ht="48.75" customHeight="1" x14ac:dyDescent="0.2">
      <c r="A4" s="3617" t="s">
        <v>928</v>
      </c>
      <c r="B4" s="3618" t="s">
        <v>929</v>
      </c>
      <c r="C4" s="3619" t="s">
        <v>930</v>
      </c>
      <c r="D4" s="3620" t="s">
        <v>931</v>
      </c>
      <c r="E4" s="3621" t="s">
        <v>470</v>
      </c>
      <c r="F4" s="3622"/>
      <c r="G4" s="3623"/>
      <c r="H4" s="3624"/>
      <c r="I4" s="3624"/>
      <c r="J4" s="3622"/>
      <c r="K4" s="3624"/>
      <c r="L4" s="3624"/>
      <c r="M4" s="3625"/>
      <c r="N4" s="3626"/>
    </row>
    <row r="5" spans="1:14" ht="12.75" x14ac:dyDescent="0.2">
      <c r="A5" s="134"/>
      <c r="B5" s="134"/>
      <c r="C5" s="134"/>
      <c r="D5" s="134"/>
      <c r="E5" s="134"/>
      <c r="F5" s="135"/>
      <c r="G5" s="135"/>
      <c r="H5" s="135"/>
      <c r="I5" s="135"/>
      <c r="J5" s="135"/>
      <c r="K5" s="135"/>
      <c r="L5" s="135"/>
      <c r="M5" s="135"/>
      <c r="N5" s="134"/>
    </row>
    <row r="6" spans="1:14" ht="32.25" customHeight="1" x14ac:dyDescent="0.2">
      <c r="A6" s="451"/>
      <c r="B6" s="354" t="s">
        <v>932</v>
      </c>
      <c r="C6" s="354" t="s">
        <v>919</v>
      </c>
      <c r="D6" s="355" t="s">
        <v>920</v>
      </c>
      <c r="E6" s="355" t="s">
        <v>921</v>
      </c>
      <c r="F6" s="452"/>
      <c r="G6" s="358" t="s">
        <v>922</v>
      </c>
      <c r="H6" s="358"/>
      <c r="I6" s="359"/>
      <c r="J6" s="452"/>
      <c r="K6" s="358" t="s">
        <v>923</v>
      </c>
      <c r="L6" s="358"/>
      <c r="M6" s="359"/>
      <c r="N6" s="357" t="s">
        <v>97</v>
      </c>
    </row>
    <row r="7" spans="1:14" ht="12.75" x14ac:dyDescent="0.2">
      <c r="A7" s="127"/>
      <c r="B7" s="128" t="s">
        <v>0</v>
      </c>
      <c r="C7" s="128"/>
      <c r="D7" s="129"/>
      <c r="E7" s="129"/>
      <c r="F7" s="130" t="s">
        <v>924</v>
      </c>
      <c r="G7" s="131" t="s">
        <v>925</v>
      </c>
      <c r="H7" s="131" t="s">
        <v>926</v>
      </c>
      <c r="I7" s="132" t="s">
        <v>927</v>
      </c>
      <c r="J7" s="130" t="s">
        <v>924</v>
      </c>
      <c r="K7" s="131" t="s">
        <v>925</v>
      </c>
      <c r="L7" s="131" t="s">
        <v>926</v>
      </c>
      <c r="M7" s="132" t="s">
        <v>927</v>
      </c>
      <c r="N7" s="133"/>
    </row>
    <row r="8" spans="1:14" ht="36" customHeight="1" x14ac:dyDescent="0.2">
      <c r="A8" s="136" t="s">
        <v>933</v>
      </c>
      <c r="B8" s="3618" t="s">
        <v>934</v>
      </c>
      <c r="C8" s="3619" t="s">
        <v>935</v>
      </c>
      <c r="D8" s="3627" t="s">
        <v>936</v>
      </c>
      <c r="E8" s="3628" t="s">
        <v>937</v>
      </c>
      <c r="F8" s="3629">
        <v>0</v>
      </c>
      <c r="G8" s="3630">
        <v>0</v>
      </c>
      <c r="H8" s="3630">
        <v>0</v>
      </c>
      <c r="I8" s="3631">
        <v>0</v>
      </c>
      <c r="J8" s="3629">
        <v>0</v>
      </c>
      <c r="K8" s="3630">
        <v>0</v>
      </c>
      <c r="L8" s="3630">
        <v>0</v>
      </c>
      <c r="M8" s="3631"/>
      <c r="N8" s="3632"/>
    </row>
    <row r="9" spans="1:14" ht="39.75" customHeight="1" x14ac:dyDescent="0.2">
      <c r="A9" s="136" t="s">
        <v>465</v>
      </c>
      <c r="B9" s="3527" t="s">
        <v>938</v>
      </c>
      <c r="C9" s="3633" t="s">
        <v>939</v>
      </c>
      <c r="D9" s="3634" t="s">
        <v>940</v>
      </c>
      <c r="E9" s="3628" t="s">
        <v>937</v>
      </c>
      <c r="F9" s="3629" t="s">
        <v>0</v>
      </c>
      <c r="G9" s="3630"/>
      <c r="H9" s="3630">
        <v>4</v>
      </c>
      <c r="I9" s="3631"/>
      <c r="J9" s="3629">
        <v>0</v>
      </c>
      <c r="K9" s="3630">
        <v>0</v>
      </c>
      <c r="L9" s="3630" t="s">
        <v>0</v>
      </c>
      <c r="M9" s="3631"/>
      <c r="N9" s="3635"/>
    </row>
    <row r="10" spans="1:14" ht="39" customHeight="1" x14ac:dyDescent="0.2">
      <c r="A10" s="137" t="s">
        <v>941</v>
      </c>
      <c r="B10" s="3618" t="s">
        <v>934</v>
      </c>
      <c r="C10" s="3619" t="s">
        <v>935</v>
      </c>
      <c r="D10" s="3627" t="s">
        <v>936</v>
      </c>
      <c r="E10" s="3628" t="s">
        <v>942</v>
      </c>
      <c r="F10" s="3629">
        <v>0</v>
      </c>
      <c r="G10" s="3630">
        <v>0</v>
      </c>
      <c r="H10" s="3630">
        <v>0</v>
      </c>
      <c r="I10" s="3631">
        <v>0</v>
      </c>
      <c r="J10" s="3629">
        <v>0</v>
      </c>
      <c r="K10" s="3630">
        <v>0</v>
      </c>
      <c r="L10" s="3630">
        <v>0</v>
      </c>
      <c r="M10" s="3631"/>
      <c r="N10" s="3632"/>
    </row>
    <row r="11" spans="1:14" ht="45" x14ac:dyDescent="0.2">
      <c r="A11" s="137" t="s">
        <v>943</v>
      </c>
      <c r="B11" s="3527" t="s">
        <v>938</v>
      </c>
      <c r="C11" s="3633" t="s">
        <v>939</v>
      </c>
      <c r="D11" s="3634" t="s">
        <v>940</v>
      </c>
      <c r="E11" s="3628" t="s">
        <v>944</v>
      </c>
      <c r="F11" s="3629" t="s">
        <v>0</v>
      </c>
      <c r="G11" s="3630"/>
      <c r="H11" s="3630">
        <v>4</v>
      </c>
      <c r="I11" s="3631"/>
      <c r="J11" s="3629">
        <v>0</v>
      </c>
      <c r="K11" s="3630">
        <v>0</v>
      </c>
      <c r="L11" s="3630">
        <v>0</v>
      </c>
      <c r="M11" s="3631"/>
      <c r="N11" s="3635"/>
    </row>
    <row r="12" spans="1:14" ht="36" customHeight="1" x14ac:dyDescent="0.2">
      <c r="A12" s="138" t="s">
        <v>945</v>
      </c>
      <c r="B12" s="3618" t="s">
        <v>934</v>
      </c>
      <c r="C12" s="3619" t="s">
        <v>935</v>
      </c>
      <c r="D12" s="3627" t="s">
        <v>936</v>
      </c>
      <c r="E12" s="3628" t="s">
        <v>946</v>
      </c>
      <c r="F12" s="3629">
        <v>0</v>
      </c>
      <c r="G12" s="3630">
        <v>0</v>
      </c>
      <c r="H12" s="3630">
        <v>0</v>
      </c>
      <c r="I12" s="3631">
        <v>0</v>
      </c>
      <c r="J12" s="3629">
        <v>0</v>
      </c>
      <c r="K12" s="3630">
        <v>0</v>
      </c>
      <c r="L12" s="3630">
        <v>0</v>
      </c>
      <c r="M12" s="3631"/>
      <c r="N12" s="3632"/>
    </row>
    <row r="13" spans="1:14" ht="37.5" customHeight="1" x14ac:dyDescent="0.2">
      <c r="A13" s="138" t="s">
        <v>300</v>
      </c>
      <c r="B13" s="3527" t="s">
        <v>938</v>
      </c>
      <c r="C13" s="3633" t="s">
        <v>939</v>
      </c>
      <c r="D13" s="3634" t="s">
        <v>940</v>
      </c>
      <c r="E13" s="3628" t="s">
        <v>946</v>
      </c>
      <c r="F13" s="3629" t="s">
        <v>0</v>
      </c>
      <c r="G13" s="3630"/>
      <c r="H13" s="3630">
        <v>4</v>
      </c>
      <c r="I13" s="3631"/>
      <c r="J13" s="3629">
        <v>0</v>
      </c>
      <c r="K13" s="3630">
        <v>0</v>
      </c>
      <c r="L13" s="3630">
        <v>0</v>
      </c>
      <c r="M13" s="3631"/>
      <c r="N13" s="3635"/>
    </row>
    <row r="14" spans="1:14" ht="36" customHeight="1" x14ac:dyDescent="0.2">
      <c r="A14" s="139" t="s">
        <v>947</v>
      </c>
      <c r="B14" s="3618" t="s">
        <v>934</v>
      </c>
      <c r="C14" s="3619" t="s">
        <v>935</v>
      </c>
      <c r="D14" s="3627" t="s">
        <v>936</v>
      </c>
      <c r="E14" s="3628" t="s">
        <v>946</v>
      </c>
      <c r="F14" s="3629">
        <v>0</v>
      </c>
      <c r="G14" s="3630">
        <v>0</v>
      </c>
      <c r="H14" s="3630">
        <v>0</v>
      </c>
      <c r="I14" s="3631">
        <v>0</v>
      </c>
      <c r="J14" s="3629">
        <v>0</v>
      </c>
      <c r="K14" s="3630">
        <v>0</v>
      </c>
      <c r="L14" s="3630">
        <v>0</v>
      </c>
      <c r="M14" s="3631"/>
      <c r="N14" s="3632"/>
    </row>
    <row r="15" spans="1:14" ht="45" x14ac:dyDescent="0.2">
      <c r="A15" s="3636" t="s">
        <v>318</v>
      </c>
      <c r="B15" s="3456" t="s">
        <v>938</v>
      </c>
      <c r="C15" s="3637" t="s">
        <v>939</v>
      </c>
      <c r="D15" s="3638" t="s">
        <v>940</v>
      </c>
      <c r="E15" s="3639" t="s">
        <v>946</v>
      </c>
      <c r="F15" s="3640" t="s">
        <v>0</v>
      </c>
      <c r="G15" s="3641"/>
      <c r="H15" s="3641">
        <v>4</v>
      </c>
      <c r="I15" s="3642"/>
      <c r="J15" s="3640">
        <v>0</v>
      </c>
      <c r="K15" s="3641">
        <v>0</v>
      </c>
      <c r="L15" s="3641">
        <v>0</v>
      </c>
      <c r="M15" s="3642"/>
      <c r="N15" s="3643"/>
    </row>
    <row r="16" spans="1:14" ht="36" customHeight="1" x14ac:dyDescent="0.2">
      <c r="A16" s="140"/>
      <c r="B16" s="3618" t="s">
        <v>934</v>
      </c>
      <c r="C16" s="3619" t="s">
        <v>935</v>
      </c>
      <c r="D16" s="3627" t="s">
        <v>936</v>
      </c>
      <c r="E16" s="3628" t="s">
        <v>948</v>
      </c>
      <c r="F16" s="3629">
        <v>0</v>
      </c>
      <c r="G16" s="3630">
        <v>0</v>
      </c>
      <c r="H16" s="3630">
        <v>0</v>
      </c>
      <c r="I16" s="3631">
        <v>0</v>
      </c>
      <c r="J16" s="3644"/>
      <c r="K16" s="3645"/>
      <c r="L16" s="3645"/>
      <c r="M16" s="3646"/>
      <c r="N16" s="3647"/>
    </row>
    <row r="17" spans="1:14" ht="45.75" customHeight="1" x14ac:dyDescent="0.2">
      <c r="A17" s="3648" t="s">
        <v>949</v>
      </c>
      <c r="B17" s="3456" t="s">
        <v>938</v>
      </c>
      <c r="C17" s="3637" t="s">
        <v>939</v>
      </c>
      <c r="D17" s="3638" t="s">
        <v>940</v>
      </c>
      <c r="E17" s="3639" t="s">
        <v>948</v>
      </c>
      <c r="F17" s="3649"/>
      <c r="G17" s="3650"/>
      <c r="H17" s="3641">
        <v>4</v>
      </c>
      <c r="I17" s="3651"/>
      <c r="J17" s="3649"/>
      <c r="K17" s="3650"/>
      <c r="L17" s="3650"/>
      <c r="M17" s="3651"/>
      <c r="N17" s="3652"/>
    </row>
    <row r="18" spans="1:14" ht="12.75" x14ac:dyDescent="0.2">
      <c r="A18" s="134"/>
      <c r="B18" s="134"/>
      <c r="C18" s="134"/>
      <c r="D18" s="134"/>
      <c r="E18" s="134"/>
      <c r="F18" s="135"/>
      <c r="G18" s="135"/>
      <c r="H18" s="135"/>
      <c r="I18" s="135"/>
      <c r="J18" s="135"/>
      <c r="K18" s="135"/>
      <c r="L18" s="135"/>
      <c r="M18" s="135"/>
      <c r="N18" s="134"/>
    </row>
    <row r="19" spans="1:14" ht="12.75" x14ac:dyDescent="0.2">
      <c r="A19" s="134"/>
      <c r="B19" s="134"/>
      <c r="C19" s="134"/>
      <c r="D19" s="134"/>
      <c r="E19" s="134"/>
      <c r="F19" s="135"/>
      <c r="G19" s="135"/>
      <c r="H19" s="135"/>
      <c r="I19" s="135"/>
      <c r="J19" s="135"/>
      <c r="K19" s="135"/>
      <c r="L19" s="135"/>
      <c r="M19" s="135"/>
      <c r="N19" s="134"/>
    </row>
    <row r="20" spans="1:14" ht="18" x14ac:dyDescent="0.25">
      <c r="A20" s="134"/>
      <c r="B20" s="134"/>
      <c r="C20" s="141"/>
      <c r="D20" s="134"/>
      <c r="E20" s="134"/>
      <c r="F20" s="135"/>
      <c r="G20" s="135"/>
      <c r="H20" s="135"/>
      <c r="I20" s="135"/>
      <c r="J20" s="135"/>
      <c r="K20" s="135"/>
      <c r="L20" s="135"/>
      <c r="M20" s="135"/>
      <c r="N20" s="134"/>
    </row>
  </sheetData>
  <sheetProtection selectLockedCells="1" selectUnlockedCells="1"/>
  <mergeCells count="1">
    <mergeCell ref="A1:N1"/>
  </mergeCells>
  <phoneticPr fontId="7" type="noConversion"/>
  <pageMargins left="0" right="0" top="0" bottom="0" header="0.51180555555555551" footer="0.51180555555555551"/>
  <pageSetup paperSize="9" scale="85" firstPageNumber="0" orientation="landscape" horizontalDpi="300" verticalDpi="30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4"/>
  <dimension ref="A1:A3"/>
  <sheetViews>
    <sheetView workbookViewId="0"/>
  </sheetViews>
  <sheetFormatPr defaultRowHeight="12" x14ac:dyDescent="0.2"/>
  <sheetData>
    <row r="1" spans="1:1" x14ac:dyDescent="0.2">
      <c r="A1" s="210" t="s">
        <v>950</v>
      </c>
    </row>
    <row r="2" spans="1:1" x14ac:dyDescent="0.2">
      <c r="A2" s="210" t="s">
        <v>951</v>
      </c>
    </row>
    <row r="3" spans="1:1" x14ac:dyDescent="0.2">
      <c r="A3" s="210" t="s">
        <v>952</v>
      </c>
    </row>
  </sheetData>
  <pageMargins left="0.7" right="0.7" top="0.75" bottom="0.75" header="0.3" footer="0.3"/>
</worksheet>
</file>

<file path=customUI/customUI.xml><?xml version="1.0" encoding="utf-8"?>
<!--RibbonX Visual Designer 1.94 for Microsoft Excel 12.0. XML Code produced on 2015-03-05-->
<customUI xmlns="http://schemas.microsoft.com/office/2006/01/customui">
  <ribbon>
    <tabs>
      <tab id="Tab1" insertBeforeMso="TabInsert" label="Vagtplan">
        <group id="Group1" label="Group1">
          <button idMso="FileSendAsAttachment" label="Email"/>
          <button idMso="FilePrint" label="Udskriv"/>
          <gallery idMso="ViewFreezePanesGallery" label="Frys"/>
        </group>
        <group idMso="GroupStyles"/>
        <group idMso="GroupComments"/>
        <group idMso="GroupMacros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5c24c4d-4de2-4a11-996b-ad1b02b5a53f">
      <UserInfo>
        <DisplayName>Bo Volfing Jacobsen</DisplayName>
        <AccountId>51</AccountId>
        <AccountType/>
      </UserInfo>
      <UserInfo>
        <DisplayName>Erik Skyggebjerg Andersen</DisplayName>
        <AccountId>52</AccountId>
        <AccountType/>
      </UserInfo>
      <UserInfo>
        <DisplayName>Steen Hertin</DisplayName>
        <AccountId>53</AccountId>
        <AccountType/>
      </UserInfo>
      <UserInfo>
        <DisplayName>Michael Bo Pedersen</DisplayName>
        <AccountId>54</AccountId>
        <AccountType/>
      </UserInfo>
      <UserInfo>
        <DisplayName>Rasmus Sørensen</DisplayName>
        <AccountId>55</AccountId>
        <AccountType/>
      </UserInfo>
      <UserInfo>
        <DisplayName>Dennis Rise</DisplayName>
        <AccountId>56</AccountId>
        <AccountType/>
      </UserInfo>
      <UserInfo>
        <DisplayName>Kim Holm Aabroe</DisplayName>
        <AccountId>38</AccountId>
        <AccountType/>
      </UserInfo>
      <UserInfo>
        <DisplayName>Flemming Nielsen</DisplayName>
        <AccountId>130</AccountId>
        <AccountType/>
      </UserInfo>
      <UserInfo>
        <DisplayName>Flemming Dam</DisplayName>
        <AccountId>133</AccountId>
        <AccountType/>
      </UserInfo>
    </SharedWithUsers>
    <dato xmlns="0f03729d-1f1c-4b43-bedd-870f9fd028b5">2020-12-23T23:00:00+00:00</dato>
    <Note xmlns="0f03729d-1f1c-4b43-bedd-870f9fd028b5" xsi:nil="true"/>
    <eDoc xmlns="0f03729d-1f1c-4b43-bedd-870f9fd028b5" xsi:nil="true"/>
    <lcf76f155ced4ddcb4097134ff3c332f xmlns="0f03729d-1f1c-4b43-bedd-870f9fd028b5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4556FA7B362AE4B8446F9CC073D5A4F" ma:contentTypeVersion="19" ma:contentTypeDescription="Opret et nyt dokument." ma:contentTypeScope="" ma:versionID="bbcd5a35b0330a42ea26dd1e1437c263">
  <xsd:schema xmlns:xsd="http://www.w3.org/2001/XMLSchema" xmlns:xs="http://www.w3.org/2001/XMLSchema" xmlns:p="http://schemas.microsoft.com/office/2006/metadata/properties" xmlns:ns2="0f03729d-1f1c-4b43-bedd-870f9fd028b5" xmlns:ns3="45c24c4d-4de2-4a11-996b-ad1b02b5a53f" targetNamespace="http://schemas.microsoft.com/office/2006/metadata/properties" ma:root="true" ma:fieldsID="b97bdc496595f6d1b5a990c7b75931b2" ns2:_="" ns3:_="">
    <xsd:import namespace="0f03729d-1f1c-4b43-bedd-870f9fd028b5"/>
    <xsd:import namespace="45c24c4d-4de2-4a11-996b-ad1b02b5a53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dato"/>
                <xsd:element ref="ns2:Note" minOccurs="0"/>
                <xsd:element ref="ns2:MediaLengthInSeconds" minOccurs="0"/>
                <xsd:element ref="ns2:lcf76f155ced4ddcb4097134ff3c332f" minOccurs="0"/>
                <xsd:element ref="ns2:eDoc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3729d-1f1c-4b43-bedd-870f9fd02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ato" ma:index="20" ma:displayName="dato" ma:format="DateTime" ma:internalName="dato">
      <xsd:simpleType>
        <xsd:restriction base="dms:DateTime"/>
      </xsd:simpleType>
    </xsd:element>
    <xsd:element name="Note" ma:index="21" nillable="true" ma:displayName="Note" ma:description="Ekstra noter" ma:format="Dropdown" ma:internalName="Not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Billedmærker" ma:readOnly="false" ma:fieldId="{5cf76f15-5ced-4ddc-b409-7134ff3c332f}" ma:taxonomyMulti="true" ma:sspId="e6a412d2-aea5-45d9-add9-4615ec1865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eDoc" ma:index="25" nillable="true" ma:displayName="eDoc" ma:internalName="eDoc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c24c4d-4de2-4a11-996b-ad1b02b5a53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CA86D9-54B4-4348-9CE7-64F24673B21E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f03729d-1f1c-4b43-bedd-870f9fd028b5"/>
    <ds:schemaRef ds:uri="http://purl.org/dc/elements/1.1/"/>
    <ds:schemaRef ds:uri="http://schemas.microsoft.com/office/2006/metadata/properties"/>
    <ds:schemaRef ds:uri="45c24c4d-4de2-4a11-996b-ad1b02b5a53f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F89ED00-07F2-416D-8E4E-A73F1B356464}"/>
</file>

<file path=customXml/itemProps3.xml><?xml version="1.0" encoding="utf-8"?>
<ds:datastoreItem xmlns:ds="http://schemas.openxmlformats.org/officeDocument/2006/customXml" ds:itemID="{F574A16D-7D0F-432C-80FF-48A6AFFF8F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23</vt:i4>
      </vt:variant>
      <vt:variant>
        <vt:lpstr>Navngivne områder</vt:lpstr>
      </vt:variant>
      <vt:variant>
        <vt:i4>15</vt:i4>
      </vt:variant>
    </vt:vector>
  </HeadingPairs>
  <TitlesOfParts>
    <vt:vector size="38" baseType="lpstr">
      <vt:lpstr>Ark7</vt:lpstr>
      <vt:lpstr>Ark8</vt:lpstr>
      <vt:lpstr>Ark9</vt:lpstr>
      <vt:lpstr>Ark4</vt:lpstr>
      <vt:lpstr>Maj 2020</vt:lpstr>
      <vt:lpstr>Juni 2020</vt:lpstr>
      <vt:lpstr>Juli 2020</vt:lpstr>
      <vt:lpstr>August 2020</vt:lpstr>
      <vt:lpstr>September 2020</vt:lpstr>
      <vt:lpstr>Oktober 2020</vt:lpstr>
      <vt:lpstr>November 2020</vt:lpstr>
      <vt:lpstr>December 2020</vt:lpstr>
      <vt:lpstr>Januar 2021</vt:lpstr>
      <vt:lpstr>Februar 2021</vt:lpstr>
      <vt:lpstr>Marts 2021</vt:lpstr>
      <vt:lpstr>April 2021</vt:lpstr>
      <vt:lpstr>Prisliste 2021</vt:lpstr>
      <vt:lpstr>Prisliste 2020</vt:lpstr>
      <vt:lpstr>GRUSMUS 2020</vt:lpstr>
      <vt:lpstr>Nøgler GL</vt:lpstr>
      <vt:lpstr>Nøgler januar 2000</vt:lpstr>
      <vt:lpstr>Nøgler m. lønkode</vt:lpstr>
      <vt:lpstr>Balanced 2010</vt:lpstr>
      <vt:lpstr>'Nøgler januar 2000'!Udskriftsområde</vt:lpstr>
      <vt:lpstr>'Nøgler m. lønkode'!Udskriftsområde</vt:lpstr>
      <vt:lpstr>'April 2021'!Udskriftstitler</vt:lpstr>
      <vt:lpstr>'August 2020'!Udskriftstitler</vt:lpstr>
      <vt:lpstr>'Balanced 2010'!Udskriftstitler</vt:lpstr>
      <vt:lpstr>'December 2020'!Udskriftstitler</vt:lpstr>
      <vt:lpstr>'Februar 2021'!Udskriftstitler</vt:lpstr>
      <vt:lpstr>'Januar 2021'!Udskriftstitler</vt:lpstr>
      <vt:lpstr>'Juli 2020'!Udskriftstitler</vt:lpstr>
      <vt:lpstr>'Juni 2020'!Udskriftstitler</vt:lpstr>
      <vt:lpstr>'Maj 2020'!Udskriftstitler</vt:lpstr>
      <vt:lpstr>'Marts 2021'!Udskriftstitler</vt:lpstr>
      <vt:lpstr>'November 2020'!Udskriftstitler</vt:lpstr>
      <vt:lpstr>'Oktober 2020'!Udskriftstitler</vt:lpstr>
      <vt:lpstr>'September 2020'!Udskriftstitler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Kemal Türkmen</cp:lastModifiedBy>
  <cp:revision>11</cp:revision>
  <dcterms:created xsi:type="dcterms:W3CDTF">2000-02-23T09:56:36Z</dcterms:created>
  <dcterms:modified xsi:type="dcterms:W3CDTF">2023-06-13T20:03:28Z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0x01010024556FA7B362AE4B8446F9CC073D5A4F</vt:lpwstr>
  </property>
  <property fmtid="{D5CDD505-2E9C-101B-9397-08002B2CF9AE}" pid="12" name="Order">
    <vt:r8>100</vt:r8>
  </property>
  <property fmtid="{D5CDD505-2E9C-101B-9397-08002B2CF9AE}" pid="13" name="SharedWithUsers">
    <vt:lpwstr>51;#Bo Volfing Jacobsen;#52;#Erik Skyggebjerg Andersen;#53;#Steen Hertin;#54;#Michael Bo Pedersen;#55;#Rasmus Sørensen;#56;#Dennis Rise;#38;#Kim Holm Aabroe;#130;#Flemming Nielsen;#133;#Flemming Dam</vt:lpwstr>
  </property>
  <property fmtid="{D5CDD505-2E9C-101B-9397-08002B2CF9AE}" pid="14" name="Sensitivity">
    <vt:lpwstr/>
  </property>
  <property fmtid="{D5CDD505-2E9C-101B-9397-08002B2CF9AE}" pid="15" name="j2c2601e249f4d2993f2fcc4fe83f7c1">
    <vt:lpwstr/>
  </property>
  <property fmtid="{D5CDD505-2E9C-101B-9397-08002B2CF9AE}" pid="16" name="TaxCatchAll">
    <vt:lpwstr/>
  </property>
  <property fmtid="{D5CDD505-2E9C-101B-9397-08002B2CF9AE}" pid="17" name="AuthorIds_UIVersion_55808">
    <vt:lpwstr>64</vt:lpwstr>
  </property>
  <property fmtid="{D5CDD505-2E9C-101B-9397-08002B2CF9AE}" pid="18" name="MediaServiceImageTags">
    <vt:lpwstr/>
  </property>
</Properties>
</file>